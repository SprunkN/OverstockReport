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icing and RFP\Pricing\Nursery\2026 Pricing\Overstock\EOY\"/>
    </mc:Choice>
  </mc:AlternateContent>
  <xr:revisionPtr revIDLastSave="0" documentId="8_{E3446974-BE21-407F-9DA2-22CF119C057A}" xr6:coauthVersionLast="47" xr6:coauthVersionMax="47" xr10:uidLastSave="{00000000-0000-0000-0000-000000000000}"/>
  <bookViews>
    <workbookView xWindow="-120" yWindow="-120" windowWidth="29040" windowHeight="15720" xr2:uid="{32FF57A8-C421-4F1C-BA83-7104278AD34F}"/>
  </bookViews>
  <sheets>
    <sheet name="Sheet1" sheetId="1" r:id="rId1"/>
    <sheet name="Sheet2" sheetId="2" state="hidden" r:id="rId2"/>
  </sheets>
  <definedNames>
    <definedName name="_xlnm._FilterDatabase" localSheetId="0" hidden="1">Sheet1!$A$1:$P$2196</definedName>
    <definedName name="_xlnm._FilterDatabase" localSheetId="1" hidden="1">Sheet2!$A$1:$N$3244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L3" i="1"/>
  <c r="M3" i="1"/>
  <c r="N3" i="1"/>
  <c r="E4" i="1"/>
  <c r="L4" i="1"/>
  <c r="M4" i="1"/>
  <c r="N4" i="1"/>
  <c r="E5" i="1"/>
  <c r="L5" i="1"/>
  <c r="M5" i="1"/>
  <c r="N5" i="1"/>
  <c r="E6" i="1"/>
  <c r="L6" i="1"/>
  <c r="M6" i="1"/>
  <c r="N6" i="1"/>
  <c r="E7" i="1"/>
  <c r="L7" i="1"/>
  <c r="M7" i="1"/>
  <c r="N7" i="1"/>
  <c r="E8" i="1"/>
  <c r="L8" i="1"/>
  <c r="M8" i="1"/>
  <c r="N8" i="1"/>
  <c r="E9" i="1"/>
  <c r="L9" i="1"/>
  <c r="M9" i="1"/>
  <c r="N9" i="1"/>
  <c r="E10" i="1"/>
  <c r="L10" i="1"/>
  <c r="M10" i="1"/>
  <c r="N10" i="1"/>
  <c r="E11" i="1"/>
  <c r="L11" i="1"/>
  <c r="M11" i="1"/>
  <c r="N11" i="1"/>
  <c r="E12" i="1"/>
  <c r="L12" i="1"/>
  <c r="M12" i="1"/>
  <c r="N12" i="1"/>
  <c r="E13" i="1"/>
  <c r="L13" i="1"/>
  <c r="M13" i="1"/>
  <c r="N13" i="1"/>
  <c r="E14" i="1"/>
  <c r="L14" i="1"/>
  <c r="M14" i="1"/>
  <c r="N14" i="1"/>
  <c r="E15" i="1"/>
  <c r="L15" i="1"/>
  <c r="M15" i="1"/>
  <c r="N15" i="1"/>
  <c r="E16" i="1"/>
  <c r="L16" i="1"/>
  <c r="M16" i="1"/>
  <c r="N16" i="1"/>
  <c r="E17" i="1"/>
  <c r="L17" i="1"/>
  <c r="M17" i="1"/>
  <c r="N17" i="1"/>
  <c r="E18" i="1"/>
  <c r="L18" i="1"/>
  <c r="M18" i="1"/>
  <c r="N18" i="1"/>
  <c r="E19" i="1"/>
  <c r="L19" i="1"/>
  <c r="M19" i="1"/>
  <c r="N19" i="1"/>
  <c r="E20" i="1"/>
  <c r="L20" i="1"/>
  <c r="M20" i="1"/>
  <c r="N20" i="1"/>
  <c r="E21" i="1"/>
  <c r="L21" i="1"/>
  <c r="M21" i="1"/>
  <c r="N21" i="1"/>
  <c r="E22" i="1"/>
  <c r="L22" i="1"/>
  <c r="M22" i="1"/>
  <c r="N22" i="1"/>
  <c r="E23" i="1"/>
  <c r="L23" i="1"/>
  <c r="M23" i="1"/>
  <c r="N23" i="1"/>
  <c r="E24" i="1"/>
  <c r="L24" i="1"/>
  <c r="M24" i="1"/>
  <c r="N24" i="1"/>
  <c r="E25" i="1"/>
  <c r="L25" i="1"/>
  <c r="M25" i="1"/>
  <c r="N25" i="1"/>
  <c r="E26" i="1"/>
  <c r="L26" i="1"/>
  <c r="M26" i="1"/>
  <c r="N26" i="1"/>
  <c r="E27" i="1"/>
  <c r="L27" i="1"/>
  <c r="M27" i="1"/>
  <c r="N27" i="1"/>
  <c r="E28" i="1"/>
  <c r="L28" i="1"/>
  <c r="M28" i="1"/>
  <c r="N28" i="1"/>
  <c r="E29" i="1"/>
  <c r="L29" i="1"/>
  <c r="M29" i="1"/>
  <c r="N29" i="1"/>
  <c r="E30" i="1"/>
  <c r="L30" i="1"/>
  <c r="M30" i="1"/>
  <c r="N30" i="1"/>
  <c r="E31" i="1"/>
  <c r="L31" i="1"/>
  <c r="M31" i="1"/>
  <c r="N31" i="1"/>
  <c r="E32" i="1"/>
  <c r="L32" i="1"/>
  <c r="M32" i="1"/>
  <c r="N32" i="1"/>
  <c r="E33" i="1"/>
  <c r="L33" i="1"/>
  <c r="M33" i="1"/>
  <c r="N33" i="1"/>
  <c r="E34" i="1"/>
  <c r="L34" i="1"/>
  <c r="M34" i="1"/>
  <c r="N34" i="1"/>
  <c r="E35" i="1"/>
  <c r="L35" i="1"/>
  <c r="M35" i="1"/>
  <c r="N35" i="1"/>
  <c r="E36" i="1"/>
  <c r="L36" i="1"/>
  <c r="M36" i="1"/>
  <c r="N36" i="1"/>
  <c r="E37" i="1"/>
  <c r="L37" i="1"/>
  <c r="M37" i="1"/>
  <c r="N37" i="1"/>
  <c r="E38" i="1"/>
  <c r="L38" i="1"/>
  <c r="M38" i="1"/>
  <c r="N38" i="1"/>
  <c r="E39" i="1"/>
  <c r="L39" i="1"/>
  <c r="M39" i="1"/>
  <c r="N39" i="1"/>
  <c r="E40" i="1"/>
  <c r="L40" i="1"/>
  <c r="M40" i="1"/>
  <c r="N40" i="1"/>
  <c r="E41" i="1"/>
  <c r="L41" i="1"/>
  <c r="M41" i="1"/>
  <c r="N41" i="1"/>
  <c r="E42" i="1"/>
  <c r="L42" i="1"/>
  <c r="M42" i="1"/>
  <c r="N42" i="1"/>
  <c r="E43" i="1"/>
  <c r="L43" i="1"/>
  <c r="M43" i="1"/>
  <c r="N43" i="1"/>
  <c r="E44" i="1"/>
  <c r="L44" i="1"/>
  <c r="M44" i="1"/>
  <c r="N44" i="1"/>
  <c r="E45" i="1"/>
  <c r="L45" i="1"/>
  <c r="M45" i="1"/>
  <c r="N45" i="1"/>
  <c r="E46" i="1"/>
  <c r="L46" i="1"/>
  <c r="M46" i="1"/>
  <c r="N46" i="1"/>
  <c r="E47" i="1"/>
  <c r="L47" i="1"/>
  <c r="M47" i="1"/>
  <c r="N47" i="1"/>
  <c r="E48" i="1"/>
  <c r="L48" i="1"/>
  <c r="M48" i="1"/>
  <c r="N48" i="1"/>
  <c r="E49" i="1"/>
  <c r="L49" i="1"/>
  <c r="M49" i="1"/>
  <c r="N49" i="1"/>
  <c r="E50" i="1"/>
  <c r="L50" i="1"/>
  <c r="M50" i="1"/>
  <c r="N50" i="1"/>
  <c r="E51" i="1"/>
  <c r="L51" i="1"/>
  <c r="M51" i="1"/>
  <c r="N51" i="1"/>
  <c r="E52" i="1"/>
  <c r="L52" i="1"/>
  <c r="M52" i="1"/>
  <c r="N52" i="1"/>
  <c r="E53" i="1"/>
  <c r="L53" i="1"/>
  <c r="M53" i="1"/>
  <c r="N53" i="1"/>
  <c r="E54" i="1"/>
  <c r="L54" i="1"/>
  <c r="M54" i="1"/>
  <c r="N54" i="1"/>
  <c r="E55" i="1"/>
  <c r="L55" i="1"/>
  <c r="M55" i="1"/>
  <c r="N55" i="1"/>
  <c r="E56" i="1"/>
  <c r="L56" i="1"/>
  <c r="M56" i="1"/>
  <c r="N56" i="1"/>
  <c r="E57" i="1"/>
  <c r="L57" i="1"/>
  <c r="M57" i="1"/>
  <c r="N57" i="1"/>
  <c r="E58" i="1"/>
  <c r="L58" i="1"/>
  <c r="M58" i="1"/>
  <c r="N58" i="1"/>
  <c r="E59" i="1"/>
  <c r="L59" i="1"/>
  <c r="M59" i="1"/>
  <c r="N59" i="1"/>
  <c r="E60" i="1"/>
  <c r="L60" i="1"/>
  <c r="M60" i="1"/>
  <c r="N60" i="1"/>
  <c r="E61" i="1"/>
  <c r="L61" i="1"/>
  <c r="M61" i="1"/>
  <c r="N61" i="1"/>
  <c r="E62" i="1"/>
  <c r="L62" i="1"/>
  <c r="M62" i="1"/>
  <c r="N62" i="1"/>
  <c r="E63" i="1"/>
  <c r="L63" i="1"/>
  <c r="M63" i="1"/>
  <c r="N63" i="1"/>
  <c r="E64" i="1"/>
  <c r="L64" i="1"/>
  <c r="M64" i="1"/>
  <c r="N64" i="1"/>
  <c r="E65" i="1"/>
  <c r="L65" i="1"/>
  <c r="M65" i="1"/>
  <c r="N65" i="1"/>
  <c r="E66" i="1"/>
  <c r="L66" i="1"/>
  <c r="M66" i="1"/>
  <c r="N66" i="1"/>
  <c r="E67" i="1"/>
  <c r="L67" i="1"/>
  <c r="M67" i="1"/>
  <c r="N67" i="1"/>
  <c r="E68" i="1"/>
  <c r="L68" i="1"/>
  <c r="M68" i="1"/>
  <c r="N68" i="1"/>
  <c r="E69" i="1"/>
  <c r="L69" i="1"/>
  <c r="M69" i="1"/>
  <c r="N69" i="1"/>
  <c r="E70" i="1"/>
  <c r="L70" i="1"/>
  <c r="M70" i="1"/>
  <c r="N70" i="1"/>
  <c r="E71" i="1"/>
  <c r="L71" i="1"/>
  <c r="M71" i="1"/>
  <c r="N71" i="1"/>
  <c r="E72" i="1"/>
  <c r="L72" i="1"/>
  <c r="M72" i="1"/>
  <c r="N72" i="1"/>
  <c r="E73" i="1"/>
  <c r="L73" i="1"/>
  <c r="M73" i="1"/>
  <c r="N73" i="1"/>
  <c r="E74" i="1"/>
  <c r="L74" i="1"/>
  <c r="M74" i="1"/>
  <c r="N74" i="1"/>
  <c r="E75" i="1"/>
  <c r="L75" i="1"/>
  <c r="M75" i="1"/>
  <c r="N75" i="1"/>
  <c r="E76" i="1"/>
  <c r="L76" i="1"/>
  <c r="M76" i="1"/>
  <c r="N76" i="1"/>
  <c r="E77" i="1"/>
  <c r="L77" i="1"/>
  <c r="M77" i="1"/>
  <c r="N77" i="1"/>
  <c r="E78" i="1"/>
  <c r="L78" i="1"/>
  <c r="M78" i="1"/>
  <c r="N78" i="1"/>
  <c r="E79" i="1"/>
  <c r="L79" i="1"/>
  <c r="M79" i="1"/>
  <c r="N79" i="1"/>
  <c r="E80" i="1"/>
  <c r="L80" i="1"/>
  <c r="M80" i="1"/>
  <c r="N80" i="1"/>
  <c r="E81" i="1"/>
  <c r="L81" i="1"/>
  <c r="M81" i="1"/>
  <c r="N81" i="1"/>
  <c r="E82" i="1"/>
  <c r="L82" i="1"/>
  <c r="M82" i="1"/>
  <c r="N82" i="1"/>
  <c r="E83" i="1"/>
  <c r="L83" i="1"/>
  <c r="M83" i="1"/>
  <c r="N83" i="1"/>
  <c r="E84" i="1"/>
  <c r="L84" i="1"/>
  <c r="M84" i="1"/>
  <c r="N84" i="1"/>
  <c r="E85" i="1"/>
  <c r="L85" i="1"/>
  <c r="M85" i="1"/>
  <c r="N85" i="1"/>
  <c r="E86" i="1"/>
  <c r="L86" i="1"/>
  <c r="M86" i="1"/>
  <c r="N86" i="1"/>
  <c r="E87" i="1"/>
  <c r="L87" i="1"/>
  <c r="M87" i="1"/>
  <c r="N87" i="1"/>
  <c r="E88" i="1"/>
  <c r="L88" i="1"/>
  <c r="M88" i="1"/>
  <c r="N88" i="1"/>
  <c r="E89" i="1"/>
  <c r="L89" i="1"/>
  <c r="M89" i="1"/>
  <c r="N89" i="1"/>
  <c r="E90" i="1"/>
  <c r="L90" i="1"/>
  <c r="M90" i="1"/>
  <c r="N90" i="1"/>
  <c r="E91" i="1"/>
  <c r="L91" i="1"/>
  <c r="M91" i="1"/>
  <c r="N91" i="1"/>
  <c r="E92" i="1"/>
  <c r="L92" i="1"/>
  <c r="M92" i="1"/>
  <c r="N92" i="1"/>
  <c r="E93" i="1"/>
  <c r="L93" i="1"/>
  <c r="M93" i="1"/>
  <c r="N93" i="1"/>
  <c r="E94" i="1"/>
  <c r="L94" i="1"/>
  <c r="M94" i="1"/>
  <c r="N94" i="1"/>
  <c r="E95" i="1"/>
  <c r="L95" i="1"/>
  <c r="M95" i="1"/>
  <c r="N95" i="1"/>
  <c r="E96" i="1"/>
  <c r="L96" i="1"/>
  <c r="M96" i="1"/>
  <c r="N96" i="1"/>
  <c r="E97" i="1"/>
  <c r="L97" i="1"/>
  <c r="M97" i="1"/>
  <c r="N97" i="1"/>
  <c r="E98" i="1"/>
  <c r="L98" i="1"/>
  <c r="M98" i="1"/>
  <c r="N98" i="1"/>
  <c r="E99" i="1"/>
  <c r="L99" i="1"/>
  <c r="M99" i="1"/>
  <c r="N99" i="1"/>
  <c r="E100" i="1"/>
  <c r="L100" i="1"/>
  <c r="M100" i="1"/>
  <c r="N100" i="1"/>
  <c r="E101" i="1"/>
  <c r="L101" i="1"/>
  <c r="M101" i="1"/>
  <c r="N101" i="1"/>
  <c r="E102" i="1"/>
  <c r="L102" i="1"/>
  <c r="M102" i="1"/>
  <c r="N102" i="1"/>
  <c r="E103" i="1"/>
  <c r="L103" i="1"/>
  <c r="M103" i="1"/>
  <c r="N103" i="1"/>
  <c r="E104" i="1"/>
  <c r="L104" i="1"/>
  <c r="M104" i="1"/>
  <c r="N104" i="1"/>
  <c r="E105" i="1"/>
  <c r="L105" i="1"/>
  <c r="M105" i="1"/>
  <c r="N105" i="1"/>
  <c r="E106" i="1"/>
  <c r="L106" i="1"/>
  <c r="M106" i="1"/>
  <c r="N106" i="1"/>
  <c r="E107" i="1"/>
  <c r="L107" i="1"/>
  <c r="M107" i="1"/>
  <c r="N107" i="1"/>
  <c r="E108" i="1"/>
  <c r="L108" i="1"/>
  <c r="M108" i="1"/>
  <c r="N108" i="1"/>
  <c r="E109" i="1"/>
  <c r="L109" i="1"/>
  <c r="M109" i="1"/>
  <c r="N109" i="1"/>
  <c r="E110" i="1"/>
  <c r="L110" i="1"/>
  <c r="M110" i="1"/>
  <c r="N110" i="1"/>
  <c r="E111" i="1"/>
  <c r="L111" i="1"/>
  <c r="M111" i="1"/>
  <c r="N111" i="1"/>
  <c r="E112" i="1"/>
  <c r="L112" i="1"/>
  <c r="M112" i="1"/>
  <c r="N112" i="1"/>
  <c r="E113" i="1"/>
  <c r="L113" i="1"/>
  <c r="M113" i="1"/>
  <c r="N113" i="1"/>
  <c r="E114" i="1"/>
  <c r="L114" i="1"/>
  <c r="M114" i="1"/>
  <c r="N114" i="1"/>
  <c r="E115" i="1"/>
  <c r="L115" i="1"/>
  <c r="M115" i="1"/>
  <c r="N115" i="1"/>
  <c r="E116" i="1"/>
  <c r="L116" i="1"/>
  <c r="M116" i="1"/>
  <c r="N116" i="1"/>
  <c r="E117" i="1"/>
  <c r="L117" i="1"/>
  <c r="M117" i="1"/>
  <c r="N117" i="1"/>
  <c r="E118" i="1"/>
  <c r="L118" i="1"/>
  <c r="M118" i="1"/>
  <c r="N118" i="1"/>
  <c r="E119" i="1"/>
  <c r="L119" i="1"/>
  <c r="M119" i="1"/>
  <c r="N119" i="1"/>
  <c r="E120" i="1"/>
  <c r="L120" i="1"/>
  <c r="M120" i="1"/>
  <c r="N120" i="1"/>
  <c r="E121" i="1"/>
  <c r="L121" i="1"/>
  <c r="M121" i="1"/>
  <c r="N121" i="1"/>
  <c r="E122" i="1"/>
  <c r="L122" i="1"/>
  <c r="M122" i="1"/>
  <c r="N122" i="1"/>
  <c r="E123" i="1"/>
  <c r="L123" i="1"/>
  <c r="M123" i="1"/>
  <c r="N123" i="1"/>
  <c r="E124" i="1"/>
  <c r="L124" i="1"/>
  <c r="M124" i="1"/>
  <c r="N124" i="1"/>
  <c r="E125" i="1"/>
  <c r="L125" i="1"/>
  <c r="M125" i="1"/>
  <c r="N125" i="1"/>
  <c r="E126" i="1"/>
  <c r="L126" i="1"/>
  <c r="M126" i="1"/>
  <c r="N126" i="1"/>
  <c r="E127" i="1"/>
  <c r="L127" i="1"/>
  <c r="M127" i="1"/>
  <c r="N127" i="1"/>
  <c r="E128" i="1"/>
  <c r="L128" i="1"/>
  <c r="M128" i="1"/>
  <c r="N128" i="1"/>
  <c r="E129" i="1"/>
  <c r="L129" i="1"/>
  <c r="M129" i="1"/>
  <c r="N129" i="1"/>
  <c r="E130" i="1"/>
  <c r="L130" i="1"/>
  <c r="M130" i="1"/>
  <c r="N130" i="1"/>
  <c r="E131" i="1"/>
  <c r="L131" i="1"/>
  <c r="M131" i="1"/>
  <c r="N131" i="1"/>
  <c r="E132" i="1"/>
  <c r="L132" i="1"/>
  <c r="M132" i="1"/>
  <c r="N132" i="1"/>
  <c r="E133" i="1"/>
  <c r="L133" i="1"/>
  <c r="M133" i="1"/>
  <c r="N133" i="1"/>
  <c r="E134" i="1"/>
  <c r="L134" i="1"/>
  <c r="M134" i="1"/>
  <c r="N134" i="1"/>
  <c r="E135" i="1"/>
  <c r="L135" i="1"/>
  <c r="M135" i="1"/>
  <c r="N135" i="1"/>
  <c r="E136" i="1"/>
  <c r="L136" i="1"/>
  <c r="M136" i="1"/>
  <c r="N136" i="1"/>
  <c r="E137" i="1"/>
  <c r="L137" i="1"/>
  <c r="M137" i="1"/>
  <c r="N137" i="1"/>
  <c r="E138" i="1"/>
  <c r="L138" i="1"/>
  <c r="M138" i="1"/>
  <c r="N138" i="1"/>
  <c r="E139" i="1"/>
  <c r="L139" i="1"/>
  <c r="M139" i="1"/>
  <c r="N139" i="1"/>
  <c r="E140" i="1"/>
  <c r="L140" i="1"/>
  <c r="M140" i="1"/>
  <c r="N140" i="1"/>
  <c r="E141" i="1"/>
  <c r="L141" i="1"/>
  <c r="M141" i="1"/>
  <c r="N141" i="1"/>
  <c r="E142" i="1"/>
  <c r="L142" i="1"/>
  <c r="M142" i="1"/>
  <c r="N142" i="1"/>
  <c r="E143" i="1"/>
  <c r="L143" i="1"/>
  <c r="M143" i="1"/>
  <c r="N143" i="1"/>
  <c r="E144" i="1"/>
  <c r="L144" i="1"/>
  <c r="M144" i="1"/>
  <c r="N144" i="1"/>
  <c r="E145" i="1"/>
  <c r="L145" i="1"/>
  <c r="M145" i="1"/>
  <c r="N145" i="1"/>
  <c r="E146" i="1"/>
  <c r="L146" i="1"/>
  <c r="M146" i="1"/>
  <c r="N146" i="1"/>
  <c r="E147" i="1"/>
  <c r="L147" i="1"/>
  <c r="M147" i="1"/>
  <c r="N147" i="1"/>
  <c r="E148" i="1"/>
  <c r="L148" i="1"/>
  <c r="M148" i="1"/>
  <c r="N148" i="1"/>
  <c r="E149" i="1"/>
  <c r="L149" i="1"/>
  <c r="M149" i="1"/>
  <c r="N149" i="1"/>
  <c r="E150" i="1"/>
  <c r="L150" i="1"/>
  <c r="M150" i="1"/>
  <c r="N150" i="1"/>
  <c r="E151" i="1"/>
  <c r="L151" i="1"/>
  <c r="M151" i="1"/>
  <c r="N151" i="1"/>
  <c r="E152" i="1"/>
  <c r="L152" i="1"/>
  <c r="M152" i="1"/>
  <c r="N152" i="1"/>
  <c r="E153" i="1"/>
  <c r="L153" i="1"/>
  <c r="M153" i="1"/>
  <c r="N153" i="1"/>
  <c r="E154" i="1"/>
  <c r="L154" i="1"/>
  <c r="M154" i="1"/>
  <c r="N154" i="1"/>
  <c r="E155" i="1"/>
  <c r="L155" i="1"/>
  <c r="M155" i="1"/>
  <c r="N155" i="1"/>
  <c r="E156" i="1"/>
  <c r="L156" i="1"/>
  <c r="M156" i="1"/>
  <c r="N156" i="1"/>
  <c r="E157" i="1"/>
  <c r="L157" i="1"/>
  <c r="M157" i="1"/>
  <c r="N157" i="1"/>
  <c r="E158" i="1"/>
  <c r="L158" i="1"/>
  <c r="M158" i="1"/>
  <c r="N158" i="1"/>
  <c r="E159" i="1"/>
  <c r="L159" i="1"/>
  <c r="M159" i="1"/>
  <c r="N159" i="1"/>
  <c r="E160" i="1"/>
  <c r="L160" i="1"/>
  <c r="M160" i="1"/>
  <c r="N160" i="1"/>
  <c r="E161" i="1"/>
  <c r="L161" i="1"/>
  <c r="M161" i="1"/>
  <c r="N161" i="1"/>
  <c r="E162" i="1"/>
  <c r="L162" i="1"/>
  <c r="M162" i="1"/>
  <c r="N162" i="1"/>
  <c r="E163" i="1"/>
  <c r="L163" i="1"/>
  <c r="M163" i="1"/>
  <c r="N163" i="1"/>
  <c r="E164" i="1"/>
  <c r="L164" i="1"/>
  <c r="M164" i="1"/>
  <c r="N164" i="1"/>
  <c r="E165" i="1"/>
  <c r="L165" i="1"/>
  <c r="M165" i="1"/>
  <c r="N165" i="1"/>
  <c r="E166" i="1"/>
  <c r="L166" i="1"/>
  <c r="M166" i="1"/>
  <c r="N166" i="1"/>
  <c r="E167" i="1"/>
  <c r="L167" i="1"/>
  <c r="M167" i="1"/>
  <c r="N167" i="1"/>
  <c r="E168" i="1"/>
  <c r="L168" i="1"/>
  <c r="M168" i="1"/>
  <c r="N168" i="1"/>
  <c r="E169" i="1"/>
  <c r="L169" i="1"/>
  <c r="M169" i="1"/>
  <c r="N169" i="1"/>
  <c r="E170" i="1"/>
  <c r="L170" i="1"/>
  <c r="M170" i="1"/>
  <c r="N170" i="1"/>
  <c r="E171" i="1"/>
  <c r="L171" i="1"/>
  <c r="M171" i="1"/>
  <c r="N171" i="1"/>
  <c r="E172" i="1"/>
  <c r="L172" i="1"/>
  <c r="M172" i="1"/>
  <c r="N172" i="1"/>
  <c r="E173" i="1"/>
  <c r="L173" i="1"/>
  <c r="M173" i="1"/>
  <c r="N173" i="1"/>
  <c r="E174" i="1"/>
  <c r="L174" i="1"/>
  <c r="M174" i="1"/>
  <c r="N174" i="1"/>
  <c r="E175" i="1"/>
  <c r="L175" i="1"/>
  <c r="M175" i="1"/>
  <c r="N175" i="1"/>
  <c r="E176" i="1"/>
  <c r="L176" i="1"/>
  <c r="M176" i="1"/>
  <c r="N176" i="1"/>
  <c r="E177" i="1"/>
  <c r="L177" i="1"/>
  <c r="M177" i="1"/>
  <c r="N177" i="1"/>
  <c r="E178" i="1"/>
  <c r="L178" i="1"/>
  <c r="M178" i="1"/>
  <c r="N178" i="1"/>
  <c r="E179" i="1"/>
  <c r="L179" i="1"/>
  <c r="M179" i="1"/>
  <c r="N179" i="1"/>
  <c r="E180" i="1"/>
  <c r="L180" i="1"/>
  <c r="M180" i="1"/>
  <c r="N180" i="1"/>
  <c r="E181" i="1"/>
  <c r="L181" i="1"/>
  <c r="M181" i="1"/>
  <c r="N181" i="1"/>
  <c r="E182" i="1"/>
  <c r="L182" i="1"/>
  <c r="M182" i="1"/>
  <c r="N182" i="1"/>
  <c r="E183" i="1"/>
  <c r="L183" i="1"/>
  <c r="M183" i="1"/>
  <c r="N183" i="1"/>
  <c r="E184" i="1"/>
  <c r="L184" i="1"/>
  <c r="M184" i="1"/>
  <c r="N184" i="1"/>
  <c r="E185" i="1"/>
  <c r="L185" i="1"/>
  <c r="M185" i="1"/>
  <c r="N185" i="1" s="1"/>
  <c r="E186" i="1"/>
  <c r="L186" i="1"/>
  <c r="M186" i="1"/>
  <c r="N186" i="1"/>
  <c r="E187" i="1"/>
  <c r="L187" i="1"/>
  <c r="M187" i="1"/>
  <c r="N187" i="1"/>
  <c r="E188" i="1"/>
  <c r="L188" i="1"/>
  <c r="M188" i="1"/>
  <c r="N188" i="1"/>
  <c r="E189" i="1"/>
  <c r="L189" i="1"/>
  <c r="M189" i="1"/>
  <c r="N189" i="1"/>
  <c r="E190" i="1"/>
  <c r="L190" i="1"/>
  <c r="M190" i="1"/>
  <c r="N190" i="1"/>
  <c r="E191" i="1"/>
  <c r="L191" i="1"/>
  <c r="M191" i="1"/>
  <c r="N191" i="1"/>
  <c r="E192" i="1"/>
  <c r="L192" i="1"/>
  <c r="M192" i="1"/>
  <c r="N192" i="1"/>
  <c r="E193" i="1"/>
  <c r="L193" i="1"/>
  <c r="M193" i="1"/>
  <c r="N193" i="1"/>
  <c r="E194" i="1"/>
  <c r="L194" i="1"/>
  <c r="M194" i="1"/>
  <c r="N194" i="1"/>
  <c r="E195" i="1"/>
  <c r="L195" i="1"/>
  <c r="M195" i="1"/>
  <c r="N195" i="1"/>
  <c r="E196" i="1"/>
  <c r="L196" i="1"/>
  <c r="M196" i="1"/>
  <c r="N196" i="1"/>
  <c r="E197" i="1"/>
  <c r="L197" i="1"/>
  <c r="M197" i="1"/>
  <c r="N197" i="1"/>
  <c r="E198" i="1"/>
  <c r="L198" i="1"/>
  <c r="M198" i="1"/>
  <c r="N198" i="1"/>
  <c r="E199" i="1"/>
  <c r="L199" i="1"/>
  <c r="M199" i="1"/>
  <c r="N199" i="1"/>
  <c r="E200" i="1"/>
  <c r="L200" i="1"/>
  <c r="M200" i="1"/>
  <c r="N200" i="1"/>
  <c r="E201" i="1"/>
  <c r="L201" i="1"/>
  <c r="M201" i="1"/>
  <c r="N201" i="1"/>
  <c r="E202" i="1"/>
  <c r="L202" i="1"/>
  <c r="M202" i="1"/>
  <c r="N202" i="1"/>
  <c r="E203" i="1"/>
  <c r="L203" i="1"/>
  <c r="M203" i="1"/>
  <c r="N203" i="1"/>
  <c r="E204" i="1"/>
  <c r="L204" i="1"/>
  <c r="M204" i="1"/>
  <c r="N204" i="1"/>
  <c r="E205" i="1"/>
  <c r="L205" i="1"/>
  <c r="M205" i="1"/>
  <c r="N205" i="1"/>
  <c r="E206" i="1"/>
  <c r="L206" i="1"/>
  <c r="M206" i="1"/>
  <c r="N206" i="1"/>
  <c r="E207" i="1"/>
  <c r="L207" i="1"/>
  <c r="M207" i="1"/>
  <c r="N207" i="1"/>
  <c r="E208" i="1"/>
  <c r="L208" i="1"/>
  <c r="M208" i="1"/>
  <c r="N208" i="1"/>
  <c r="E209" i="1"/>
  <c r="L209" i="1"/>
  <c r="M209" i="1"/>
  <c r="N209" i="1"/>
  <c r="E210" i="1"/>
  <c r="L210" i="1"/>
  <c r="M210" i="1"/>
  <c r="N210" i="1"/>
  <c r="E211" i="1"/>
  <c r="L211" i="1"/>
  <c r="M211" i="1"/>
  <c r="N211" i="1"/>
  <c r="E212" i="1"/>
  <c r="L212" i="1"/>
  <c r="M212" i="1"/>
  <c r="N212" i="1"/>
  <c r="E213" i="1"/>
  <c r="L213" i="1"/>
  <c r="M213" i="1"/>
  <c r="N213" i="1"/>
  <c r="E214" i="1"/>
  <c r="L214" i="1"/>
  <c r="M214" i="1"/>
  <c r="N214" i="1"/>
  <c r="E215" i="1"/>
  <c r="L215" i="1"/>
  <c r="M215" i="1"/>
  <c r="N215" i="1"/>
  <c r="E216" i="1"/>
  <c r="L216" i="1"/>
  <c r="M216" i="1"/>
  <c r="N216" i="1"/>
  <c r="E217" i="1"/>
  <c r="L217" i="1"/>
  <c r="M217" i="1"/>
  <c r="N217" i="1"/>
  <c r="E218" i="1"/>
  <c r="L218" i="1"/>
  <c r="M218" i="1"/>
  <c r="N218" i="1"/>
  <c r="E219" i="1"/>
  <c r="L219" i="1"/>
  <c r="M219" i="1"/>
  <c r="N219" i="1"/>
  <c r="E220" i="1"/>
  <c r="L220" i="1"/>
  <c r="M220" i="1"/>
  <c r="N220" i="1"/>
  <c r="E221" i="1"/>
  <c r="L221" i="1"/>
  <c r="M221" i="1"/>
  <c r="N221" i="1"/>
  <c r="E222" i="1"/>
  <c r="L222" i="1"/>
  <c r="M222" i="1"/>
  <c r="N222" i="1"/>
  <c r="E223" i="1"/>
  <c r="L223" i="1"/>
  <c r="M223" i="1"/>
  <c r="N223" i="1"/>
  <c r="E224" i="1"/>
  <c r="L224" i="1"/>
  <c r="M224" i="1"/>
  <c r="N224" i="1"/>
  <c r="E225" i="1"/>
  <c r="L225" i="1"/>
  <c r="M225" i="1"/>
  <c r="N225" i="1"/>
  <c r="E226" i="1"/>
  <c r="L226" i="1"/>
  <c r="M226" i="1"/>
  <c r="N226" i="1"/>
  <c r="E227" i="1"/>
  <c r="L227" i="1"/>
  <c r="M227" i="1"/>
  <c r="N227" i="1"/>
  <c r="E228" i="1"/>
  <c r="L228" i="1"/>
  <c r="M228" i="1"/>
  <c r="N228" i="1"/>
  <c r="E229" i="1"/>
  <c r="L229" i="1"/>
  <c r="M229" i="1"/>
  <c r="N229" i="1"/>
  <c r="E230" i="1"/>
  <c r="L230" i="1"/>
  <c r="M230" i="1"/>
  <c r="N230" i="1"/>
  <c r="E231" i="1"/>
  <c r="L231" i="1"/>
  <c r="M231" i="1"/>
  <c r="N231" i="1"/>
  <c r="E232" i="1"/>
  <c r="L232" i="1"/>
  <c r="M232" i="1"/>
  <c r="N232" i="1"/>
  <c r="E233" i="1"/>
  <c r="L233" i="1"/>
  <c r="M233" i="1"/>
  <c r="N233" i="1"/>
  <c r="E234" i="1"/>
  <c r="L234" i="1"/>
  <c r="M234" i="1"/>
  <c r="N234" i="1"/>
  <c r="E235" i="1"/>
  <c r="L235" i="1"/>
  <c r="M235" i="1"/>
  <c r="N235" i="1"/>
  <c r="E236" i="1"/>
  <c r="L236" i="1"/>
  <c r="M236" i="1"/>
  <c r="N236" i="1"/>
  <c r="E237" i="1"/>
  <c r="L237" i="1"/>
  <c r="M237" i="1"/>
  <c r="N237" i="1"/>
  <c r="E238" i="1"/>
  <c r="L238" i="1"/>
  <c r="M238" i="1"/>
  <c r="N238" i="1"/>
  <c r="E239" i="1"/>
  <c r="L239" i="1"/>
  <c r="M239" i="1"/>
  <c r="N239" i="1"/>
  <c r="E240" i="1"/>
  <c r="L240" i="1"/>
  <c r="M240" i="1"/>
  <c r="N240" i="1"/>
  <c r="E241" i="1"/>
  <c r="L241" i="1"/>
  <c r="M241" i="1"/>
  <c r="N241" i="1"/>
  <c r="E242" i="1"/>
  <c r="L242" i="1"/>
  <c r="M242" i="1"/>
  <c r="N242" i="1"/>
  <c r="E243" i="1"/>
  <c r="L243" i="1"/>
  <c r="M243" i="1"/>
  <c r="N243" i="1"/>
  <c r="E244" i="1"/>
  <c r="L244" i="1"/>
  <c r="M244" i="1"/>
  <c r="N244" i="1"/>
  <c r="E245" i="1"/>
  <c r="L245" i="1"/>
  <c r="M245" i="1"/>
  <c r="N245" i="1"/>
  <c r="E246" i="1"/>
  <c r="L246" i="1"/>
  <c r="M246" i="1"/>
  <c r="N246" i="1"/>
  <c r="E247" i="1"/>
  <c r="L247" i="1"/>
  <c r="M247" i="1"/>
  <c r="N247" i="1"/>
  <c r="E248" i="1"/>
  <c r="L248" i="1"/>
  <c r="M248" i="1"/>
  <c r="N248" i="1"/>
  <c r="E249" i="1"/>
  <c r="L249" i="1"/>
  <c r="M249" i="1"/>
  <c r="N249" i="1"/>
  <c r="E250" i="1"/>
  <c r="L250" i="1"/>
  <c r="M250" i="1"/>
  <c r="N250" i="1"/>
  <c r="E251" i="1"/>
  <c r="L251" i="1"/>
  <c r="M251" i="1"/>
  <c r="N251" i="1"/>
  <c r="E252" i="1"/>
  <c r="L252" i="1"/>
  <c r="M252" i="1"/>
  <c r="N252" i="1"/>
  <c r="E253" i="1"/>
  <c r="L253" i="1"/>
  <c r="M253" i="1"/>
  <c r="N253" i="1"/>
  <c r="E254" i="1"/>
  <c r="L254" i="1"/>
  <c r="M254" i="1"/>
  <c r="N254" i="1"/>
  <c r="E255" i="1"/>
  <c r="L255" i="1"/>
  <c r="M255" i="1"/>
  <c r="N255" i="1"/>
  <c r="E256" i="1"/>
  <c r="L256" i="1"/>
  <c r="M256" i="1"/>
  <c r="N256" i="1"/>
  <c r="E257" i="1"/>
  <c r="L257" i="1"/>
  <c r="M257" i="1"/>
  <c r="N257" i="1"/>
  <c r="E258" i="1"/>
  <c r="L258" i="1"/>
  <c r="M258" i="1"/>
  <c r="N258" i="1"/>
  <c r="E259" i="1"/>
  <c r="L259" i="1"/>
  <c r="M259" i="1"/>
  <c r="N259" i="1"/>
  <c r="E260" i="1"/>
  <c r="L260" i="1"/>
  <c r="M260" i="1"/>
  <c r="N260" i="1"/>
  <c r="E261" i="1"/>
  <c r="L261" i="1"/>
  <c r="M261" i="1"/>
  <c r="N261" i="1"/>
  <c r="E262" i="1"/>
  <c r="L262" i="1"/>
  <c r="M262" i="1"/>
  <c r="N262" i="1"/>
  <c r="E263" i="1"/>
  <c r="L263" i="1"/>
  <c r="M263" i="1"/>
  <c r="N263" i="1"/>
  <c r="E264" i="1"/>
  <c r="L264" i="1"/>
  <c r="M264" i="1"/>
  <c r="N264" i="1"/>
  <c r="E265" i="1"/>
  <c r="L265" i="1"/>
  <c r="M265" i="1"/>
  <c r="N265" i="1"/>
  <c r="E266" i="1"/>
  <c r="L266" i="1"/>
  <c r="M266" i="1"/>
  <c r="N266" i="1"/>
  <c r="E267" i="1"/>
  <c r="L267" i="1"/>
  <c r="M267" i="1"/>
  <c r="N267" i="1"/>
  <c r="E268" i="1"/>
  <c r="L268" i="1"/>
  <c r="M268" i="1"/>
  <c r="N268" i="1"/>
  <c r="E269" i="1"/>
  <c r="L269" i="1"/>
  <c r="M269" i="1"/>
  <c r="N269" i="1"/>
  <c r="E270" i="1"/>
  <c r="L270" i="1"/>
  <c r="M270" i="1"/>
  <c r="N270" i="1"/>
  <c r="E271" i="1"/>
  <c r="L271" i="1"/>
  <c r="M271" i="1"/>
  <c r="N271" i="1"/>
  <c r="E272" i="1"/>
  <c r="L272" i="1"/>
  <c r="M272" i="1"/>
  <c r="N272" i="1"/>
  <c r="E273" i="1"/>
  <c r="L273" i="1"/>
  <c r="M273" i="1"/>
  <c r="N273" i="1"/>
  <c r="E274" i="1"/>
  <c r="L274" i="1"/>
  <c r="M274" i="1"/>
  <c r="N274" i="1"/>
  <c r="E275" i="1"/>
  <c r="L275" i="1"/>
  <c r="M275" i="1"/>
  <c r="N275" i="1"/>
  <c r="E276" i="1"/>
  <c r="L276" i="1"/>
  <c r="M276" i="1"/>
  <c r="N276" i="1"/>
  <c r="E277" i="1"/>
  <c r="L277" i="1"/>
  <c r="M277" i="1"/>
  <c r="N277" i="1"/>
  <c r="E278" i="1"/>
  <c r="L278" i="1"/>
  <c r="M278" i="1"/>
  <c r="N278" i="1"/>
  <c r="E279" i="1"/>
  <c r="L279" i="1"/>
  <c r="M279" i="1"/>
  <c r="N279" i="1"/>
  <c r="E280" i="1"/>
  <c r="L280" i="1"/>
  <c r="M280" i="1"/>
  <c r="N280" i="1"/>
  <c r="E281" i="1"/>
  <c r="L281" i="1"/>
  <c r="M281" i="1"/>
  <c r="N281" i="1"/>
  <c r="E282" i="1"/>
  <c r="L282" i="1"/>
  <c r="M282" i="1"/>
  <c r="N282" i="1"/>
  <c r="E283" i="1"/>
  <c r="L283" i="1"/>
  <c r="M283" i="1"/>
  <c r="N283" i="1"/>
  <c r="E284" i="1"/>
  <c r="L284" i="1"/>
  <c r="M284" i="1"/>
  <c r="N284" i="1"/>
  <c r="E285" i="1"/>
  <c r="L285" i="1"/>
  <c r="M285" i="1"/>
  <c r="N285" i="1"/>
  <c r="E286" i="1"/>
  <c r="L286" i="1"/>
  <c r="M286" i="1"/>
  <c r="N286" i="1"/>
  <c r="E287" i="1"/>
  <c r="L287" i="1"/>
  <c r="M287" i="1"/>
  <c r="N287" i="1"/>
  <c r="E288" i="1"/>
  <c r="L288" i="1"/>
  <c r="M288" i="1"/>
  <c r="N288" i="1"/>
  <c r="E289" i="1"/>
  <c r="L289" i="1"/>
  <c r="M289" i="1"/>
  <c r="N289" i="1"/>
  <c r="E290" i="1"/>
  <c r="L290" i="1"/>
  <c r="M290" i="1"/>
  <c r="N290" i="1"/>
  <c r="E291" i="1"/>
  <c r="L291" i="1"/>
  <c r="M291" i="1"/>
  <c r="N291" i="1"/>
  <c r="E292" i="1"/>
  <c r="L292" i="1"/>
  <c r="M292" i="1"/>
  <c r="N292" i="1"/>
  <c r="E293" i="1"/>
  <c r="L293" i="1"/>
  <c r="M293" i="1"/>
  <c r="N293" i="1"/>
  <c r="E294" i="1"/>
  <c r="L294" i="1"/>
  <c r="M294" i="1"/>
  <c r="N294" i="1"/>
  <c r="E295" i="1"/>
  <c r="L295" i="1"/>
  <c r="M295" i="1"/>
  <c r="N295" i="1" s="1"/>
  <c r="E296" i="1"/>
  <c r="L296" i="1"/>
  <c r="M296" i="1"/>
  <c r="N296" i="1"/>
  <c r="E297" i="1"/>
  <c r="L297" i="1"/>
  <c r="M297" i="1" s="1"/>
  <c r="N297" i="1" s="1"/>
  <c r="E298" i="1"/>
  <c r="L298" i="1"/>
  <c r="M298" i="1"/>
  <c r="N298" i="1"/>
  <c r="E299" i="1"/>
  <c r="L299" i="1"/>
  <c r="M299" i="1"/>
  <c r="N299" i="1"/>
  <c r="E300" i="1"/>
  <c r="L300" i="1"/>
  <c r="M300" i="1"/>
  <c r="N300" i="1" s="1"/>
  <c r="E301" i="1"/>
  <c r="L301" i="1"/>
  <c r="M301" i="1"/>
  <c r="N301" i="1" s="1"/>
  <c r="E302" i="1"/>
  <c r="L302" i="1"/>
  <c r="M302" i="1"/>
  <c r="N302" i="1" s="1"/>
  <c r="E303" i="1"/>
  <c r="L303" i="1"/>
  <c r="M303" i="1"/>
  <c r="N303" i="1"/>
  <c r="E304" i="1"/>
  <c r="L304" i="1"/>
  <c r="M304" i="1" s="1"/>
  <c r="N304" i="1" s="1"/>
  <c r="E305" i="1"/>
  <c r="L305" i="1"/>
  <c r="M305" i="1"/>
  <c r="N305" i="1"/>
  <c r="E306" i="1"/>
  <c r="L306" i="1"/>
  <c r="M306" i="1"/>
  <c r="N306" i="1"/>
  <c r="E307" i="1"/>
  <c r="L307" i="1"/>
  <c r="M307" i="1"/>
  <c r="N307" i="1"/>
  <c r="E308" i="1"/>
  <c r="L308" i="1"/>
  <c r="M308" i="1" s="1"/>
  <c r="N308" i="1" s="1"/>
  <c r="E309" i="1"/>
  <c r="L309" i="1"/>
  <c r="M309" i="1"/>
  <c r="N309" i="1"/>
  <c r="E310" i="1"/>
  <c r="L310" i="1"/>
  <c r="M310" i="1"/>
  <c r="N310" i="1"/>
  <c r="E311" i="1"/>
  <c r="L311" i="1"/>
  <c r="M311" i="1"/>
  <c r="N311" i="1"/>
  <c r="E312" i="1"/>
  <c r="L312" i="1"/>
  <c r="M312" i="1" s="1"/>
  <c r="N312" i="1" s="1"/>
  <c r="E313" i="1"/>
  <c r="L313" i="1"/>
  <c r="M313" i="1"/>
  <c r="N313" i="1" s="1"/>
  <c r="E314" i="1"/>
  <c r="L314" i="1"/>
  <c r="M314" i="1"/>
  <c r="N314" i="1"/>
  <c r="E315" i="1"/>
  <c r="L315" i="1"/>
  <c r="M315" i="1"/>
  <c r="N315" i="1" s="1"/>
  <c r="E316" i="1"/>
  <c r="L316" i="1"/>
  <c r="M316" i="1"/>
  <c r="N316" i="1"/>
  <c r="E317" i="1"/>
  <c r="L317" i="1"/>
  <c r="M317" i="1" s="1"/>
  <c r="N317" i="1" s="1"/>
  <c r="E318" i="1"/>
  <c r="L318" i="1"/>
  <c r="M318" i="1"/>
  <c r="N318" i="1"/>
  <c r="E319" i="1"/>
  <c r="L319" i="1"/>
  <c r="M319" i="1"/>
  <c r="N319" i="1"/>
  <c r="E320" i="1"/>
  <c r="L320" i="1"/>
  <c r="M320" i="1"/>
  <c r="N320" i="1" s="1"/>
  <c r="E321" i="1"/>
  <c r="L321" i="1"/>
  <c r="M321" i="1"/>
  <c r="N321" i="1" s="1"/>
  <c r="E322" i="1"/>
  <c r="L322" i="1"/>
  <c r="M322" i="1"/>
  <c r="N322" i="1" s="1"/>
  <c r="E323" i="1"/>
  <c r="L323" i="1"/>
  <c r="M323" i="1"/>
  <c r="N323" i="1" s="1"/>
  <c r="E324" i="1"/>
  <c r="L324" i="1"/>
  <c r="M324" i="1"/>
  <c r="N324" i="1" s="1"/>
  <c r="E325" i="1"/>
  <c r="L325" i="1"/>
  <c r="M325" i="1"/>
  <c r="N325" i="1"/>
  <c r="E326" i="1"/>
  <c r="L326" i="1"/>
  <c r="M326" i="1"/>
  <c r="N326" i="1"/>
  <c r="E327" i="1"/>
  <c r="L327" i="1"/>
  <c r="M327" i="1" s="1"/>
  <c r="N327" i="1" s="1"/>
  <c r="E328" i="1"/>
  <c r="L328" i="1"/>
  <c r="M328" i="1"/>
  <c r="N328" i="1"/>
  <c r="E329" i="1"/>
  <c r="L329" i="1"/>
  <c r="M329" i="1" s="1"/>
  <c r="N329" i="1" s="1"/>
  <c r="E330" i="1"/>
  <c r="L330" i="1"/>
  <c r="M330" i="1"/>
  <c r="N330" i="1"/>
  <c r="E331" i="1"/>
  <c r="L331" i="1"/>
  <c r="M331" i="1"/>
  <c r="N331" i="1"/>
  <c r="E332" i="1"/>
  <c r="L332" i="1"/>
  <c r="M332" i="1"/>
  <c r="N332" i="1"/>
  <c r="E333" i="1"/>
  <c r="L333" i="1"/>
  <c r="M333" i="1" s="1"/>
  <c r="N333" i="1" s="1"/>
  <c r="E334" i="1"/>
  <c r="L334" i="1"/>
  <c r="M334" i="1"/>
  <c r="N334" i="1"/>
  <c r="E335" i="1"/>
  <c r="L335" i="1"/>
  <c r="M335" i="1"/>
  <c r="N335" i="1"/>
  <c r="E336" i="1"/>
  <c r="L336" i="1"/>
  <c r="M336" i="1"/>
  <c r="N336" i="1"/>
  <c r="E337" i="1"/>
  <c r="L337" i="1"/>
  <c r="M337" i="1"/>
  <c r="N337" i="1" s="1"/>
  <c r="E338" i="1"/>
  <c r="L338" i="1"/>
  <c r="M338" i="1"/>
  <c r="N338" i="1"/>
  <c r="E339" i="1"/>
  <c r="L339" i="1"/>
  <c r="M339" i="1"/>
  <c r="N339" i="1" s="1"/>
  <c r="E340" i="1"/>
  <c r="L340" i="1"/>
  <c r="M340" i="1"/>
  <c r="N340" i="1"/>
  <c r="E341" i="1"/>
  <c r="L341" i="1"/>
  <c r="M341" i="1" s="1"/>
  <c r="N341" i="1" s="1"/>
  <c r="E342" i="1"/>
  <c r="L342" i="1"/>
  <c r="M342" i="1"/>
  <c r="N342" i="1"/>
  <c r="E343" i="1"/>
  <c r="L343" i="1"/>
  <c r="M343" i="1"/>
  <c r="N343" i="1"/>
  <c r="E344" i="1"/>
  <c r="L344" i="1"/>
  <c r="M344" i="1"/>
  <c r="N344" i="1" s="1"/>
  <c r="E345" i="1"/>
  <c r="L345" i="1"/>
  <c r="M345" i="1"/>
  <c r="N345" i="1"/>
  <c r="E346" i="1"/>
  <c r="L346" i="1"/>
  <c r="M346" i="1"/>
  <c r="N346" i="1"/>
  <c r="E347" i="1"/>
  <c r="L347" i="1"/>
  <c r="M347" i="1" s="1"/>
  <c r="N347" i="1" s="1"/>
  <c r="E348" i="1"/>
  <c r="L348" i="1"/>
  <c r="M348" i="1"/>
  <c r="N348" i="1"/>
  <c r="E349" i="1"/>
  <c r="L349" i="1"/>
  <c r="M349" i="1"/>
  <c r="N349" i="1" s="1"/>
  <c r="E350" i="1"/>
  <c r="L350" i="1"/>
  <c r="M350" i="1" s="1"/>
  <c r="N350" i="1" s="1"/>
  <c r="E351" i="1"/>
  <c r="L351" i="1"/>
  <c r="M351" i="1"/>
  <c r="N351" i="1"/>
  <c r="E352" i="1"/>
  <c r="L352" i="1"/>
  <c r="M352" i="1"/>
  <c r="N352" i="1"/>
  <c r="E353" i="1"/>
  <c r="L353" i="1"/>
  <c r="M353" i="1" s="1"/>
  <c r="N353" i="1" s="1"/>
  <c r="E354" i="1"/>
  <c r="L354" i="1"/>
  <c r="M354" i="1"/>
  <c r="N354" i="1" s="1"/>
  <c r="E355" i="1"/>
  <c r="L355" i="1"/>
  <c r="M355" i="1"/>
  <c r="N355" i="1" s="1"/>
  <c r="E356" i="1"/>
  <c r="L356" i="1"/>
  <c r="M356" i="1"/>
  <c r="N356" i="1" s="1"/>
  <c r="E357" i="1"/>
  <c r="L357" i="1"/>
  <c r="M357" i="1"/>
  <c r="N357" i="1" s="1"/>
  <c r="E358" i="1"/>
  <c r="L358" i="1"/>
  <c r="M358" i="1"/>
  <c r="N358" i="1"/>
  <c r="E359" i="1"/>
  <c r="L359" i="1"/>
  <c r="M359" i="1" s="1"/>
  <c r="N359" i="1" s="1"/>
  <c r="E360" i="1"/>
  <c r="L360" i="1"/>
  <c r="M360" i="1"/>
  <c r="N360" i="1"/>
  <c r="E361" i="1"/>
  <c r="L361" i="1"/>
  <c r="M361" i="1" s="1"/>
  <c r="N361" i="1" s="1"/>
  <c r="E362" i="1"/>
  <c r="L362" i="1"/>
  <c r="M362" i="1"/>
  <c r="N362" i="1"/>
  <c r="E363" i="1"/>
  <c r="L363" i="1"/>
  <c r="M363" i="1"/>
  <c r="N363" i="1"/>
  <c r="E364" i="1"/>
  <c r="L364" i="1"/>
  <c r="M364" i="1" s="1"/>
  <c r="N364" i="1" s="1"/>
  <c r="E365" i="1"/>
  <c r="L365" i="1"/>
  <c r="M365" i="1"/>
  <c r="N365" i="1"/>
  <c r="E366" i="1"/>
  <c r="L366" i="1"/>
  <c r="M366" i="1"/>
  <c r="N366" i="1"/>
  <c r="E367" i="1"/>
  <c r="L367" i="1"/>
  <c r="M367" i="1"/>
  <c r="N367" i="1"/>
  <c r="E368" i="1"/>
  <c r="L368" i="1"/>
  <c r="M368" i="1"/>
  <c r="N368" i="1" s="1"/>
  <c r="E369" i="1"/>
  <c r="L369" i="1"/>
  <c r="M369" i="1"/>
  <c r="N369" i="1"/>
  <c r="E370" i="1"/>
  <c r="L370" i="1"/>
  <c r="M370" i="1"/>
  <c r="N370" i="1"/>
  <c r="E371" i="1"/>
  <c r="L371" i="1"/>
  <c r="M371" i="1"/>
  <c r="N371" i="1"/>
  <c r="E372" i="1"/>
  <c r="L372" i="1"/>
  <c r="M372" i="1"/>
  <c r="N372" i="1"/>
  <c r="E373" i="1"/>
  <c r="L373" i="1"/>
  <c r="M373" i="1"/>
  <c r="N373" i="1"/>
  <c r="E374" i="1"/>
  <c r="L374" i="1"/>
  <c r="M374" i="1"/>
  <c r="N374" i="1"/>
  <c r="E375" i="1"/>
  <c r="L375" i="1"/>
  <c r="M375" i="1"/>
  <c r="N375" i="1"/>
  <c r="E376" i="1"/>
  <c r="L376" i="1"/>
  <c r="M376" i="1"/>
  <c r="N376" i="1"/>
  <c r="E377" i="1"/>
  <c r="L377" i="1"/>
  <c r="M377" i="1"/>
  <c r="N377" i="1"/>
  <c r="E378" i="1"/>
  <c r="L378" i="1"/>
  <c r="M378" i="1"/>
  <c r="N378" i="1"/>
  <c r="E379" i="1"/>
  <c r="L379" i="1"/>
  <c r="M379" i="1"/>
  <c r="N379" i="1"/>
  <c r="E380" i="1"/>
  <c r="L380" i="1"/>
  <c r="M380" i="1"/>
  <c r="N380" i="1"/>
  <c r="E381" i="1"/>
  <c r="L381" i="1"/>
  <c r="M381" i="1"/>
  <c r="N381" i="1"/>
  <c r="E382" i="1"/>
  <c r="L382" i="1"/>
  <c r="M382" i="1"/>
  <c r="N382" i="1"/>
  <c r="E383" i="1"/>
  <c r="L383" i="1"/>
  <c r="M383" i="1"/>
  <c r="N383" i="1"/>
  <c r="E384" i="1"/>
  <c r="L384" i="1"/>
  <c r="M384" i="1"/>
  <c r="N384" i="1"/>
  <c r="E385" i="1"/>
  <c r="L385" i="1"/>
  <c r="M385" i="1"/>
  <c r="N385" i="1"/>
  <c r="E386" i="1"/>
  <c r="L386" i="1"/>
  <c r="M386" i="1"/>
  <c r="N386" i="1"/>
  <c r="E387" i="1"/>
  <c r="L387" i="1"/>
  <c r="M387" i="1"/>
  <c r="N387" i="1"/>
  <c r="E388" i="1"/>
  <c r="L388" i="1"/>
  <c r="M388" i="1"/>
  <c r="N388" i="1"/>
  <c r="E389" i="1"/>
  <c r="L389" i="1"/>
  <c r="M389" i="1"/>
  <c r="N389" i="1"/>
  <c r="E390" i="1"/>
  <c r="L390" i="1"/>
  <c r="M390" i="1"/>
  <c r="N390" i="1"/>
  <c r="E391" i="1"/>
  <c r="L391" i="1"/>
  <c r="M391" i="1"/>
  <c r="N391" i="1"/>
  <c r="E392" i="1"/>
  <c r="L392" i="1"/>
  <c r="M392" i="1"/>
  <c r="N392" i="1"/>
  <c r="E393" i="1"/>
  <c r="L393" i="1"/>
  <c r="M393" i="1"/>
  <c r="N393" i="1"/>
  <c r="E394" i="1"/>
  <c r="L394" i="1"/>
  <c r="M394" i="1"/>
  <c r="N394" i="1"/>
  <c r="E395" i="1"/>
  <c r="L395" i="1"/>
  <c r="M395" i="1"/>
  <c r="N395" i="1"/>
  <c r="E396" i="1"/>
  <c r="L396" i="1"/>
  <c r="M396" i="1"/>
  <c r="N396" i="1"/>
  <c r="E397" i="1"/>
  <c r="L397" i="1"/>
  <c r="M397" i="1"/>
  <c r="N397" i="1"/>
  <c r="E398" i="1"/>
  <c r="L398" i="1"/>
  <c r="M398" i="1"/>
  <c r="N398" i="1"/>
  <c r="E399" i="1"/>
  <c r="L399" i="1"/>
  <c r="M399" i="1"/>
  <c r="N399" i="1"/>
  <c r="E400" i="1"/>
  <c r="L400" i="1"/>
  <c r="M400" i="1"/>
  <c r="N400" i="1"/>
  <c r="E401" i="1"/>
  <c r="L401" i="1"/>
  <c r="M401" i="1"/>
  <c r="N401" i="1"/>
  <c r="E402" i="1"/>
  <c r="L402" i="1"/>
  <c r="M402" i="1"/>
  <c r="N402" i="1"/>
  <c r="E403" i="1"/>
  <c r="L403" i="1"/>
  <c r="M403" i="1"/>
  <c r="N403" i="1"/>
  <c r="E404" i="1"/>
  <c r="L404" i="1"/>
  <c r="M404" i="1"/>
  <c r="N404" i="1"/>
  <c r="E405" i="1"/>
  <c r="L405" i="1"/>
  <c r="M405" i="1"/>
  <c r="N405" i="1"/>
  <c r="E406" i="1"/>
  <c r="L406" i="1"/>
  <c r="M406" i="1"/>
  <c r="N406" i="1"/>
  <c r="E407" i="1"/>
  <c r="L407" i="1"/>
  <c r="M407" i="1"/>
  <c r="N407" i="1"/>
  <c r="E408" i="1"/>
  <c r="L408" i="1"/>
  <c r="M408" i="1"/>
  <c r="N408" i="1"/>
  <c r="E409" i="1"/>
  <c r="L409" i="1"/>
  <c r="M409" i="1"/>
  <c r="N409" i="1"/>
  <c r="E410" i="1"/>
  <c r="L410" i="1"/>
  <c r="M410" i="1"/>
  <c r="N410" i="1"/>
  <c r="E411" i="1"/>
  <c r="L411" i="1"/>
  <c r="M411" i="1"/>
  <c r="N411" i="1"/>
  <c r="E412" i="1"/>
  <c r="L412" i="1"/>
  <c r="M412" i="1"/>
  <c r="N412" i="1"/>
  <c r="E413" i="1"/>
  <c r="L413" i="1"/>
  <c r="M413" i="1"/>
  <c r="N413" i="1"/>
  <c r="E414" i="1"/>
  <c r="L414" i="1"/>
  <c r="M414" i="1"/>
  <c r="N414" i="1"/>
  <c r="E415" i="1"/>
  <c r="L415" i="1"/>
  <c r="M415" i="1"/>
  <c r="N415" i="1"/>
  <c r="E416" i="1"/>
  <c r="L416" i="1"/>
  <c r="M416" i="1"/>
  <c r="N416" i="1"/>
  <c r="E417" i="1"/>
  <c r="L417" i="1"/>
  <c r="M417" i="1"/>
  <c r="N417" i="1"/>
  <c r="E418" i="1"/>
  <c r="L418" i="1"/>
  <c r="M418" i="1"/>
  <c r="N418" i="1"/>
  <c r="E419" i="1"/>
  <c r="L419" i="1"/>
  <c r="M419" i="1"/>
  <c r="N419" i="1"/>
  <c r="E420" i="1"/>
  <c r="L420" i="1"/>
  <c r="M420" i="1"/>
  <c r="N420" i="1"/>
  <c r="E421" i="1"/>
  <c r="L421" i="1"/>
  <c r="M421" i="1"/>
  <c r="N421" i="1"/>
  <c r="E422" i="1"/>
  <c r="L422" i="1"/>
  <c r="M422" i="1"/>
  <c r="N422" i="1"/>
  <c r="E423" i="1"/>
  <c r="L423" i="1"/>
  <c r="M423" i="1"/>
  <c r="N423" i="1"/>
  <c r="E424" i="1"/>
  <c r="L424" i="1"/>
  <c r="M424" i="1"/>
  <c r="N424" i="1"/>
  <c r="E425" i="1"/>
  <c r="L425" i="1"/>
  <c r="M425" i="1"/>
  <c r="N425" i="1"/>
  <c r="E426" i="1"/>
  <c r="L426" i="1"/>
  <c r="M426" i="1"/>
  <c r="N426" i="1"/>
  <c r="E427" i="1"/>
  <c r="L427" i="1"/>
  <c r="M427" i="1"/>
  <c r="N427" i="1"/>
  <c r="E428" i="1"/>
  <c r="L428" i="1"/>
  <c r="M428" i="1"/>
  <c r="N428" i="1"/>
  <c r="E429" i="1"/>
  <c r="L429" i="1"/>
  <c r="M429" i="1"/>
  <c r="N429" i="1"/>
  <c r="E430" i="1"/>
  <c r="L430" i="1"/>
  <c r="M430" i="1"/>
  <c r="N430" i="1"/>
  <c r="E431" i="1"/>
  <c r="L431" i="1"/>
  <c r="M431" i="1"/>
  <c r="N431" i="1"/>
  <c r="E432" i="1"/>
  <c r="L432" i="1"/>
  <c r="M432" i="1"/>
  <c r="N432" i="1"/>
  <c r="E433" i="1"/>
  <c r="L433" i="1"/>
  <c r="M433" i="1"/>
  <c r="N433" i="1"/>
  <c r="E434" i="1"/>
  <c r="L434" i="1"/>
  <c r="M434" i="1"/>
  <c r="N434" i="1"/>
  <c r="E435" i="1"/>
  <c r="L435" i="1"/>
  <c r="M435" i="1"/>
  <c r="N435" i="1"/>
  <c r="E436" i="1"/>
  <c r="L436" i="1"/>
  <c r="M436" i="1"/>
  <c r="N436" i="1"/>
  <c r="E437" i="1"/>
  <c r="L437" i="1"/>
  <c r="M437" i="1"/>
  <c r="N437" i="1"/>
  <c r="E438" i="1"/>
  <c r="L438" i="1"/>
  <c r="M438" i="1"/>
  <c r="N438" i="1"/>
  <c r="E439" i="1"/>
  <c r="L439" i="1"/>
  <c r="M439" i="1"/>
  <c r="N439" i="1"/>
  <c r="E440" i="1"/>
  <c r="L440" i="1"/>
  <c r="M440" i="1"/>
  <c r="N440" i="1"/>
  <c r="E441" i="1"/>
  <c r="L441" i="1"/>
  <c r="M441" i="1"/>
  <c r="N441" i="1"/>
  <c r="E442" i="1"/>
  <c r="L442" i="1"/>
  <c r="M442" i="1"/>
  <c r="N442" i="1"/>
  <c r="E443" i="1"/>
  <c r="L443" i="1"/>
  <c r="M443" i="1"/>
  <c r="N443" i="1"/>
  <c r="E444" i="1"/>
  <c r="L444" i="1"/>
  <c r="M444" i="1"/>
  <c r="N444" i="1"/>
  <c r="E445" i="1"/>
  <c r="L445" i="1"/>
  <c r="M445" i="1"/>
  <c r="N445" i="1"/>
  <c r="E446" i="1"/>
  <c r="L446" i="1"/>
  <c r="M446" i="1"/>
  <c r="N446" i="1"/>
  <c r="E447" i="1"/>
  <c r="L447" i="1"/>
  <c r="M447" i="1"/>
  <c r="N447" i="1"/>
  <c r="E448" i="1"/>
  <c r="L448" i="1"/>
  <c r="M448" i="1"/>
  <c r="N448" i="1"/>
  <c r="E449" i="1"/>
  <c r="L449" i="1"/>
  <c r="M449" i="1"/>
  <c r="N449" i="1"/>
  <c r="E450" i="1"/>
  <c r="L450" i="1"/>
  <c r="M450" i="1"/>
  <c r="N450" i="1"/>
  <c r="E451" i="1"/>
  <c r="L451" i="1"/>
  <c r="M451" i="1"/>
  <c r="N451" i="1"/>
  <c r="E452" i="1"/>
  <c r="L452" i="1"/>
  <c r="M452" i="1"/>
  <c r="N452" i="1"/>
  <c r="E453" i="1"/>
  <c r="L453" i="1"/>
  <c r="M453" i="1"/>
  <c r="N453" i="1"/>
  <c r="E454" i="1"/>
  <c r="L454" i="1"/>
  <c r="M454" i="1"/>
  <c r="N454" i="1"/>
  <c r="E455" i="1"/>
  <c r="L455" i="1"/>
  <c r="M455" i="1"/>
  <c r="N455" i="1"/>
  <c r="E456" i="1"/>
  <c r="L456" i="1"/>
  <c r="M456" i="1"/>
  <c r="N456" i="1"/>
  <c r="E457" i="1"/>
  <c r="L457" i="1"/>
  <c r="M457" i="1"/>
  <c r="N457" i="1"/>
  <c r="E458" i="1"/>
  <c r="L458" i="1"/>
  <c r="M458" i="1"/>
  <c r="N458" i="1"/>
  <c r="E459" i="1"/>
  <c r="L459" i="1"/>
  <c r="M459" i="1"/>
  <c r="N459" i="1"/>
  <c r="E460" i="1"/>
  <c r="L460" i="1"/>
  <c r="M460" i="1"/>
  <c r="N460" i="1"/>
  <c r="E461" i="1"/>
  <c r="L461" i="1"/>
  <c r="M461" i="1"/>
  <c r="N461" i="1"/>
  <c r="E462" i="1"/>
  <c r="L462" i="1"/>
  <c r="M462" i="1"/>
  <c r="N462" i="1"/>
  <c r="E463" i="1"/>
  <c r="L463" i="1"/>
  <c r="M463" i="1"/>
  <c r="N463" i="1"/>
  <c r="E464" i="1"/>
  <c r="L464" i="1"/>
  <c r="M464" i="1"/>
  <c r="N464" i="1"/>
  <c r="E465" i="1"/>
  <c r="L465" i="1"/>
  <c r="M465" i="1"/>
  <c r="N465" i="1"/>
  <c r="E466" i="1"/>
  <c r="L466" i="1"/>
  <c r="M466" i="1"/>
  <c r="N466" i="1"/>
  <c r="E467" i="1"/>
  <c r="L467" i="1"/>
  <c r="M467" i="1"/>
  <c r="N467" i="1"/>
  <c r="E468" i="1"/>
  <c r="L468" i="1"/>
  <c r="M468" i="1"/>
  <c r="N468" i="1"/>
  <c r="E469" i="1"/>
  <c r="L469" i="1"/>
  <c r="M469" i="1"/>
  <c r="N469" i="1"/>
  <c r="E470" i="1"/>
  <c r="L470" i="1"/>
  <c r="M470" i="1"/>
  <c r="N470" i="1"/>
  <c r="E471" i="1"/>
  <c r="L471" i="1"/>
  <c r="M471" i="1"/>
  <c r="N471" i="1"/>
  <c r="E472" i="1"/>
  <c r="L472" i="1"/>
  <c r="M472" i="1"/>
  <c r="N472" i="1"/>
  <c r="E473" i="1"/>
  <c r="L473" i="1"/>
  <c r="M473" i="1"/>
  <c r="N473" i="1"/>
  <c r="E474" i="1"/>
  <c r="L474" i="1"/>
  <c r="M474" i="1"/>
  <c r="N474" i="1"/>
  <c r="E475" i="1"/>
  <c r="L475" i="1"/>
  <c r="M475" i="1"/>
  <c r="N475" i="1"/>
  <c r="E476" i="1"/>
  <c r="L476" i="1"/>
  <c r="M476" i="1"/>
  <c r="N476" i="1"/>
  <c r="E477" i="1"/>
  <c r="L477" i="1"/>
  <c r="M477" i="1"/>
  <c r="N477" i="1"/>
  <c r="E478" i="1"/>
  <c r="L478" i="1"/>
  <c r="M478" i="1"/>
  <c r="N478" i="1"/>
  <c r="E479" i="1"/>
  <c r="L479" i="1"/>
  <c r="M479" i="1"/>
  <c r="N479" i="1"/>
  <c r="E480" i="1"/>
  <c r="L480" i="1"/>
  <c r="M480" i="1"/>
  <c r="N480" i="1"/>
  <c r="E481" i="1"/>
  <c r="L481" i="1"/>
  <c r="M481" i="1"/>
  <c r="N481" i="1"/>
  <c r="E482" i="1"/>
  <c r="L482" i="1"/>
  <c r="M482" i="1"/>
  <c r="N482" i="1"/>
  <c r="E483" i="1"/>
  <c r="L483" i="1"/>
  <c r="M483" i="1"/>
  <c r="N483" i="1"/>
  <c r="E484" i="1"/>
  <c r="L484" i="1"/>
  <c r="M484" i="1"/>
  <c r="N484" i="1"/>
  <c r="E485" i="1"/>
  <c r="L485" i="1"/>
  <c r="M485" i="1"/>
  <c r="N485" i="1"/>
  <c r="E486" i="1"/>
  <c r="L486" i="1"/>
  <c r="M486" i="1" s="1"/>
  <c r="N486" i="1" s="1"/>
  <c r="E487" i="1"/>
  <c r="L487" i="1"/>
  <c r="M487" i="1"/>
  <c r="N487" i="1" s="1"/>
  <c r="E488" i="1"/>
  <c r="L488" i="1"/>
  <c r="M488" i="1"/>
  <c r="N488" i="1"/>
  <c r="E489" i="1"/>
  <c r="L489" i="1"/>
  <c r="M489" i="1"/>
  <c r="N489" i="1" s="1"/>
  <c r="E490" i="1"/>
  <c r="L490" i="1"/>
  <c r="M490" i="1"/>
  <c r="N490" i="1" s="1"/>
  <c r="E491" i="1"/>
  <c r="L491" i="1"/>
  <c r="M491" i="1"/>
  <c r="N491" i="1" s="1"/>
  <c r="E492" i="1"/>
  <c r="L492" i="1"/>
  <c r="M492" i="1"/>
  <c r="N492" i="1" s="1"/>
  <c r="E493" i="1"/>
  <c r="L493" i="1"/>
  <c r="M493" i="1"/>
  <c r="N493" i="1" s="1"/>
  <c r="E494" i="1"/>
  <c r="L494" i="1"/>
  <c r="M494" i="1"/>
  <c r="N494" i="1"/>
  <c r="E495" i="1"/>
  <c r="L495" i="1"/>
  <c r="M495" i="1"/>
  <c r="N495" i="1" s="1"/>
  <c r="E496" i="1"/>
  <c r="L496" i="1"/>
  <c r="M496" i="1"/>
  <c r="N496" i="1" s="1"/>
  <c r="E497" i="1"/>
  <c r="L497" i="1"/>
  <c r="M497" i="1"/>
  <c r="N497" i="1"/>
  <c r="E498" i="1"/>
  <c r="L498" i="1"/>
  <c r="M498" i="1" s="1"/>
  <c r="N498" i="1" s="1"/>
  <c r="E499" i="1"/>
  <c r="L499" i="1"/>
  <c r="M499" i="1"/>
  <c r="N499" i="1"/>
  <c r="E500" i="1"/>
  <c r="L500" i="1"/>
  <c r="M500" i="1" s="1"/>
  <c r="N500" i="1" s="1"/>
  <c r="E501" i="1"/>
  <c r="L501" i="1"/>
  <c r="M501" i="1"/>
  <c r="N501" i="1" s="1"/>
  <c r="E502" i="1"/>
  <c r="L502" i="1"/>
  <c r="M502" i="1"/>
  <c r="N502" i="1" s="1"/>
  <c r="E503" i="1"/>
  <c r="L503" i="1"/>
  <c r="M503" i="1"/>
  <c r="N503" i="1"/>
  <c r="E504" i="1"/>
  <c r="L504" i="1"/>
  <c r="M504" i="1"/>
  <c r="N504" i="1" s="1"/>
  <c r="E505" i="1"/>
  <c r="L505" i="1"/>
  <c r="M505" i="1"/>
  <c r="N505" i="1"/>
  <c r="E506" i="1"/>
  <c r="L506" i="1"/>
  <c r="M506" i="1"/>
  <c r="N506" i="1" s="1"/>
  <c r="E507" i="1"/>
  <c r="L507" i="1"/>
  <c r="M507" i="1"/>
  <c r="N507" i="1" s="1"/>
  <c r="E508" i="1"/>
  <c r="L508" i="1"/>
  <c r="M508" i="1"/>
  <c r="N508" i="1" s="1"/>
  <c r="E509" i="1"/>
  <c r="L509" i="1"/>
  <c r="M509" i="1"/>
  <c r="N509" i="1"/>
  <c r="E510" i="1"/>
  <c r="L510" i="1"/>
  <c r="M510" i="1"/>
  <c r="N510" i="1" s="1"/>
  <c r="E511" i="1"/>
  <c r="L511" i="1"/>
  <c r="M511" i="1"/>
  <c r="N511" i="1"/>
  <c r="E512" i="1"/>
  <c r="L512" i="1"/>
  <c r="M512" i="1"/>
  <c r="N512" i="1" s="1"/>
  <c r="E513" i="1"/>
  <c r="L513" i="1"/>
  <c r="M513" i="1"/>
  <c r="N513" i="1" s="1"/>
  <c r="E514" i="1"/>
  <c r="L514" i="1"/>
  <c r="M514" i="1"/>
  <c r="N514" i="1"/>
  <c r="E515" i="1"/>
  <c r="L515" i="1"/>
  <c r="M515" i="1"/>
  <c r="N515" i="1" s="1"/>
  <c r="E516" i="1"/>
  <c r="L516" i="1"/>
  <c r="M516" i="1"/>
  <c r="N516" i="1" s="1"/>
  <c r="E517" i="1"/>
  <c r="L517" i="1"/>
  <c r="M517" i="1"/>
  <c r="N517" i="1" s="1"/>
  <c r="E518" i="1"/>
  <c r="L518" i="1"/>
  <c r="M518" i="1"/>
  <c r="N518" i="1" s="1"/>
  <c r="E519" i="1"/>
  <c r="L519" i="1"/>
  <c r="M519" i="1"/>
  <c r="N519" i="1" s="1"/>
  <c r="E520" i="1"/>
  <c r="L520" i="1"/>
  <c r="M520" i="1"/>
  <c r="N520" i="1"/>
  <c r="E521" i="1"/>
  <c r="L521" i="1"/>
  <c r="M521" i="1"/>
  <c r="N521" i="1"/>
  <c r="E522" i="1"/>
  <c r="L522" i="1"/>
  <c r="M522" i="1" s="1"/>
  <c r="N522" i="1" s="1"/>
  <c r="E523" i="1"/>
  <c r="L523" i="1"/>
  <c r="M523" i="1"/>
  <c r="N523" i="1" s="1"/>
  <c r="E524" i="1"/>
  <c r="L524" i="1"/>
  <c r="M524" i="1"/>
  <c r="N524" i="1" s="1"/>
  <c r="E525" i="1"/>
  <c r="L525" i="1"/>
  <c r="M525" i="1"/>
  <c r="N525" i="1"/>
  <c r="E526" i="1"/>
  <c r="L526" i="1"/>
  <c r="M526" i="1"/>
  <c r="N526" i="1" s="1"/>
  <c r="E527" i="1"/>
  <c r="L527" i="1"/>
  <c r="M527" i="1"/>
  <c r="N527" i="1" s="1"/>
  <c r="E528" i="1"/>
  <c r="L528" i="1"/>
  <c r="M528" i="1"/>
  <c r="N528" i="1" s="1"/>
  <c r="E529" i="1"/>
  <c r="L529" i="1"/>
  <c r="M529" i="1"/>
  <c r="N529" i="1" s="1"/>
  <c r="E530" i="1"/>
  <c r="L530" i="1"/>
  <c r="M530" i="1"/>
  <c r="N530" i="1" s="1"/>
  <c r="E531" i="1"/>
  <c r="L531" i="1"/>
  <c r="M531" i="1"/>
  <c r="N531" i="1" s="1"/>
  <c r="E532" i="1"/>
  <c r="L532" i="1"/>
  <c r="M532" i="1" s="1"/>
  <c r="N532" i="1" s="1"/>
  <c r="E533" i="1"/>
  <c r="L533" i="1"/>
  <c r="M533" i="1"/>
  <c r="N533" i="1"/>
  <c r="E534" i="1"/>
  <c r="L534" i="1"/>
  <c r="M534" i="1"/>
  <c r="N534" i="1"/>
  <c r="E535" i="1"/>
  <c r="L535" i="1"/>
  <c r="M535" i="1"/>
  <c r="N535" i="1" s="1"/>
  <c r="E536" i="1"/>
  <c r="L536" i="1"/>
  <c r="M536" i="1"/>
  <c r="N536" i="1"/>
  <c r="E537" i="1"/>
  <c r="L537" i="1"/>
  <c r="M537" i="1"/>
  <c r="N537" i="1" s="1"/>
  <c r="E538" i="1"/>
  <c r="L538" i="1"/>
  <c r="M538" i="1"/>
  <c r="N538" i="1" s="1"/>
  <c r="E539" i="1"/>
  <c r="L539" i="1"/>
  <c r="M539" i="1"/>
  <c r="N539" i="1" s="1"/>
  <c r="E540" i="1"/>
  <c r="L540" i="1"/>
  <c r="M540" i="1"/>
  <c r="N540" i="1" s="1"/>
  <c r="E541" i="1"/>
  <c r="L541" i="1"/>
  <c r="M541" i="1"/>
  <c r="N541" i="1" s="1"/>
  <c r="E542" i="1"/>
  <c r="L542" i="1"/>
  <c r="M542" i="1" s="1"/>
  <c r="N542" i="1" s="1"/>
  <c r="E543" i="1"/>
  <c r="L543" i="1"/>
  <c r="M543" i="1"/>
  <c r="N543" i="1" s="1"/>
  <c r="E544" i="1"/>
  <c r="L544" i="1"/>
  <c r="M544" i="1"/>
  <c r="N544" i="1" s="1"/>
  <c r="E545" i="1"/>
  <c r="L545" i="1"/>
  <c r="M545" i="1"/>
  <c r="N545" i="1" s="1"/>
  <c r="E546" i="1"/>
  <c r="L546" i="1"/>
  <c r="M546" i="1"/>
  <c r="N546" i="1" s="1"/>
  <c r="E547" i="1"/>
  <c r="L547" i="1"/>
  <c r="M547" i="1"/>
  <c r="N547" i="1" s="1"/>
  <c r="E548" i="1"/>
  <c r="L548" i="1"/>
  <c r="M548" i="1"/>
  <c r="N548" i="1" s="1"/>
  <c r="E549" i="1"/>
  <c r="L549" i="1"/>
  <c r="M549" i="1"/>
  <c r="N549" i="1"/>
  <c r="E550" i="1"/>
  <c r="L550" i="1"/>
  <c r="M550" i="1"/>
  <c r="N550" i="1" s="1"/>
  <c r="E551" i="1"/>
  <c r="L551" i="1"/>
  <c r="M551" i="1"/>
  <c r="N551" i="1" s="1"/>
  <c r="E552" i="1"/>
  <c r="L552" i="1"/>
  <c r="M552" i="1"/>
  <c r="N552" i="1"/>
  <c r="E553" i="1"/>
  <c r="L553" i="1"/>
  <c r="M553" i="1"/>
  <c r="N553" i="1"/>
  <c r="E554" i="1"/>
  <c r="L554" i="1"/>
  <c r="M554" i="1"/>
  <c r="N554" i="1"/>
  <c r="E555" i="1"/>
  <c r="L555" i="1"/>
  <c r="M555" i="1"/>
  <c r="N555" i="1"/>
  <c r="E556" i="1"/>
  <c r="L556" i="1"/>
  <c r="M556" i="1"/>
  <c r="N556" i="1"/>
  <c r="E557" i="1"/>
  <c r="L557" i="1"/>
  <c r="M557" i="1"/>
  <c r="N557" i="1"/>
  <c r="E558" i="1"/>
  <c r="L558" i="1"/>
  <c r="M558" i="1"/>
  <c r="N558" i="1"/>
  <c r="E559" i="1"/>
  <c r="L559" i="1"/>
  <c r="M559" i="1"/>
  <c r="N559" i="1"/>
  <c r="E560" i="1"/>
  <c r="L560" i="1"/>
  <c r="M560" i="1"/>
  <c r="N560" i="1"/>
  <c r="E561" i="1"/>
  <c r="L561" i="1"/>
  <c r="M561" i="1"/>
  <c r="N561" i="1"/>
  <c r="E562" i="1"/>
  <c r="L562" i="1"/>
  <c r="M562" i="1"/>
  <c r="N562" i="1"/>
  <c r="E563" i="1"/>
  <c r="L563" i="1"/>
  <c r="M563" i="1"/>
  <c r="N563" i="1"/>
  <c r="E564" i="1"/>
  <c r="L564" i="1"/>
  <c r="M564" i="1"/>
  <c r="N564" i="1"/>
  <c r="E565" i="1"/>
  <c r="L565" i="1"/>
  <c r="M565" i="1"/>
  <c r="N565" i="1"/>
  <c r="E566" i="1"/>
  <c r="L566" i="1"/>
  <c r="M566" i="1"/>
  <c r="N566" i="1"/>
  <c r="E567" i="1"/>
  <c r="L567" i="1"/>
  <c r="M567" i="1"/>
  <c r="N567" i="1"/>
  <c r="E568" i="1"/>
  <c r="L568" i="1"/>
  <c r="M568" i="1"/>
  <c r="N568" i="1"/>
  <c r="E569" i="1"/>
  <c r="L569" i="1"/>
  <c r="M569" i="1"/>
  <c r="N569" i="1"/>
  <c r="E570" i="1"/>
  <c r="L570" i="1"/>
  <c r="M570" i="1"/>
  <c r="N570" i="1"/>
  <c r="E571" i="1"/>
  <c r="L571" i="1"/>
  <c r="M571" i="1"/>
  <c r="N571" i="1"/>
  <c r="E572" i="1"/>
  <c r="L572" i="1"/>
  <c r="M572" i="1"/>
  <c r="N572" i="1"/>
  <c r="E573" i="1"/>
  <c r="L573" i="1"/>
  <c r="M573" i="1"/>
  <c r="N573" i="1"/>
  <c r="E574" i="1"/>
  <c r="L574" i="1"/>
  <c r="M574" i="1"/>
  <c r="N574" i="1"/>
  <c r="E575" i="1"/>
  <c r="L575" i="1"/>
  <c r="M575" i="1"/>
  <c r="N575" i="1"/>
  <c r="E576" i="1"/>
  <c r="L576" i="1"/>
  <c r="M576" i="1"/>
  <c r="N576" i="1"/>
  <c r="E577" i="1"/>
  <c r="L577" i="1"/>
  <c r="M577" i="1"/>
  <c r="N577" i="1"/>
  <c r="E578" i="1"/>
  <c r="L578" i="1"/>
  <c r="M578" i="1"/>
  <c r="N578" i="1"/>
  <c r="E579" i="1"/>
  <c r="L579" i="1"/>
  <c r="M579" i="1"/>
  <c r="N579" i="1"/>
  <c r="E580" i="1"/>
  <c r="L580" i="1"/>
  <c r="M580" i="1"/>
  <c r="N580" i="1"/>
  <c r="E581" i="1"/>
  <c r="L581" i="1"/>
  <c r="M581" i="1"/>
  <c r="N581" i="1"/>
  <c r="E582" i="1"/>
  <c r="L582" i="1"/>
  <c r="M582" i="1"/>
  <c r="N582" i="1"/>
  <c r="E583" i="1"/>
  <c r="L583" i="1"/>
  <c r="M583" i="1"/>
  <c r="N583" i="1"/>
  <c r="E584" i="1"/>
  <c r="L584" i="1"/>
  <c r="M584" i="1"/>
  <c r="N584" i="1"/>
  <c r="E585" i="1"/>
  <c r="L585" i="1"/>
  <c r="M585" i="1"/>
  <c r="N585" i="1"/>
  <c r="E586" i="1"/>
  <c r="L586" i="1"/>
  <c r="M586" i="1"/>
  <c r="N586" i="1"/>
  <c r="E587" i="1"/>
  <c r="L587" i="1"/>
  <c r="M587" i="1"/>
  <c r="N587" i="1"/>
  <c r="E588" i="1"/>
  <c r="L588" i="1"/>
  <c r="M588" i="1"/>
  <c r="N588" i="1"/>
  <c r="E589" i="1"/>
  <c r="L589" i="1"/>
  <c r="M589" i="1"/>
  <c r="N589" i="1"/>
  <c r="E590" i="1"/>
  <c r="L590" i="1"/>
  <c r="M590" i="1"/>
  <c r="N590" i="1"/>
  <c r="E591" i="1"/>
  <c r="L591" i="1"/>
  <c r="M591" i="1"/>
  <c r="N591" i="1"/>
  <c r="E592" i="1"/>
  <c r="L592" i="1"/>
  <c r="M592" i="1"/>
  <c r="N592" i="1"/>
  <c r="E593" i="1"/>
  <c r="L593" i="1"/>
  <c r="M593" i="1"/>
  <c r="N593" i="1"/>
  <c r="E594" i="1"/>
  <c r="L594" i="1"/>
  <c r="M594" i="1"/>
  <c r="N594" i="1"/>
  <c r="E595" i="1"/>
  <c r="L595" i="1"/>
  <c r="M595" i="1"/>
  <c r="N595" i="1"/>
  <c r="E596" i="1"/>
  <c r="L596" i="1"/>
  <c r="M596" i="1"/>
  <c r="N596" i="1"/>
  <c r="E597" i="1"/>
  <c r="L597" i="1"/>
  <c r="M597" i="1"/>
  <c r="N597" i="1"/>
  <c r="E598" i="1"/>
  <c r="L598" i="1"/>
  <c r="M598" i="1"/>
  <c r="N598" i="1"/>
  <c r="E599" i="1"/>
  <c r="L599" i="1"/>
  <c r="M599" i="1"/>
  <c r="N599" i="1"/>
  <c r="E600" i="1"/>
  <c r="L600" i="1"/>
  <c r="M600" i="1"/>
  <c r="N600" i="1"/>
  <c r="E601" i="1"/>
  <c r="L601" i="1"/>
  <c r="M601" i="1"/>
  <c r="N601" i="1"/>
  <c r="E602" i="1"/>
  <c r="L602" i="1"/>
  <c r="M602" i="1"/>
  <c r="N602" i="1"/>
  <c r="E603" i="1"/>
  <c r="L603" i="1"/>
  <c r="M603" i="1"/>
  <c r="N603" i="1"/>
  <c r="E604" i="1"/>
  <c r="L604" i="1"/>
  <c r="M604" i="1"/>
  <c r="N604" i="1"/>
  <c r="E605" i="1"/>
  <c r="L605" i="1"/>
  <c r="M605" i="1"/>
  <c r="N605" i="1"/>
  <c r="E606" i="1"/>
  <c r="L606" i="1"/>
  <c r="M606" i="1"/>
  <c r="N606" i="1"/>
  <c r="E607" i="1"/>
  <c r="L607" i="1"/>
  <c r="M607" i="1"/>
  <c r="N607" i="1"/>
  <c r="E608" i="1"/>
  <c r="L608" i="1"/>
  <c r="M608" i="1"/>
  <c r="N608" i="1"/>
  <c r="E609" i="1"/>
  <c r="L609" i="1"/>
  <c r="M609" i="1"/>
  <c r="N609" i="1"/>
  <c r="E610" i="1"/>
  <c r="L610" i="1"/>
  <c r="M610" i="1"/>
  <c r="N610" i="1"/>
  <c r="E611" i="1"/>
  <c r="L611" i="1"/>
  <c r="M611" i="1"/>
  <c r="N611" i="1"/>
  <c r="E612" i="1"/>
  <c r="L612" i="1"/>
  <c r="M612" i="1"/>
  <c r="N612" i="1"/>
  <c r="E613" i="1"/>
  <c r="L613" i="1"/>
  <c r="M613" i="1"/>
  <c r="N613" i="1"/>
  <c r="E614" i="1"/>
  <c r="L614" i="1"/>
  <c r="M614" i="1"/>
  <c r="N614" i="1"/>
  <c r="E615" i="1"/>
  <c r="L615" i="1"/>
  <c r="M615" i="1"/>
  <c r="N615" i="1"/>
  <c r="E616" i="1"/>
  <c r="L616" i="1"/>
  <c r="M616" i="1"/>
  <c r="N616" i="1"/>
  <c r="E617" i="1"/>
  <c r="L617" i="1"/>
  <c r="M617" i="1"/>
  <c r="N617" i="1"/>
  <c r="E618" i="1"/>
  <c r="L618" i="1"/>
  <c r="M618" i="1"/>
  <c r="N618" i="1"/>
  <c r="E619" i="1"/>
  <c r="L619" i="1"/>
  <c r="M619" i="1"/>
  <c r="N619" i="1"/>
  <c r="E620" i="1"/>
  <c r="L620" i="1"/>
  <c r="M620" i="1"/>
  <c r="N620" i="1"/>
  <c r="E621" i="1"/>
  <c r="L621" i="1"/>
  <c r="M621" i="1"/>
  <c r="N621" i="1"/>
  <c r="E622" i="1"/>
  <c r="L622" i="1"/>
  <c r="M622" i="1"/>
  <c r="N622" i="1"/>
  <c r="E623" i="1"/>
  <c r="L623" i="1"/>
  <c r="M623" i="1"/>
  <c r="N623" i="1"/>
  <c r="E624" i="1"/>
  <c r="L624" i="1"/>
  <c r="M624" i="1"/>
  <c r="N624" i="1"/>
  <c r="E625" i="1"/>
  <c r="L625" i="1"/>
  <c r="M625" i="1"/>
  <c r="N625" i="1"/>
  <c r="E626" i="1"/>
  <c r="L626" i="1"/>
  <c r="M626" i="1"/>
  <c r="N626" i="1"/>
  <c r="E627" i="1"/>
  <c r="L627" i="1"/>
  <c r="M627" i="1"/>
  <c r="N627" i="1"/>
  <c r="E628" i="1"/>
  <c r="L628" i="1"/>
  <c r="M628" i="1"/>
  <c r="N628" i="1"/>
  <c r="E629" i="1"/>
  <c r="L629" i="1"/>
  <c r="M629" i="1"/>
  <c r="N629" i="1"/>
  <c r="E630" i="1"/>
  <c r="L630" i="1"/>
  <c r="M630" i="1"/>
  <c r="N630" i="1"/>
  <c r="E631" i="1"/>
  <c r="L631" i="1"/>
  <c r="M631" i="1"/>
  <c r="N631" i="1"/>
  <c r="E632" i="1"/>
  <c r="L632" i="1"/>
  <c r="M632" i="1"/>
  <c r="N632" i="1"/>
  <c r="E633" i="1"/>
  <c r="L633" i="1"/>
  <c r="M633" i="1"/>
  <c r="N633" i="1"/>
  <c r="E634" i="1"/>
  <c r="L634" i="1"/>
  <c r="M634" i="1"/>
  <c r="N634" i="1"/>
  <c r="E635" i="1"/>
  <c r="L635" i="1"/>
  <c r="M635" i="1"/>
  <c r="N635" i="1"/>
  <c r="E636" i="1"/>
  <c r="L636" i="1"/>
  <c r="M636" i="1"/>
  <c r="N636" i="1"/>
  <c r="E637" i="1"/>
  <c r="L637" i="1"/>
  <c r="M637" i="1"/>
  <c r="N637" i="1"/>
  <c r="E638" i="1"/>
  <c r="L638" i="1"/>
  <c r="M638" i="1"/>
  <c r="N638" i="1"/>
  <c r="E639" i="1"/>
  <c r="L639" i="1"/>
  <c r="M639" i="1"/>
  <c r="N639" i="1"/>
  <c r="E640" i="1"/>
  <c r="L640" i="1"/>
  <c r="M640" i="1"/>
  <c r="N640" i="1"/>
  <c r="E641" i="1"/>
  <c r="L641" i="1"/>
  <c r="M641" i="1"/>
  <c r="N641" i="1"/>
  <c r="E642" i="1"/>
  <c r="L642" i="1"/>
  <c r="M642" i="1"/>
  <c r="N642" i="1"/>
  <c r="E643" i="1"/>
  <c r="L643" i="1"/>
  <c r="M643" i="1"/>
  <c r="N643" i="1"/>
  <c r="E644" i="1"/>
  <c r="L644" i="1"/>
  <c r="M644" i="1"/>
  <c r="N644" i="1"/>
  <c r="E645" i="1"/>
  <c r="L645" i="1"/>
  <c r="M645" i="1"/>
  <c r="N645" i="1"/>
  <c r="E646" i="1"/>
  <c r="L646" i="1"/>
  <c r="M646" i="1"/>
  <c r="N646" i="1"/>
  <c r="E647" i="1"/>
  <c r="L647" i="1"/>
  <c r="M647" i="1"/>
  <c r="N647" i="1"/>
  <c r="E648" i="1"/>
  <c r="L648" i="1"/>
  <c r="M648" i="1"/>
  <c r="N648" i="1"/>
  <c r="E649" i="1"/>
  <c r="L649" i="1"/>
  <c r="M649" i="1"/>
  <c r="N649" i="1"/>
  <c r="E650" i="1"/>
  <c r="L650" i="1"/>
  <c r="M650" i="1"/>
  <c r="N650" i="1"/>
  <c r="E651" i="1"/>
  <c r="L651" i="1"/>
  <c r="M651" i="1"/>
  <c r="N651" i="1"/>
  <c r="E652" i="1"/>
  <c r="L652" i="1"/>
  <c r="M652" i="1"/>
  <c r="N652" i="1"/>
  <c r="E653" i="1"/>
  <c r="L653" i="1"/>
  <c r="M653" i="1"/>
  <c r="N653" i="1"/>
  <c r="E654" i="1"/>
  <c r="L654" i="1"/>
  <c r="M654" i="1"/>
  <c r="N654" i="1"/>
  <c r="E655" i="1"/>
  <c r="L655" i="1"/>
  <c r="M655" i="1"/>
  <c r="N655" i="1"/>
  <c r="E656" i="1"/>
  <c r="L656" i="1"/>
  <c r="M656" i="1"/>
  <c r="N656" i="1"/>
  <c r="E657" i="1"/>
  <c r="L657" i="1"/>
  <c r="M657" i="1"/>
  <c r="N657" i="1"/>
  <c r="E658" i="1"/>
  <c r="L658" i="1"/>
  <c r="M658" i="1"/>
  <c r="N658" i="1"/>
  <c r="E659" i="1"/>
  <c r="L659" i="1"/>
  <c r="M659" i="1"/>
  <c r="N659" i="1"/>
  <c r="E660" i="1"/>
  <c r="L660" i="1"/>
  <c r="M660" i="1"/>
  <c r="N660" i="1"/>
  <c r="E661" i="1"/>
  <c r="L661" i="1"/>
  <c r="M661" i="1"/>
  <c r="N661" i="1"/>
  <c r="E662" i="1"/>
  <c r="L662" i="1"/>
  <c r="M662" i="1"/>
  <c r="N662" i="1"/>
  <c r="E663" i="1"/>
  <c r="L663" i="1"/>
  <c r="M663" i="1"/>
  <c r="N663" i="1"/>
  <c r="E664" i="1"/>
  <c r="L664" i="1"/>
  <c r="M664" i="1"/>
  <c r="N664" i="1"/>
  <c r="E665" i="1"/>
  <c r="L665" i="1"/>
  <c r="M665" i="1"/>
  <c r="N665" i="1"/>
  <c r="E666" i="1"/>
  <c r="L666" i="1"/>
  <c r="M666" i="1"/>
  <c r="N666" i="1"/>
  <c r="E667" i="1"/>
  <c r="L667" i="1"/>
  <c r="M667" i="1"/>
  <c r="N667" i="1"/>
  <c r="E668" i="1"/>
  <c r="L668" i="1"/>
  <c r="M668" i="1"/>
  <c r="N668" i="1"/>
  <c r="E669" i="1"/>
  <c r="L669" i="1"/>
  <c r="M669" i="1"/>
  <c r="N669" i="1"/>
  <c r="E670" i="1"/>
  <c r="L670" i="1"/>
  <c r="M670" i="1"/>
  <c r="N670" i="1"/>
  <c r="E671" i="1"/>
  <c r="L671" i="1"/>
  <c r="M671" i="1"/>
  <c r="N671" i="1"/>
  <c r="E672" i="1"/>
  <c r="L672" i="1"/>
  <c r="M672" i="1"/>
  <c r="N672" i="1"/>
  <c r="E673" i="1"/>
  <c r="L673" i="1"/>
  <c r="M673" i="1"/>
  <c r="N673" i="1"/>
  <c r="E674" i="1"/>
  <c r="L674" i="1"/>
  <c r="M674" i="1"/>
  <c r="N674" i="1"/>
  <c r="E675" i="1"/>
  <c r="L675" i="1"/>
  <c r="M675" i="1"/>
  <c r="N675" i="1"/>
  <c r="E676" i="1"/>
  <c r="L676" i="1"/>
  <c r="M676" i="1"/>
  <c r="N676" i="1"/>
  <c r="E677" i="1"/>
  <c r="L677" i="1"/>
  <c r="M677" i="1"/>
  <c r="N677" i="1"/>
  <c r="E678" i="1"/>
  <c r="L678" i="1"/>
  <c r="M678" i="1"/>
  <c r="N678" i="1"/>
  <c r="E679" i="1"/>
  <c r="L679" i="1"/>
  <c r="M679" i="1"/>
  <c r="N679" i="1"/>
  <c r="E680" i="1"/>
  <c r="L680" i="1"/>
  <c r="M680" i="1"/>
  <c r="N680" i="1"/>
  <c r="E681" i="1"/>
  <c r="L681" i="1"/>
  <c r="M681" i="1"/>
  <c r="N681" i="1"/>
  <c r="E682" i="1"/>
  <c r="L682" i="1"/>
  <c r="M682" i="1"/>
  <c r="N682" i="1"/>
  <c r="E683" i="1"/>
  <c r="L683" i="1"/>
  <c r="M683" i="1"/>
  <c r="N683" i="1"/>
  <c r="E684" i="1"/>
  <c r="L684" i="1"/>
  <c r="M684" i="1"/>
  <c r="N684" i="1"/>
  <c r="E685" i="1"/>
  <c r="L685" i="1"/>
  <c r="M685" i="1"/>
  <c r="N685" i="1"/>
  <c r="E686" i="1"/>
  <c r="L686" i="1"/>
  <c r="M686" i="1"/>
  <c r="N686" i="1"/>
  <c r="E687" i="1"/>
  <c r="L687" i="1"/>
  <c r="M687" i="1"/>
  <c r="N687" i="1"/>
  <c r="E688" i="1"/>
  <c r="L688" i="1"/>
  <c r="M688" i="1"/>
  <c r="N688" i="1"/>
  <c r="E689" i="1"/>
  <c r="L689" i="1"/>
  <c r="M689" i="1"/>
  <c r="N689" i="1"/>
  <c r="E690" i="1"/>
  <c r="L690" i="1"/>
  <c r="M690" i="1"/>
  <c r="N690" i="1"/>
  <c r="E691" i="1"/>
  <c r="L691" i="1"/>
  <c r="M691" i="1"/>
  <c r="N691" i="1"/>
  <c r="E692" i="1"/>
  <c r="L692" i="1"/>
  <c r="M692" i="1"/>
  <c r="N692" i="1"/>
  <c r="E693" i="1"/>
  <c r="L693" i="1"/>
  <c r="M693" i="1"/>
  <c r="N693" i="1"/>
  <c r="E694" i="1"/>
  <c r="L694" i="1"/>
  <c r="M694" i="1"/>
  <c r="N694" i="1"/>
  <c r="E695" i="1"/>
  <c r="L695" i="1"/>
  <c r="M695" i="1"/>
  <c r="N695" i="1"/>
  <c r="E696" i="1"/>
  <c r="L696" i="1"/>
  <c r="M696" i="1"/>
  <c r="N696" i="1"/>
  <c r="E697" i="1"/>
  <c r="L697" i="1"/>
  <c r="M697" i="1"/>
  <c r="N697" i="1"/>
  <c r="E698" i="1"/>
  <c r="L698" i="1"/>
  <c r="M698" i="1"/>
  <c r="N698" i="1"/>
  <c r="E699" i="1"/>
  <c r="L699" i="1"/>
  <c r="M699" i="1"/>
  <c r="N699" i="1"/>
  <c r="E700" i="1"/>
  <c r="L700" i="1"/>
  <c r="M700" i="1"/>
  <c r="N700" i="1"/>
  <c r="E701" i="1"/>
  <c r="L701" i="1"/>
  <c r="M701" i="1"/>
  <c r="N701" i="1"/>
  <c r="E702" i="1"/>
  <c r="L702" i="1"/>
  <c r="M702" i="1"/>
  <c r="N702" i="1"/>
  <c r="E703" i="1"/>
  <c r="L703" i="1"/>
  <c r="M703" i="1" s="1"/>
  <c r="N703" i="1" s="1"/>
  <c r="E704" i="1"/>
  <c r="L704" i="1"/>
  <c r="M704" i="1"/>
  <c r="N704" i="1" s="1"/>
  <c r="E705" i="1"/>
  <c r="L705" i="1"/>
  <c r="M705" i="1"/>
  <c r="N705" i="1" s="1"/>
  <c r="E706" i="1"/>
  <c r="L706" i="1"/>
  <c r="M706" i="1"/>
  <c r="N706" i="1"/>
  <c r="E707" i="1"/>
  <c r="L707" i="1"/>
  <c r="M707" i="1"/>
  <c r="N707" i="1"/>
  <c r="E708" i="1"/>
  <c r="L708" i="1"/>
  <c r="M708" i="1"/>
  <c r="N708" i="1"/>
  <c r="E709" i="1"/>
  <c r="L709" i="1"/>
  <c r="M709" i="1"/>
  <c r="N709" i="1"/>
  <c r="E710" i="1"/>
  <c r="L710" i="1"/>
  <c r="M710" i="1"/>
  <c r="N710" i="1"/>
  <c r="E711" i="1"/>
  <c r="L711" i="1"/>
  <c r="M711" i="1"/>
  <c r="N711" i="1"/>
  <c r="E712" i="1"/>
  <c r="L712" i="1"/>
  <c r="M712" i="1" s="1"/>
  <c r="N712" i="1" s="1"/>
  <c r="E713" i="1"/>
  <c r="L713" i="1"/>
  <c r="M713" i="1"/>
  <c r="N713" i="1" s="1"/>
  <c r="E714" i="1"/>
  <c r="L714" i="1"/>
  <c r="M714" i="1"/>
  <c r="N714" i="1"/>
  <c r="E715" i="1"/>
  <c r="L715" i="1"/>
  <c r="M715" i="1"/>
  <c r="N715" i="1"/>
  <c r="E716" i="1"/>
  <c r="L716" i="1"/>
  <c r="M716" i="1"/>
  <c r="N716" i="1" s="1"/>
  <c r="E717" i="1"/>
  <c r="L717" i="1"/>
  <c r="M717" i="1"/>
  <c r="N717" i="1" s="1"/>
  <c r="E718" i="1"/>
  <c r="L718" i="1"/>
  <c r="M718" i="1"/>
  <c r="N718" i="1"/>
  <c r="E719" i="1"/>
  <c r="L719" i="1"/>
  <c r="M719" i="1"/>
  <c r="N719" i="1" s="1"/>
  <c r="E720" i="1"/>
  <c r="L720" i="1"/>
  <c r="M720" i="1"/>
  <c r="N720" i="1" s="1"/>
  <c r="E721" i="1"/>
  <c r="L721" i="1"/>
  <c r="M721" i="1"/>
  <c r="N721" i="1" s="1"/>
  <c r="E722" i="1"/>
  <c r="L722" i="1"/>
  <c r="M722" i="1" s="1"/>
  <c r="N722" i="1" s="1"/>
  <c r="E723" i="1"/>
  <c r="L723" i="1"/>
  <c r="M723" i="1"/>
  <c r="N723" i="1" s="1"/>
  <c r="E724" i="1"/>
  <c r="L724" i="1"/>
  <c r="M724" i="1"/>
  <c r="N724" i="1"/>
  <c r="E725" i="1"/>
  <c r="L725" i="1"/>
  <c r="M725" i="1"/>
  <c r="N725" i="1" s="1"/>
  <c r="E726" i="1"/>
  <c r="L726" i="1"/>
  <c r="M726" i="1"/>
  <c r="N726" i="1"/>
  <c r="E727" i="1"/>
  <c r="L727" i="1"/>
  <c r="M727" i="1"/>
  <c r="N727" i="1" s="1"/>
  <c r="E728" i="1"/>
  <c r="L728" i="1"/>
  <c r="M728" i="1"/>
  <c r="N728" i="1" s="1"/>
  <c r="E729" i="1"/>
  <c r="L729" i="1"/>
  <c r="M729" i="1"/>
  <c r="N729" i="1"/>
  <c r="E730" i="1"/>
  <c r="L730" i="1"/>
  <c r="M730" i="1"/>
  <c r="N730" i="1" s="1"/>
  <c r="E731" i="1"/>
  <c r="L731" i="1"/>
  <c r="M731" i="1"/>
  <c r="N731" i="1" s="1"/>
  <c r="E732" i="1"/>
  <c r="L732" i="1"/>
  <c r="M732" i="1"/>
  <c r="N732" i="1"/>
  <c r="E733" i="1"/>
  <c r="L733" i="1"/>
  <c r="M733" i="1" s="1"/>
  <c r="N733" i="1" s="1"/>
  <c r="E734" i="1"/>
  <c r="L734" i="1"/>
  <c r="M734" i="1" s="1"/>
  <c r="N734" i="1" s="1"/>
  <c r="E735" i="1"/>
  <c r="L735" i="1"/>
  <c r="M735" i="1"/>
  <c r="N735" i="1"/>
  <c r="E736" i="1"/>
  <c r="L736" i="1"/>
  <c r="M736" i="1"/>
  <c r="N736" i="1"/>
  <c r="E737" i="1"/>
  <c r="L737" i="1"/>
  <c r="M737" i="1"/>
  <c r="N737" i="1"/>
  <c r="E738" i="1"/>
  <c r="L738" i="1"/>
  <c r="M738" i="1"/>
  <c r="N738" i="1"/>
  <c r="E739" i="1"/>
  <c r="L739" i="1"/>
  <c r="M739" i="1"/>
  <c r="N739" i="1"/>
  <c r="E740" i="1"/>
  <c r="L740" i="1"/>
  <c r="M740" i="1"/>
  <c r="N740" i="1"/>
  <c r="E741" i="1"/>
  <c r="L741" i="1"/>
  <c r="M741" i="1"/>
  <c r="N741" i="1"/>
  <c r="E742" i="1"/>
  <c r="L742" i="1"/>
  <c r="M742" i="1"/>
  <c r="N742" i="1"/>
  <c r="E743" i="1"/>
  <c r="L743" i="1"/>
  <c r="M743" i="1"/>
  <c r="N743" i="1"/>
  <c r="E744" i="1"/>
  <c r="L744" i="1"/>
  <c r="M744" i="1"/>
  <c r="N744" i="1"/>
  <c r="E745" i="1"/>
  <c r="L745" i="1"/>
  <c r="M745" i="1"/>
  <c r="N745" i="1"/>
  <c r="E746" i="1"/>
  <c r="L746" i="1"/>
  <c r="M746" i="1"/>
  <c r="N746" i="1"/>
  <c r="E747" i="1"/>
  <c r="L747" i="1"/>
  <c r="M747" i="1"/>
  <c r="N747" i="1"/>
  <c r="E748" i="1"/>
  <c r="L748" i="1"/>
  <c r="M748" i="1"/>
  <c r="N748" i="1"/>
  <c r="E749" i="1"/>
  <c r="L749" i="1"/>
  <c r="M749" i="1"/>
  <c r="N749" i="1"/>
  <c r="E750" i="1"/>
  <c r="L750" i="1"/>
  <c r="M750" i="1"/>
  <c r="N750" i="1"/>
  <c r="E751" i="1"/>
  <c r="L751" i="1"/>
  <c r="M751" i="1"/>
  <c r="N751" i="1"/>
  <c r="E752" i="1"/>
  <c r="L752" i="1"/>
  <c r="M752" i="1"/>
  <c r="N752" i="1"/>
  <c r="E753" i="1"/>
  <c r="L753" i="1"/>
  <c r="M753" i="1"/>
  <c r="N753" i="1"/>
  <c r="E754" i="1"/>
  <c r="L754" i="1"/>
  <c r="M754" i="1"/>
  <c r="N754" i="1"/>
  <c r="E755" i="1"/>
  <c r="L755" i="1"/>
  <c r="M755" i="1"/>
  <c r="N755" i="1"/>
  <c r="E756" i="1"/>
  <c r="L756" i="1"/>
  <c r="M756" i="1"/>
  <c r="N756" i="1"/>
  <c r="E757" i="1"/>
  <c r="L757" i="1"/>
  <c r="M757" i="1"/>
  <c r="N757" i="1"/>
  <c r="E758" i="1"/>
  <c r="L758" i="1"/>
  <c r="M758" i="1"/>
  <c r="N758" i="1"/>
  <c r="E759" i="1"/>
  <c r="L759" i="1"/>
  <c r="M759" i="1"/>
  <c r="N759" i="1"/>
  <c r="E760" i="1"/>
  <c r="L760" i="1"/>
  <c r="M760" i="1"/>
  <c r="N760" i="1"/>
  <c r="E761" i="1"/>
  <c r="L761" i="1"/>
  <c r="M761" i="1"/>
  <c r="N761" i="1"/>
  <c r="E762" i="1"/>
  <c r="L762" i="1"/>
  <c r="M762" i="1"/>
  <c r="N762" i="1"/>
  <c r="E763" i="1"/>
  <c r="L763" i="1"/>
  <c r="M763" i="1"/>
  <c r="N763" i="1"/>
  <c r="E764" i="1"/>
  <c r="L764" i="1"/>
  <c r="M764" i="1"/>
  <c r="N764" i="1"/>
  <c r="E765" i="1"/>
  <c r="L765" i="1"/>
  <c r="M765" i="1"/>
  <c r="N765" i="1"/>
  <c r="E766" i="1"/>
  <c r="L766" i="1"/>
  <c r="M766" i="1"/>
  <c r="N766" i="1"/>
  <c r="E767" i="1"/>
  <c r="L767" i="1"/>
  <c r="M767" i="1"/>
  <c r="N767" i="1"/>
  <c r="E768" i="1"/>
  <c r="L768" i="1"/>
  <c r="M768" i="1"/>
  <c r="N768" i="1"/>
  <c r="E769" i="1"/>
  <c r="L769" i="1"/>
  <c r="M769" i="1"/>
  <c r="N769" i="1"/>
  <c r="E770" i="1"/>
  <c r="L770" i="1"/>
  <c r="M770" i="1"/>
  <c r="N770" i="1"/>
  <c r="E771" i="1"/>
  <c r="L771" i="1"/>
  <c r="M771" i="1"/>
  <c r="N771" i="1"/>
  <c r="E772" i="1"/>
  <c r="L772" i="1"/>
  <c r="M772" i="1"/>
  <c r="N772" i="1"/>
  <c r="E773" i="1"/>
  <c r="L773" i="1"/>
  <c r="M773" i="1"/>
  <c r="N773" i="1"/>
  <c r="E774" i="1"/>
  <c r="L774" i="1"/>
  <c r="M774" i="1"/>
  <c r="N774" i="1"/>
  <c r="E775" i="1"/>
  <c r="L775" i="1"/>
  <c r="M775" i="1"/>
  <c r="N775" i="1"/>
  <c r="E776" i="1"/>
  <c r="L776" i="1"/>
  <c r="M776" i="1"/>
  <c r="N776" i="1"/>
  <c r="E777" i="1"/>
  <c r="L777" i="1"/>
  <c r="M777" i="1"/>
  <c r="N777" i="1"/>
  <c r="E778" i="1"/>
  <c r="L778" i="1"/>
  <c r="M778" i="1"/>
  <c r="N778" i="1"/>
  <c r="E779" i="1"/>
  <c r="L779" i="1"/>
  <c r="M779" i="1"/>
  <c r="N779" i="1"/>
  <c r="E780" i="1"/>
  <c r="L780" i="1"/>
  <c r="M780" i="1"/>
  <c r="N780" i="1"/>
  <c r="E781" i="1"/>
  <c r="L781" i="1"/>
  <c r="M781" i="1"/>
  <c r="N781" i="1"/>
  <c r="E782" i="1"/>
  <c r="L782" i="1"/>
  <c r="M782" i="1"/>
  <c r="N782" i="1"/>
  <c r="E783" i="1"/>
  <c r="L783" i="1"/>
  <c r="M783" i="1"/>
  <c r="N783" i="1"/>
  <c r="E784" i="1"/>
  <c r="L784" i="1"/>
  <c r="M784" i="1"/>
  <c r="N784" i="1"/>
  <c r="E785" i="1"/>
  <c r="L785" i="1"/>
  <c r="M785" i="1"/>
  <c r="N785" i="1"/>
  <c r="E786" i="1"/>
  <c r="L786" i="1"/>
  <c r="M786" i="1"/>
  <c r="N786" i="1"/>
  <c r="E787" i="1"/>
  <c r="L787" i="1"/>
  <c r="M787" i="1"/>
  <c r="N787" i="1"/>
  <c r="E788" i="1"/>
  <c r="L788" i="1"/>
  <c r="M788" i="1"/>
  <c r="N788" i="1"/>
  <c r="E789" i="1"/>
  <c r="L789" i="1"/>
  <c r="M789" i="1"/>
  <c r="N789" i="1"/>
  <c r="E790" i="1"/>
  <c r="L790" i="1"/>
  <c r="M790" i="1"/>
  <c r="N790" i="1"/>
  <c r="E791" i="1"/>
  <c r="L791" i="1"/>
  <c r="M791" i="1"/>
  <c r="N791" i="1"/>
  <c r="E792" i="1"/>
  <c r="L792" i="1"/>
  <c r="M792" i="1"/>
  <c r="N792" i="1"/>
  <c r="E793" i="1"/>
  <c r="L793" i="1"/>
  <c r="M793" i="1"/>
  <c r="N793" i="1"/>
  <c r="E794" i="1"/>
  <c r="L794" i="1"/>
  <c r="M794" i="1"/>
  <c r="N794" i="1"/>
  <c r="E795" i="1"/>
  <c r="L795" i="1"/>
  <c r="M795" i="1"/>
  <c r="N795" i="1"/>
  <c r="E796" i="1"/>
  <c r="L796" i="1"/>
  <c r="M796" i="1"/>
  <c r="N796" i="1"/>
  <c r="E797" i="1"/>
  <c r="L797" i="1"/>
  <c r="M797" i="1"/>
  <c r="N797" i="1"/>
  <c r="E798" i="1"/>
  <c r="L798" i="1"/>
  <c r="M798" i="1"/>
  <c r="N798" i="1"/>
  <c r="E799" i="1"/>
  <c r="L799" i="1"/>
  <c r="M799" i="1"/>
  <c r="N799" i="1"/>
  <c r="E800" i="1"/>
  <c r="L800" i="1"/>
  <c r="M800" i="1"/>
  <c r="N800" i="1"/>
  <c r="E801" i="1"/>
  <c r="L801" i="1"/>
  <c r="M801" i="1"/>
  <c r="N801" i="1"/>
  <c r="E802" i="1"/>
  <c r="L802" i="1"/>
  <c r="M802" i="1"/>
  <c r="N802" i="1"/>
  <c r="E803" i="1"/>
  <c r="L803" i="1"/>
  <c r="M803" i="1"/>
  <c r="N803" i="1"/>
  <c r="E804" i="1"/>
  <c r="L804" i="1"/>
  <c r="M804" i="1"/>
  <c r="N804" i="1"/>
  <c r="E805" i="1"/>
  <c r="L805" i="1"/>
  <c r="M805" i="1"/>
  <c r="N805" i="1"/>
  <c r="E806" i="1"/>
  <c r="L806" i="1"/>
  <c r="M806" i="1"/>
  <c r="N806" i="1"/>
  <c r="E807" i="1"/>
  <c r="L807" i="1"/>
  <c r="M807" i="1"/>
  <c r="N807" i="1"/>
  <c r="E808" i="1"/>
  <c r="L808" i="1"/>
  <c r="M808" i="1"/>
  <c r="N808" i="1"/>
  <c r="E809" i="1"/>
  <c r="L809" i="1"/>
  <c r="M809" i="1"/>
  <c r="N809" i="1"/>
  <c r="E810" i="1"/>
  <c r="L810" i="1"/>
  <c r="M810" i="1"/>
  <c r="N810" i="1"/>
  <c r="E811" i="1"/>
  <c r="L811" i="1"/>
  <c r="M811" i="1"/>
  <c r="N811" i="1"/>
  <c r="E812" i="1"/>
  <c r="L812" i="1"/>
  <c r="M812" i="1"/>
  <c r="N812" i="1"/>
  <c r="E813" i="1"/>
  <c r="L813" i="1"/>
  <c r="M813" i="1"/>
  <c r="N813" i="1"/>
  <c r="E814" i="1"/>
  <c r="L814" i="1"/>
  <c r="M814" i="1"/>
  <c r="N814" i="1"/>
  <c r="E815" i="1"/>
  <c r="L815" i="1"/>
  <c r="M815" i="1"/>
  <c r="N815" i="1"/>
  <c r="E816" i="1"/>
  <c r="L816" i="1"/>
  <c r="M816" i="1"/>
  <c r="N816" i="1"/>
  <c r="E817" i="1"/>
  <c r="L817" i="1"/>
  <c r="M817" i="1"/>
  <c r="N817" i="1"/>
  <c r="E818" i="1"/>
  <c r="L818" i="1"/>
  <c r="M818" i="1"/>
  <c r="N818" i="1"/>
  <c r="E819" i="1"/>
  <c r="L819" i="1"/>
  <c r="M819" i="1"/>
  <c r="N819" i="1"/>
  <c r="E820" i="1"/>
  <c r="L820" i="1"/>
  <c r="M820" i="1"/>
  <c r="N820" i="1"/>
  <c r="E821" i="1"/>
  <c r="L821" i="1"/>
  <c r="M821" i="1"/>
  <c r="N821" i="1"/>
  <c r="E822" i="1"/>
  <c r="L822" i="1"/>
  <c r="M822" i="1"/>
  <c r="N822" i="1"/>
  <c r="E823" i="1"/>
  <c r="L823" i="1"/>
  <c r="M823" i="1"/>
  <c r="N823" i="1"/>
  <c r="E824" i="1"/>
  <c r="L824" i="1"/>
  <c r="M824" i="1"/>
  <c r="N824" i="1"/>
  <c r="E825" i="1"/>
  <c r="L825" i="1"/>
  <c r="M825" i="1"/>
  <c r="N825" i="1"/>
  <c r="E826" i="1"/>
  <c r="L826" i="1"/>
  <c r="M826" i="1"/>
  <c r="N826" i="1"/>
  <c r="E827" i="1"/>
  <c r="L827" i="1"/>
  <c r="M827" i="1"/>
  <c r="N827" i="1"/>
  <c r="E828" i="1"/>
  <c r="L828" i="1"/>
  <c r="M828" i="1"/>
  <c r="N828" i="1"/>
  <c r="E829" i="1"/>
  <c r="L829" i="1"/>
  <c r="M829" i="1"/>
  <c r="N829" i="1"/>
  <c r="E830" i="1"/>
  <c r="L830" i="1"/>
  <c r="M830" i="1"/>
  <c r="N830" i="1"/>
  <c r="E831" i="1"/>
  <c r="L831" i="1"/>
  <c r="M831" i="1"/>
  <c r="N831" i="1"/>
  <c r="E832" i="1"/>
  <c r="L832" i="1"/>
  <c r="M832" i="1"/>
  <c r="N832" i="1"/>
  <c r="E833" i="1"/>
  <c r="L833" i="1"/>
  <c r="M833" i="1"/>
  <c r="N833" i="1"/>
  <c r="E834" i="1"/>
  <c r="L834" i="1"/>
  <c r="M834" i="1"/>
  <c r="N834" i="1"/>
  <c r="E835" i="1"/>
  <c r="L835" i="1"/>
  <c r="M835" i="1"/>
  <c r="N835" i="1"/>
  <c r="E836" i="1"/>
  <c r="L836" i="1"/>
  <c r="M836" i="1"/>
  <c r="N836" i="1"/>
  <c r="E837" i="1"/>
  <c r="L837" i="1"/>
  <c r="M837" i="1"/>
  <c r="N837" i="1"/>
  <c r="E838" i="1"/>
  <c r="L838" i="1"/>
  <c r="M838" i="1"/>
  <c r="N838" i="1"/>
  <c r="E839" i="1"/>
  <c r="L839" i="1"/>
  <c r="M839" i="1"/>
  <c r="N839" i="1"/>
  <c r="E840" i="1"/>
  <c r="L840" i="1"/>
  <c r="M840" i="1"/>
  <c r="N840" i="1"/>
  <c r="E841" i="1"/>
  <c r="L841" i="1"/>
  <c r="M841" i="1"/>
  <c r="N841" i="1"/>
  <c r="E842" i="1"/>
  <c r="L842" i="1"/>
  <c r="M842" i="1"/>
  <c r="N842" i="1"/>
  <c r="E843" i="1"/>
  <c r="L843" i="1"/>
  <c r="M843" i="1"/>
  <c r="N843" i="1"/>
  <c r="E844" i="1"/>
  <c r="L844" i="1"/>
  <c r="M844" i="1"/>
  <c r="N844" i="1"/>
  <c r="E845" i="1"/>
  <c r="L845" i="1"/>
  <c r="M845" i="1"/>
  <c r="N845" i="1"/>
  <c r="E846" i="1"/>
  <c r="L846" i="1"/>
  <c r="M846" i="1"/>
  <c r="N846" i="1"/>
  <c r="E847" i="1"/>
  <c r="L847" i="1"/>
  <c r="M847" i="1"/>
  <c r="N847" i="1"/>
  <c r="E848" i="1"/>
  <c r="L848" i="1"/>
  <c r="M848" i="1"/>
  <c r="N848" i="1"/>
  <c r="E849" i="1"/>
  <c r="L849" i="1"/>
  <c r="M849" i="1"/>
  <c r="N849" i="1"/>
  <c r="E850" i="1"/>
  <c r="L850" i="1"/>
  <c r="M850" i="1"/>
  <c r="N850" i="1"/>
  <c r="E851" i="1"/>
  <c r="L851" i="1"/>
  <c r="M851" i="1"/>
  <c r="N851" i="1"/>
  <c r="E852" i="1"/>
  <c r="L852" i="1"/>
  <c r="M852" i="1"/>
  <c r="N852" i="1"/>
  <c r="E853" i="1"/>
  <c r="L853" i="1"/>
  <c r="M853" i="1"/>
  <c r="N853" i="1"/>
  <c r="E854" i="1"/>
  <c r="L854" i="1"/>
  <c r="M854" i="1"/>
  <c r="N854" i="1"/>
  <c r="E855" i="1"/>
  <c r="L855" i="1"/>
  <c r="M855" i="1"/>
  <c r="N855" i="1"/>
  <c r="E856" i="1"/>
  <c r="L856" i="1"/>
  <c r="M856" i="1"/>
  <c r="N856" i="1"/>
  <c r="E857" i="1"/>
  <c r="L857" i="1"/>
  <c r="M857" i="1"/>
  <c r="N857" i="1"/>
  <c r="E858" i="1"/>
  <c r="L858" i="1"/>
  <c r="M858" i="1"/>
  <c r="N858" i="1"/>
  <c r="E859" i="1"/>
  <c r="L859" i="1"/>
  <c r="M859" i="1"/>
  <c r="N859" i="1"/>
  <c r="E860" i="1"/>
  <c r="L860" i="1"/>
  <c r="M860" i="1"/>
  <c r="N860" i="1"/>
  <c r="E861" i="1"/>
  <c r="L861" i="1"/>
  <c r="M861" i="1"/>
  <c r="N861" i="1"/>
  <c r="E862" i="1"/>
  <c r="L862" i="1"/>
  <c r="M862" i="1"/>
  <c r="N862" i="1"/>
  <c r="E863" i="1"/>
  <c r="L863" i="1"/>
  <c r="M863" i="1"/>
  <c r="N863" i="1"/>
  <c r="E864" i="1"/>
  <c r="L864" i="1"/>
  <c r="M864" i="1"/>
  <c r="N864" i="1"/>
  <c r="E865" i="1"/>
  <c r="L865" i="1"/>
  <c r="M865" i="1"/>
  <c r="N865" i="1"/>
  <c r="E866" i="1"/>
  <c r="L866" i="1"/>
  <c r="M866" i="1"/>
  <c r="N866" i="1"/>
  <c r="E867" i="1"/>
  <c r="L867" i="1"/>
  <c r="M867" i="1"/>
  <c r="N867" i="1"/>
  <c r="E868" i="1"/>
  <c r="L868" i="1"/>
  <c r="M868" i="1"/>
  <c r="N868" i="1"/>
  <c r="E869" i="1"/>
  <c r="L869" i="1"/>
  <c r="M869" i="1"/>
  <c r="N869" i="1"/>
  <c r="E870" i="1"/>
  <c r="L870" i="1"/>
  <c r="M870" i="1"/>
  <c r="N870" i="1"/>
  <c r="E871" i="1"/>
  <c r="L871" i="1"/>
  <c r="M871" i="1"/>
  <c r="N871" i="1"/>
  <c r="E872" i="1"/>
  <c r="L872" i="1"/>
  <c r="M872" i="1"/>
  <c r="N872" i="1"/>
  <c r="E873" i="1"/>
  <c r="L873" i="1"/>
  <c r="M873" i="1"/>
  <c r="N873" i="1"/>
  <c r="E874" i="1"/>
  <c r="L874" i="1"/>
  <c r="M874" i="1"/>
  <c r="N874" i="1"/>
  <c r="E875" i="1"/>
  <c r="L875" i="1"/>
  <c r="M875" i="1"/>
  <c r="N875" i="1"/>
  <c r="E876" i="1"/>
  <c r="L876" i="1"/>
  <c r="M876" i="1"/>
  <c r="N876" i="1"/>
  <c r="E877" i="1"/>
  <c r="L877" i="1"/>
  <c r="M877" i="1"/>
  <c r="N877" i="1"/>
  <c r="E878" i="1"/>
  <c r="L878" i="1"/>
  <c r="M878" i="1"/>
  <c r="N878" i="1"/>
  <c r="E879" i="1"/>
  <c r="L879" i="1"/>
  <c r="M879" i="1"/>
  <c r="N879" i="1"/>
  <c r="E880" i="1"/>
  <c r="L880" i="1"/>
  <c r="M880" i="1"/>
  <c r="N880" i="1"/>
  <c r="E881" i="1"/>
  <c r="L881" i="1"/>
  <c r="M881" i="1"/>
  <c r="N881" i="1"/>
  <c r="E882" i="1"/>
  <c r="L882" i="1"/>
  <c r="M882" i="1"/>
  <c r="N882" i="1"/>
  <c r="E883" i="1"/>
  <c r="L883" i="1"/>
  <c r="M883" i="1"/>
  <c r="N883" i="1"/>
  <c r="E884" i="1"/>
  <c r="L884" i="1"/>
  <c r="M884" i="1"/>
  <c r="N884" i="1"/>
  <c r="E885" i="1"/>
  <c r="L885" i="1"/>
  <c r="M885" i="1"/>
  <c r="N885" i="1"/>
  <c r="E886" i="1"/>
  <c r="L886" i="1"/>
  <c r="M886" i="1"/>
  <c r="N886" i="1"/>
  <c r="E887" i="1"/>
  <c r="L887" i="1"/>
  <c r="M887" i="1"/>
  <c r="N887" i="1"/>
  <c r="E888" i="1"/>
  <c r="L888" i="1"/>
  <c r="M888" i="1"/>
  <c r="N888" i="1"/>
  <c r="E889" i="1"/>
  <c r="L889" i="1"/>
  <c r="M889" i="1"/>
  <c r="N889" i="1"/>
  <c r="E890" i="1"/>
  <c r="L890" i="1"/>
  <c r="M890" i="1"/>
  <c r="N890" i="1"/>
  <c r="E891" i="1"/>
  <c r="L891" i="1"/>
  <c r="M891" i="1"/>
  <c r="N891" i="1"/>
  <c r="E892" i="1"/>
  <c r="L892" i="1"/>
  <c r="M892" i="1"/>
  <c r="N892" i="1"/>
  <c r="E893" i="1"/>
  <c r="L893" i="1"/>
  <c r="M893" i="1"/>
  <c r="N893" i="1"/>
  <c r="E894" i="1"/>
  <c r="L894" i="1"/>
  <c r="M894" i="1"/>
  <c r="N894" i="1"/>
  <c r="E895" i="1"/>
  <c r="L895" i="1"/>
  <c r="M895" i="1"/>
  <c r="N895" i="1"/>
  <c r="E896" i="1"/>
  <c r="L896" i="1"/>
  <c r="M896" i="1"/>
  <c r="N896" i="1"/>
  <c r="E897" i="1"/>
  <c r="L897" i="1"/>
  <c r="M897" i="1"/>
  <c r="N897" i="1"/>
  <c r="E898" i="1"/>
  <c r="L898" i="1"/>
  <c r="M898" i="1"/>
  <c r="N898" i="1"/>
  <c r="E899" i="1"/>
  <c r="L899" i="1"/>
  <c r="M899" i="1"/>
  <c r="N899" i="1"/>
  <c r="E900" i="1"/>
  <c r="L900" i="1"/>
  <c r="M900" i="1"/>
  <c r="N900" i="1"/>
  <c r="E901" i="1"/>
  <c r="L901" i="1"/>
  <c r="M901" i="1"/>
  <c r="N901" i="1"/>
  <c r="E902" i="1"/>
  <c r="L902" i="1"/>
  <c r="M902" i="1"/>
  <c r="N902" i="1"/>
  <c r="E903" i="1"/>
  <c r="L903" i="1"/>
  <c r="M903" i="1"/>
  <c r="N903" i="1"/>
  <c r="E904" i="1"/>
  <c r="L904" i="1"/>
  <c r="M904" i="1"/>
  <c r="N904" i="1"/>
  <c r="E905" i="1"/>
  <c r="L905" i="1"/>
  <c r="M905" i="1"/>
  <c r="N905" i="1"/>
  <c r="E906" i="1"/>
  <c r="L906" i="1"/>
  <c r="M906" i="1"/>
  <c r="N906" i="1"/>
  <c r="E907" i="1"/>
  <c r="L907" i="1"/>
  <c r="M907" i="1"/>
  <c r="N907" i="1"/>
  <c r="E908" i="1"/>
  <c r="L908" i="1"/>
  <c r="M908" i="1"/>
  <c r="N908" i="1"/>
  <c r="E909" i="1"/>
  <c r="L909" i="1"/>
  <c r="M909" i="1"/>
  <c r="N909" i="1"/>
  <c r="E910" i="1"/>
  <c r="L910" i="1"/>
  <c r="M910" i="1"/>
  <c r="N910" i="1"/>
  <c r="E911" i="1"/>
  <c r="L911" i="1"/>
  <c r="M911" i="1"/>
  <c r="N911" i="1"/>
  <c r="E912" i="1"/>
  <c r="L912" i="1"/>
  <c r="M912" i="1"/>
  <c r="N912" i="1"/>
  <c r="E913" i="1"/>
  <c r="L913" i="1"/>
  <c r="M913" i="1"/>
  <c r="N913" i="1"/>
  <c r="E914" i="1"/>
  <c r="L914" i="1"/>
  <c r="M914" i="1"/>
  <c r="N914" i="1"/>
  <c r="E915" i="1"/>
  <c r="L915" i="1"/>
  <c r="M915" i="1"/>
  <c r="N915" i="1"/>
  <c r="E916" i="1"/>
  <c r="L916" i="1"/>
  <c r="M916" i="1"/>
  <c r="N916" i="1"/>
  <c r="E917" i="1"/>
  <c r="L917" i="1"/>
  <c r="M917" i="1" s="1"/>
  <c r="N917" i="1" s="1"/>
  <c r="E918" i="1"/>
  <c r="L918" i="1"/>
  <c r="M918" i="1"/>
  <c r="N918" i="1"/>
  <c r="E919" i="1"/>
  <c r="L919" i="1"/>
  <c r="M919" i="1"/>
  <c r="N919" i="1"/>
  <c r="E920" i="1"/>
  <c r="L920" i="1"/>
  <c r="M920" i="1"/>
  <c r="N920" i="1"/>
  <c r="E921" i="1"/>
  <c r="L921" i="1"/>
  <c r="M921" i="1"/>
  <c r="N921" i="1"/>
  <c r="E922" i="1"/>
  <c r="L922" i="1"/>
  <c r="M922" i="1"/>
  <c r="N922" i="1"/>
  <c r="E923" i="1"/>
  <c r="L923" i="1"/>
  <c r="M923" i="1"/>
  <c r="N923" i="1"/>
  <c r="E924" i="1"/>
  <c r="L924" i="1"/>
  <c r="M924" i="1"/>
  <c r="N924" i="1"/>
  <c r="E925" i="1"/>
  <c r="L925" i="1"/>
  <c r="M925" i="1"/>
  <c r="N925" i="1"/>
  <c r="E926" i="1"/>
  <c r="L926" i="1"/>
  <c r="M926" i="1"/>
  <c r="N926" i="1"/>
  <c r="E927" i="1"/>
  <c r="L927" i="1"/>
  <c r="M927" i="1"/>
  <c r="N927" i="1"/>
  <c r="E928" i="1"/>
  <c r="L928" i="1"/>
  <c r="M928" i="1"/>
  <c r="N928" i="1"/>
  <c r="E929" i="1"/>
  <c r="L929" i="1"/>
  <c r="M929" i="1"/>
  <c r="N929" i="1"/>
  <c r="E930" i="1"/>
  <c r="L930" i="1"/>
  <c r="M930" i="1"/>
  <c r="N930" i="1"/>
  <c r="E931" i="1"/>
  <c r="L931" i="1"/>
  <c r="M931" i="1"/>
  <c r="N931" i="1"/>
  <c r="E932" i="1"/>
  <c r="L932" i="1"/>
  <c r="M932" i="1"/>
  <c r="N932" i="1"/>
  <c r="E933" i="1"/>
  <c r="L933" i="1"/>
  <c r="M933" i="1"/>
  <c r="N933" i="1"/>
  <c r="E934" i="1"/>
  <c r="L934" i="1"/>
  <c r="M934" i="1"/>
  <c r="N934" i="1"/>
  <c r="E935" i="1"/>
  <c r="L935" i="1"/>
  <c r="M935" i="1"/>
  <c r="N935" i="1"/>
  <c r="E936" i="1"/>
  <c r="L936" i="1"/>
  <c r="M936" i="1"/>
  <c r="N936" i="1"/>
  <c r="E937" i="1"/>
  <c r="L937" i="1"/>
  <c r="M937" i="1"/>
  <c r="N937" i="1"/>
  <c r="E938" i="1"/>
  <c r="L938" i="1"/>
  <c r="M938" i="1"/>
  <c r="N938" i="1"/>
  <c r="E939" i="1"/>
  <c r="L939" i="1"/>
  <c r="M939" i="1"/>
  <c r="N939" i="1"/>
  <c r="E940" i="1"/>
  <c r="L940" i="1"/>
  <c r="M940" i="1"/>
  <c r="N940" i="1"/>
  <c r="E941" i="1"/>
  <c r="L941" i="1"/>
  <c r="M941" i="1"/>
  <c r="N941" i="1"/>
  <c r="E942" i="1"/>
  <c r="L942" i="1"/>
  <c r="M942" i="1"/>
  <c r="N942" i="1"/>
  <c r="E943" i="1"/>
  <c r="L943" i="1"/>
  <c r="M943" i="1"/>
  <c r="N943" i="1"/>
  <c r="E944" i="1"/>
  <c r="L944" i="1"/>
  <c r="M944" i="1"/>
  <c r="N944" i="1"/>
  <c r="E945" i="1"/>
  <c r="L945" i="1"/>
  <c r="M945" i="1"/>
  <c r="N945" i="1"/>
  <c r="E946" i="1"/>
  <c r="L946" i="1"/>
  <c r="M946" i="1"/>
  <c r="N946" i="1"/>
  <c r="E947" i="1"/>
  <c r="L947" i="1"/>
  <c r="M947" i="1"/>
  <c r="N947" i="1"/>
  <c r="E948" i="1"/>
  <c r="L948" i="1"/>
  <c r="M948" i="1"/>
  <c r="N948" i="1"/>
  <c r="E949" i="1"/>
  <c r="L949" i="1"/>
  <c r="M949" i="1"/>
  <c r="N949" i="1"/>
  <c r="E950" i="1"/>
  <c r="L950" i="1"/>
  <c r="M950" i="1"/>
  <c r="N950" i="1"/>
  <c r="E951" i="1"/>
  <c r="L951" i="1"/>
  <c r="M951" i="1"/>
  <c r="N951" i="1"/>
  <c r="E952" i="1"/>
  <c r="L952" i="1"/>
  <c r="M952" i="1"/>
  <c r="N952" i="1"/>
  <c r="E953" i="1"/>
  <c r="L953" i="1"/>
  <c r="M953" i="1"/>
  <c r="N953" i="1"/>
  <c r="E954" i="1"/>
  <c r="L954" i="1"/>
  <c r="M954" i="1"/>
  <c r="N954" i="1"/>
  <c r="E955" i="1"/>
  <c r="L955" i="1"/>
  <c r="M955" i="1"/>
  <c r="N955" i="1"/>
  <c r="E956" i="1"/>
  <c r="L956" i="1"/>
  <c r="M956" i="1"/>
  <c r="N956" i="1"/>
  <c r="E957" i="1"/>
  <c r="L957" i="1"/>
  <c r="M957" i="1"/>
  <c r="N957" i="1"/>
  <c r="E958" i="1"/>
  <c r="L958" i="1"/>
  <c r="M958" i="1"/>
  <c r="N958" i="1"/>
  <c r="E959" i="1"/>
  <c r="L959" i="1"/>
  <c r="M959" i="1"/>
  <c r="N959" i="1"/>
  <c r="E960" i="1"/>
  <c r="L960" i="1"/>
  <c r="M960" i="1"/>
  <c r="N960" i="1"/>
  <c r="E961" i="1"/>
  <c r="L961" i="1"/>
  <c r="M961" i="1"/>
  <c r="N961" i="1"/>
  <c r="E962" i="1"/>
  <c r="L962" i="1"/>
  <c r="M962" i="1"/>
  <c r="N962" i="1"/>
  <c r="E963" i="1"/>
  <c r="L963" i="1"/>
  <c r="M963" i="1"/>
  <c r="N963" i="1"/>
  <c r="E964" i="1"/>
  <c r="L964" i="1"/>
  <c r="M964" i="1"/>
  <c r="N964" i="1"/>
  <c r="E965" i="1"/>
  <c r="L965" i="1"/>
  <c r="M965" i="1"/>
  <c r="N965" i="1"/>
  <c r="E966" i="1"/>
  <c r="L966" i="1"/>
  <c r="M966" i="1"/>
  <c r="N966" i="1"/>
  <c r="E967" i="1"/>
  <c r="L967" i="1"/>
  <c r="M967" i="1"/>
  <c r="N967" i="1"/>
  <c r="E968" i="1"/>
  <c r="L968" i="1"/>
  <c r="M968" i="1"/>
  <c r="N968" i="1"/>
  <c r="E969" i="1"/>
  <c r="L969" i="1"/>
  <c r="M969" i="1"/>
  <c r="N969" i="1"/>
  <c r="E970" i="1"/>
  <c r="L970" i="1"/>
  <c r="M970" i="1"/>
  <c r="N970" i="1"/>
  <c r="E971" i="1"/>
  <c r="L971" i="1"/>
  <c r="M971" i="1"/>
  <c r="N971" i="1"/>
  <c r="E972" i="1"/>
  <c r="L972" i="1"/>
  <c r="M972" i="1"/>
  <c r="N972" i="1"/>
  <c r="E973" i="1"/>
  <c r="L973" i="1"/>
  <c r="M973" i="1"/>
  <c r="N973" i="1"/>
  <c r="E974" i="1"/>
  <c r="L974" i="1"/>
  <c r="M974" i="1"/>
  <c r="N974" i="1"/>
  <c r="E975" i="1"/>
  <c r="L975" i="1"/>
  <c r="M975" i="1"/>
  <c r="N975" i="1"/>
  <c r="E976" i="1"/>
  <c r="L976" i="1"/>
  <c r="M976" i="1"/>
  <c r="N976" i="1"/>
  <c r="E977" i="1"/>
  <c r="L977" i="1"/>
  <c r="M977" i="1"/>
  <c r="N977" i="1"/>
  <c r="E978" i="1"/>
  <c r="L978" i="1"/>
  <c r="M978" i="1"/>
  <c r="N978" i="1"/>
  <c r="E979" i="1"/>
  <c r="L979" i="1"/>
  <c r="M979" i="1"/>
  <c r="N979" i="1"/>
  <c r="E980" i="1"/>
  <c r="L980" i="1"/>
  <c r="M980" i="1"/>
  <c r="N980" i="1"/>
  <c r="E981" i="1"/>
  <c r="L981" i="1"/>
  <c r="M981" i="1"/>
  <c r="N981" i="1"/>
  <c r="E982" i="1"/>
  <c r="L982" i="1"/>
  <c r="M982" i="1"/>
  <c r="N982" i="1"/>
  <c r="E983" i="1"/>
  <c r="L983" i="1"/>
  <c r="M983" i="1"/>
  <c r="N983" i="1"/>
  <c r="E984" i="1"/>
  <c r="L984" i="1"/>
  <c r="M984" i="1"/>
  <c r="N984" i="1"/>
  <c r="E985" i="1"/>
  <c r="L985" i="1"/>
  <c r="M985" i="1"/>
  <c r="N985" i="1"/>
  <c r="E986" i="1"/>
  <c r="L986" i="1"/>
  <c r="M986" i="1"/>
  <c r="N986" i="1"/>
  <c r="E987" i="1"/>
  <c r="L987" i="1"/>
  <c r="M987" i="1"/>
  <c r="N987" i="1"/>
  <c r="E988" i="1"/>
  <c r="L988" i="1"/>
  <c r="M988" i="1"/>
  <c r="N988" i="1"/>
  <c r="E989" i="1"/>
  <c r="L989" i="1"/>
  <c r="M989" i="1"/>
  <c r="N989" i="1"/>
  <c r="E990" i="1"/>
  <c r="L990" i="1"/>
  <c r="M990" i="1"/>
  <c r="N990" i="1"/>
  <c r="E991" i="1"/>
  <c r="L991" i="1"/>
  <c r="M991" i="1"/>
  <c r="N991" i="1"/>
  <c r="E992" i="1"/>
  <c r="L992" i="1"/>
  <c r="M992" i="1"/>
  <c r="N992" i="1"/>
  <c r="E993" i="1"/>
  <c r="L993" i="1"/>
  <c r="M993" i="1"/>
  <c r="N993" i="1"/>
  <c r="E994" i="1"/>
  <c r="L994" i="1"/>
  <c r="M994" i="1"/>
  <c r="N994" i="1"/>
  <c r="E995" i="1"/>
  <c r="L995" i="1"/>
  <c r="M995" i="1"/>
  <c r="N995" i="1"/>
  <c r="E996" i="1"/>
  <c r="L996" i="1"/>
  <c r="M996" i="1"/>
  <c r="N996" i="1"/>
  <c r="E997" i="1"/>
  <c r="L997" i="1"/>
  <c r="M997" i="1"/>
  <c r="N997" i="1"/>
  <c r="E998" i="1"/>
  <c r="L998" i="1"/>
  <c r="M998" i="1"/>
  <c r="N998" i="1"/>
  <c r="E999" i="1"/>
  <c r="L999" i="1"/>
  <c r="M999" i="1"/>
  <c r="N999" i="1"/>
  <c r="E1000" i="1"/>
  <c r="L1000" i="1"/>
  <c r="M1000" i="1"/>
  <c r="N1000" i="1"/>
  <c r="E1001" i="1"/>
  <c r="L1001" i="1"/>
  <c r="M1001" i="1"/>
  <c r="N1001" i="1"/>
  <c r="E1002" i="1"/>
  <c r="L1002" i="1"/>
  <c r="M1002" i="1"/>
  <c r="N1002" i="1"/>
  <c r="E1003" i="1"/>
  <c r="L1003" i="1"/>
  <c r="M1003" i="1"/>
  <c r="N1003" i="1"/>
  <c r="E1004" i="1"/>
  <c r="L1004" i="1"/>
  <c r="M1004" i="1"/>
  <c r="N1004" i="1"/>
  <c r="E1005" i="1"/>
  <c r="L1005" i="1"/>
  <c r="M1005" i="1"/>
  <c r="N1005" i="1"/>
  <c r="E1006" i="1"/>
  <c r="L1006" i="1"/>
  <c r="M1006" i="1"/>
  <c r="N1006" i="1"/>
  <c r="E1007" i="1"/>
  <c r="L1007" i="1"/>
  <c r="M1007" i="1"/>
  <c r="N1007" i="1"/>
  <c r="E1008" i="1"/>
  <c r="L1008" i="1"/>
  <c r="M1008" i="1"/>
  <c r="N1008" i="1"/>
  <c r="E1009" i="1"/>
  <c r="L1009" i="1"/>
  <c r="M1009" i="1"/>
  <c r="N1009" i="1"/>
  <c r="E1010" i="1"/>
  <c r="L1010" i="1"/>
  <c r="M1010" i="1"/>
  <c r="N1010" i="1"/>
  <c r="E1011" i="1"/>
  <c r="L1011" i="1"/>
  <c r="M1011" i="1"/>
  <c r="N1011" i="1"/>
  <c r="E1012" i="1"/>
  <c r="L1012" i="1"/>
  <c r="M1012" i="1"/>
  <c r="N1012" i="1"/>
  <c r="E1013" i="1"/>
  <c r="L1013" i="1"/>
  <c r="M1013" i="1"/>
  <c r="N1013" i="1"/>
  <c r="E1014" i="1"/>
  <c r="L1014" i="1"/>
  <c r="M1014" i="1"/>
  <c r="N1014" i="1"/>
  <c r="E1015" i="1"/>
  <c r="L1015" i="1"/>
  <c r="M1015" i="1"/>
  <c r="N1015" i="1"/>
  <c r="E1016" i="1"/>
  <c r="L1016" i="1"/>
  <c r="M1016" i="1"/>
  <c r="N1016" i="1"/>
  <c r="E1017" i="1"/>
  <c r="L1017" i="1"/>
  <c r="M1017" i="1"/>
  <c r="N1017" i="1"/>
  <c r="E1018" i="1"/>
  <c r="L1018" i="1"/>
  <c r="M1018" i="1"/>
  <c r="N1018" i="1"/>
  <c r="E1019" i="1"/>
  <c r="L1019" i="1"/>
  <c r="M1019" i="1"/>
  <c r="N1019" i="1"/>
  <c r="E1020" i="1"/>
  <c r="L1020" i="1"/>
  <c r="M1020" i="1"/>
  <c r="N1020" i="1"/>
  <c r="E1021" i="1"/>
  <c r="L1021" i="1"/>
  <c r="M1021" i="1"/>
  <c r="N1021" i="1"/>
  <c r="E1022" i="1"/>
  <c r="L1022" i="1"/>
  <c r="M1022" i="1"/>
  <c r="N1022" i="1"/>
  <c r="E1023" i="1"/>
  <c r="L1023" i="1"/>
  <c r="M1023" i="1"/>
  <c r="N1023" i="1"/>
  <c r="E1024" i="1"/>
  <c r="L1024" i="1"/>
  <c r="M1024" i="1"/>
  <c r="N1024" i="1"/>
  <c r="E1025" i="1"/>
  <c r="L1025" i="1"/>
  <c r="M1025" i="1"/>
  <c r="N1025" i="1"/>
  <c r="E1026" i="1"/>
  <c r="L1026" i="1"/>
  <c r="M1026" i="1"/>
  <c r="N1026" i="1"/>
  <c r="E1027" i="1"/>
  <c r="L1027" i="1"/>
  <c r="M1027" i="1"/>
  <c r="N1027" i="1"/>
  <c r="E1028" i="1"/>
  <c r="L1028" i="1"/>
  <c r="M1028" i="1"/>
  <c r="N1028" i="1"/>
  <c r="E1029" i="1"/>
  <c r="L1029" i="1"/>
  <c r="M1029" i="1"/>
  <c r="N1029" i="1"/>
  <c r="E1030" i="1"/>
  <c r="L1030" i="1"/>
  <c r="M1030" i="1"/>
  <c r="N1030" i="1"/>
  <c r="E1031" i="1"/>
  <c r="L1031" i="1"/>
  <c r="M1031" i="1"/>
  <c r="N1031" i="1"/>
  <c r="E1032" i="1"/>
  <c r="L1032" i="1"/>
  <c r="M1032" i="1"/>
  <c r="N1032" i="1"/>
  <c r="E1033" i="1"/>
  <c r="L1033" i="1"/>
  <c r="M1033" i="1"/>
  <c r="N1033" i="1"/>
  <c r="E1034" i="1"/>
  <c r="L1034" i="1"/>
  <c r="M1034" i="1"/>
  <c r="N1034" i="1"/>
  <c r="E1035" i="1"/>
  <c r="L1035" i="1"/>
  <c r="M1035" i="1"/>
  <c r="N1035" i="1"/>
  <c r="E1036" i="1"/>
  <c r="L1036" i="1"/>
  <c r="M1036" i="1"/>
  <c r="N1036" i="1"/>
  <c r="E1037" i="1"/>
  <c r="L1037" i="1"/>
  <c r="M1037" i="1"/>
  <c r="N1037" i="1"/>
  <c r="E1038" i="1"/>
  <c r="L1038" i="1"/>
  <c r="M1038" i="1"/>
  <c r="N1038" i="1"/>
  <c r="E1039" i="1"/>
  <c r="L1039" i="1"/>
  <c r="M1039" i="1"/>
  <c r="N1039" i="1"/>
  <c r="E1040" i="1"/>
  <c r="L1040" i="1"/>
  <c r="M1040" i="1"/>
  <c r="N1040" i="1"/>
  <c r="E1041" i="1"/>
  <c r="L1041" i="1"/>
  <c r="M1041" i="1"/>
  <c r="N1041" i="1"/>
  <c r="E1042" i="1"/>
  <c r="L1042" i="1"/>
  <c r="M1042" i="1"/>
  <c r="N1042" i="1"/>
  <c r="E1043" i="1"/>
  <c r="L1043" i="1"/>
  <c r="M1043" i="1"/>
  <c r="N1043" i="1"/>
  <c r="E1044" i="1"/>
  <c r="L1044" i="1"/>
  <c r="M1044" i="1"/>
  <c r="N1044" i="1"/>
  <c r="E1045" i="1"/>
  <c r="L1045" i="1"/>
  <c r="M1045" i="1"/>
  <c r="N1045" i="1"/>
  <c r="E1046" i="1"/>
  <c r="L1046" i="1"/>
  <c r="M1046" i="1"/>
  <c r="N1046" i="1"/>
  <c r="E1047" i="1"/>
  <c r="L1047" i="1"/>
  <c r="M1047" i="1"/>
  <c r="N1047" i="1"/>
  <c r="E1048" i="1"/>
  <c r="L1048" i="1"/>
  <c r="M1048" i="1"/>
  <c r="N1048" i="1"/>
  <c r="E1049" i="1"/>
  <c r="L1049" i="1"/>
  <c r="M1049" i="1"/>
  <c r="N1049" i="1"/>
  <c r="E1050" i="1"/>
  <c r="L1050" i="1"/>
  <c r="M1050" i="1"/>
  <c r="N1050" i="1"/>
  <c r="E1051" i="1"/>
  <c r="L1051" i="1"/>
  <c r="M1051" i="1"/>
  <c r="N1051" i="1"/>
  <c r="E1052" i="1"/>
  <c r="L1052" i="1"/>
  <c r="M1052" i="1"/>
  <c r="N1052" i="1"/>
  <c r="E1053" i="1"/>
  <c r="L1053" i="1"/>
  <c r="M1053" i="1"/>
  <c r="N1053" i="1"/>
  <c r="E1054" i="1"/>
  <c r="L1054" i="1"/>
  <c r="M1054" i="1"/>
  <c r="N1054" i="1"/>
  <c r="E1055" i="1"/>
  <c r="L1055" i="1"/>
  <c r="M1055" i="1"/>
  <c r="N1055" i="1"/>
  <c r="E1056" i="1"/>
  <c r="L1056" i="1"/>
  <c r="M1056" i="1"/>
  <c r="N1056" i="1"/>
  <c r="E1057" i="1"/>
  <c r="L1057" i="1"/>
  <c r="M1057" i="1"/>
  <c r="N1057" i="1"/>
  <c r="E1058" i="1"/>
  <c r="L1058" i="1"/>
  <c r="M1058" i="1"/>
  <c r="N1058" i="1"/>
  <c r="E1059" i="1"/>
  <c r="L1059" i="1"/>
  <c r="M1059" i="1"/>
  <c r="N1059" i="1"/>
  <c r="E1060" i="1"/>
  <c r="L1060" i="1"/>
  <c r="M1060" i="1"/>
  <c r="N1060" i="1"/>
  <c r="E1061" i="1"/>
  <c r="L1061" i="1"/>
  <c r="M1061" i="1"/>
  <c r="N1061" i="1"/>
  <c r="E1062" i="1"/>
  <c r="L1062" i="1"/>
  <c r="M1062" i="1"/>
  <c r="N1062" i="1"/>
  <c r="E1063" i="1"/>
  <c r="L1063" i="1"/>
  <c r="M1063" i="1"/>
  <c r="N1063" i="1"/>
  <c r="E1064" i="1"/>
  <c r="L1064" i="1"/>
  <c r="M1064" i="1"/>
  <c r="N1064" i="1"/>
  <c r="E1065" i="1"/>
  <c r="L1065" i="1"/>
  <c r="M1065" i="1"/>
  <c r="N1065" i="1"/>
  <c r="E1066" i="1"/>
  <c r="L1066" i="1"/>
  <c r="M1066" i="1"/>
  <c r="N1066" i="1"/>
  <c r="E1067" i="1"/>
  <c r="L1067" i="1"/>
  <c r="M1067" i="1"/>
  <c r="N1067" i="1"/>
  <c r="E1068" i="1"/>
  <c r="L1068" i="1"/>
  <c r="M1068" i="1"/>
  <c r="N1068" i="1"/>
  <c r="E1069" i="1"/>
  <c r="L1069" i="1"/>
  <c r="M1069" i="1"/>
  <c r="N1069" i="1"/>
  <c r="E1070" i="1"/>
  <c r="L1070" i="1"/>
  <c r="M1070" i="1"/>
  <c r="N1070" i="1"/>
  <c r="E1071" i="1"/>
  <c r="L1071" i="1"/>
  <c r="M1071" i="1"/>
  <c r="N1071" i="1"/>
  <c r="E1072" i="1"/>
  <c r="L1072" i="1"/>
  <c r="M1072" i="1"/>
  <c r="N1072" i="1"/>
  <c r="E1073" i="1"/>
  <c r="L1073" i="1"/>
  <c r="M1073" i="1"/>
  <c r="N1073" i="1"/>
  <c r="E1074" i="1"/>
  <c r="L1074" i="1"/>
  <c r="M1074" i="1"/>
  <c r="N1074" i="1"/>
  <c r="E1075" i="1"/>
  <c r="L1075" i="1"/>
  <c r="M1075" i="1"/>
  <c r="N1075" i="1"/>
  <c r="E1076" i="1"/>
  <c r="L1076" i="1"/>
  <c r="M1076" i="1"/>
  <c r="N1076" i="1"/>
  <c r="E1077" i="1"/>
  <c r="L1077" i="1"/>
  <c r="M1077" i="1"/>
  <c r="N1077" i="1"/>
  <c r="E1078" i="1"/>
  <c r="L1078" i="1"/>
  <c r="M1078" i="1"/>
  <c r="N1078" i="1"/>
  <c r="E1079" i="1"/>
  <c r="L1079" i="1"/>
  <c r="M1079" i="1"/>
  <c r="N1079" i="1"/>
  <c r="E1080" i="1"/>
  <c r="L1080" i="1"/>
  <c r="M1080" i="1"/>
  <c r="N1080" i="1"/>
  <c r="E1081" i="1"/>
  <c r="L1081" i="1"/>
  <c r="M1081" i="1"/>
  <c r="N1081" i="1"/>
  <c r="E1082" i="1"/>
  <c r="L1082" i="1"/>
  <c r="M1082" i="1"/>
  <c r="N1082" i="1"/>
  <c r="E1083" i="1"/>
  <c r="L1083" i="1"/>
  <c r="M1083" i="1"/>
  <c r="N1083" i="1"/>
  <c r="E1084" i="1"/>
  <c r="L1084" i="1"/>
  <c r="M1084" i="1"/>
  <c r="N1084" i="1"/>
  <c r="E1085" i="1"/>
  <c r="L1085" i="1"/>
  <c r="M1085" i="1"/>
  <c r="N1085" i="1"/>
  <c r="E1086" i="1"/>
  <c r="L1086" i="1"/>
  <c r="M1086" i="1"/>
  <c r="N1086" i="1"/>
  <c r="E1087" i="1"/>
  <c r="L1087" i="1"/>
  <c r="M1087" i="1"/>
  <c r="N1087" i="1"/>
  <c r="E1088" i="1"/>
  <c r="L1088" i="1"/>
  <c r="M1088" i="1"/>
  <c r="N1088" i="1"/>
  <c r="E1089" i="1"/>
  <c r="L1089" i="1"/>
  <c r="M1089" i="1"/>
  <c r="N1089" i="1"/>
  <c r="E1090" i="1"/>
  <c r="L1090" i="1"/>
  <c r="M1090" i="1"/>
  <c r="N1090" i="1"/>
  <c r="E1091" i="1"/>
  <c r="L1091" i="1"/>
  <c r="M1091" i="1"/>
  <c r="N1091" i="1"/>
  <c r="E1092" i="1"/>
  <c r="L1092" i="1"/>
  <c r="M1092" i="1"/>
  <c r="N1092" i="1"/>
  <c r="E1093" i="1"/>
  <c r="L1093" i="1"/>
  <c r="M1093" i="1"/>
  <c r="N1093" i="1"/>
  <c r="E1094" i="1"/>
  <c r="L1094" i="1"/>
  <c r="M1094" i="1"/>
  <c r="N1094" i="1"/>
  <c r="E1095" i="1"/>
  <c r="L1095" i="1"/>
  <c r="M1095" i="1"/>
  <c r="N1095" i="1"/>
  <c r="E1096" i="1"/>
  <c r="L1096" i="1"/>
  <c r="M1096" i="1"/>
  <c r="N1096" i="1"/>
  <c r="E1097" i="1"/>
  <c r="L1097" i="1"/>
  <c r="M1097" i="1"/>
  <c r="N1097" i="1"/>
  <c r="E1098" i="1"/>
  <c r="L1098" i="1"/>
  <c r="M1098" i="1"/>
  <c r="N1098" i="1"/>
  <c r="E1099" i="1"/>
  <c r="L1099" i="1"/>
  <c r="M1099" i="1"/>
  <c r="N1099" i="1"/>
  <c r="E1100" i="1"/>
  <c r="L1100" i="1"/>
  <c r="M1100" i="1" s="1"/>
  <c r="N1100" i="1" s="1"/>
  <c r="E1101" i="1"/>
  <c r="L1101" i="1"/>
  <c r="M1101" i="1"/>
  <c r="N1101" i="1"/>
  <c r="E1102" i="1"/>
  <c r="L1102" i="1"/>
  <c r="M1102" i="1"/>
  <c r="N1102" i="1"/>
  <c r="E1103" i="1"/>
  <c r="L1103" i="1"/>
  <c r="M1103" i="1"/>
  <c r="N1103" i="1"/>
  <c r="E1104" i="1"/>
  <c r="L1104" i="1"/>
  <c r="M1104" i="1"/>
  <c r="N1104" i="1"/>
  <c r="E1105" i="1"/>
  <c r="L1105" i="1"/>
  <c r="M1105" i="1"/>
  <c r="N1105" i="1"/>
  <c r="E1106" i="1"/>
  <c r="L1106" i="1"/>
  <c r="M1106" i="1"/>
  <c r="N1106" i="1"/>
  <c r="E1107" i="1"/>
  <c r="L1107" i="1"/>
  <c r="M1107" i="1"/>
  <c r="N1107" i="1"/>
  <c r="E1108" i="1"/>
  <c r="L1108" i="1"/>
  <c r="M1108" i="1"/>
  <c r="N1108" i="1"/>
  <c r="E1109" i="1"/>
  <c r="L1109" i="1"/>
  <c r="M1109" i="1"/>
  <c r="N1109" i="1"/>
  <c r="E1110" i="1"/>
  <c r="L1110" i="1"/>
  <c r="M1110" i="1"/>
  <c r="N1110" i="1"/>
  <c r="E1111" i="1"/>
  <c r="L1111" i="1"/>
  <c r="M1111" i="1"/>
  <c r="N1111" i="1"/>
  <c r="E1112" i="1"/>
  <c r="L1112" i="1"/>
  <c r="M1112" i="1"/>
  <c r="N1112" i="1"/>
  <c r="E1113" i="1"/>
  <c r="L1113" i="1"/>
  <c r="M1113" i="1"/>
  <c r="N1113" i="1"/>
  <c r="E1114" i="1"/>
  <c r="L1114" i="1"/>
  <c r="M1114" i="1"/>
  <c r="N1114" i="1"/>
  <c r="E1115" i="1"/>
  <c r="L1115" i="1"/>
  <c r="M1115" i="1"/>
  <c r="N1115" i="1"/>
  <c r="E1116" i="1"/>
  <c r="L1116" i="1"/>
  <c r="M1116" i="1"/>
  <c r="N1116" i="1"/>
  <c r="E1117" i="1"/>
  <c r="L1117" i="1"/>
  <c r="M1117" i="1"/>
  <c r="N1117" i="1"/>
  <c r="E1118" i="1"/>
  <c r="L1118" i="1"/>
  <c r="M1118" i="1"/>
  <c r="N1118" i="1"/>
  <c r="E1119" i="1"/>
  <c r="L1119" i="1"/>
  <c r="M1119" i="1"/>
  <c r="N1119" i="1"/>
  <c r="E1120" i="1"/>
  <c r="L1120" i="1"/>
  <c r="M1120" i="1"/>
  <c r="N1120" i="1"/>
  <c r="E1121" i="1"/>
  <c r="L1121" i="1"/>
  <c r="M1121" i="1"/>
  <c r="N1121" i="1"/>
  <c r="E1122" i="1"/>
  <c r="L1122" i="1"/>
  <c r="M1122" i="1"/>
  <c r="N1122" i="1"/>
  <c r="E1123" i="1"/>
  <c r="L1123" i="1"/>
  <c r="M1123" i="1"/>
  <c r="N1123" i="1"/>
  <c r="E1124" i="1"/>
  <c r="L1124" i="1"/>
  <c r="M1124" i="1"/>
  <c r="N1124" i="1"/>
  <c r="E1125" i="1"/>
  <c r="L1125" i="1"/>
  <c r="M1125" i="1"/>
  <c r="N1125" i="1"/>
  <c r="E1126" i="1"/>
  <c r="L1126" i="1"/>
  <c r="M1126" i="1"/>
  <c r="N1126" i="1"/>
  <c r="E1127" i="1"/>
  <c r="L1127" i="1"/>
  <c r="M1127" i="1"/>
  <c r="N1127" i="1"/>
  <c r="E1128" i="1"/>
  <c r="L1128" i="1"/>
  <c r="M1128" i="1"/>
  <c r="N1128" i="1"/>
  <c r="E1129" i="1"/>
  <c r="L1129" i="1"/>
  <c r="M1129" i="1"/>
  <c r="N1129" i="1"/>
  <c r="E1130" i="1"/>
  <c r="L1130" i="1"/>
  <c r="M1130" i="1"/>
  <c r="N1130" i="1"/>
  <c r="E1131" i="1"/>
  <c r="L1131" i="1"/>
  <c r="M1131" i="1"/>
  <c r="N1131" i="1"/>
  <c r="E1132" i="1"/>
  <c r="L1132" i="1"/>
  <c r="M1132" i="1"/>
  <c r="N1132" i="1"/>
  <c r="E1133" i="1"/>
  <c r="L1133" i="1"/>
  <c r="M1133" i="1"/>
  <c r="N1133" i="1"/>
  <c r="E1134" i="1"/>
  <c r="L1134" i="1"/>
  <c r="M1134" i="1"/>
  <c r="N1134" i="1"/>
  <c r="E1135" i="1"/>
  <c r="L1135" i="1"/>
  <c r="M1135" i="1"/>
  <c r="N1135" i="1"/>
  <c r="E1136" i="1"/>
  <c r="L1136" i="1"/>
  <c r="M1136" i="1"/>
  <c r="N1136" i="1"/>
  <c r="E1137" i="1"/>
  <c r="L1137" i="1"/>
  <c r="M1137" i="1"/>
  <c r="N1137" i="1"/>
  <c r="E1138" i="1"/>
  <c r="L1138" i="1"/>
  <c r="M1138" i="1"/>
  <c r="N1138" i="1"/>
  <c r="E1139" i="1"/>
  <c r="L1139" i="1"/>
  <c r="M1139" i="1"/>
  <c r="N1139" i="1"/>
  <c r="E1140" i="1"/>
  <c r="L1140" i="1"/>
  <c r="M1140" i="1"/>
  <c r="N1140" i="1"/>
  <c r="E1141" i="1"/>
  <c r="L1141" i="1"/>
  <c r="M1141" i="1"/>
  <c r="N1141" i="1"/>
  <c r="E1142" i="1"/>
  <c r="L1142" i="1"/>
  <c r="M1142" i="1"/>
  <c r="N1142" i="1"/>
  <c r="E1143" i="1"/>
  <c r="L1143" i="1"/>
  <c r="M1143" i="1"/>
  <c r="N1143" i="1"/>
  <c r="E1144" i="1"/>
  <c r="L1144" i="1"/>
  <c r="M1144" i="1"/>
  <c r="N1144" i="1"/>
  <c r="E1145" i="1"/>
  <c r="L1145" i="1"/>
  <c r="M1145" i="1"/>
  <c r="N1145" i="1"/>
  <c r="E1146" i="1"/>
  <c r="L1146" i="1"/>
  <c r="M1146" i="1"/>
  <c r="N1146" i="1"/>
  <c r="E1147" i="1"/>
  <c r="L1147" i="1"/>
  <c r="M1147" i="1"/>
  <c r="N1147" i="1"/>
  <c r="E1148" i="1"/>
  <c r="L1148" i="1"/>
  <c r="M1148" i="1"/>
  <c r="N1148" i="1"/>
  <c r="E1149" i="1"/>
  <c r="L1149" i="1"/>
  <c r="M1149" i="1"/>
  <c r="N1149" i="1"/>
  <c r="E1150" i="1"/>
  <c r="L1150" i="1"/>
  <c r="M1150" i="1"/>
  <c r="N1150" i="1"/>
  <c r="E1151" i="1"/>
  <c r="L1151" i="1"/>
  <c r="M1151" i="1"/>
  <c r="N1151" i="1"/>
  <c r="E1152" i="1"/>
  <c r="L1152" i="1"/>
  <c r="M1152" i="1"/>
  <c r="N1152" i="1"/>
  <c r="E1153" i="1"/>
  <c r="L1153" i="1"/>
  <c r="M1153" i="1"/>
  <c r="N1153" i="1"/>
  <c r="E1154" i="1"/>
  <c r="L1154" i="1"/>
  <c r="M1154" i="1"/>
  <c r="N1154" i="1"/>
  <c r="E1155" i="1"/>
  <c r="L1155" i="1"/>
  <c r="M1155" i="1"/>
  <c r="N1155" i="1"/>
  <c r="E1156" i="1"/>
  <c r="L1156" i="1"/>
  <c r="M1156" i="1"/>
  <c r="N1156" i="1"/>
  <c r="E1157" i="1"/>
  <c r="L1157" i="1"/>
  <c r="M1157" i="1"/>
  <c r="N1157" i="1"/>
  <c r="E1158" i="1"/>
  <c r="L1158" i="1"/>
  <c r="M1158" i="1"/>
  <c r="N1158" i="1"/>
  <c r="E1159" i="1"/>
  <c r="L1159" i="1"/>
  <c r="M1159" i="1"/>
  <c r="N1159" i="1"/>
  <c r="E1160" i="1"/>
  <c r="L1160" i="1"/>
  <c r="M1160" i="1"/>
  <c r="N1160" i="1"/>
  <c r="E1161" i="1"/>
  <c r="L1161" i="1"/>
  <c r="M1161" i="1"/>
  <c r="N1161" i="1"/>
  <c r="E1162" i="1"/>
  <c r="L1162" i="1"/>
  <c r="M1162" i="1"/>
  <c r="N1162" i="1"/>
  <c r="E1163" i="1"/>
  <c r="L1163" i="1"/>
  <c r="M1163" i="1"/>
  <c r="N1163" i="1"/>
  <c r="E1164" i="1"/>
  <c r="L1164" i="1"/>
  <c r="M1164" i="1"/>
  <c r="N1164" i="1"/>
  <c r="E1165" i="1"/>
  <c r="L1165" i="1"/>
  <c r="M1165" i="1"/>
  <c r="N1165" i="1"/>
  <c r="E1166" i="1"/>
  <c r="L1166" i="1"/>
  <c r="M1166" i="1"/>
  <c r="N1166" i="1"/>
  <c r="E1167" i="1"/>
  <c r="L1167" i="1"/>
  <c r="M1167" i="1"/>
  <c r="N1167" i="1"/>
  <c r="E1168" i="1"/>
  <c r="L1168" i="1"/>
  <c r="M1168" i="1"/>
  <c r="N1168" i="1"/>
  <c r="E1169" i="1"/>
  <c r="L1169" i="1"/>
  <c r="M1169" i="1"/>
  <c r="N1169" i="1"/>
  <c r="E1170" i="1"/>
  <c r="L1170" i="1"/>
  <c r="M1170" i="1"/>
  <c r="N1170" i="1"/>
  <c r="E1171" i="1"/>
  <c r="L1171" i="1"/>
  <c r="M1171" i="1"/>
  <c r="N1171" i="1"/>
  <c r="E1172" i="1"/>
  <c r="L1172" i="1"/>
  <c r="M1172" i="1"/>
  <c r="N1172" i="1"/>
  <c r="E1173" i="1"/>
  <c r="L1173" i="1"/>
  <c r="M1173" i="1"/>
  <c r="N1173" i="1"/>
  <c r="E1174" i="1"/>
  <c r="L1174" i="1"/>
  <c r="M1174" i="1"/>
  <c r="N1174" i="1"/>
  <c r="E1175" i="1"/>
  <c r="L1175" i="1"/>
  <c r="M1175" i="1"/>
  <c r="N1175" i="1"/>
  <c r="E1176" i="1"/>
  <c r="L1176" i="1"/>
  <c r="M1176" i="1"/>
  <c r="N1176" i="1"/>
  <c r="E1177" i="1"/>
  <c r="L1177" i="1"/>
  <c r="M1177" i="1"/>
  <c r="N1177" i="1"/>
  <c r="E1178" i="1"/>
  <c r="L1178" i="1"/>
  <c r="M1178" i="1"/>
  <c r="N1178" i="1"/>
  <c r="E1179" i="1"/>
  <c r="L1179" i="1"/>
  <c r="M1179" i="1"/>
  <c r="N1179" i="1"/>
  <c r="E1180" i="1"/>
  <c r="L1180" i="1"/>
  <c r="M1180" i="1"/>
  <c r="N1180" i="1"/>
  <c r="E1181" i="1"/>
  <c r="L1181" i="1"/>
  <c r="M1181" i="1"/>
  <c r="N1181" i="1"/>
  <c r="E1182" i="1"/>
  <c r="L1182" i="1"/>
  <c r="M1182" i="1"/>
  <c r="N1182" i="1"/>
  <c r="E1183" i="1"/>
  <c r="L1183" i="1"/>
  <c r="M1183" i="1"/>
  <c r="N1183" i="1"/>
  <c r="E1184" i="1"/>
  <c r="L1184" i="1"/>
  <c r="M1184" i="1"/>
  <c r="N1184" i="1"/>
  <c r="E1185" i="1"/>
  <c r="L1185" i="1"/>
  <c r="M1185" i="1"/>
  <c r="N1185" i="1"/>
  <c r="E1186" i="1"/>
  <c r="L1186" i="1"/>
  <c r="M1186" i="1"/>
  <c r="N1186" i="1"/>
  <c r="E1187" i="1"/>
  <c r="L1187" i="1"/>
  <c r="M1187" i="1"/>
  <c r="N1187" i="1"/>
  <c r="E1188" i="1"/>
  <c r="L1188" i="1"/>
  <c r="M1188" i="1"/>
  <c r="N1188" i="1"/>
  <c r="E1189" i="1"/>
  <c r="L1189" i="1"/>
  <c r="M1189" i="1"/>
  <c r="N1189" i="1"/>
  <c r="E1190" i="1"/>
  <c r="L1190" i="1"/>
  <c r="M1190" i="1"/>
  <c r="N1190" i="1"/>
  <c r="E1191" i="1"/>
  <c r="L1191" i="1"/>
  <c r="M1191" i="1"/>
  <c r="N1191" i="1"/>
  <c r="E1192" i="1"/>
  <c r="L1192" i="1"/>
  <c r="M1192" i="1"/>
  <c r="N1192" i="1"/>
  <c r="E1193" i="1"/>
  <c r="L1193" i="1"/>
  <c r="M1193" i="1"/>
  <c r="N1193" i="1"/>
  <c r="E1194" i="1"/>
  <c r="L1194" i="1"/>
  <c r="M1194" i="1"/>
  <c r="N1194" i="1"/>
  <c r="E1195" i="1"/>
  <c r="L1195" i="1"/>
  <c r="M1195" i="1"/>
  <c r="N1195" i="1"/>
  <c r="E1196" i="1"/>
  <c r="L1196" i="1"/>
  <c r="M1196" i="1"/>
  <c r="N1196" i="1"/>
  <c r="E1197" i="1"/>
  <c r="L1197" i="1"/>
  <c r="M1197" i="1"/>
  <c r="N1197" i="1"/>
  <c r="E1198" i="1"/>
  <c r="L1198" i="1"/>
  <c r="M1198" i="1"/>
  <c r="N1198" i="1"/>
  <c r="E1199" i="1"/>
  <c r="L1199" i="1"/>
  <c r="M1199" i="1"/>
  <c r="N1199" i="1"/>
  <c r="E1200" i="1"/>
  <c r="L1200" i="1"/>
  <c r="M1200" i="1"/>
  <c r="N1200" i="1"/>
  <c r="E1201" i="1"/>
  <c r="L1201" i="1"/>
  <c r="M1201" i="1"/>
  <c r="N1201" i="1"/>
  <c r="E1202" i="1"/>
  <c r="L1202" i="1"/>
  <c r="M1202" i="1"/>
  <c r="N1202" i="1"/>
  <c r="E1203" i="1"/>
  <c r="L1203" i="1"/>
  <c r="M1203" i="1"/>
  <c r="N1203" i="1"/>
  <c r="E1204" i="1"/>
  <c r="L1204" i="1"/>
  <c r="M1204" i="1"/>
  <c r="N1204" i="1"/>
  <c r="E1205" i="1"/>
  <c r="L1205" i="1"/>
  <c r="M1205" i="1"/>
  <c r="N1205" i="1"/>
  <c r="E1206" i="1"/>
  <c r="L1206" i="1"/>
  <c r="M1206" i="1"/>
  <c r="N1206" i="1"/>
  <c r="E1207" i="1"/>
  <c r="L1207" i="1"/>
  <c r="M1207" i="1"/>
  <c r="N1207" i="1"/>
  <c r="E1208" i="1"/>
  <c r="L1208" i="1"/>
  <c r="M1208" i="1"/>
  <c r="N1208" i="1"/>
  <c r="E1209" i="1"/>
  <c r="L1209" i="1"/>
  <c r="M1209" i="1"/>
  <c r="N1209" i="1"/>
  <c r="E1210" i="1"/>
  <c r="L1210" i="1"/>
  <c r="M1210" i="1"/>
  <c r="N1210" i="1"/>
  <c r="E1211" i="1"/>
  <c r="L1211" i="1"/>
  <c r="M1211" i="1"/>
  <c r="N1211" i="1"/>
  <c r="E1212" i="1"/>
  <c r="L1212" i="1"/>
  <c r="M1212" i="1"/>
  <c r="N1212" i="1"/>
  <c r="E1213" i="1"/>
  <c r="L1213" i="1"/>
  <c r="M1213" i="1"/>
  <c r="N1213" i="1"/>
  <c r="E1214" i="1"/>
  <c r="L1214" i="1"/>
  <c r="M1214" i="1"/>
  <c r="N1214" i="1"/>
  <c r="E1215" i="1"/>
  <c r="L1215" i="1"/>
  <c r="M1215" i="1"/>
  <c r="N1215" i="1"/>
  <c r="E1216" i="1"/>
  <c r="L1216" i="1"/>
  <c r="M1216" i="1"/>
  <c r="N1216" i="1"/>
  <c r="E1217" i="1"/>
  <c r="L1217" i="1"/>
  <c r="M1217" i="1"/>
  <c r="N1217" i="1"/>
  <c r="E1218" i="1"/>
  <c r="L1218" i="1"/>
  <c r="M1218" i="1"/>
  <c r="N1218" i="1"/>
  <c r="E1219" i="1"/>
  <c r="L1219" i="1"/>
  <c r="M1219" i="1"/>
  <c r="N1219" i="1"/>
  <c r="E1220" i="1"/>
  <c r="L1220" i="1"/>
  <c r="M1220" i="1"/>
  <c r="N1220" i="1"/>
  <c r="E1221" i="1"/>
  <c r="L1221" i="1"/>
  <c r="M1221" i="1"/>
  <c r="N1221" i="1"/>
  <c r="E1222" i="1"/>
  <c r="L1222" i="1"/>
  <c r="M1222" i="1"/>
  <c r="N1222" i="1"/>
  <c r="E1223" i="1"/>
  <c r="L1223" i="1"/>
  <c r="M1223" i="1"/>
  <c r="N1223" i="1"/>
  <c r="E1224" i="1"/>
  <c r="L1224" i="1"/>
  <c r="M1224" i="1"/>
  <c r="N1224" i="1"/>
  <c r="E1225" i="1"/>
  <c r="L1225" i="1"/>
  <c r="M1225" i="1"/>
  <c r="N1225" i="1"/>
  <c r="E1226" i="1"/>
  <c r="L1226" i="1"/>
  <c r="M1226" i="1"/>
  <c r="N1226" i="1"/>
  <c r="E1227" i="1"/>
  <c r="L1227" i="1"/>
  <c r="M1227" i="1"/>
  <c r="N1227" i="1"/>
  <c r="E1228" i="1"/>
  <c r="L1228" i="1"/>
  <c r="M1228" i="1"/>
  <c r="N1228" i="1"/>
  <c r="E1229" i="1"/>
  <c r="L1229" i="1"/>
  <c r="M1229" i="1"/>
  <c r="N1229" i="1"/>
  <c r="E1230" i="1"/>
  <c r="L1230" i="1"/>
  <c r="M1230" i="1"/>
  <c r="N1230" i="1"/>
  <c r="E1231" i="1"/>
  <c r="L1231" i="1"/>
  <c r="M1231" i="1"/>
  <c r="N1231" i="1"/>
  <c r="E1232" i="1"/>
  <c r="L1232" i="1"/>
  <c r="M1232" i="1"/>
  <c r="N1232" i="1"/>
  <c r="E1233" i="1"/>
  <c r="L1233" i="1"/>
  <c r="M1233" i="1"/>
  <c r="N1233" i="1"/>
  <c r="E1234" i="1"/>
  <c r="L1234" i="1"/>
  <c r="M1234" i="1"/>
  <c r="N1234" i="1"/>
  <c r="E1235" i="1"/>
  <c r="L1235" i="1"/>
  <c r="M1235" i="1" s="1"/>
  <c r="N1235" i="1" s="1"/>
  <c r="E1236" i="1"/>
  <c r="L1236" i="1"/>
  <c r="M1236" i="1"/>
  <c r="N1236" i="1"/>
  <c r="E1237" i="1"/>
  <c r="L1237" i="1"/>
  <c r="M1237" i="1"/>
  <c r="N1237" i="1"/>
  <c r="E1238" i="1"/>
  <c r="L1238" i="1"/>
  <c r="M1238" i="1" s="1"/>
  <c r="N1238" i="1" s="1"/>
  <c r="E1239" i="1"/>
  <c r="L1239" i="1"/>
  <c r="M1239" i="1"/>
  <c r="N1239" i="1"/>
  <c r="E1240" i="1"/>
  <c r="L1240" i="1"/>
  <c r="M1240" i="1"/>
  <c r="N1240" i="1"/>
  <c r="E1241" i="1"/>
  <c r="L1241" i="1"/>
  <c r="M1241" i="1"/>
  <c r="N1241" i="1"/>
  <c r="E1242" i="1"/>
  <c r="L1242" i="1"/>
  <c r="M1242" i="1"/>
  <c r="N1242" i="1" s="1"/>
  <c r="E1243" i="1"/>
  <c r="L1243" i="1"/>
  <c r="M1243" i="1" s="1"/>
  <c r="N1243" i="1" s="1"/>
  <c r="E1244" i="1"/>
  <c r="L1244" i="1"/>
  <c r="M1244" i="1"/>
  <c r="N1244" i="1" s="1"/>
  <c r="E1245" i="1"/>
  <c r="L1245" i="1"/>
  <c r="M1245" i="1"/>
  <c r="N1245" i="1"/>
  <c r="E1246" i="1"/>
  <c r="L1246" i="1"/>
  <c r="M1246" i="1" s="1"/>
  <c r="N1246" i="1" s="1"/>
  <c r="E1247" i="1"/>
  <c r="L1247" i="1"/>
  <c r="M1247" i="1"/>
  <c r="N1247" i="1" s="1"/>
  <c r="E1248" i="1"/>
  <c r="L1248" i="1"/>
  <c r="M1248" i="1"/>
  <c r="N1248" i="1" s="1"/>
  <c r="E1249" i="1"/>
  <c r="L1249" i="1"/>
  <c r="M1249" i="1"/>
  <c r="N1249" i="1" s="1"/>
  <c r="E1250" i="1"/>
  <c r="L1250" i="1"/>
  <c r="M1250" i="1"/>
  <c r="N1250" i="1"/>
  <c r="E1251" i="1"/>
  <c r="L1251" i="1"/>
  <c r="M1251" i="1" s="1"/>
  <c r="N1251" i="1" s="1"/>
  <c r="E1252" i="1"/>
  <c r="L1252" i="1"/>
  <c r="M1252" i="1"/>
  <c r="N1252" i="1" s="1"/>
  <c r="E1253" i="1"/>
  <c r="L1253" i="1"/>
  <c r="M1253" i="1"/>
  <c r="N1253" i="1" s="1"/>
  <c r="E1254" i="1"/>
  <c r="L1254" i="1"/>
  <c r="M1254" i="1"/>
  <c r="N1254" i="1" s="1"/>
  <c r="E1255" i="1"/>
  <c r="L1255" i="1"/>
  <c r="M1255" i="1" s="1"/>
  <c r="N1255" i="1" s="1"/>
  <c r="E1256" i="1"/>
  <c r="L1256" i="1"/>
  <c r="M1256" i="1"/>
  <c r="N1256" i="1" s="1"/>
  <c r="E1257" i="1"/>
  <c r="L1257" i="1"/>
  <c r="M1257" i="1" s="1"/>
  <c r="N1257" i="1" s="1"/>
  <c r="E1258" i="1"/>
  <c r="L1258" i="1"/>
  <c r="M1258" i="1"/>
  <c r="N1258" i="1" s="1"/>
  <c r="E1259" i="1"/>
  <c r="L1259" i="1"/>
  <c r="M1259" i="1"/>
  <c r="N1259" i="1"/>
  <c r="E1260" i="1"/>
  <c r="L1260" i="1"/>
  <c r="M1260" i="1"/>
  <c r="N1260" i="1" s="1"/>
  <c r="E1261" i="1"/>
  <c r="L1261" i="1"/>
  <c r="M1261" i="1"/>
  <c r="N1261" i="1"/>
  <c r="E1262" i="1"/>
  <c r="L1262" i="1"/>
  <c r="M1262" i="1"/>
  <c r="N1262" i="1" s="1"/>
  <c r="E1263" i="1"/>
  <c r="L1263" i="1"/>
  <c r="M1263" i="1"/>
  <c r="N1263" i="1" s="1"/>
  <c r="E1264" i="1"/>
  <c r="L1264" i="1"/>
  <c r="M1264" i="1"/>
  <c r="N1264" i="1"/>
  <c r="E1265" i="1"/>
  <c r="L1265" i="1"/>
  <c r="M1265" i="1"/>
  <c r="N1265" i="1" s="1"/>
  <c r="E1266" i="1"/>
  <c r="L1266" i="1"/>
  <c r="M1266" i="1" s="1"/>
  <c r="N1266" i="1" s="1"/>
  <c r="E1267" i="1"/>
  <c r="L1267" i="1"/>
  <c r="M1267" i="1" s="1"/>
  <c r="N1267" i="1" s="1"/>
  <c r="E1268" i="1"/>
  <c r="L1268" i="1"/>
  <c r="M1268" i="1"/>
  <c r="N1268" i="1"/>
  <c r="E1269" i="1"/>
  <c r="L1269" i="1"/>
  <c r="M1269" i="1"/>
  <c r="N1269" i="1" s="1"/>
  <c r="E1270" i="1"/>
  <c r="L1270" i="1"/>
  <c r="M1270" i="1"/>
  <c r="N1270" i="1" s="1"/>
  <c r="E1271" i="1"/>
  <c r="L1271" i="1"/>
  <c r="M1271" i="1"/>
  <c r="N1271" i="1" s="1"/>
  <c r="E1272" i="1"/>
  <c r="L1272" i="1"/>
  <c r="M1272" i="1" s="1"/>
  <c r="N1272" i="1" s="1"/>
  <c r="E1273" i="1"/>
  <c r="L1273" i="1"/>
  <c r="M1273" i="1"/>
  <c r="N1273" i="1"/>
  <c r="E1274" i="1"/>
  <c r="L1274" i="1"/>
  <c r="M1274" i="1"/>
  <c r="N1274" i="1" s="1"/>
  <c r="E1275" i="1"/>
  <c r="L1275" i="1"/>
  <c r="M1275" i="1"/>
  <c r="N1275" i="1" s="1"/>
  <c r="E1276" i="1"/>
  <c r="L1276" i="1"/>
  <c r="M1276" i="1"/>
  <c r="N1276" i="1" s="1"/>
  <c r="E1277" i="1"/>
  <c r="L1277" i="1"/>
  <c r="M1277" i="1"/>
  <c r="N1277" i="1" s="1"/>
  <c r="E1278" i="1"/>
  <c r="L1278" i="1"/>
  <c r="M1278" i="1"/>
  <c r="N1278" i="1" s="1"/>
  <c r="E1279" i="1"/>
  <c r="L1279" i="1"/>
  <c r="M1279" i="1"/>
  <c r="N1279" i="1" s="1"/>
  <c r="E1280" i="1"/>
  <c r="L1280" i="1"/>
  <c r="M1280" i="1"/>
  <c r="N1280" i="1" s="1"/>
  <c r="E1281" i="1"/>
  <c r="L1281" i="1"/>
  <c r="M1281" i="1"/>
  <c r="N1281" i="1" s="1"/>
  <c r="E1282" i="1"/>
  <c r="L1282" i="1"/>
  <c r="M1282" i="1" s="1"/>
  <c r="N1282" i="1" s="1"/>
  <c r="E1283" i="1"/>
  <c r="L1283" i="1"/>
  <c r="M1283" i="1"/>
  <c r="N1283" i="1"/>
  <c r="E1284" i="1"/>
  <c r="L1284" i="1"/>
  <c r="M1284" i="1"/>
  <c r="N1284" i="1"/>
  <c r="E1285" i="1"/>
  <c r="L1285" i="1"/>
  <c r="M1285" i="1"/>
  <c r="N1285" i="1"/>
  <c r="E1286" i="1"/>
  <c r="L1286" i="1"/>
  <c r="M1286" i="1"/>
  <c r="N1286" i="1"/>
  <c r="E1287" i="1"/>
  <c r="L1287" i="1"/>
  <c r="M1287" i="1"/>
  <c r="N1287" i="1"/>
  <c r="E1288" i="1"/>
  <c r="L1288" i="1"/>
  <c r="M1288" i="1"/>
  <c r="N1288" i="1"/>
  <c r="E1289" i="1"/>
  <c r="L1289" i="1"/>
  <c r="M1289" i="1"/>
  <c r="N1289" i="1"/>
  <c r="E1290" i="1"/>
  <c r="L1290" i="1"/>
  <c r="M1290" i="1"/>
  <c r="N1290" i="1"/>
  <c r="E1291" i="1"/>
  <c r="L1291" i="1"/>
  <c r="M1291" i="1"/>
  <c r="N1291" i="1"/>
  <c r="E1292" i="1"/>
  <c r="L1292" i="1"/>
  <c r="M1292" i="1"/>
  <c r="N1292" i="1"/>
  <c r="E1293" i="1"/>
  <c r="L1293" i="1"/>
  <c r="M1293" i="1"/>
  <c r="N1293" i="1"/>
  <c r="E1294" i="1"/>
  <c r="L1294" i="1"/>
  <c r="M1294" i="1"/>
  <c r="N1294" i="1"/>
  <c r="E1295" i="1"/>
  <c r="L1295" i="1"/>
  <c r="M1295" i="1"/>
  <c r="N1295" i="1"/>
  <c r="E1296" i="1"/>
  <c r="L1296" i="1"/>
  <c r="M1296" i="1"/>
  <c r="N1296" i="1"/>
  <c r="E1297" i="1"/>
  <c r="L1297" i="1"/>
  <c r="M1297" i="1"/>
  <c r="N1297" i="1"/>
  <c r="E1298" i="1"/>
  <c r="L1298" i="1"/>
  <c r="M1298" i="1"/>
  <c r="N1298" i="1"/>
  <c r="E1299" i="1"/>
  <c r="L1299" i="1"/>
  <c r="M1299" i="1"/>
  <c r="N1299" i="1"/>
  <c r="E1300" i="1"/>
  <c r="L1300" i="1"/>
  <c r="M1300" i="1"/>
  <c r="N1300" i="1"/>
  <c r="E1301" i="1"/>
  <c r="L1301" i="1"/>
  <c r="M1301" i="1"/>
  <c r="N1301" i="1"/>
  <c r="E1302" i="1"/>
  <c r="L1302" i="1"/>
  <c r="M1302" i="1"/>
  <c r="N1302" i="1"/>
  <c r="E1303" i="1"/>
  <c r="L1303" i="1"/>
  <c r="M1303" i="1"/>
  <c r="N1303" i="1"/>
  <c r="E1304" i="1"/>
  <c r="L1304" i="1"/>
  <c r="M1304" i="1"/>
  <c r="N1304" i="1"/>
  <c r="E1305" i="1"/>
  <c r="L1305" i="1"/>
  <c r="M1305" i="1"/>
  <c r="N1305" i="1"/>
  <c r="E1306" i="1"/>
  <c r="L1306" i="1"/>
  <c r="M1306" i="1"/>
  <c r="N1306" i="1"/>
  <c r="E1307" i="1"/>
  <c r="L1307" i="1"/>
  <c r="M1307" i="1"/>
  <c r="N1307" i="1"/>
  <c r="E1308" i="1"/>
  <c r="L1308" i="1"/>
  <c r="M1308" i="1"/>
  <c r="N1308" i="1"/>
  <c r="E1309" i="1"/>
  <c r="L1309" i="1"/>
  <c r="M1309" i="1"/>
  <c r="N1309" i="1"/>
  <c r="E1310" i="1"/>
  <c r="L1310" i="1"/>
  <c r="M1310" i="1"/>
  <c r="N1310" i="1"/>
  <c r="E1311" i="1"/>
  <c r="L1311" i="1"/>
  <c r="M1311" i="1"/>
  <c r="N1311" i="1"/>
  <c r="E1312" i="1"/>
  <c r="L1312" i="1"/>
  <c r="M1312" i="1"/>
  <c r="N1312" i="1"/>
  <c r="E1313" i="1"/>
  <c r="L1313" i="1"/>
  <c r="M1313" i="1"/>
  <c r="N1313" i="1"/>
  <c r="E1314" i="1"/>
  <c r="L1314" i="1"/>
  <c r="M1314" i="1"/>
  <c r="N1314" i="1"/>
  <c r="E1315" i="1"/>
  <c r="L1315" i="1"/>
  <c r="M1315" i="1"/>
  <c r="N1315" i="1"/>
  <c r="E1316" i="1"/>
  <c r="L1316" i="1"/>
  <c r="M1316" i="1"/>
  <c r="N1316" i="1"/>
  <c r="E1317" i="1"/>
  <c r="L1317" i="1"/>
  <c r="M1317" i="1"/>
  <c r="N1317" i="1"/>
  <c r="E1318" i="1"/>
  <c r="L1318" i="1"/>
  <c r="M1318" i="1"/>
  <c r="N1318" i="1"/>
  <c r="E1319" i="1"/>
  <c r="L1319" i="1"/>
  <c r="M1319" i="1"/>
  <c r="N1319" i="1"/>
  <c r="E1320" i="1"/>
  <c r="L1320" i="1"/>
  <c r="M1320" i="1"/>
  <c r="N1320" i="1"/>
  <c r="E1321" i="1"/>
  <c r="L1321" i="1"/>
  <c r="M1321" i="1"/>
  <c r="N1321" i="1"/>
  <c r="E1322" i="1"/>
  <c r="L1322" i="1"/>
  <c r="M1322" i="1"/>
  <c r="N1322" i="1"/>
  <c r="E1323" i="1"/>
  <c r="L1323" i="1"/>
  <c r="M1323" i="1"/>
  <c r="N1323" i="1"/>
  <c r="E1324" i="1"/>
  <c r="L1324" i="1"/>
  <c r="M1324" i="1"/>
  <c r="N1324" i="1"/>
  <c r="E1325" i="1"/>
  <c r="L1325" i="1"/>
  <c r="M1325" i="1"/>
  <c r="N1325" i="1"/>
  <c r="E1326" i="1"/>
  <c r="L1326" i="1"/>
  <c r="M1326" i="1"/>
  <c r="N1326" i="1"/>
  <c r="E1327" i="1"/>
  <c r="L1327" i="1"/>
  <c r="M1327" i="1"/>
  <c r="N1327" i="1"/>
  <c r="E1328" i="1"/>
  <c r="L1328" i="1"/>
  <c r="M1328" i="1"/>
  <c r="N1328" i="1"/>
  <c r="E1329" i="1"/>
  <c r="L1329" i="1"/>
  <c r="M1329" i="1"/>
  <c r="N1329" i="1"/>
  <c r="E1330" i="1"/>
  <c r="L1330" i="1"/>
  <c r="M1330" i="1"/>
  <c r="N1330" i="1"/>
  <c r="E1331" i="1"/>
  <c r="L1331" i="1"/>
  <c r="M1331" i="1"/>
  <c r="N1331" i="1"/>
  <c r="E1332" i="1"/>
  <c r="L1332" i="1"/>
  <c r="M1332" i="1"/>
  <c r="N1332" i="1"/>
  <c r="E1333" i="1"/>
  <c r="L1333" i="1"/>
  <c r="M1333" i="1"/>
  <c r="N1333" i="1"/>
  <c r="E1334" i="1"/>
  <c r="L1334" i="1"/>
  <c r="M1334" i="1"/>
  <c r="N1334" i="1"/>
  <c r="E1335" i="1"/>
  <c r="L1335" i="1"/>
  <c r="M1335" i="1"/>
  <c r="N1335" i="1"/>
  <c r="E1336" i="1"/>
  <c r="L1336" i="1"/>
  <c r="M1336" i="1"/>
  <c r="N1336" i="1"/>
  <c r="E1337" i="1"/>
  <c r="L1337" i="1"/>
  <c r="M1337" i="1"/>
  <c r="N1337" i="1"/>
  <c r="E1338" i="1"/>
  <c r="L1338" i="1"/>
  <c r="M1338" i="1"/>
  <c r="N1338" i="1"/>
  <c r="E1339" i="1"/>
  <c r="L1339" i="1"/>
  <c r="M1339" i="1"/>
  <c r="N1339" i="1"/>
  <c r="E1340" i="1"/>
  <c r="L1340" i="1"/>
  <c r="M1340" i="1"/>
  <c r="N1340" i="1"/>
  <c r="E1341" i="1"/>
  <c r="L1341" i="1"/>
  <c r="M1341" i="1"/>
  <c r="N1341" i="1"/>
  <c r="E1342" i="1"/>
  <c r="L1342" i="1"/>
  <c r="M1342" i="1"/>
  <c r="N1342" i="1"/>
  <c r="E1343" i="1"/>
  <c r="L1343" i="1"/>
  <c r="M1343" i="1"/>
  <c r="N1343" i="1"/>
  <c r="E1344" i="1"/>
  <c r="L1344" i="1"/>
  <c r="M1344" i="1"/>
  <c r="N1344" i="1"/>
  <c r="E1345" i="1"/>
  <c r="L1345" i="1"/>
  <c r="M1345" i="1"/>
  <c r="N1345" i="1"/>
  <c r="E1346" i="1"/>
  <c r="L1346" i="1"/>
  <c r="M1346" i="1"/>
  <c r="N1346" i="1"/>
  <c r="E1347" i="1"/>
  <c r="L1347" i="1"/>
  <c r="M1347" i="1"/>
  <c r="N1347" i="1"/>
  <c r="E1348" i="1"/>
  <c r="L1348" i="1"/>
  <c r="M1348" i="1"/>
  <c r="N1348" i="1"/>
  <c r="E1349" i="1"/>
  <c r="L1349" i="1"/>
  <c r="M1349" i="1"/>
  <c r="N1349" i="1"/>
  <c r="E1350" i="1"/>
  <c r="L1350" i="1"/>
  <c r="M1350" i="1"/>
  <c r="N1350" i="1"/>
  <c r="E1351" i="1"/>
  <c r="L1351" i="1"/>
  <c r="M1351" i="1"/>
  <c r="N1351" i="1"/>
  <c r="E1352" i="1"/>
  <c r="L1352" i="1"/>
  <c r="M1352" i="1"/>
  <c r="N1352" i="1"/>
  <c r="E1353" i="1"/>
  <c r="L1353" i="1"/>
  <c r="M1353" i="1"/>
  <c r="N1353" i="1"/>
  <c r="E1354" i="1"/>
  <c r="L1354" i="1"/>
  <c r="M1354" i="1"/>
  <c r="N1354" i="1"/>
  <c r="E1355" i="1"/>
  <c r="L1355" i="1"/>
  <c r="M1355" i="1"/>
  <c r="N1355" i="1"/>
  <c r="E1356" i="1"/>
  <c r="L1356" i="1"/>
  <c r="M1356" i="1"/>
  <c r="N1356" i="1"/>
  <c r="E1357" i="1"/>
  <c r="L1357" i="1"/>
  <c r="M1357" i="1"/>
  <c r="N1357" i="1"/>
  <c r="E1358" i="1"/>
  <c r="L1358" i="1"/>
  <c r="M1358" i="1"/>
  <c r="N1358" i="1"/>
  <c r="E1359" i="1"/>
  <c r="L1359" i="1"/>
  <c r="M1359" i="1"/>
  <c r="N1359" i="1"/>
  <c r="E1360" i="1"/>
  <c r="L1360" i="1"/>
  <c r="M1360" i="1"/>
  <c r="N1360" i="1"/>
  <c r="E1361" i="1"/>
  <c r="L1361" i="1"/>
  <c r="M1361" i="1"/>
  <c r="N1361" i="1"/>
  <c r="E1362" i="1"/>
  <c r="L1362" i="1"/>
  <c r="M1362" i="1"/>
  <c r="N1362" i="1"/>
  <c r="E1363" i="1"/>
  <c r="L1363" i="1"/>
  <c r="M1363" i="1"/>
  <c r="N1363" i="1"/>
  <c r="E1364" i="1"/>
  <c r="L1364" i="1"/>
  <c r="M1364" i="1"/>
  <c r="N1364" i="1"/>
  <c r="E1365" i="1"/>
  <c r="L1365" i="1"/>
  <c r="M1365" i="1"/>
  <c r="N1365" i="1"/>
  <c r="E1366" i="1"/>
  <c r="L1366" i="1"/>
  <c r="M1366" i="1"/>
  <c r="N1366" i="1"/>
  <c r="E1367" i="1"/>
  <c r="L1367" i="1"/>
  <c r="M1367" i="1"/>
  <c r="N1367" i="1"/>
  <c r="E1368" i="1"/>
  <c r="L1368" i="1"/>
  <c r="M1368" i="1"/>
  <c r="N1368" i="1"/>
  <c r="E1369" i="1"/>
  <c r="L1369" i="1"/>
  <c r="M1369" i="1"/>
  <c r="N1369" i="1"/>
  <c r="E1370" i="1"/>
  <c r="L1370" i="1"/>
  <c r="M1370" i="1"/>
  <c r="N1370" i="1"/>
  <c r="E1371" i="1"/>
  <c r="L1371" i="1"/>
  <c r="M1371" i="1"/>
  <c r="N1371" i="1"/>
  <c r="E1372" i="1"/>
  <c r="L1372" i="1"/>
  <c r="M1372" i="1"/>
  <c r="N1372" i="1"/>
  <c r="E1373" i="1"/>
  <c r="L1373" i="1"/>
  <c r="M1373" i="1"/>
  <c r="N1373" i="1"/>
  <c r="E1374" i="1"/>
  <c r="L1374" i="1"/>
  <c r="M1374" i="1"/>
  <c r="N1374" i="1"/>
  <c r="E1375" i="1"/>
  <c r="L1375" i="1"/>
  <c r="M1375" i="1"/>
  <c r="N1375" i="1"/>
  <c r="E1376" i="1"/>
  <c r="L1376" i="1"/>
  <c r="M1376" i="1"/>
  <c r="N1376" i="1"/>
  <c r="E1377" i="1"/>
  <c r="L1377" i="1"/>
  <c r="M1377" i="1"/>
  <c r="N1377" i="1"/>
  <c r="E1378" i="1"/>
  <c r="L1378" i="1"/>
  <c r="M1378" i="1"/>
  <c r="N1378" i="1"/>
  <c r="E1379" i="1"/>
  <c r="L1379" i="1"/>
  <c r="M1379" i="1"/>
  <c r="N1379" i="1"/>
  <c r="E1380" i="1"/>
  <c r="L1380" i="1"/>
  <c r="M1380" i="1"/>
  <c r="N1380" i="1"/>
  <c r="E1381" i="1"/>
  <c r="L1381" i="1"/>
  <c r="M1381" i="1"/>
  <c r="N1381" i="1"/>
  <c r="E1382" i="1"/>
  <c r="L1382" i="1"/>
  <c r="M1382" i="1"/>
  <c r="N1382" i="1"/>
  <c r="E1383" i="1"/>
  <c r="L1383" i="1"/>
  <c r="M1383" i="1"/>
  <c r="N1383" i="1"/>
  <c r="E1384" i="1"/>
  <c r="L1384" i="1"/>
  <c r="M1384" i="1"/>
  <c r="N1384" i="1"/>
  <c r="E1385" i="1"/>
  <c r="L1385" i="1"/>
  <c r="M1385" i="1"/>
  <c r="N1385" i="1"/>
  <c r="E1386" i="1"/>
  <c r="L1386" i="1"/>
  <c r="M1386" i="1"/>
  <c r="N1386" i="1"/>
  <c r="E1387" i="1"/>
  <c r="L1387" i="1"/>
  <c r="M1387" i="1"/>
  <c r="N1387" i="1"/>
  <c r="E1388" i="1"/>
  <c r="L1388" i="1"/>
  <c r="M1388" i="1"/>
  <c r="N1388" i="1"/>
  <c r="E1389" i="1"/>
  <c r="L1389" i="1"/>
  <c r="M1389" i="1"/>
  <c r="N1389" i="1"/>
  <c r="E1390" i="1"/>
  <c r="L1390" i="1"/>
  <c r="M1390" i="1"/>
  <c r="N1390" i="1"/>
  <c r="E1391" i="1"/>
  <c r="L1391" i="1"/>
  <c r="M1391" i="1"/>
  <c r="N1391" i="1"/>
  <c r="E1392" i="1"/>
  <c r="L1392" i="1"/>
  <c r="M1392" i="1"/>
  <c r="N1392" i="1"/>
  <c r="E1393" i="1"/>
  <c r="L1393" i="1"/>
  <c r="M1393" i="1"/>
  <c r="N1393" i="1"/>
  <c r="E1394" i="1"/>
  <c r="L1394" i="1"/>
  <c r="M1394" i="1"/>
  <c r="N1394" i="1"/>
  <c r="E1395" i="1"/>
  <c r="L1395" i="1"/>
  <c r="M1395" i="1"/>
  <c r="N1395" i="1"/>
  <c r="E1396" i="1"/>
  <c r="L1396" i="1"/>
  <c r="M1396" i="1"/>
  <c r="N1396" i="1"/>
  <c r="E1397" i="1"/>
  <c r="L1397" i="1"/>
  <c r="M1397" i="1"/>
  <c r="N1397" i="1"/>
  <c r="E1398" i="1"/>
  <c r="L1398" i="1"/>
  <c r="M1398" i="1"/>
  <c r="N1398" i="1"/>
  <c r="E1399" i="1"/>
  <c r="L1399" i="1"/>
  <c r="M1399" i="1"/>
  <c r="N1399" i="1"/>
  <c r="E1400" i="1"/>
  <c r="L1400" i="1"/>
  <c r="M1400" i="1"/>
  <c r="N1400" i="1"/>
  <c r="E1401" i="1"/>
  <c r="L1401" i="1"/>
  <c r="M1401" i="1"/>
  <c r="N1401" i="1"/>
  <c r="E1402" i="1"/>
  <c r="L1402" i="1"/>
  <c r="M1402" i="1"/>
  <c r="N1402" i="1"/>
  <c r="E1403" i="1"/>
  <c r="L1403" i="1"/>
  <c r="M1403" i="1"/>
  <c r="N1403" i="1"/>
  <c r="E1404" i="1"/>
  <c r="L1404" i="1"/>
  <c r="M1404" i="1"/>
  <c r="N1404" i="1"/>
  <c r="E1405" i="1"/>
  <c r="L1405" i="1"/>
  <c r="M1405" i="1"/>
  <c r="N1405" i="1"/>
  <c r="E1406" i="1"/>
  <c r="L1406" i="1"/>
  <c r="M1406" i="1"/>
  <c r="N1406" i="1"/>
  <c r="E1407" i="1"/>
  <c r="L1407" i="1"/>
  <c r="M1407" i="1"/>
  <c r="N1407" i="1"/>
  <c r="E1408" i="1"/>
  <c r="L1408" i="1"/>
  <c r="M1408" i="1"/>
  <c r="N1408" i="1"/>
  <c r="E1409" i="1"/>
  <c r="L1409" i="1"/>
  <c r="M1409" i="1"/>
  <c r="N1409" i="1"/>
  <c r="E1410" i="1"/>
  <c r="L1410" i="1"/>
  <c r="M1410" i="1"/>
  <c r="N1410" i="1"/>
  <c r="E1411" i="1"/>
  <c r="L1411" i="1"/>
  <c r="M1411" i="1"/>
  <c r="N1411" i="1"/>
  <c r="E1412" i="1"/>
  <c r="L1412" i="1"/>
  <c r="M1412" i="1"/>
  <c r="N1412" i="1"/>
  <c r="E1413" i="1"/>
  <c r="L1413" i="1"/>
  <c r="M1413" i="1"/>
  <c r="N1413" i="1"/>
  <c r="E1414" i="1"/>
  <c r="L1414" i="1"/>
  <c r="M1414" i="1"/>
  <c r="N1414" i="1"/>
  <c r="E1415" i="1"/>
  <c r="L1415" i="1"/>
  <c r="M1415" i="1"/>
  <c r="N1415" i="1"/>
  <c r="E1416" i="1"/>
  <c r="L1416" i="1"/>
  <c r="M1416" i="1"/>
  <c r="N1416" i="1"/>
  <c r="E1417" i="1"/>
  <c r="L1417" i="1"/>
  <c r="M1417" i="1"/>
  <c r="N1417" i="1"/>
  <c r="E1418" i="1"/>
  <c r="L1418" i="1"/>
  <c r="M1418" i="1"/>
  <c r="N1418" i="1"/>
  <c r="E1419" i="1"/>
  <c r="L1419" i="1"/>
  <c r="M1419" i="1"/>
  <c r="N1419" i="1"/>
  <c r="E1420" i="1"/>
  <c r="L1420" i="1"/>
  <c r="M1420" i="1"/>
  <c r="N1420" i="1"/>
  <c r="E1421" i="1"/>
  <c r="L1421" i="1"/>
  <c r="M1421" i="1"/>
  <c r="N1421" i="1"/>
  <c r="E1422" i="1"/>
  <c r="L1422" i="1"/>
  <c r="M1422" i="1"/>
  <c r="N1422" i="1" s="1"/>
  <c r="E1423" i="1"/>
  <c r="L1423" i="1"/>
  <c r="M1423" i="1"/>
  <c r="N1423" i="1"/>
  <c r="E1424" i="1"/>
  <c r="L1424" i="1"/>
  <c r="M1424" i="1" s="1"/>
  <c r="N1424" i="1" s="1"/>
  <c r="E1425" i="1"/>
  <c r="L1425" i="1"/>
  <c r="M1425" i="1"/>
  <c r="N1425" i="1"/>
  <c r="E1426" i="1"/>
  <c r="L1426" i="1"/>
  <c r="M1426" i="1"/>
  <c r="N1426" i="1"/>
  <c r="E1427" i="1"/>
  <c r="L1427" i="1"/>
  <c r="M1427" i="1"/>
  <c r="N1427" i="1" s="1"/>
  <c r="E1428" i="1"/>
  <c r="L1428" i="1"/>
  <c r="M1428" i="1"/>
  <c r="N1428" i="1"/>
  <c r="E1429" i="1"/>
  <c r="L1429" i="1"/>
  <c r="M1429" i="1"/>
  <c r="N1429" i="1" s="1"/>
  <c r="E1430" i="1"/>
  <c r="L1430" i="1"/>
  <c r="M1430" i="1" s="1"/>
  <c r="N1430" i="1" s="1"/>
  <c r="E1431" i="1"/>
  <c r="L1431" i="1"/>
  <c r="M1431" i="1"/>
  <c r="N1431" i="1" s="1"/>
  <c r="E1432" i="1"/>
  <c r="L1432" i="1"/>
  <c r="M1432" i="1"/>
  <c r="N1432" i="1" s="1"/>
  <c r="E1433" i="1"/>
  <c r="L1433" i="1"/>
  <c r="M1433" i="1"/>
  <c r="N1433" i="1" s="1"/>
  <c r="E1434" i="1"/>
  <c r="L1434" i="1"/>
  <c r="M1434" i="1"/>
  <c r="N1434" i="1" s="1"/>
  <c r="E1435" i="1"/>
  <c r="L1435" i="1"/>
  <c r="M1435" i="1" s="1"/>
  <c r="N1435" i="1" s="1"/>
  <c r="E1436" i="1"/>
  <c r="L1436" i="1"/>
  <c r="M1436" i="1"/>
  <c r="N1436" i="1" s="1"/>
  <c r="E1437" i="1"/>
  <c r="L1437" i="1"/>
  <c r="M1437" i="1"/>
  <c r="N1437" i="1" s="1"/>
  <c r="E1438" i="1"/>
  <c r="L1438" i="1"/>
  <c r="M1438" i="1"/>
  <c r="N1438" i="1" s="1"/>
  <c r="E1439" i="1"/>
  <c r="L1439" i="1"/>
  <c r="M1439" i="1" s="1"/>
  <c r="N1439" i="1" s="1"/>
  <c r="E1440" i="1"/>
  <c r="L1440" i="1"/>
  <c r="M1440" i="1" s="1"/>
  <c r="N1440" i="1" s="1"/>
  <c r="E1441" i="1"/>
  <c r="L1441" i="1"/>
  <c r="M1441" i="1" s="1"/>
  <c r="N1441" i="1" s="1"/>
  <c r="E1442" i="1"/>
  <c r="L1442" i="1"/>
  <c r="M1442" i="1" s="1"/>
  <c r="N1442" i="1" s="1"/>
  <c r="E1443" i="1"/>
  <c r="L1443" i="1"/>
  <c r="M1443" i="1"/>
  <c r="N1443" i="1" s="1"/>
  <c r="E1444" i="1"/>
  <c r="L1444" i="1"/>
  <c r="M1444" i="1" s="1"/>
  <c r="N1444" i="1" s="1"/>
  <c r="E1445" i="1"/>
  <c r="L1445" i="1"/>
  <c r="M1445" i="1" s="1"/>
  <c r="N1445" i="1" s="1"/>
  <c r="E1446" i="1"/>
  <c r="L1446" i="1"/>
  <c r="M1446" i="1"/>
  <c r="N1446" i="1" s="1"/>
  <c r="E1447" i="1"/>
  <c r="L1447" i="1"/>
  <c r="M1447" i="1"/>
  <c r="N1447" i="1"/>
  <c r="E1448" i="1"/>
  <c r="L1448" i="1"/>
  <c r="M1448" i="1"/>
  <c r="N1448" i="1" s="1"/>
  <c r="E1449" i="1"/>
  <c r="L1449" i="1"/>
  <c r="M1449" i="1"/>
  <c r="N1449" i="1" s="1"/>
  <c r="E1450" i="1"/>
  <c r="L1450" i="1"/>
  <c r="M1450" i="1" s="1"/>
  <c r="N1450" i="1" s="1"/>
  <c r="E1451" i="1"/>
  <c r="L1451" i="1"/>
  <c r="M1451" i="1"/>
  <c r="N1451" i="1"/>
  <c r="E1452" i="1"/>
  <c r="L1452" i="1"/>
  <c r="M1452" i="1"/>
  <c r="N1452" i="1" s="1"/>
  <c r="E1453" i="1"/>
  <c r="L1453" i="1"/>
  <c r="M1453" i="1"/>
  <c r="N1453" i="1"/>
  <c r="E1454" i="1"/>
  <c r="L1454" i="1"/>
  <c r="M1454" i="1"/>
  <c r="N1454" i="1" s="1"/>
  <c r="E1455" i="1"/>
  <c r="L1455" i="1"/>
  <c r="M1455" i="1" s="1"/>
  <c r="N1455" i="1" s="1"/>
  <c r="E1456" i="1"/>
  <c r="L1456" i="1"/>
  <c r="M1456" i="1"/>
  <c r="N1456" i="1" s="1"/>
  <c r="E1457" i="1"/>
  <c r="L1457" i="1"/>
  <c r="M1457" i="1"/>
  <c r="N1457" i="1" s="1"/>
  <c r="E1458" i="1"/>
  <c r="L1458" i="1"/>
  <c r="M1458" i="1"/>
  <c r="N1458" i="1"/>
  <c r="E1459" i="1"/>
  <c r="L1459" i="1"/>
  <c r="M1459" i="1"/>
  <c r="N1459" i="1"/>
  <c r="E1460" i="1"/>
  <c r="L1460" i="1"/>
  <c r="M1460" i="1"/>
  <c r="N1460" i="1" s="1"/>
  <c r="E1461" i="1"/>
  <c r="L1461" i="1"/>
  <c r="M1461" i="1"/>
  <c r="N1461" i="1"/>
  <c r="E1462" i="1"/>
  <c r="L1462" i="1"/>
  <c r="M1462" i="1"/>
  <c r="N1462" i="1" s="1"/>
  <c r="E1463" i="1"/>
  <c r="L1463" i="1"/>
  <c r="M1463" i="1" s="1"/>
  <c r="N1463" i="1" s="1"/>
  <c r="E1464" i="1"/>
  <c r="L1464" i="1"/>
  <c r="M1464" i="1"/>
  <c r="N1464" i="1"/>
  <c r="E1465" i="1"/>
  <c r="L1465" i="1"/>
  <c r="M1465" i="1"/>
  <c r="N1465" i="1"/>
  <c r="E1466" i="1"/>
  <c r="L1466" i="1"/>
  <c r="M1466" i="1"/>
  <c r="N1466" i="1"/>
  <c r="E1467" i="1"/>
  <c r="L1467" i="1"/>
  <c r="M1467" i="1"/>
  <c r="N1467" i="1"/>
  <c r="E1468" i="1"/>
  <c r="L1468" i="1"/>
  <c r="M1468" i="1"/>
  <c r="N1468" i="1"/>
  <c r="E1469" i="1"/>
  <c r="L1469" i="1"/>
  <c r="M1469" i="1"/>
  <c r="N1469" i="1"/>
  <c r="E1470" i="1"/>
  <c r="L1470" i="1"/>
  <c r="M1470" i="1"/>
  <c r="N1470" i="1"/>
  <c r="E1471" i="1"/>
  <c r="L1471" i="1"/>
  <c r="M1471" i="1"/>
  <c r="N1471" i="1"/>
  <c r="E1472" i="1"/>
  <c r="L1472" i="1"/>
  <c r="M1472" i="1"/>
  <c r="N1472" i="1"/>
  <c r="E1473" i="1"/>
  <c r="L1473" i="1"/>
  <c r="M1473" i="1"/>
  <c r="N1473" i="1"/>
  <c r="E1474" i="1"/>
  <c r="L1474" i="1"/>
  <c r="M1474" i="1"/>
  <c r="N1474" i="1"/>
  <c r="E1475" i="1"/>
  <c r="L1475" i="1"/>
  <c r="M1475" i="1"/>
  <c r="N1475" i="1"/>
  <c r="E1476" i="1"/>
  <c r="L1476" i="1"/>
  <c r="M1476" i="1"/>
  <c r="N1476" i="1"/>
  <c r="E1477" i="1"/>
  <c r="L1477" i="1"/>
  <c r="M1477" i="1"/>
  <c r="N1477" i="1"/>
  <c r="E1478" i="1"/>
  <c r="L1478" i="1"/>
  <c r="M1478" i="1"/>
  <c r="N1478" i="1"/>
  <c r="E1479" i="1"/>
  <c r="L1479" i="1"/>
  <c r="M1479" i="1"/>
  <c r="N1479" i="1"/>
  <c r="E1480" i="1"/>
  <c r="L1480" i="1"/>
  <c r="M1480" i="1"/>
  <c r="N1480" i="1"/>
  <c r="E1481" i="1"/>
  <c r="L1481" i="1"/>
  <c r="M1481" i="1"/>
  <c r="N1481" i="1"/>
  <c r="E1482" i="1"/>
  <c r="L1482" i="1"/>
  <c r="M1482" i="1"/>
  <c r="N1482" i="1"/>
  <c r="E1483" i="1"/>
  <c r="L1483" i="1"/>
  <c r="M1483" i="1"/>
  <c r="N1483" i="1"/>
  <c r="E1484" i="1"/>
  <c r="L1484" i="1"/>
  <c r="M1484" i="1"/>
  <c r="N1484" i="1"/>
  <c r="E1485" i="1"/>
  <c r="L1485" i="1"/>
  <c r="M1485" i="1"/>
  <c r="N1485" i="1"/>
  <c r="E1486" i="1"/>
  <c r="L1486" i="1"/>
  <c r="M1486" i="1"/>
  <c r="N1486" i="1"/>
  <c r="E1487" i="1"/>
  <c r="L1487" i="1"/>
  <c r="M1487" i="1"/>
  <c r="N1487" i="1"/>
  <c r="E1488" i="1"/>
  <c r="L1488" i="1"/>
  <c r="M1488" i="1"/>
  <c r="N1488" i="1"/>
  <c r="E1489" i="1"/>
  <c r="L1489" i="1"/>
  <c r="M1489" i="1"/>
  <c r="N1489" i="1"/>
  <c r="E1490" i="1"/>
  <c r="L1490" i="1"/>
  <c r="M1490" i="1"/>
  <c r="N1490" i="1"/>
  <c r="E1491" i="1"/>
  <c r="L1491" i="1"/>
  <c r="M1491" i="1"/>
  <c r="N1491" i="1"/>
  <c r="E1492" i="1"/>
  <c r="L1492" i="1"/>
  <c r="M1492" i="1"/>
  <c r="N1492" i="1"/>
  <c r="E1493" i="1"/>
  <c r="L1493" i="1"/>
  <c r="M1493" i="1"/>
  <c r="N1493" i="1"/>
  <c r="E1494" i="1"/>
  <c r="L1494" i="1"/>
  <c r="M1494" i="1"/>
  <c r="N1494" i="1"/>
  <c r="E1495" i="1"/>
  <c r="L1495" i="1"/>
  <c r="M1495" i="1"/>
  <c r="N1495" i="1"/>
  <c r="E1496" i="1"/>
  <c r="L1496" i="1"/>
  <c r="M1496" i="1"/>
  <c r="N1496" i="1"/>
  <c r="E1497" i="1"/>
  <c r="L1497" i="1"/>
  <c r="M1497" i="1"/>
  <c r="N1497" i="1"/>
  <c r="E1498" i="1"/>
  <c r="L1498" i="1"/>
  <c r="M1498" i="1"/>
  <c r="N1498" i="1"/>
  <c r="E1499" i="1"/>
  <c r="L1499" i="1"/>
  <c r="M1499" i="1"/>
  <c r="N1499" i="1"/>
  <c r="E1500" i="1"/>
  <c r="L1500" i="1"/>
  <c r="M1500" i="1"/>
  <c r="N1500" i="1"/>
  <c r="E1501" i="1"/>
  <c r="L1501" i="1"/>
  <c r="M1501" i="1"/>
  <c r="N1501" i="1"/>
  <c r="E1502" i="1"/>
  <c r="L1502" i="1"/>
  <c r="M1502" i="1"/>
  <c r="N1502" i="1"/>
  <c r="E1503" i="1"/>
  <c r="L1503" i="1"/>
  <c r="M1503" i="1"/>
  <c r="N1503" i="1"/>
  <c r="E1504" i="1"/>
  <c r="L1504" i="1"/>
  <c r="M1504" i="1"/>
  <c r="N1504" i="1"/>
  <c r="E1505" i="1"/>
  <c r="L1505" i="1"/>
  <c r="M1505" i="1"/>
  <c r="N1505" i="1"/>
  <c r="E1506" i="1"/>
  <c r="L1506" i="1"/>
  <c r="M1506" i="1"/>
  <c r="N1506" i="1"/>
  <c r="E1507" i="1"/>
  <c r="L1507" i="1"/>
  <c r="M1507" i="1"/>
  <c r="N1507" i="1"/>
  <c r="E1508" i="1"/>
  <c r="L1508" i="1"/>
  <c r="M1508" i="1"/>
  <c r="N1508" i="1"/>
  <c r="E1509" i="1"/>
  <c r="L1509" i="1"/>
  <c r="M1509" i="1"/>
  <c r="N1509" i="1"/>
  <c r="E1510" i="1"/>
  <c r="L1510" i="1"/>
  <c r="M1510" i="1"/>
  <c r="N1510" i="1"/>
  <c r="E1511" i="1"/>
  <c r="L1511" i="1"/>
  <c r="M1511" i="1"/>
  <c r="N1511" i="1"/>
  <c r="E1512" i="1"/>
  <c r="L1512" i="1"/>
  <c r="M1512" i="1"/>
  <c r="N1512" i="1"/>
  <c r="E1513" i="1"/>
  <c r="L1513" i="1"/>
  <c r="M1513" i="1"/>
  <c r="N1513" i="1"/>
  <c r="E1514" i="1"/>
  <c r="L1514" i="1"/>
  <c r="M1514" i="1"/>
  <c r="N1514" i="1"/>
  <c r="E1515" i="1"/>
  <c r="L1515" i="1"/>
  <c r="M1515" i="1"/>
  <c r="N1515" i="1"/>
  <c r="E1516" i="1"/>
  <c r="L1516" i="1"/>
  <c r="M1516" i="1"/>
  <c r="N1516" i="1"/>
  <c r="E1517" i="1"/>
  <c r="L1517" i="1"/>
  <c r="M1517" i="1"/>
  <c r="N1517" i="1"/>
  <c r="E1518" i="1"/>
  <c r="L1518" i="1"/>
  <c r="M1518" i="1"/>
  <c r="N1518" i="1"/>
  <c r="E1519" i="1"/>
  <c r="L1519" i="1"/>
  <c r="M1519" i="1"/>
  <c r="N1519" i="1"/>
  <c r="E1520" i="1"/>
  <c r="L1520" i="1"/>
  <c r="M1520" i="1"/>
  <c r="N1520" i="1"/>
  <c r="E1521" i="1"/>
  <c r="L1521" i="1"/>
  <c r="M1521" i="1"/>
  <c r="N1521" i="1"/>
  <c r="E1522" i="1"/>
  <c r="L1522" i="1"/>
  <c r="M1522" i="1"/>
  <c r="N1522" i="1"/>
  <c r="E1523" i="1"/>
  <c r="L1523" i="1"/>
  <c r="M1523" i="1"/>
  <c r="N1523" i="1"/>
  <c r="E1524" i="1"/>
  <c r="L1524" i="1"/>
  <c r="M1524" i="1"/>
  <c r="N1524" i="1"/>
  <c r="E1525" i="1"/>
  <c r="L1525" i="1"/>
  <c r="M1525" i="1"/>
  <c r="N1525" i="1"/>
  <c r="E1526" i="1"/>
  <c r="L1526" i="1"/>
  <c r="M1526" i="1"/>
  <c r="N1526" i="1"/>
  <c r="E1527" i="1"/>
  <c r="L1527" i="1"/>
  <c r="M1527" i="1"/>
  <c r="N1527" i="1"/>
  <c r="E1528" i="1"/>
  <c r="L1528" i="1"/>
  <c r="M1528" i="1"/>
  <c r="N1528" i="1"/>
  <c r="E1529" i="1"/>
  <c r="L1529" i="1"/>
  <c r="M1529" i="1"/>
  <c r="N1529" i="1"/>
  <c r="E1530" i="1"/>
  <c r="L1530" i="1"/>
  <c r="M1530" i="1"/>
  <c r="N1530" i="1"/>
  <c r="E1531" i="1"/>
  <c r="L1531" i="1"/>
  <c r="M1531" i="1"/>
  <c r="N1531" i="1"/>
  <c r="E1532" i="1"/>
  <c r="L1532" i="1"/>
  <c r="M1532" i="1"/>
  <c r="N1532" i="1"/>
  <c r="E1533" i="1"/>
  <c r="L1533" i="1"/>
  <c r="M1533" i="1"/>
  <c r="N1533" i="1"/>
  <c r="E1534" i="1"/>
  <c r="L1534" i="1"/>
  <c r="M1534" i="1"/>
  <c r="N1534" i="1"/>
  <c r="E1535" i="1"/>
  <c r="L1535" i="1"/>
  <c r="M1535" i="1"/>
  <c r="N1535" i="1"/>
  <c r="E1536" i="1"/>
  <c r="L1536" i="1"/>
  <c r="M1536" i="1"/>
  <c r="N1536" i="1"/>
  <c r="E1537" i="1"/>
  <c r="L1537" i="1"/>
  <c r="M1537" i="1"/>
  <c r="N1537" i="1"/>
  <c r="E1538" i="1"/>
  <c r="L1538" i="1"/>
  <c r="M1538" i="1"/>
  <c r="N1538" i="1"/>
  <c r="E1539" i="1"/>
  <c r="L1539" i="1"/>
  <c r="M1539" i="1"/>
  <c r="N1539" i="1"/>
  <c r="E1540" i="1"/>
  <c r="L1540" i="1"/>
  <c r="M1540" i="1"/>
  <c r="N1540" i="1"/>
  <c r="E1541" i="1"/>
  <c r="L1541" i="1"/>
  <c r="M1541" i="1"/>
  <c r="N1541" i="1"/>
  <c r="E1542" i="1"/>
  <c r="L1542" i="1"/>
  <c r="M1542" i="1"/>
  <c r="N1542" i="1"/>
  <c r="E1543" i="1"/>
  <c r="L1543" i="1"/>
  <c r="M1543" i="1"/>
  <c r="N1543" i="1"/>
  <c r="E1544" i="1"/>
  <c r="L1544" i="1"/>
  <c r="M1544" i="1"/>
  <c r="N1544" i="1"/>
  <c r="E1545" i="1"/>
  <c r="L1545" i="1"/>
  <c r="M1545" i="1"/>
  <c r="N1545" i="1"/>
  <c r="E1546" i="1"/>
  <c r="L1546" i="1"/>
  <c r="M1546" i="1"/>
  <c r="N1546" i="1"/>
  <c r="E1547" i="1"/>
  <c r="L1547" i="1"/>
  <c r="M1547" i="1"/>
  <c r="N1547" i="1"/>
  <c r="E1548" i="1"/>
  <c r="L1548" i="1"/>
  <c r="M1548" i="1"/>
  <c r="N1548" i="1"/>
  <c r="E1549" i="1"/>
  <c r="L1549" i="1"/>
  <c r="M1549" i="1"/>
  <c r="N1549" i="1"/>
  <c r="E1550" i="1"/>
  <c r="L1550" i="1"/>
  <c r="M1550" i="1"/>
  <c r="N1550" i="1"/>
  <c r="E1551" i="1"/>
  <c r="L1551" i="1"/>
  <c r="M1551" i="1"/>
  <c r="N1551" i="1"/>
  <c r="E1552" i="1"/>
  <c r="L1552" i="1"/>
  <c r="M1552" i="1"/>
  <c r="N1552" i="1"/>
  <c r="E1553" i="1"/>
  <c r="L1553" i="1"/>
  <c r="M1553" i="1"/>
  <c r="N1553" i="1"/>
  <c r="E1554" i="1"/>
  <c r="L1554" i="1"/>
  <c r="M1554" i="1"/>
  <c r="N1554" i="1"/>
  <c r="E1555" i="1"/>
  <c r="L1555" i="1"/>
  <c r="M1555" i="1"/>
  <c r="N1555" i="1"/>
  <c r="E1556" i="1"/>
  <c r="L1556" i="1"/>
  <c r="M1556" i="1"/>
  <c r="N1556" i="1"/>
  <c r="E1557" i="1"/>
  <c r="L1557" i="1"/>
  <c r="M1557" i="1"/>
  <c r="N1557" i="1"/>
  <c r="E1558" i="1"/>
  <c r="L1558" i="1"/>
  <c r="M1558" i="1"/>
  <c r="N1558" i="1"/>
  <c r="E1559" i="1"/>
  <c r="L1559" i="1"/>
  <c r="M1559" i="1"/>
  <c r="N1559" i="1"/>
  <c r="E1560" i="1"/>
  <c r="L1560" i="1"/>
  <c r="M1560" i="1"/>
  <c r="N1560" i="1"/>
  <c r="E1561" i="1"/>
  <c r="L1561" i="1"/>
  <c r="M1561" i="1"/>
  <c r="N1561" i="1"/>
  <c r="E1562" i="1"/>
  <c r="L1562" i="1"/>
  <c r="M1562" i="1"/>
  <c r="N1562" i="1"/>
  <c r="E1563" i="1"/>
  <c r="L1563" i="1"/>
  <c r="M1563" i="1"/>
  <c r="N1563" i="1"/>
  <c r="E1564" i="1"/>
  <c r="L1564" i="1"/>
  <c r="M1564" i="1"/>
  <c r="N1564" i="1"/>
  <c r="E1565" i="1"/>
  <c r="L1565" i="1"/>
  <c r="M1565" i="1"/>
  <c r="N1565" i="1"/>
  <c r="E1566" i="1"/>
  <c r="L1566" i="1"/>
  <c r="M1566" i="1"/>
  <c r="N1566" i="1"/>
  <c r="E1567" i="1"/>
  <c r="L1567" i="1"/>
  <c r="M1567" i="1"/>
  <c r="N1567" i="1"/>
  <c r="E1568" i="1"/>
  <c r="L1568" i="1"/>
  <c r="M1568" i="1"/>
  <c r="N1568" i="1"/>
  <c r="E1569" i="1"/>
  <c r="L1569" i="1"/>
  <c r="M1569" i="1"/>
  <c r="N1569" i="1"/>
  <c r="E1570" i="1"/>
  <c r="L1570" i="1"/>
  <c r="M1570" i="1"/>
  <c r="N1570" i="1"/>
  <c r="E1571" i="1"/>
  <c r="L1571" i="1"/>
  <c r="M1571" i="1"/>
  <c r="N1571" i="1"/>
  <c r="E1572" i="1"/>
  <c r="L1572" i="1"/>
  <c r="M1572" i="1"/>
  <c r="N1572" i="1"/>
  <c r="E1573" i="1"/>
  <c r="L1573" i="1"/>
  <c r="M1573" i="1"/>
  <c r="N1573" i="1"/>
  <c r="E1574" i="1"/>
  <c r="L1574" i="1"/>
  <c r="M1574" i="1"/>
  <c r="N1574" i="1"/>
  <c r="E1575" i="1"/>
  <c r="L1575" i="1"/>
  <c r="M1575" i="1"/>
  <c r="N1575" i="1"/>
  <c r="E1576" i="1"/>
  <c r="L1576" i="1"/>
  <c r="M1576" i="1"/>
  <c r="N1576" i="1"/>
  <c r="E1577" i="1"/>
  <c r="L1577" i="1"/>
  <c r="M1577" i="1"/>
  <c r="N1577" i="1"/>
  <c r="E1578" i="1"/>
  <c r="L1578" i="1"/>
  <c r="M1578" i="1"/>
  <c r="N1578" i="1"/>
  <c r="E1579" i="1"/>
  <c r="L1579" i="1"/>
  <c r="M1579" i="1"/>
  <c r="N1579" i="1"/>
  <c r="E1580" i="1"/>
  <c r="L1580" i="1"/>
  <c r="M1580" i="1"/>
  <c r="N1580" i="1"/>
  <c r="E1581" i="1"/>
  <c r="L1581" i="1"/>
  <c r="M1581" i="1"/>
  <c r="N1581" i="1"/>
  <c r="E1582" i="1"/>
  <c r="L1582" i="1"/>
  <c r="M1582" i="1"/>
  <c r="N1582" i="1"/>
  <c r="E1583" i="1"/>
  <c r="L1583" i="1"/>
  <c r="M1583" i="1"/>
  <c r="N1583" i="1"/>
  <c r="E1584" i="1"/>
  <c r="L1584" i="1"/>
  <c r="M1584" i="1"/>
  <c r="N1584" i="1"/>
  <c r="E1585" i="1"/>
  <c r="L1585" i="1"/>
  <c r="M1585" i="1"/>
  <c r="N1585" i="1"/>
  <c r="E1586" i="1"/>
  <c r="L1586" i="1"/>
  <c r="M1586" i="1"/>
  <c r="N1586" i="1"/>
  <c r="E1587" i="1"/>
  <c r="L1587" i="1"/>
  <c r="M1587" i="1"/>
  <c r="N1587" i="1"/>
  <c r="E1588" i="1"/>
  <c r="L1588" i="1"/>
  <c r="M1588" i="1"/>
  <c r="N1588" i="1"/>
  <c r="E1589" i="1"/>
  <c r="L1589" i="1"/>
  <c r="M1589" i="1"/>
  <c r="N1589" i="1"/>
  <c r="E1590" i="1"/>
  <c r="L1590" i="1"/>
  <c r="M1590" i="1"/>
  <c r="N1590" i="1"/>
  <c r="E1591" i="1"/>
  <c r="L1591" i="1"/>
  <c r="M1591" i="1"/>
  <c r="N1591" i="1"/>
  <c r="E1592" i="1"/>
  <c r="L1592" i="1"/>
  <c r="M1592" i="1"/>
  <c r="N1592" i="1"/>
  <c r="E1593" i="1"/>
  <c r="L1593" i="1"/>
  <c r="M1593" i="1"/>
  <c r="N1593" i="1"/>
  <c r="E1594" i="1"/>
  <c r="L1594" i="1"/>
  <c r="M1594" i="1"/>
  <c r="N1594" i="1"/>
  <c r="E1595" i="1"/>
  <c r="L1595" i="1"/>
  <c r="M1595" i="1"/>
  <c r="N1595" i="1"/>
  <c r="E1596" i="1"/>
  <c r="L1596" i="1"/>
  <c r="M1596" i="1"/>
  <c r="N1596" i="1"/>
  <c r="E1597" i="1"/>
  <c r="L1597" i="1"/>
  <c r="M1597" i="1"/>
  <c r="N1597" i="1"/>
  <c r="E1598" i="1"/>
  <c r="L1598" i="1"/>
  <c r="M1598" i="1"/>
  <c r="N1598" i="1"/>
  <c r="E1599" i="1"/>
  <c r="L1599" i="1"/>
  <c r="M1599" i="1"/>
  <c r="N1599" i="1"/>
  <c r="E1600" i="1"/>
  <c r="L1600" i="1"/>
  <c r="M1600" i="1"/>
  <c r="N1600" i="1"/>
  <c r="E1601" i="1"/>
  <c r="L1601" i="1"/>
  <c r="M1601" i="1"/>
  <c r="N1601" i="1"/>
  <c r="E1602" i="1"/>
  <c r="L1602" i="1"/>
  <c r="M1602" i="1"/>
  <c r="N1602" i="1"/>
  <c r="E1603" i="1"/>
  <c r="L1603" i="1"/>
  <c r="M1603" i="1"/>
  <c r="N1603" i="1"/>
  <c r="E1604" i="1"/>
  <c r="L1604" i="1"/>
  <c r="M1604" i="1"/>
  <c r="N1604" i="1"/>
  <c r="E1605" i="1"/>
  <c r="L1605" i="1"/>
  <c r="M1605" i="1"/>
  <c r="N1605" i="1"/>
  <c r="E1606" i="1"/>
  <c r="L1606" i="1"/>
  <c r="M1606" i="1"/>
  <c r="N1606" i="1"/>
  <c r="E1607" i="1"/>
  <c r="L1607" i="1"/>
  <c r="M1607" i="1"/>
  <c r="N1607" i="1"/>
  <c r="E1608" i="1"/>
  <c r="L1608" i="1"/>
  <c r="M1608" i="1"/>
  <c r="N1608" i="1"/>
  <c r="E1609" i="1"/>
  <c r="L1609" i="1"/>
  <c r="M1609" i="1"/>
  <c r="N1609" i="1"/>
  <c r="E1610" i="1"/>
  <c r="L1610" i="1"/>
  <c r="M1610" i="1"/>
  <c r="N1610" i="1"/>
  <c r="E1611" i="1"/>
  <c r="L1611" i="1"/>
  <c r="M1611" i="1"/>
  <c r="N1611" i="1"/>
  <c r="E1612" i="1"/>
  <c r="L1612" i="1"/>
  <c r="M1612" i="1"/>
  <c r="N1612" i="1"/>
  <c r="E1613" i="1"/>
  <c r="L1613" i="1"/>
  <c r="M1613" i="1"/>
  <c r="N1613" i="1"/>
  <c r="E1614" i="1"/>
  <c r="L1614" i="1"/>
  <c r="M1614" i="1"/>
  <c r="N1614" i="1"/>
  <c r="E1615" i="1"/>
  <c r="L1615" i="1"/>
  <c r="M1615" i="1"/>
  <c r="N1615" i="1"/>
  <c r="E1616" i="1"/>
  <c r="L1616" i="1"/>
  <c r="M1616" i="1"/>
  <c r="N1616" i="1"/>
  <c r="E1617" i="1"/>
  <c r="L1617" i="1"/>
  <c r="M1617" i="1"/>
  <c r="N1617" i="1"/>
  <c r="E1618" i="1"/>
  <c r="L1618" i="1"/>
  <c r="M1618" i="1"/>
  <c r="N1618" i="1"/>
  <c r="E1619" i="1"/>
  <c r="L1619" i="1"/>
  <c r="M1619" i="1"/>
  <c r="N1619" i="1"/>
  <c r="E1620" i="1"/>
  <c r="L1620" i="1"/>
  <c r="M1620" i="1"/>
  <c r="N1620" i="1"/>
  <c r="E1621" i="1"/>
  <c r="L1621" i="1"/>
  <c r="M1621" i="1"/>
  <c r="N1621" i="1"/>
  <c r="E1622" i="1"/>
  <c r="L1622" i="1"/>
  <c r="M1622" i="1"/>
  <c r="N1622" i="1"/>
  <c r="E1623" i="1"/>
  <c r="L1623" i="1"/>
  <c r="M1623" i="1"/>
  <c r="N1623" i="1"/>
  <c r="E1624" i="1"/>
  <c r="L1624" i="1"/>
  <c r="M1624" i="1"/>
  <c r="N1624" i="1"/>
  <c r="E1625" i="1"/>
  <c r="L1625" i="1"/>
  <c r="M1625" i="1"/>
  <c r="N1625" i="1"/>
  <c r="E1626" i="1"/>
  <c r="L1626" i="1"/>
  <c r="M1626" i="1"/>
  <c r="N1626" i="1"/>
  <c r="E1627" i="1"/>
  <c r="L1627" i="1"/>
  <c r="M1627" i="1"/>
  <c r="N1627" i="1"/>
  <c r="E1628" i="1"/>
  <c r="L1628" i="1"/>
  <c r="M1628" i="1"/>
  <c r="N1628" i="1"/>
  <c r="E1629" i="1"/>
  <c r="L1629" i="1"/>
  <c r="M1629" i="1"/>
  <c r="N1629" i="1"/>
  <c r="E1630" i="1"/>
  <c r="L1630" i="1"/>
  <c r="M1630" i="1"/>
  <c r="N1630" i="1"/>
  <c r="E1631" i="1"/>
  <c r="L1631" i="1"/>
  <c r="M1631" i="1"/>
  <c r="N1631" i="1"/>
  <c r="E1632" i="1"/>
  <c r="L1632" i="1"/>
  <c r="M1632" i="1"/>
  <c r="N1632" i="1"/>
  <c r="E1633" i="1"/>
  <c r="L1633" i="1"/>
  <c r="M1633" i="1"/>
  <c r="N1633" i="1"/>
  <c r="E1634" i="1"/>
  <c r="L1634" i="1"/>
  <c r="M1634" i="1"/>
  <c r="N1634" i="1"/>
  <c r="E1635" i="1"/>
  <c r="L1635" i="1"/>
  <c r="M1635" i="1"/>
  <c r="N1635" i="1"/>
  <c r="E1636" i="1"/>
  <c r="L1636" i="1"/>
  <c r="M1636" i="1"/>
  <c r="N1636" i="1"/>
  <c r="E1637" i="1"/>
  <c r="L1637" i="1"/>
  <c r="M1637" i="1"/>
  <c r="N1637" i="1"/>
  <c r="E1638" i="1"/>
  <c r="L1638" i="1"/>
  <c r="M1638" i="1"/>
  <c r="N1638" i="1"/>
  <c r="E1639" i="1"/>
  <c r="L1639" i="1"/>
  <c r="M1639" i="1"/>
  <c r="N1639" i="1"/>
  <c r="E1640" i="1"/>
  <c r="L1640" i="1"/>
  <c r="M1640" i="1"/>
  <c r="N1640" i="1"/>
  <c r="E1641" i="1"/>
  <c r="L1641" i="1"/>
  <c r="M1641" i="1"/>
  <c r="N1641" i="1"/>
  <c r="E1642" i="1"/>
  <c r="L1642" i="1"/>
  <c r="M1642" i="1"/>
  <c r="N1642" i="1"/>
  <c r="E1643" i="1"/>
  <c r="L1643" i="1"/>
  <c r="M1643" i="1"/>
  <c r="N1643" i="1"/>
  <c r="E1644" i="1"/>
  <c r="L1644" i="1"/>
  <c r="M1644" i="1"/>
  <c r="N1644" i="1"/>
  <c r="E1645" i="1"/>
  <c r="L1645" i="1"/>
  <c r="M1645" i="1"/>
  <c r="N1645" i="1"/>
  <c r="E1646" i="1"/>
  <c r="L1646" i="1"/>
  <c r="M1646" i="1"/>
  <c r="N1646" i="1" s="1"/>
  <c r="E1647" i="1"/>
  <c r="L1647" i="1"/>
  <c r="M1647" i="1"/>
  <c r="N1647" i="1" s="1"/>
  <c r="E1648" i="1"/>
  <c r="L1648" i="1"/>
  <c r="M1648" i="1"/>
  <c r="N1648" i="1" s="1"/>
  <c r="E1649" i="1"/>
  <c r="L1649" i="1"/>
  <c r="M1649" i="1"/>
  <c r="N1649" i="1"/>
  <c r="E1650" i="1"/>
  <c r="L1650" i="1"/>
  <c r="M1650" i="1"/>
  <c r="N1650" i="1"/>
  <c r="E1651" i="1"/>
  <c r="L1651" i="1"/>
  <c r="M1651" i="1"/>
  <c r="N1651" i="1" s="1"/>
  <c r="E1652" i="1"/>
  <c r="L1652" i="1"/>
  <c r="M1652" i="1"/>
  <c r="N1652" i="1" s="1"/>
  <c r="E1653" i="1"/>
  <c r="L1653" i="1"/>
  <c r="M1653" i="1"/>
  <c r="N1653" i="1"/>
  <c r="E1654" i="1"/>
  <c r="L1654" i="1"/>
  <c r="M1654" i="1"/>
  <c r="N1654" i="1" s="1"/>
  <c r="E1655" i="1"/>
  <c r="L1655" i="1"/>
  <c r="M1655" i="1"/>
  <c r="N1655" i="1"/>
  <c r="E1656" i="1"/>
  <c r="L1656" i="1"/>
  <c r="M1656" i="1"/>
  <c r="N1656" i="1" s="1"/>
  <c r="E1657" i="1"/>
  <c r="L1657" i="1"/>
  <c r="M1657" i="1"/>
  <c r="N1657" i="1" s="1"/>
  <c r="E1658" i="1"/>
  <c r="L1658" i="1"/>
  <c r="M1658" i="1"/>
  <c r="N1658" i="1" s="1"/>
  <c r="E1659" i="1"/>
  <c r="L1659" i="1"/>
  <c r="M1659" i="1"/>
  <c r="N1659" i="1" s="1"/>
  <c r="E1660" i="1"/>
  <c r="L1660" i="1"/>
  <c r="M1660" i="1"/>
  <c r="N1660" i="1"/>
  <c r="E1661" i="1"/>
  <c r="L1661" i="1"/>
  <c r="M1661" i="1"/>
  <c r="N1661" i="1" s="1"/>
  <c r="E1662" i="1"/>
  <c r="L1662" i="1"/>
  <c r="M1662" i="1"/>
  <c r="N1662" i="1" s="1"/>
  <c r="E1663" i="1"/>
  <c r="L1663" i="1"/>
  <c r="M1663" i="1"/>
  <c r="N1663" i="1"/>
  <c r="E1664" i="1"/>
  <c r="L1664" i="1"/>
  <c r="M1664" i="1"/>
  <c r="N1664" i="1"/>
  <c r="E1665" i="1"/>
  <c r="L1665" i="1"/>
  <c r="M1665" i="1"/>
  <c r="N1665" i="1" s="1"/>
  <c r="E1666" i="1"/>
  <c r="L1666" i="1"/>
  <c r="M1666" i="1"/>
  <c r="N1666" i="1" s="1"/>
  <c r="E1667" i="1"/>
  <c r="L1667" i="1"/>
  <c r="M1667" i="1"/>
  <c r="N1667" i="1" s="1"/>
  <c r="E1668" i="1"/>
  <c r="L1668" i="1"/>
  <c r="M1668" i="1"/>
  <c r="N1668" i="1" s="1"/>
  <c r="E1669" i="1"/>
  <c r="L1669" i="1"/>
  <c r="M1669" i="1"/>
  <c r="N1669" i="1" s="1"/>
  <c r="E1670" i="1"/>
  <c r="L1670" i="1"/>
  <c r="M1670" i="1"/>
  <c r="N1670" i="1" s="1"/>
  <c r="E1671" i="1"/>
  <c r="L1671" i="1"/>
  <c r="M1671" i="1"/>
  <c r="N1671" i="1"/>
  <c r="E1672" i="1"/>
  <c r="L1672" i="1"/>
  <c r="M1672" i="1"/>
  <c r="N1672" i="1"/>
  <c r="E1673" i="1"/>
  <c r="L1673" i="1"/>
  <c r="M1673" i="1"/>
  <c r="N1673" i="1"/>
  <c r="E1674" i="1"/>
  <c r="L1674" i="1"/>
  <c r="M1674" i="1"/>
  <c r="N1674" i="1"/>
  <c r="E1675" i="1"/>
  <c r="L1675" i="1"/>
  <c r="M1675" i="1"/>
  <c r="N1675" i="1" s="1"/>
  <c r="E1676" i="1"/>
  <c r="L1676" i="1"/>
  <c r="M1676" i="1"/>
  <c r="N1676" i="1" s="1"/>
  <c r="E1677" i="1"/>
  <c r="L1677" i="1"/>
  <c r="M1677" i="1"/>
  <c r="N1677" i="1"/>
  <c r="E1678" i="1"/>
  <c r="L1678" i="1"/>
  <c r="M1678" i="1"/>
  <c r="N1678" i="1" s="1"/>
  <c r="E1679" i="1"/>
  <c r="L1679" i="1"/>
  <c r="M1679" i="1"/>
  <c r="N1679" i="1" s="1"/>
  <c r="E1680" i="1"/>
  <c r="L1680" i="1"/>
  <c r="M1680" i="1"/>
  <c r="N1680" i="1" s="1"/>
  <c r="E1681" i="1"/>
  <c r="L1681" i="1"/>
  <c r="M1681" i="1" s="1"/>
  <c r="N1681" i="1" s="1"/>
  <c r="E1682" i="1"/>
  <c r="L1682" i="1"/>
  <c r="M1682" i="1"/>
  <c r="N1682" i="1"/>
  <c r="E1683" i="1"/>
  <c r="L1683" i="1"/>
  <c r="M1683" i="1"/>
  <c r="N1683" i="1"/>
  <c r="E1684" i="1"/>
  <c r="L1684" i="1"/>
  <c r="M1684" i="1"/>
  <c r="N1684" i="1"/>
  <c r="E1685" i="1"/>
  <c r="L1685" i="1"/>
  <c r="M1685" i="1"/>
  <c r="N1685" i="1"/>
  <c r="E1686" i="1"/>
  <c r="L1686" i="1"/>
  <c r="M1686" i="1"/>
  <c r="N1686" i="1"/>
  <c r="E1687" i="1"/>
  <c r="L1687" i="1"/>
  <c r="M1687" i="1"/>
  <c r="N1687" i="1"/>
  <c r="E1688" i="1"/>
  <c r="L1688" i="1"/>
  <c r="M1688" i="1"/>
  <c r="N1688" i="1"/>
  <c r="E1689" i="1"/>
  <c r="L1689" i="1"/>
  <c r="M1689" i="1" s="1"/>
  <c r="N1689" i="1" s="1"/>
  <c r="E1690" i="1"/>
  <c r="L1690" i="1"/>
  <c r="M1690" i="1"/>
  <c r="N1690" i="1" s="1"/>
  <c r="E1691" i="1"/>
  <c r="L1691" i="1"/>
  <c r="M1691" i="1"/>
  <c r="N1691" i="1"/>
  <c r="E1692" i="1"/>
  <c r="L1692" i="1"/>
  <c r="M1692" i="1"/>
  <c r="N1692" i="1" s="1"/>
  <c r="E1693" i="1"/>
  <c r="L1693" i="1"/>
  <c r="M1693" i="1"/>
  <c r="N1693" i="1" s="1"/>
  <c r="E1694" i="1"/>
  <c r="L1694" i="1"/>
  <c r="M1694" i="1"/>
  <c r="N1694" i="1"/>
  <c r="E1695" i="1"/>
  <c r="L1695" i="1"/>
  <c r="M1695" i="1" s="1"/>
  <c r="N1695" i="1" s="1"/>
  <c r="E1696" i="1"/>
  <c r="L1696" i="1"/>
  <c r="M1696" i="1"/>
  <c r="N1696" i="1" s="1"/>
  <c r="E1697" i="1"/>
  <c r="L1697" i="1"/>
  <c r="M1697" i="1"/>
  <c r="N1697" i="1"/>
  <c r="E1698" i="1"/>
  <c r="L1698" i="1"/>
  <c r="M1698" i="1"/>
  <c r="N1698" i="1"/>
  <c r="E1699" i="1"/>
  <c r="L1699" i="1"/>
  <c r="M1699" i="1"/>
  <c r="N1699" i="1"/>
  <c r="E1700" i="1"/>
  <c r="L1700" i="1"/>
  <c r="M1700" i="1"/>
  <c r="N1700" i="1" s="1"/>
  <c r="E1701" i="1"/>
  <c r="L1701" i="1"/>
  <c r="M1701" i="1"/>
  <c r="N1701" i="1"/>
  <c r="E1702" i="1"/>
  <c r="L1702" i="1"/>
  <c r="M1702" i="1"/>
  <c r="N1702" i="1"/>
  <c r="E1703" i="1"/>
  <c r="L1703" i="1"/>
  <c r="M1703" i="1"/>
  <c r="N1703" i="1"/>
  <c r="E1704" i="1"/>
  <c r="L1704" i="1"/>
  <c r="M1704" i="1"/>
  <c r="N1704" i="1" s="1"/>
  <c r="E1705" i="1"/>
  <c r="L1705" i="1"/>
  <c r="M1705" i="1"/>
  <c r="N1705" i="1"/>
  <c r="E1706" i="1"/>
  <c r="L1706" i="1"/>
  <c r="M1706" i="1"/>
  <c r="N1706" i="1"/>
  <c r="E1707" i="1"/>
  <c r="L1707" i="1"/>
  <c r="M1707" i="1"/>
  <c r="N1707" i="1" s="1"/>
  <c r="E1708" i="1"/>
  <c r="L1708" i="1"/>
  <c r="M1708" i="1"/>
  <c r="N1708" i="1"/>
  <c r="E1709" i="1"/>
  <c r="L1709" i="1"/>
  <c r="M1709" i="1"/>
  <c r="N1709" i="1" s="1"/>
  <c r="E1710" i="1"/>
  <c r="L1710" i="1"/>
  <c r="M1710" i="1"/>
  <c r="N1710" i="1" s="1"/>
  <c r="E1711" i="1"/>
  <c r="L1711" i="1"/>
  <c r="M1711" i="1"/>
  <c r="N1711" i="1" s="1"/>
  <c r="E1712" i="1"/>
  <c r="L1712" i="1"/>
  <c r="M1712" i="1" s="1"/>
  <c r="N1712" i="1" s="1"/>
  <c r="E1713" i="1"/>
  <c r="L1713" i="1"/>
  <c r="M1713" i="1"/>
  <c r="N1713" i="1" s="1"/>
  <c r="E1714" i="1"/>
  <c r="L1714" i="1"/>
  <c r="M1714" i="1"/>
  <c r="N1714" i="1"/>
  <c r="E1715" i="1"/>
  <c r="L1715" i="1"/>
  <c r="M1715" i="1"/>
  <c r="N1715" i="1"/>
  <c r="E1716" i="1"/>
  <c r="L1716" i="1"/>
  <c r="M1716" i="1"/>
  <c r="N1716" i="1"/>
  <c r="E1717" i="1"/>
  <c r="L1717" i="1"/>
  <c r="M1717" i="1"/>
  <c r="N1717" i="1" s="1"/>
  <c r="E1718" i="1"/>
  <c r="L1718" i="1"/>
  <c r="M1718" i="1"/>
  <c r="N1718" i="1" s="1"/>
  <c r="E1719" i="1"/>
  <c r="L1719" i="1"/>
  <c r="M1719" i="1" s="1"/>
  <c r="N1719" i="1" s="1"/>
  <c r="E1720" i="1"/>
  <c r="L1720" i="1"/>
  <c r="M1720" i="1"/>
  <c r="N1720" i="1" s="1"/>
  <c r="E1721" i="1"/>
  <c r="L1721" i="1"/>
  <c r="M1721" i="1"/>
  <c r="N1721" i="1"/>
  <c r="E1722" i="1"/>
  <c r="L1722" i="1"/>
  <c r="M1722" i="1"/>
  <c r="N1722" i="1"/>
  <c r="E1723" i="1"/>
  <c r="L1723" i="1"/>
  <c r="M1723" i="1"/>
  <c r="N1723" i="1" s="1"/>
  <c r="E1724" i="1"/>
  <c r="L1724" i="1"/>
  <c r="M1724" i="1" s="1"/>
  <c r="N1724" i="1" s="1"/>
  <c r="E1725" i="1"/>
  <c r="L1725" i="1"/>
  <c r="M1725" i="1"/>
  <c r="N1725" i="1"/>
  <c r="E1726" i="1"/>
  <c r="L1726" i="1"/>
  <c r="M1726" i="1"/>
  <c r="N1726" i="1"/>
  <c r="E1727" i="1"/>
  <c r="L1727" i="1"/>
  <c r="M1727" i="1"/>
  <c r="N1727" i="1"/>
  <c r="E1728" i="1"/>
  <c r="L1728" i="1"/>
  <c r="M1728" i="1" s="1"/>
  <c r="N1728" i="1" s="1"/>
  <c r="E1729" i="1"/>
  <c r="L1729" i="1"/>
  <c r="M1729" i="1"/>
  <c r="N1729" i="1" s="1"/>
  <c r="E1730" i="1"/>
  <c r="L1730" i="1"/>
  <c r="M1730" i="1"/>
  <c r="N1730" i="1" s="1"/>
  <c r="E1731" i="1"/>
  <c r="L1731" i="1"/>
  <c r="M1731" i="1" s="1"/>
  <c r="N1731" i="1" s="1"/>
  <c r="E1732" i="1"/>
  <c r="L1732" i="1"/>
  <c r="M1732" i="1"/>
  <c r="N1732" i="1" s="1"/>
  <c r="E1733" i="1"/>
  <c r="L1733" i="1"/>
  <c r="M1733" i="1"/>
  <c r="N1733" i="1" s="1"/>
  <c r="E1734" i="1"/>
  <c r="L1734" i="1"/>
  <c r="M1734" i="1" s="1"/>
  <c r="N1734" i="1" s="1"/>
  <c r="E1735" i="1"/>
  <c r="L1735" i="1"/>
  <c r="M1735" i="1"/>
  <c r="N1735" i="1"/>
  <c r="E1736" i="1"/>
  <c r="L1736" i="1"/>
  <c r="M1736" i="1"/>
  <c r="N1736" i="1" s="1"/>
  <c r="E1737" i="1"/>
  <c r="L1737" i="1"/>
  <c r="M1737" i="1" s="1"/>
  <c r="N1737" i="1" s="1"/>
  <c r="E1738" i="1"/>
  <c r="L1738" i="1"/>
  <c r="M1738" i="1"/>
  <c r="N1738" i="1"/>
  <c r="E1739" i="1"/>
  <c r="L1739" i="1"/>
  <c r="M1739" i="1" s="1"/>
  <c r="N1739" i="1" s="1"/>
  <c r="E1740" i="1"/>
  <c r="L1740" i="1"/>
  <c r="M1740" i="1" s="1"/>
  <c r="N1740" i="1" s="1"/>
  <c r="E1741" i="1"/>
  <c r="L1741" i="1"/>
  <c r="M1741" i="1"/>
  <c r="N1741" i="1"/>
  <c r="E1742" i="1"/>
  <c r="L1742" i="1"/>
  <c r="M1742" i="1"/>
  <c r="N1742" i="1"/>
  <c r="E1743" i="1"/>
  <c r="L1743" i="1"/>
  <c r="M1743" i="1"/>
  <c r="N1743" i="1" s="1"/>
  <c r="E1744" i="1"/>
  <c r="L1744" i="1"/>
  <c r="M1744" i="1"/>
  <c r="N1744" i="1" s="1"/>
  <c r="E1745" i="1"/>
  <c r="L1745" i="1"/>
  <c r="M1745" i="1" s="1"/>
  <c r="N1745" i="1" s="1"/>
  <c r="E1746" i="1"/>
  <c r="L1746" i="1"/>
  <c r="M1746" i="1"/>
  <c r="N1746" i="1"/>
  <c r="E1747" i="1"/>
  <c r="L1747" i="1"/>
  <c r="M1747" i="1" s="1"/>
  <c r="N1747" i="1" s="1"/>
  <c r="E1748" i="1"/>
  <c r="L1748" i="1"/>
  <c r="M1748" i="1" s="1"/>
  <c r="N1748" i="1" s="1"/>
  <c r="E1749" i="1"/>
  <c r="L1749" i="1"/>
  <c r="M1749" i="1"/>
  <c r="N1749" i="1"/>
  <c r="E1750" i="1"/>
  <c r="L1750" i="1"/>
  <c r="M1750" i="1"/>
  <c r="N1750" i="1" s="1"/>
  <c r="E1751" i="1"/>
  <c r="L1751" i="1"/>
  <c r="M1751" i="1"/>
  <c r="N1751" i="1" s="1"/>
  <c r="E1752" i="1"/>
  <c r="L1752" i="1"/>
  <c r="M1752" i="1" s="1"/>
  <c r="N1752" i="1" s="1"/>
  <c r="E1753" i="1"/>
  <c r="L1753" i="1"/>
  <c r="M1753" i="1" s="1"/>
  <c r="N1753" i="1" s="1"/>
  <c r="E1754" i="1"/>
  <c r="L1754" i="1"/>
  <c r="M1754" i="1"/>
  <c r="N1754" i="1" s="1"/>
  <c r="E1755" i="1"/>
  <c r="L1755" i="1"/>
  <c r="M1755" i="1"/>
  <c r="N1755" i="1" s="1"/>
  <c r="E1756" i="1"/>
  <c r="L1756" i="1"/>
  <c r="M1756" i="1"/>
  <c r="N1756" i="1" s="1"/>
  <c r="E1757" i="1"/>
  <c r="L1757" i="1"/>
  <c r="M1757" i="1" s="1"/>
  <c r="N1757" i="1" s="1"/>
  <c r="E1758" i="1"/>
  <c r="L1758" i="1"/>
  <c r="M1758" i="1"/>
  <c r="N1758" i="1" s="1"/>
  <c r="E1759" i="1"/>
  <c r="L1759" i="1"/>
  <c r="M1759" i="1"/>
  <c r="N1759" i="1"/>
  <c r="E1760" i="1"/>
  <c r="L1760" i="1"/>
  <c r="M1760" i="1"/>
  <c r="N1760" i="1" s="1"/>
  <c r="E1761" i="1"/>
  <c r="L1761" i="1"/>
  <c r="M1761" i="1"/>
  <c r="N1761" i="1" s="1"/>
  <c r="E1762" i="1"/>
  <c r="L1762" i="1"/>
  <c r="M1762" i="1"/>
  <c r="N1762" i="1"/>
  <c r="E1763" i="1"/>
  <c r="L1763" i="1"/>
  <c r="M1763" i="1"/>
  <c r="N1763" i="1" s="1"/>
  <c r="E1764" i="1"/>
  <c r="L1764" i="1"/>
  <c r="M1764" i="1"/>
  <c r="N1764" i="1"/>
  <c r="E1765" i="1"/>
  <c r="L1765" i="1"/>
  <c r="M1765" i="1"/>
  <c r="N1765" i="1"/>
  <c r="E1766" i="1"/>
  <c r="L1766" i="1"/>
  <c r="M1766" i="1"/>
  <c r="N1766" i="1"/>
  <c r="E1767" i="1"/>
  <c r="L1767" i="1"/>
  <c r="M1767" i="1" s="1"/>
  <c r="N1767" i="1" s="1"/>
  <c r="E1768" i="1"/>
  <c r="L1768" i="1"/>
  <c r="M1768" i="1"/>
  <c r="N1768" i="1" s="1"/>
  <c r="E1769" i="1"/>
  <c r="L1769" i="1"/>
  <c r="M1769" i="1"/>
  <c r="N1769" i="1" s="1"/>
  <c r="E1770" i="1"/>
  <c r="L1770" i="1"/>
  <c r="M1770" i="1"/>
  <c r="N1770" i="1" s="1"/>
  <c r="E1771" i="1"/>
  <c r="L1771" i="1"/>
  <c r="M1771" i="1"/>
  <c r="N1771" i="1" s="1"/>
  <c r="E1772" i="1"/>
  <c r="L1772" i="1"/>
  <c r="M1772" i="1"/>
  <c r="N1772" i="1"/>
  <c r="E1773" i="1"/>
  <c r="L1773" i="1"/>
  <c r="M1773" i="1"/>
  <c r="N1773" i="1" s="1"/>
  <c r="E1774" i="1"/>
  <c r="L1774" i="1"/>
  <c r="M1774" i="1" s="1"/>
  <c r="N1774" i="1" s="1"/>
  <c r="E1775" i="1"/>
  <c r="L1775" i="1"/>
  <c r="M1775" i="1"/>
  <c r="N1775" i="1"/>
  <c r="E1776" i="1"/>
  <c r="L1776" i="1"/>
  <c r="M1776" i="1"/>
  <c r="N1776" i="1"/>
  <c r="E1777" i="1"/>
  <c r="L1777" i="1"/>
  <c r="M1777" i="1" s="1"/>
  <c r="N1777" i="1" s="1"/>
  <c r="E1778" i="1"/>
  <c r="L1778" i="1"/>
  <c r="M1778" i="1"/>
  <c r="N1778" i="1"/>
  <c r="E1779" i="1"/>
  <c r="L1779" i="1"/>
  <c r="M1779" i="1" s="1"/>
  <c r="N1779" i="1" s="1"/>
  <c r="E1780" i="1"/>
  <c r="L1780" i="1"/>
  <c r="M1780" i="1" s="1"/>
  <c r="N1780" i="1" s="1"/>
  <c r="E1781" i="1"/>
  <c r="L1781" i="1"/>
  <c r="M1781" i="1"/>
  <c r="N1781" i="1" s="1"/>
  <c r="E1782" i="1"/>
  <c r="L1782" i="1"/>
  <c r="M1782" i="1"/>
  <c r="N1782" i="1" s="1"/>
  <c r="E1783" i="1"/>
  <c r="L1783" i="1"/>
  <c r="M1783" i="1"/>
  <c r="N1783" i="1" s="1"/>
  <c r="E1784" i="1"/>
  <c r="L1784" i="1"/>
  <c r="M1784" i="1"/>
  <c r="N1784" i="1"/>
  <c r="E1785" i="1"/>
  <c r="L1785" i="1"/>
  <c r="M1785" i="1"/>
  <c r="N1785" i="1" s="1"/>
  <c r="E1786" i="1"/>
  <c r="L1786" i="1"/>
  <c r="M1786" i="1"/>
  <c r="N1786" i="1" s="1"/>
  <c r="E1787" i="1"/>
  <c r="L1787" i="1"/>
  <c r="M1787" i="1"/>
  <c r="N1787" i="1"/>
  <c r="E1788" i="1"/>
  <c r="L1788" i="1"/>
  <c r="M1788" i="1"/>
  <c r="N1788" i="1"/>
  <c r="E1789" i="1"/>
  <c r="L1789" i="1"/>
  <c r="M1789" i="1" s="1"/>
  <c r="N1789" i="1" s="1"/>
  <c r="E1790" i="1"/>
  <c r="L1790" i="1"/>
  <c r="M1790" i="1"/>
  <c r="N1790" i="1" s="1"/>
  <c r="E1791" i="1"/>
  <c r="L1791" i="1"/>
  <c r="M1791" i="1"/>
  <c r="N1791" i="1"/>
  <c r="E1792" i="1"/>
  <c r="L1792" i="1"/>
  <c r="M1792" i="1"/>
  <c r="N1792" i="1"/>
  <c r="E1793" i="1"/>
  <c r="L1793" i="1"/>
  <c r="M1793" i="1"/>
  <c r="N1793" i="1" s="1"/>
  <c r="E1794" i="1"/>
  <c r="L1794" i="1"/>
  <c r="M1794" i="1" s="1"/>
  <c r="N1794" i="1" s="1"/>
  <c r="E1795" i="1"/>
  <c r="L1795" i="1"/>
  <c r="M1795" i="1"/>
  <c r="N1795" i="1"/>
  <c r="E1796" i="1"/>
  <c r="L1796" i="1"/>
  <c r="M1796" i="1"/>
  <c r="N1796" i="1" s="1"/>
  <c r="E1797" i="1"/>
  <c r="L1797" i="1"/>
  <c r="M1797" i="1"/>
  <c r="N1797" i="1" s="1"/>
  <c r="E1798" i="1"/>
  <c r="L1798" i="1"/>
  <c r="M1798" i="1"/>
  <c r="N1798" i="1"/>
  <c r="E1799" i="1"/>
  <c r="L1799" i="1"/>
  <c r="M1799" i="1"/>
  <c r="N1799" i="1"/>
  <c r="E1800" i="1"/>
  <c r="L1800" i="1"/>
  <c r="M1800" i="1"/>
  <c r="N1800" i="1"/>
  <c r="E1801" i="1"/>
  <c r="L1801" i="1"/>
  <c r="M1801" i="1"/>
  <c r="N1801" i="1" s="1"/>
  <c r="E1802" i="1"/>
  <c r="L1802" i="1"/>
  <c r="M1802" i="1" s="1"/>
  <c r="N1802" i="1" s="1"/>
  <c r="E1803" i="1"/>
  <c r="L1803" i="1"/>
  <c r="M1803" i="1"/>
  <c r="N1803" i="1" s="1"/>
  <c r="E1804" i="1"/>
  <c r="L1804" i="1"/>
  <c r="M1804" i="1" s="1"/>
  <c r="N1804" i="1" s="1"/>
  <c r="E1805" i="1"/>
  <c r="L1805" i="1"/>
  <c r="M1805" i="1"/>
  <c r="N1805" i="1"/>
  <c r="E1806" i="1"/>
  <c r="L1806" i="1"/>
  <c r="M1806" i="1"/>
  <c r="N1806" i="1"/>
  <c r="E1807" i="1"/>
  <c r="L1807" i="1"/>
  <c r="M1807" i="1"/>
  <c r="N1807" i="1" s="1"/>
  <c r="E1808" i="1"/>
  <c r="L1808" i="1"/>
  <c r="M1808" i="1"/>
  <c r="N1808" i="1" s="1"/>
  <c r="E1809" i="1"/>
  <c r="L1809" i="1"/>
  <c r="M1809" i="1"/>
  <c r="N1809" i="1" s="1"/>
  <c r="E1810" i="1"/>
  <c r="L1810" i="1"/>
  <c r="M1810" i="1" s="1"/>
  <c r="N1810" i="1" s="1"/>
  <c r="E1811" i="1"/>
  <c r="L1811" i="1"/>
  <c r="M1811" i="1"/>
  <c r="N1811" i="1" s="1"/>
  <c r="E1812" i="1"/>
  <c r="L1812" i="1"/>
  <c r="M1812" i="1" s="1"/>
  <c r="N1812" i="1" s="1"/>
  <c r="E1813" i="1"/>
  <c r="L1813" i="1"/>
  <c r="M1813" i="1" s="1"/>
  <c r="N1813" i="1" s="1"/>
  <c r="E1814" i="1"/>
  <c r="L1814" i="1"/>
  <c r="M1814" i="1"/>
  <c r="N1814" i="1" s="1"/>
  <c r="E1815" i="1"/>
  <c r="L1815" i="1"/>
  <c r="M1815" i="1"/>
  <c r="N1815" i="1"/>
  <c r="E1816" i="1"/>
  <c r="L1816" i="1"/>
  <c r="M1816" i="1"/>
  <c r="N1816" i="1" s="1"/>
  <c r="E1817" i="1"/>
  <c r="L1817" i="1"/>
  <c r="M1817" i="1"/>
  <c r="N1817" i="1"/>
  <c r="E1818" i="1"/>
  <c r="L1818" i="1"/>
  <c r="M1818" i="1"/>
  <c r="N1818" i="1" s="1"/>
  <c r="E1819" i="1"/>
  <c r="L1819" i="1"/>
  <c r="M1819" i="1"/>
  <c r="N1819" i="1"/>
  <c r="E1820" i="1"/>
  <c r="L1820" i="1"/>
  <c r="M1820" i="1"/>
  <c r="N1820" i="1"/>
  <c r="E1821" i="1"/>
  <c r="L1821" i="1"/>
  <c r="M1821" i="1"/>
  <c r="N1821" i="1"/>
  <c r="E1822" i="1"/>
  <c r="L1822" i="1"/>
  <c r="M1822" i="1"/>
  <c r="N1822" i="1"/>
  <c r="E1823" i="1"/>
  <c r="L1823" i="1"/>
  <c r="M1823" i="1"/>
  <c r="N1823" i="1" s="1"/>
  <c r="E1824" i="1"/>
  <c r="L1824" i="1"/>
  <c r="M1824" i="1" s="1"/>
  <c r="N1824" i="1" s="1"/>
  <c r="E1825" i="1"/>
  <c r="L1825" i="1"/>
  <c r="M1825" i="1"/>
  <c r="N1825" i="1"/>
  <c r="E1826" i="1"/>
  <c r="L1826" i="1"/>
  <c r="M1826" i="1"/>
  <c r="N1826" i="1"/>
  <c r="E1827" i="1"/>
  <c r="L1827" i="1"/>
  <c r="M1827" i="1"/>
  <c r="N1827" i="1" s="1"/>
  <c r="E1828" i="1"/>
  <c r="L1828" i="1"/>
  <c r="M1828" i="1"/>
  <c r="N1828" i="1" s="1"/>
  <c r="E1829" i="1"/>
  <c r="L1829" i="1"/>
  <c r="M1829" i="1"/>
  <c r="N1829" i="1"/>
  <c r="E1830" i="1"/>
  <c r="L1830" i="1"/>
  <c r="M1830" i="1"/>
  <c r="N1830" i="1" s="1"/>
  <c r="E1831" i="1"/>
  <c r="L1831" i="1"/>
  <c r="M1831" i="1"/>
  <c r="N1831" i="1" s="1"/>
  <c r="E1832" i="1"/>
  <c r="L1832" i="1"/>
  <c r="M1832" i="1"/>
  <c r="N1832" i="1"/>
  <c r="E1833" i="1"/>
  <c r="L1833" i="1"/>
  <c r="M1833" i="1"/>
  <c r="N1833" i="1" s="1"/>
  <c r="E1834" i="1"/>
  <c r="L1834" i="1"/>
  <c r="M1834" i="1"/>
  <c r="N1834" i="1"/>
  <c r="E1835" i="1"/>
  <c r="L1835" i="1"/>
  <c r="M1835" i="1"/>
  <c r="N1835" i="1" s="1"/>
  <c r="E1836" i="1"/>
  <c r="L1836" i="1"/>
  <c r="M1836" i="1"/>
  <c r="N1836" i="1"/>
  <c r="E1837" i="1"/>
  <c r="L1837" i="1"/>
  <c r="M1837" i="1"/>
  <c r="N1837" i="1" s="1"/>
  <c r="E1838" i="1"/>
  <c r="L1838" i="1"/>
  <c r="M1838" i="1" s="1"/>
  <c r="N1838" i="1" s="1"/>
  <c r="E1839" i="1"/>
  <c r="L1839" i="1"/>
  <c r="M1839" i="1"/>
  <c r="N1839" i="1"/>
  <c r="E1840" i="1"/>
  <c r="L1840" i="1"/>
  <c r="M1840" i="1"/>
  <c r="N1840" i="1" s="1"/>
  <c r="E1841" i="1"/>
  <c r="L1841" i="1"/>
  <c r="M1841" i="1"/>
  <c r="N1841" i="1" s="1"/>
  <c r="E1842" i="1"/>
  <c r="L1842" i="1"/>
  <c r="M1842" i="1"/>
  <c r="N1842" i="1"/>
  <c r="E1843" i="1"/>
  <c r="L1843" i="1"/>
  <c r="M1843" i="1"/>
  <c r="N1843" i="1" s="1"/>
  <c r="E1844" i="1"/>
  <c r="L1844" i="1"/>
  <c r="M1844" i="1"/>
  <c r="N1844" i="1" s="1"/>
  <c r="E1845" i="1"/>
  <c r="L1845" i="1"/>
  <c r="M1845" i="1"/>
  <c r="N1845" i="1" s="1"/>
  <c r="E1846" i="1"/>
  <c r="L1846" i="1"/>
  <c r="M1846" i="1" s="1"/>
  <c r="N1846" i="1" s="1"/>
  <c r="E1847" i="1"/>
  <c r="L1847" i="1"/>
  <c r="M1847" i="1" s="1"/>
  <c r="N1847" i="1" s="1"/>
  <c r="E1848" i="1"/>
  <c r="L1848" i="1"/>
  <c r="M1848" i="1"/>
  <c r="N1848" i="1" s="1"/>
  <c r="E1849" i="1"/>
  <c r="L1849" i="1"/>
  <c r="M1849" i="1"/>
  <c r="N1849" i="1"/>
  <c r="E1850" i="1"/>
  <c r="L1850" i="1"/>
  <c r="M1850" i="1" s="1"/>
  <c r="N1850" i="1" s="1"/>
  <c r="E1851" i="1"/>
  <c r="L1851" i="1"/>
  <c r="M1851" i="1"/>
  <c r="N1851" i="1"/>
  <c r="E1852" i="1"/>
  <c r="L1852" i="1"/>
  <c r="M1852" i="1"/>
  <c r="N1852" i="1"/>
  <c r="E1853" i="1"/>
  <c r="L1853" i="1"/>
  <c r="M1853" i="1"/>
  <c r="N1853" i="1" s="1"/>
  <c r="E1854" i="1"/>
  <c r="L1854" i="1"/>
  <c r="M1854" i="1"/>
  <c r="N1854" i="1" s="1"/>
  <c r="E1855" i="1"/>
  <c r="L1855" i="1"/>
  <c r="M1855" i="1"/>
  <c r="N1855" i="1" s="1"/>
  <c r="E1856" i="1"/>
  <c r="L1856" i="1"/>
  <c r="M1856" i="1"/>
  <c r="N1856" i="1" s="1"/>
  <c r="E1857" i="1"/>
  <c r="L1857" i="1"/>
  <c r="M1857" i="1"/>
  <c r="N1857" i="1"/>
  <c r="E1858" i="1"/>
  <c r="L1858" i="1"/>
  <c r="M1858" i="1" s="1"/>
  <c r="N1858" i="1" s="1"/>
  <c r="E1859" i="1"/>
  <c r="L1859" i="1"/>
  <c r="M1859" i="1"/>
  <c r="N1859" i="1" s="1"/>
  <c r="E1860" i="1"/>
  <c r="L1860" i="1"/>
  <c r="M1860" i="1" s="1"/>
  <c r="N1860" i="1" s="1"/>
  <c r="E1861" i="1"/>
  <c r="L1861" i="1"/>
  <c r="M1861" i="1"/>
  <c r="N1861" i="1"/>
  <c r="E1862" i="1"/>
  <c r="L1862" i="1"/>
  <c r="M1862" i="1"/>
  <c r="N1862" i="1"/>
  <c r="E1863" i="1"/>
  <c r="L1863" i="1"/>
  <c r="M1863" i="1" s="1"/>
  <c r="N1863" i="1" s="1"/>
  <c r="E1864" i="1"/>
  <c r="L1864" i="1"/>
  <c r="M1864" i="1" s="1"/>
  <c r="N1864" i="1" s="1"/>
  <c r="E1865" i="1"/>
  <c r="L1865" i="1"/>
  <c r="M1865" i="1" s="1"/>
  <c r="N1865" i="1" s="1"/>
  <c r="E1866" i="1"/>
  <c r="L1866" i="1"/>
  <c r="M1866" i="1" s="1"/>
  <c r="N1866" i="1" s="1"/>
  <c r="E1867" i="1"/>
  <c r="L1867" i="1"/>
  <c r="M1867" i="1" s="1"/>
  <c r="N1867" i="1" s="1"/>
  <c r="E1868" i="1"/>
  <c r="L1868" i="1"/>
  <c r="M1868" i="1"/>
  <c r="N1868" i="1"/>
  <c r="E1869" i="1"/>
  <c r="L1869" i="1"/>
  <c r="M1869" i="1"/>
  <c r="N1869" i="1" s="1"/>
  <c r="E1870" i="1"/>
  <c r="L1870" i="1"/>
  <c r="M1870" i="1" s="1"/>
  <c r="N1870" i="1" s="1"/>
  <c r="E1871" i="1"/>
  <c r="L1871" i="1"/>
  <c r="M1871" i="1"/>
  <c r="N1871" i="1" s="1"/>
  <c r="E1872" i="1"/>
  <c r="L1872" i="1"/>
  <c r="M1872" i="1"/>
  <c r="N1872" i="1" s="1"/>
  <c r="E1873" i="1"/>
  <c r="L1873" i="1"/>
  <c r="M1873" i="1"/>
  <c r="N1873" i="1"/>
  <c r="E1874" i="1"/>
  <c r="L1874" i="1"/>
  <c r="M1874" i="1"/>
  <c r="N1874" i="1" s="1"/>
  <c r="E1875" i="1"/>
  <c r="L1875" i="1"/>
  <c r="M1875" i="1"/>
  <c r="N1875" i="1"/>
  <c r="E1876" i="1"/>
  <c r="L1876" i="1"/>
  <c r="M1876" i="1"/>
  <c r="N1876" i="1" s="1"/>
  <c r="E1877" i="1"/>
  <c r="L1877" i="1"/>
  <c r="M1877" i="1"/>
  <c r="N1877" i="1"/>
  <c r="E1878" i="1"/>
  <c r="L1878" i="1"/>
  <c r="M1878" i="1"/>
  <c r="N1878" i="1" s="1"/>
  <c r="E1879" i="1"/>
  <c r="L1879" i="1"/>
  <c r="M1879" i="1"/>
  <c r="N1879" i="1" s="1"/>
  <c r="E1880" i="1"/>
  <c r="L1880" i="1"/>
  <c r="M1880" i="1" s="1"/>
  <c r="N1880" i="1" s="1"/>
  <c r="E1881" i="1"/>
  <c r="L1881" i="1"/>
  <c r="M1881" i="1"/>
  <c r="N1881" i="1"/>
  <c r="E1882" i="1"/>
  <c r="L1882" i="1"/>
  <c r="M1882" i="1"/>
  <c r="N1882" i="1" s="1"/>
  <c r="E1883" i="1"/>
  <c r="L1883" i="1"/>
  <c r="M1883" i="1"/>
  <c r="N1883" i="1"/>
  <c r="E1884" i="1"/>
  <c r="L1884" i="1"/>
  <c r="M1884" i="1"/>
  <c r="N1884" i="1" s="1"/>
  <c r="E1885" i="1"/>
  <c r="L1885" i="1"/>
  <c r="M1885" i="1"/>
  <c r="N1885" i="1" s="1"/>
  <c r="E1886" i="1"/>
  <c r="L1886" i="1"/>
  <c r="M1886" i="1" s="1"/>
  <c r="N1886" i="1" s="1"/>
  <c r="E1887" i="1"/>
  <c r="L1887" i="1"/>
  <c r="M1887" i="1" s="1"/>
  <c r="N1887" i="1" s="1"/>
  <c r="E1888" i="1"/>
  <c r="L1888" i="1"/>
  <c r="M1888" i="1"/>
  <c r="N1888" i="1" s="1"/>
  <c r="E1889" i="1"/>
  <c r="L1889" i="1"/>
  <c r="M1889" i="1"/>
  <c r="N1889" i="1" s="1"/>
  <c r="E1890" i="1"/>
  <c r="L1890" i="1"/>
  <c r="M1890" i="1"/>
  <c r="N1890" i="1" s="1"/>
  <c r="E1891" i="1"/>
  <c r="L1891" i="1"/>
  <c r="M1891" i="1"/>
  <c r="N1891" i="1" s="1"/>
  <c r="E1892" i="1"/>
  <c r="L1892" i="1"/>
  <c r="M1892" i="1" s="1"/>
  <c r="N1892" i="1" s="1"/>
  <c r="E1893" i="1"/>
  <c r="L1893" i="1"/>
  <c r="M1893" i="1" s="1"/>
  <c r="N1893" i="1" s="1"/>
  <c r="E1894" i="1"/>
  <c r="L1894" i="1"/>
  <c r="M1894" i="1"/>
  <c r="N1894" i="1"/>
  <c r="E1895" i="1"/>
  <c r="L1895" i="1"/>
  <c r="M1895" i="1" s="1"/>
  <c r="N1895" i="1" s="1"/>
  <c r="E1896" i="1"/>
  <c r="L1896" i="1"/>
  <c r="M1896" i="1"/>
  <c r="N1896" i="1"/>
  <c r="E1897" i="1"/>
  <c r="L1897" i="1"/>
  <c r="M1897" i="1"/>
  <c r="N1897" i="1"/>
  <c r="E1898" i="1"/>
  <c r="L1898" i="1"/>
  <c r="M1898" i="1"/>
  <c r="N1898" i="1" s="1"/>
  <c r="E1899" i="1"/>
  <c r="L1899" i="1"/>
  <c r="M1899" i="1"/>
  <c r="N1899" i="1"/>
  <c r="E1900" i="1"/>
  <c r="L1900" i="1"/>
  <c r="M1900" i="1"/>
  <c r="N1900" i="1"/>
  <c r="E1901" i="1"/>
  <c r="L1901" i="1"/>
  <c r="M1901" i="1"/>
  <c r="N1901" i="1"/>
  <c r="E1902" i="1"/>
  <c r="L1902" i="1"/>
  <c r="M1902" i="1"/>
  <c r="N1902" i="1"/>
  <c r="E1903" i="1"/>
  <c r="L1903" i="1"/>
  <c r="M1903" i="1"/>
  <c r="N1903" i="1"/>
  <c r="E1904" i="1"/>
  <c r="L1904" i="1"/>
  <c r="M1904" i="1"/>
  <c r="N1904" i="1" s="1"/>
  <c r="E1905" i="1"/>
  <c r="L1905" i="1"/>
  <c r="M1905" i="1"/>
  <c r="N1905" i="1"/>
  <c r="E1906" i="1"/>
  <c r="L1906" i="1"/>
  <c r="M1906" i="1"/>
  <c r="N1906" i="1" s="1"/>
  <c r="E1907" i="1"/>
  <c r="L1907" i="1"/>
  <c r="M1907" i="1"/>
  <c r="N1907" i="1"/>
  <c r="E1908" i="1"/>
  <c r="L1908" i="1"/>
  <c r="M1908" i="1"/>
  <c r="N1908" i="1" s="1"/>
  <c r="E1909" i="1"/>
  <c r="L1909" i="1"/>
  <c r="M1909" i="1"/>
  <c r="N1909" i="1"/>
  <c r="E1910" i="1"/>
  <c r="L1910" i="1"/>
  <c r="M1910" i="1"/>
  <c r="N1910" i="1" s="1"/>
  <c r="E1911" i="1"/>
  <c r="L1911" i="1"/>
  <c r="M1911" i="1"/>
  <c r="N1911" i="1" s="1"/>
  <c r="E1912" i="1"/>
  <c r="L1912" i="1"/>
  <c r="M1912" i="1" s="1"/>
  <c r="N1912" i="1" s="1"/>
  <c r="E1913" i="1"/>
  <c r="L1913" i="1"/>
  <c r="M1913" i="1" s="1"/>
  <c r="N1913" i="1" s="1"/>
  <c r="E1914" i="1"/>
  <c r="L1914" i="1"/>
  <c r="M1914" i="1"/>
  <c r="N1914" i="1" s="1"/>
  <c r="E1915" i="1"/>
  <c r="L1915" i="1"/>
  <c r="M1915" i="1" s="1"/>
  <c r="N1915" i="1" s="1"/>
  <c r="E1916" i="1"/>
  <c r="L1916" i="1"/>
  <c r="M1916" i="1"/>
  <c r="N1916" i="1" s="1"/>
  <c r="E1917" i="1"/>
  <c r="L1917" i="1"/>
  <c r="M1917" i="1"/>
  <c r="N1917" i="1"/>
  <c r="E1918" i="1"/>
  <c r="L1918" i="1"/>
  <c r="M1918" i="1" s="1"/>
  <c r="N1918" i="1" s="1"/>
  <c r="E1919" i="1"/>
  <c r="L1919" i="1"/>
  <c r="M1919" i="1"/>
  <c r="N1919" i="1"/>
  <c r="E1920" i="1"/>
  <c r="L1920" i="1"/>
  <c r="M1920" i="1"/>
  <c r="N1920" i="1"/>
  <c r="E1921" i="1"/>
  <c r="L1921" i="1"/>
  <c r="M1921" i="1"/>
  <c r="N1921" i="1"/>
  <c r="E1922" i="1"/>
  <c r="L1922" i="1"/>
  <c r="M1922" i="1"/>
  <c r="N1922" i="1" s="1"/>
  <c r="E1923" i="1"/>
  <c r="L1923" i="1"/>
  <c r="M1923" i="1"/>
  <c r="N1923" i="1"/>
  <c r="E1924" i="1"/>
  <c r="L1924" i="1"/>
  <c r="M1924" i="1" s="1"/>
  <c r="N1924" i="1" s="1"/>
  <c r="E1925" i="1"/>
  <c r="L1925" i="1"/>
  <c r="M1925" i="1"/>
  <c r="N1925" i="1"/>
  <c r="E1926" i="1"/>
  <c r="L1926" i="1"/>
  <c r="M1926" i="1"/>
  <c r="N1926" i="1" s="1"/>
  <c r="E1927" i="1"/>
  <c r="L1927" i="1"/>
  <c r="M1927" i="1"/>
  <c r="N1927" i="1" s="1"/>
  <c r="E1928" i="1"/>
  <c r="L1928" i="1"/>
  <c r="M1928" i="1"/>
  <c r="N1928" i="1" s="1"/>
  <c r="E1929" i="1"/>
  <c r="L1929" i="1"/>
  <c r="M1929" i="1"/>
  <c r="N1929" i="1"/>
  <c r="E1930" i="1"/>
  <c r="L1930" i="1"/>
  <c r="M1930" i="1"/>
  <c r="N1930" i="1" s="1"/>
  <c r="E1931" i="1"/>
  <c r="L1931" i="1"/>
  <c r="M1931" i="1"/>
  <c r="N1931" i="1"/>
  <c r="E1932" i="1"/>
  <c r="L1932" i="1"/>
  <c r="M1932" i="1"/>
  <c r="N1932" i="1" s="1"/>
  <c r="E1933" i="1"/>
  <c r="L1933" i="1"/>
  <c r="M1933" i="1" s="1"/>
  <c r="N1933" i="1" s="1"/>
  <c r="E1934" i="1"/>
  <c r="L1934" i="1"/>
  <c r="M1934" i="1"/>
  <c r="N1934" i="1"/>
  <c r="E1935" i="1"/>
  <c r="L1935" i="1"/>
  <c r="M1935" i="1"/>
  <c r="N1935" i="1"/>
  <c r="E1936" i="1"/>
  <c r="L1936" i="1"/>
  <c r="M1936" i="1"/>
  <c r="N1936" i="1" s="1"/>
  <c r="E1937" i="1"/>
  <c r="L1937" i="1"/>
  <c r="M1937" i="1"/>
  <c r="N1937" i="1"/>
  <c r="E1938" i="1"/>
  <c r="L1938" i="1"/>
  <c r="M1938" i="1" s="1"/>
  <c r="N1938" i="1" s="1"/>
  <c r="E1939" i="1"/>
  <c r="L1939" i="1"/>
  <c r="M1939" i="1" s="1"/>
  <c r="N1939" i="1" s="1"/>
  <c r="E1940" i="1"/>
  <c r="L1940" i="1"/>
  <c r="M1940" i="1"/>
  <c r="N1940" i="1"/>
  <c r="E1941" i="1"/>
  <c r="L1941" i="1"/>
  <c r="M1941" i="1"/>
  <c r="N1941" i="1" s="1"/>
  <c r="E1942" i="1"/>
  <c r="L1942" i="1"/>
  <c r="M1942" i="1"/>
  <c r="N1942" i="1"/>
  <c r="E1943" i="1"/>
  <c r="L1943" i="1"/>
  <c r="M1943" i="1"/>
  <c r="N1943" i="1"/>
  <c r="E1944" i="1"/>
  <c r="L1944" i="1"/>
  <c r="M1944" i="1"/>
  <c r="N1944" i="1" s="1"/>
  <c r="E1945" i="1"/>
  <c r="L1945" i="1"/>
  <c r="M1945" i="1"/>
  <c r="N1945" i="1" s="1"/>
  <c r="E1946" i="1"/>
  <c r="L1946" i="1"/>
  <c r="M1946" i="1"/>
  <c r="N1946" i="1" s="1"/>
  <c r="E1947" i="1"/>
  <c r="L1947" i="1"/>
  <c r="M1947" i="1"/>
  <c r="N1947" i="1"/>
  <c r="E1948" i="1"/>
  <c r="L1948" i="1"/>
  <c r="M1948" i="1"/>
  <c r="N1948" i="1"/>
  <c r="E1949" i="1"/>
  <c r="L1949" i="1"/>
  <c r="M1949" i="1"/>
  <c r="N1949" i="1"/>
  <c r="E1950" i="1"/>
  <c r="L1950" i="1"/>
  <c r="M1950" i="1"/>
  <c r="N1950" i="1"/>
  <c r="E1951" i="1"/>
  <c r="L1951" i="1"/>
  <c r="M1951" i="1"/>
  <c r="N1951" i="1" s="1"/>
  <c r="E1952" i="1"/>
  <c r="L1952" i="1"/>
  <c r="M1952" i="1"/>
  <c r="N1952" i="1"/>
  <c r="E1953" i="1"/>
  <c r="L1953" i="1"/>
  <c r="M1953" i="1"/>
  <c r="N1953" i="1" s="1"/>
  <c r="E1954" i="1"/>
  <c r="L1954" i="1"/>
  <c r="M1954" i="1" s="1"/>
  <c r="N1954" i="1" s="1"/>
  <c r="E1955" i="1"/>
  <c r="L1955" i="1"/>
  <c r="M1955" i="1"/>
  <c r="N1955" i="1" s="1"/>
  <c r="E1956" i="1"/>
  <c r="L1956" i="1"/>
  <c r="M1956" i="1"/>
  <c r="N1956" i="1" s="1"/>
  <c r="E1957" i="1"/>
  <c r="L1957" i="1"/>
  <c r="M1957" i="1"/>
  <c r="N1957" i="1"/>
  <c r="E1958" i="1"/>
  <c r="L1958" i="1"/>
  <c r="M1958" i="1"/>
  <c r="N1958" i="1"/>
  <c r="E1959" i="1"/>
  <c r="L1959" i="1"/>
  <c r="M1959" i="1"/>
  <c r="N1959" i="1"/>
  <c r="E1960" i="1"/>
  <c r="L1960" i="1"/>
  <c r="M1960" i="1" s="1"/>
  <c r="N1960" i="1" s="1"/>
  <c r="E1961" i="1"/>
  <c r="L1961" i="1"/>
  <c r="M1961" i="1"/>
  <c r="N1961" i="1"/>
  <c r="E1962" i="1"/>
  <c r="L1962" i="1"/>
  <c r="M1962" i="1"/>
  <c r="N1962" i="1"/>
  <c r="E1963" i="1"/>
  <c r="L1963" i="1"/>
  <c r="M1963" i="1" s="1"/>
  <c r="N1963" i="1" s="1"/>
  <c r="E1964" i="1"/>
  <c r="L1964" i="1"/>
  <c r="M1964" i="1"/>
  <c r="N1964" i="1"/>
  <c r="E1965" i="1"/>
  <c r="L1965" i="1"/>
  <c r="M1965" i="1"/>
  <c r="N1965" i="1" s="1"/>
  <c r="E1966" i="1"/>
  <c r="L1966" i="1"/>
  <c r="M1966" i="1" s="1"/>
  <c r="N1966" i="1" s="1"/>
  <c r="E1967" i="1"/>
  <c r="L1967" i="1"/>
  <c r="M1967" i="1"/>
  <c r="N1967" i="1"/>
  <c r="E1968" i="1"/>
  <c r="L1968" i="1"/>
  <c r="M1968" i="1" s="1"/>
  <c r="N1968" i="1" s="1"/>
  <c r="E1969" i="1"/>
  <c r="L1969" i="1"/>
  <c r="M1969" i="1"/>
  <c r="N1969" i="1" s="1"/>
  <c r="E1970" i="1"/>
  <c r="L1970" i="1"/>
  <c r="M1970" i="1"/>
  <c r="N1970" i="1"/>
  <c r="E1971" i="1"/>
  <c r="L1971" i="1"/>
  <c r="M1971" i="1"/>
  <c r="N1971" i="1" s="1"/>
  <c r="E1972" i="1"/>
  <c r="L1972" i="1"/>
  <c r="M1972" i="1"/>
  <c r="N1972" i="1" s="1"/>
  <c r="E1973" i="1"/>
  <c r="L1973" i="1"/>
  <c r="M1973" i="1"/>
  <c r="N1973" i="1"/>
  <c r="E1974" i="1"/>
  <c r="L1974" i="1"/>
  <c r="M1974" i="1"/>
  <c r="N1974" i="1" s="1"/>
  <c r="E1975" i="1"/>
  <c r="L1975" i="1"/>
  <c r="M1975" i="1"/>
  <c r="N1975" i="1" s="1"/>
  <c r="E1976" i="1"/>
  <c r="L1976" i="1"/>
  <c r="M1976" i="1"/>
  <c r="N1976" i="1"/>
  <c r="E1977" i="1"/>
  <c r="L1977" i="1"/>
  <c r="M1977" i="1"/>
  <c r="N1977" i="1" s="1"/>
  <c r="E1978" i="1"/>
  <c r="L1978" i="1"/>
  <c r="M1978" i="1"/>
  <c r="N1978" i="1" s="1"/>
  <c r="E1979" i="1"/>
  <c r="L1979" i="1"/>
  <c r="M1979" i="1" s="1"/>
  <c r="N1979" i="1" s="1"/>
  <c r="E1980" i="1"/>
  <c r="L1980" i="1"/>
  <c r="M1980" i="1"/>
  <c r="N1980" i="1"/>
  <c r="E1981" i="1"/>
  <c r="L1981" i="1"/>
  <c r="M1981" i="1" s="1"/>
  <c r="N1981" i="1" s="1"/>
  <c r="E1982" i="1"/>
  <c r="L1982" i="1"/>
  <c r="M1982" i="1"/>
  <c r="N1982" i="1"/>
  <c r="E1983" i="1"/>
  <c r="L1983" i="1"/>
  <c r="M1983" i="1"/>
  <c r="N1983" i="1" s="1"/>
  <c r="E1984" i="1"/>
  <c r="L1984" i="1"/>
  <c r="M1984" i="1"/>
  <c r="N1984" i="1" s="1"/>
  <c r="E1985" i="1"/>
  <c r="L1985" i="1"/>
  <c r="M1985" i="1"/>
  <c r="N1985" i="1" s="1"/>
  <c r="E1986" i="1"/>
  <c r="L1986" i="1"/>
  <c r="M1986" i="1"/>
  <c r="N1986" i="1" s="1"/>
  <c r="E1987" i="1"/>
  <c r="L1987" i="1"/>
  <c r="M1987" i="1"/>
  <c r="N1987" i="1" s="1"/>
  <c r="E1988" i="1"/>
  <c r="L1988" i="1"/>
  <c r="M1988" i="1"/>
  <c r="N1988" i="1" s="1"/>
  <c r="E1989" i="1"/>
  <c r="L1989" i="1"/>
  <c r="M1989" i="1"/>
  <c r="N1989" i="1"/>
  <c r="E1990" i="1"/>
  <c r="L1990" i="1"/>
  <c r="M1990" i="1"/>
  <c r="N1990" i="1"/>
  <c r="E1991" i="1"/>
  <c r="L1991" i="1"/>
  <c r="M1991" i="1"/>
  <c r="N1991" i="1"/>
  <c r="E1992" i="1"/>
  <c r="L1992" i="1"/>
  <c r="M1992" i="1"/>
  <c r="N1992" i="1"/>
  <c r="E1993" i="1"/>
  <c r="L1993" i="1"/>
  <c r="M1993" i="1" s="1"/>
  <c r="N1993" i="1" s="1"/>
  <c r="E1994" i="1"/>
  <c r="L1994" i="1"/>
  <c r="M1994" i="1"/>
  <c r="N1994" i="1" s="1"/>
  <c r="E1995" i="1"/>
  <c r="L1995" i="1"/>
  <c r="M1995" i="1"/>
  <c r="N1995" i="1" s="1"/>
  <c r="E1996" i="1"/>
  <c r="L1996" i="1"/>
  <c r="M1996" i="1"/>
  <c r="N1996" i="1" s="1"/>
  <c r="E1997" i="1"/>
  <c r="L1997" i="1"/>
  <c r="M1997" i="1" s="1"/>
  <c r="N1997" i="1" s="1"/>
  <c r="E1998" i="1"/>
  <c r="L1998" i="1"/>
  <c r="M1998" i="1"/>
  <c r="N1998" i="1"/>
  <c r="E1999" i="1"/>
  <c r="L1999" i="1"/>
  <c r="M1999" i="1" s="1"/>
  <c r="N1999" i="1" s="1"/>
  <c r="E2000" i="1"/>
  <c r="L2000" i="1"/>
  <c r="M2000" i="1"/>
  <c r="N2000" i="1"/>
  <c r="E2001" i="1"/>
  <c r="L2001" i="1"/>
  <c r="M2001" i="1"/>
  <c r="N2001" i="1" s="1"/>
  <c r="E2002" i="1"/>
  <c r="L2002" i="1"/>
  <c r="M2002" i="1"/>
  <c r="N2002" i="1"/>
  <c r="E2003" i="1"/>
  <c r="L2003" i="1"/>
  <c r="M2003" i="1" s="1"/>
  <c r="N2003" i="1" s="1"/>
  <c r="E2004" i="1"/>
  <c r="L2004" i="1"/>
  <c r="M2004" i="1" s="1"/>
  <c r="N2004" i="1" s="1"/>
  <c r="E2005" i="1"/>
  <c r="L2005" i="1"/>
  <c r="M2005" i="1"/>
  <c r="N2005" i="1" s="1"/>
  <c r="E2006" i="1"/>
  <c r="L2006" i="1"/>
  <c r="M2006" i="1"/>
  <c r="N2006" i="1" s="1"/>
  <c r="E2007" i="1"/>
  <c r="L2007" i="1"/>
  <c r="M2007" i="1"/>
  <c r="N2007" i="1" s="1"/>
  <c r="E2008" i="1"/>
  <c r="L2008" i="1"/>
  <c r="M2008" i="1"/>
  <c r="N2008" i="1" s="1"/>
  <c r="E2009" i="1"/>
  <c r="L2009" i="1"/>
  <c r="M2009" i="1"/>
  <c r="N2009" i="1"/>
  <c r="E2010" i="1"/>
  <c r="L2010" i="1"/>
  <c r="M2010" i="1" s="1"/>
  <c r="N2010" i="1" s="1"/>
  <c r="E2011" i="1"/>
  <c r="L2011" i="1"/>
  <c r="M2011" i="1" s="1"/>
  <c r="N2011" i="1" s="1"/>
  <c r="E2012" i="1"/>
  <c r="L2012" i="1"/>
  <c r="M2012" i="1"/>
  <c r="N2012" i="1"/>
  <c r="E2013" i="1"/>
  <c r="L2013" i="1"/>
  <c r="M2013" i="1" s="1"/>
  <c r="N2013" i="1" s="1"/>
  <c r="E2014" i="1"/>
  <c r="L2014" i="1"/>
  <c r="M2014" i="1"/>
  <c r="N2014" i="1" s="1"/>
  <c r="E2015" i="1"/>
  <c r="L2015" i="1"/>
  <c r="M2015" i="1"/>
  <c r="N2015" i="1" s="1"/>
  <c r="E2016" i="1"/>
  <c r="L2016" i="1"/>
  <c r="M2016" i="1"/>
  <c r="N2016" i="1" s="1"/>
  <c r="E2017" i="1"/>
  <c r="L2017" i="1"/>
  <c r="M2017" i="1"/>
  <c r="N2017" i="1" s="1"/>
  <c r="E2018" i="1"/>
  <c r="L2018" i="1"/>
  <c r="M2018" i="1"/>
  <c r="N2018" i="1"/>
  <c r="E2019" i="1"/>
  <c r="L2019" i="1"/>
  <c r="M2019" i="1"/>
  <c r="N2019" i="1"/>
  <c r="E2020" i="1"/>
  <c r="L2020" i="1"/>
  <c r="M2020" i="1"/>
  <c r="N2020" i="1" s="1"/>
  <c r="E2021" i="1"/>
  <c r="L2021" i="1"/>
  <c r="M2021" i="1"/>
  <c r="N2021" i="1" s="1"/>
  <c r="E2022" i="1"/>
  <c r="L2022" i="1"/>
  <c r="M2022" i="1"/>
  <c r="N2022" i="1"/>
  <c r="E2023" i="1"/>
  <c r="L2023" i="1"/>
  <c r="M2023" i="1"/>
  <c r="N2023" i="1" s="1"/>
  <c r="E2024" i="1"/>
  <c r="L2024" i="1"/>
  <c r="M2024" i="1"/>
  <c r="N2024" i="1"/>
  <c r="E2025" i="1"/>
  <c r="L2025" i="1"/>
  <c r="M2025" i="1"/>
  <c r="N2025" i="1"/>
  <c r="E2026" i="1"/>
  <c r="L2026" i="1"/>
  <c r="M2026" i="1"/>
  <c r="N2026" i="1"/>
  <c r="E2027" i="1"/>
  <c r="L2027" i="1"/>
  <c r="M2027" i="1"/>
  <c r="N2027" i="1" s="1"/>
  <c r="E2028" i="1"/>
  <c r="L2028" i="1"/>
  <c r="M2028" i="1" s="1"/>
  <c r="N2028" i="1" s="1"/>
  <c r="E2029" i="1"/>
  <c r="L2029" i="1"/>
  <c r="M2029" i="1"/>
  <c r="N2029" i="1"/>
  <c r="E2030" i="1"/>
  <c r="L2030" i="1"/>
  <c r="M2030" i="1"/>
  <c r="N2030" i="1" s="1"/>
  <c r="E2031" i="1"/>
  <c r="L2031" i="1"/>
  <c r="M2031" i="1"/>
  <c r="N2031" i="1"/>
  <c r="E2032" i="1"/>
  <c r="L2032" i="1"/>
  <c r="M2032" i="1"/>
  <c r="N2032" i="1" s="1"/>
  <c r="E2033" i="1"/>
  <c r="L2033" i="1"/>
  <c r="M2033" i="1"/>
  <c r="N2033" i="1"/>
  <c r="E2034" i="1"/>
  <c r="L2034" i="1"/>
  <c r="M2034" i="1" s="1"/>
  <c r="N2034" i="1" s="1"/>
  <c r="E2035" i="1"/>
  <c r="L2035" i="1"/>
  <c r="M2035" i="1" s="1"/>
  <c r="N2035" i="1" s="1"/>
  <c r="E2036" i="1"/>
  <c r="L2036" i="1"/>
  <c r="M2036" i="1"/>
  <c r="N2036" i="1" s="1"/>
  <c r="E2037" i="1"/>
  <c r="L2037" i="1"/>
  <c r="M2037" i="1"/>
  <c r="N2037" i="1" s="1"/>
  <c r="E2038" i="1"/>
  <c r="L2038" i="1"/>
  <c r="M2038" i="1" s="1"/>
  <c r="N2038" i="1" s="1"/>
  <c r="E2039" i="1"/>
  <c r="L2039" i="1"/>
  <c r="M2039" i="1"/>
  <c r="N2039" i="1"/>
  <c r="E2040" i="1"/>
  <c r="L2040" i="1"/>
  <c r="M2040" i="1"/>
  <c r="N2040" i="1"/>
  <c r="E2041" i="1"/>
  <c r="L2041" i="1"/>
  <c r="M2041" i="1" s="1"/>
  <c r="N2041" i="1" s="1"/>
  <c r="E2042" i="1"/>
  <c r="L2042" i="1"/>
  <c r="M2042" i="1"/>
  <c r="N2042" i="1"/>
  <c r="E2043" i="1"/>
  <c r="L2043" i="1"/>
  <c r="M2043" i="1" s="1"/>
  <c r="N2043" i="1" s="1"/>
  <c r="E2044" i="1"/>
  <c r="L2044" i="1"/>
  <c r="M2044" i="1"/>
  <c r="N2044" i="1"/>
  <c r="E2045" i="1"/>
  <c r="L2045" i="1"/>
  <c r="M2045" i="1" s="1"/>
  <c r="N2045" i="1" s="1"/>
  <c r="E2046" i="1"/>
  <c r="L2046" i="1"/>
  <c r="M2046" i="1" s="1"/>
  <c r="N2046" i="1" s="1"/>
  <c r="E2047" i="1"/>
  <c r="L2047" i="1"/>
  <c r="M2047" i="1" s="1"/>
  <c r="N2047" i="1" s="1"/>
  <c r="E2048" i="1"/>
  <c r="L2048" i="1"/>
  <c r="M2048" i="1"/>
  <c r="N2048" i="1" s="1"/>
  <c r="E2049" i="1"/>
  <c r="L2049" i="1"/>
  <c r="M2049" i="1"/>
  <c r="N2049" i="1"/>
  <c r="E2050" i="1"/>
  <c r="L2050" i="1"/>
  <c r="M2050" i="1"/>
  <c r="N2050" i="1"/>
  <c r="E2051" i="1"/>
  <c r="L2051" i="1"/>
  <c r="M2051" i="1" s="1"/>
  <c r="N2051" i="1" s="1"/>
  <c r="E2052" i="1"/>
  <c r="L2052" i="1"/>
  <c r="M2052" i="1" s="1"/>
  <c r="N2052" i="1" s="1"/>
  <c r="E2053" i="1"/>
  <c r="L2053" i="1"/>
  <c r="M2053" i="1"/>
  <c r="N2053" i="1"/>
  <c r="E2054" i="1"/>
  <c r="L2054" i="1"/>
  <c r="M2054" i="1"/>
  <c r="N2054" i="1"/>
  <c r="E2055" i="1"/>
  <c r="L2055" i="1"/>
  <c r="M2055" i="1" s="1"/>
  <c r="N2055" i="1" s="1"/>
  <c r="E2056" i="1"/>
  <c r="L2056" i="1"/>
  <c r="M2056" i="1" s="1"/>
  <c r="N2056" i="1" s="1"/>
  <c r="E2057" i="1"/>
  <c r="L2057" i="1"/>
  <c r="M2057" i="1" s="1"/>
  <c r="N2057" i="1" s="1"/>
  <c r="E2058" i="1"/>
  <c r="L2058" i="1"/>
  <c r="M2058" i="1"/>
  <c r="N2058" i="1"/>
  <c r="E2059" i="1"/>
  <c r="L2059" i="1"/>
  <c r="M2059" i="1"/>
  <c r="N2059" i="1" s="1"/>
  <c r="E2060" i="1"/>
  <c r="L2060" i="1"/>
  <c r="M2060" i="1"/>
  <c r="N2060" i="1" s="1"/>
  <c r="E2061" i="1"/>
  <c r="L2061" i="1"/>
  <c r="M2061" i="1"/>
  <c r="N2061" i="1" s="1"/>
  <c r="E2062" i="1"/>
  <c r="L2062" i="1"/>
  <c r="M2062" i="1"/>
  <c r="N2062" i="1" s="1"/>
  <c r="E2063" i="1"/>
  <c r="L2063" i="1"/>
  <c r="M2063" i="1"/>
  <c r="N2063" i="1"/>
  <c r="E2064" i="1"/>
  <c r="L2064" i="1"/>
  <c r="M2064" i="1"/>
  <c r="N2064" i="1"/>
  <c r="E2065" i="1"/>
  <c r="L2065" i="1"/>
  <c r="M2065" i="1"/>
  <c r="N2065" i="1" s="1"/>
  <c r="E2066" i="1"/>
  <c r="L2066" i="1"/>
  <c r="M2066" i="1"/>
  <c r="N2066" i="1"/>
  <c r="E2067" i="1"/>
  <c r="L2067" i="1"/>
  <c r="M2067" i="1"/>
  <c r="N2067" i="1"/>
  <c r="E2068" i="1"/>
  <c r="L2068" i="1"/>
  <c r="M2068" i="1"/>
  <c r="N2068" i="1"/>
  <c r="E2069" i="1"/>
  <c r="L2069" i="1"/>
  <c r="M2069" i="1"/>
  <c r="N2069" i="1" s="1"/>
  <c r="E2070" i="1"/>
  <c r="L2070" i="1"/>
  <c r="M2070" i="1"/>
  <c r="N2070" i="1"/>
  <c r="E2071" i="1"/>
  <c r="L2071" i="1"/>
  <c r="M2071" i="1"/>
  <c r="N2071" i="1" s="1"/>
  <c r="E2072" i="1"/>
  <c r="L2072" i="1"/>
  <c r="M2072" i="1" s="1"/>
  <c r="N2072" i="1" s="1"/>
  <c r="E2073" i="1"/>
  <c r="L2073" i="1"/>
  <c r="M2073" i="1"/>
  <c r="N2073" i="1" s="1"/>
  <c r="E2074" i="1"/>
  <c r="L2074" i="1"/>
  <c r="M2074" i="1"/>
  <c r="N2074" i="1" s="1"/>
  <c r="E2075" i="1"/>
  <c r="L2075" i="1"/>
  <c r="M2075" i="1"/>
  <c r="N2075" i="1" s="1"/>
  <c r="E2076" i="1"/>
  <c r="L2076" i="1"/>
  <c r="M2076" i="1"/>
  <c r="N2076" i="1" s="1"/>
  <c r="E2077" i="1"/>
  <c r="L2077" i="1"/>
  <c r="M2077" i="1"/>
  <c r="N2077" i="1" s="1"/>
  <c r="E2078" i="1"/>
  <c r="L2078" i="1"/>
  <c r="M2078" i="1" s="1"/>
  <c r="N2078" i="1" s="1"/>
  <c r="E2079" i="1"/>
  <c r="L2079" i="1"/>
  <c r="M2079" i="1"/>
  <c r="N2079" i="1"/>
  <c r="E2080" i="1"/>
  <c r="L2080" i="1"/>
  <c r="M2080" i="1"/>
  <c r="N2080" i="1" s="1"/>
  <c r="E2081" i="1"/>
  <c r="L2081" i="1"/>
  <c r="M2081" i="1"/>
  <c r="N2081" i="1"/>
  <c r="E2082" i="1"/>
  <c r="L2082" i="1"/>
  <c r="M2082" i="1"/>
  <c r="N2082" i="1"/>
  <c r="E2083" i="1"/>
  <c r="L2083" i="1"/>
  <c r="M2083" i="1"/>
  <c r="N2083" i="1" s="1"/>
  <c r="E2084" i="1"/>
  <c r="L2084" i="1"/>
  <c r="M2084" i="1"/>
  <c r="N2084" i="1"/>
  <c r="E2085" i="1"/>
  <c r="L2085" i="1"/>
  <c r="M2085" i="1" s="1"/>
  <c r="N2085" i="1" s="1"/>
  <c r="E2086" i="1"/>
  <c r="L2086" i="1"/>
  <c r="M2086" i="1"/>
  <c r="N2086" i="1" s="1"/>
  <c r="E2087" i="1"/>
  <c r="L2087" i="1"/>
  <c r="M2087" i="1" s="1"/>
  <c r="N2087" i="1" s="1"/>
  <c r="E2088" i="1"/>
  <c r="L2088" i="1"/>
  <c r="M2088" i="1" s="1"/>
  <c r="N2088" i="1" s="1"/>
  <c r="E2089" i="1"/>
  <c r="L2089" i="1"/>
  <c r="M2089" i="1" s="1"/>
  <c r="N2089" i="1" s="1"/>
  <c r="E2090" i="1"/>
  <c r="L2090" i="1"/>
  <c r="M2090" i="1"/>
  <c r="N2090" i="1"/>
  <c r="E2091" i="1"/>
  <c r="L2091" i="1"/>
  <c r="M2091" i="1"/>
  <c r="N2091" i="1" s="1"/>
  <c r="E2092" i="1"/>
  <c r="L2092" i="1"/>
  <c r="M2092" i="1"/>
  <c r="N2092" i="1"/>
  <c r="E2093" i="1"/>
  <c r="L2093" i="1"/>
  <c r="M2093" i="1"/>
  <c r="N2093" i="1"/>
  <c r="E2094" i="1"/>
  <c r="L2094" i="1"/>
  <c r="M2094" i="1"/>
  <c r="N2094" i="1"/>
  <c r="E2095" i="1"/>
  <c r="L2095" i="1"/>
  <c r="M2095" i="1"/>
  <c r="N2095" i="1"/>
  <c r="E2096" i="1"/>
  <c r="L2096" i="1"/>
  <c r="M2096" i="1"/>
  <c r="N2096" i="1"/>
  <c r="E2097" i="1"/>
  <c r="L2097" i="1"/>
  <c r="M2097" i="1" s="1"/>
  <c r="N2097" i="1" s="1"/>
  <c r="E2098" i="1"/>
  <c r="L2098" i="1"/>
  <c r="M2098" i="1"/>
  <c r="N2098" i="1"/>
  <c r="E2099" i="1"/>
  <c r="L2099" i="1"/>
  <c r="M2099" i="1" s="1"/>
  <c r="N2099" i="1" s="1"/>
  <c r="E2100" i="1"/>
  <c r="L2100" i="1"/>
  <c r="M2100" i="1" s="1"/>
  <c r="N2100" i="1" s="1"/>
  <c r="E2101" i="1"/>
  <c r="L2101" i="1"/>
  <c r="M2101" i="1"/>
  <c r="N2101" i="1" s="1"/>
  <c r="E2102" i="1"/>
  <c r="L2102" i="1"/>
  <c r="M2102" i="1"/>
  <c r="N2102" i="1" s="1"/>
  <c r="E2103" i="1"/>
  <c r="L2103" i="1"/>
  <c r="M2103" i="1"/>
  <c r="N2103" i="1" s="1"/>
  <c r="E2104" i="1"/>
  <c r="L2104" i="1"/>
  <c r="M2104" i="1"/>
  <c r="N2104" i="1"/>
  <c r="E2105" i="1"/>
  <c r="L2105" i="1"/>
  <c r="M2105" i="1"/>
  <c r="N2105" i="1"/>
  <c r="E2106" i="1"/>
  <c r="L2106" i="1"/>
  <c r="M2106" i="1" s="1"/>
  <c r="N2106" i="1" s="1"/>
  <c r="E2107" i="1"/>
  <c r="L2107" i="1"/>
  <c r="M2107" i="1"/>
  <c r="N2107" i="1" s="1"/>
  <c r="E2108" i="1"/>
  <c r="L2108" i="1"/>
  <c r="M2108" i="1" s="1"/>
  <c r="N2108" i="1" s="1"/>
  <c r="E2109" i="1"/>
  <c r="L2109" i="1"/>
  <c r="M2109" i="1"/>
  <c r="N2109" i="1"/>
  <c r="E2110" i="1"/>
  <c r="L2110" i="1"/>
  <c r="M2110" i="1" s="1"/>
  <c r="N2110" i="1" s="1"/>
  <c r="E2111" i="1"/>
  <c r="L2111" i="1"/>
  <c r="M2111" i="1"/>
  <c r="N2111" i="1"/>
  <c r="E2112" i="1"/>
  <c r="L2112" i="1"/>
  <c r="M2112" i="1"/>
  <c r="N2112" i="1" s="1"/>
  <c r="E2113" i="1"/>
  <c r="L2113" i="1"/>
  <c r="M2113" i="1"/>
  <c r="N2113" i="1"/>
  <c r="E2114" i="1"/>
  <c r="L2114" i="1"/>
  <c r="M2114" i="1"/>
  <c r="N2114" i="1"/>
  <c r="E2115" i="1"/>
  <c r="L2115" i="1"/>
  <c r="M2115" i="1" s="1"/>
  <c r="N2115" i="1" s="1"/>
  <c r="E2116" i="1"/>
  <c r="L2116" i="1"/>
  <c r="M2116" i="1"/>
  <c r="N2116" i="1" s="1"/>
  <c r="E2117" i="1"/>
  <c r="L2117" i="1"/>
  <c r="M2117" i="1" s="1"/>
  <c r="N2117" i="1" s="1"/>
  <c r="E2118" i="1"/>
  <c r="L2118" i="1"/>
  <c r="M2118" i="1"/>
  <c r="N2118" i="1"/>
  <c r="E2119" i="1"/>
  <c r="L2119" i="1"/>
  <c r="M2119" i="1" s="1"/>
  <c r="N2119" i="1" s="1"/>
  <c r="E2120" i="1"/>
  <c r="L2120" i="1"/>
  <c r="M2120" i="1"/>
  <c r="N2120" i="1" s="1"/>
  <c r="E2121" i="1"/>
  <c r="L2121" i="1"/>
  <c r="M2121" i="1"/>
  <c r="N2121" i="1"/>
  <c r="E2122" i="1"/>
  <c r="L2122" i="1"/>
  <c r="M2122" i="1"/>
  <c r="N2122" i="1" s="1"/>
  <c r="E2123" i="1"/>
  <c r="L2123" i="1"/>
  <c r="M2123" i="1"/>
  <c r="N2123" i="1" s="1"/>
  <c r="E2124" i="1"/>
  <c r="L2124" i="1"/>
  <c r="M2124" i="1"/>
  <c r="N2124" i="1"/>
  <c r="E2125" i="1"/>
  <c r="L2125" i="1"/>
  <c r="M2125" i="1"/>
  <c r="N2125" i="1" s="1"/>
  <c r="E2126" i="1"/>
  <c r="L2126" i="1"/>
  <c r="M2126" i="1"/>
  <c r="N2126" i="1"/>
  <c r="E2127" i="1"/>
  <c r="L2127" i="1"/>
  <c r="M2127" i="1" s="1"/>
  <c r="N2127" i="1" s="1"/>
  <c r="E2128" i="1"/>
  <c r="L2128" i="1"/>
  <c r="M2128" i="1"/>
  <c r="N2128" i="1" s="1"/>
  <c r="E2129" i="1"/>
  <c r="L2129" i="1"/>
  <c r="M2129" i="1"/>
  <c r="N2129" i="1"/>
  <c r="E2130" i="1"/>
  <c r="L2130" i="1"/>
  <c r="M2130" i="1" s="1"/>
  <c r="N2130" i="1" s="1"/>
  <c r="E2131" i="1"/>
  <c r="L2131" i="1"/>
  <c r="M2131" i="1"/>
  <c r="N2131" i="1"/>
  <c r="E2132" i="1"/>
  <c r="L2132" i="1"/>
  <c r="M2132" i="1"/>
  <c r="N2132" i="1"/>
  <c r="E2133" i="1"/>
  <c r="L2133" i="1"/>
  <c r="M2133" i="1" s="1"/>
  <c r="N2133" i="1" s="1"/>
  <c r="E2134" i="1"/>
  <c r="L2134" i="1"/>
  <c r="M2134" i="1"/>
  <c r="N2134" i="1"/>
  <c r="E2135" i="1"/>
  <c r="L2135" i="1"/>
  <c r="M2135" i="1"/>
  <c r="N2135" i="1"/>
  <c r="E2136" i="1"/>
  <c r="L2136" i="1"/>
  <c r="M2136" i="1"/>
  <c r="N2136" i="1"/>
  <c r="E2137" i="1"/>
  <c r="L2137" i="1"/>
  <c r="M2137" i="1"/>
  <c r="N2137" i="1" s="1"/>
  <c r="E2138" i="1"/>
  <c r="L2138" i="1"/>
  <c r="M2138" i="1"/>
  <c r="N2138" i="1" s="1"/>
  <c r="E2139" i="1"/>
  <c r="L2139" i="1"/>
  <c r="M2139" i="1"/>
  <c r="N2139" i="1"/>
  <c r="E2140" i="1"/>
  <c r="L2140" i="1"/>
  <c r="M2140" i="1"/>
  <c r="N2140" i="1"/>
  <c r="E2141" i="1"/>
  <c r="L2141" i="1"/>
  <c r="M2141" i="1"/>
  <c r="N2141" i="1" s="1"/>
  <c r="E2142" i="1"/>
  <c r="L2142" i="1"/>
  <c r="M2142" i="1"/>
  <c r="N2142" i="1" s="1"/>
  <c r="E2143" i="1"/>
  <c r="L2143" i="1"/>
  <c r="M2143" i="1"/>
  <c r="N2143" i="1"/>
  <c r="E2144" i="1"/>
  <c r="L2144" i="1"/>
  <c r="M2144" i="1"/>
  <c r="N2144" i="1"/>
  <c r="E2145" i="1"/>
  <c r="L2145" i="1"/>
  <c r="M2145" i="1"/>
  <c r="N2145" i="1"/>
  <c r="E2146" i="1"/>
  <c r="L2146" i="1"/>
  <c r="M2146" i="1"/>
  <c r="N2146" i="1" s="1"/>
  <c r="E2147" i="1"/>
  <c r="L2147" i="1"/>
  <c r="M2147" i="1"/>
  <c r="N2147" i="1"/>
  <c r="E2148" i="1"/>
  <c r="L2148" i="1"/>
  <c r="M2148" i="1" s="1"/>
  <c r="N2148" i="1" s="1"/>
  <c r="E2149" i="1"/>
  <c r="L2149" i="1"/>
  <c r="M2149" i="1"/>
  <c r="N2149" i="1"/>
  <c r="E2150" i="1"/>
  <c r="L2150" i="1"/>
  <c r="M2150" i="1"/>
  <c r="N2150" i="1" s="1"/>
  <c r="E2151" i="1"/>
  <c r="L2151" i="1"/>
  <c r="M2151" i="1" s="1"/>
  <c r="N2151" i="1" s="1"/>
  <c r="E2152" i="1"/>
  <c r="L2152" i="1"/>
  <c r="M2152" i="1"/>
  <c r="N2152" i="1" s="1"/>
  <c r="E2153" i="1"/>
  <c r="L2153" i="1"/>
  <c r="M2153" i="1"/>
  <c r="N2153" i="1" s="1"/>
  <c r="E2154" i="1"/>
  <c r="L2154" i="1"/>
  <c r="M2154" i="1"/>
  <c r="N2154" i="1" s="1"/>
  <c r="E2155" i="1"/>
  <c r="L2155" i="1"/>
  <c r="M2155" i="1"/>
  <c r="N2155" i="1"/>
  <c r="E2156" i="1"/>
  <c r="L2156" i="1"/>
  <c r="M2156" i="1"/>
  <c r="N2156" i="1"/>
  <c r="E2157" i="1"/>
  <c r="L2157" i="1"/>
  <c r="M2157" i="1"/>
  <c r="N2157" i="1" s="1"/>
  <c r="E2158" i="1"/>
  <c r="L2158" i="1"/>
  <c r="M2158" i="1"/>
  <c r="N2158" i="1"/>
  <c r="E2159" i="1"/>
  <c r="L2159" i="1"/>
  <c r="M2159" i="1" s="1"/>
  <c r="N2159" i="1" s="1"/>
  <c r="E2160" i="1"/>
  <c r="L2160" i="1"/>
  <c r="M2160" i="1"/>
  <c r="N2160" i="1"/>
  <c r="E2161" i="1"/>
  <c r="L2161" i="1"/>
  <c r="M2161" i="1"/>
  <c r="N2161" i="1"/>
  <c r="E2162" i="1"/>
  <c r="L2162" i="1"/>
  <c r="M2162" i="1"/>
  <c r="N2162" i="1" s="1"/>
  <c r="E2163" i="1"/>
  <c r="L2163" i="1"/>
  <c r="M2163" i="1" s="1"/>
  <c r="N2163" i="1" s="1"/>
  <c r="E2164" i="1"/>
  <c r="L2164" i="1"/>
  <c r="M2164" i="1" s="1"/>
  <c r="N2164" i="1" s="1"/>
  <c r="E2165" i="1"/>
  <c r="L2165" i="1"/>
  <c r="M2165" i="1" s="1"/>
  <c r="N2165" i="1" s="1"/>
  <c r="E2166" i="1"/>
  <c r="L2166" i="1"/>
  <c r="M2166" i="1"/>
  <c r="N2166" i="1"/>
  <c r="E2167" i="1"/>
  <c r="L2167" i="1"/>
  <c r="M2167" i="1"/>
  <c r="N2167" i="1" s="1"/>
  <c r="E2168" i="1"/>
  <c r="L2168" i="1"/>
  <c r="M2168" i="1" s="1"/>
  <c r="N2168" i="1" s="1"/>
  <c r="E2169" i="1"/>
  <c r="L2169" i="1"/>
  <c r="M2169" i="1"/>
  <c r="N2169" i="1"/>
  <c r="E2170" i="1"/>
  <c r="L2170" i="1"/>
  <c r="M2170" i="1"/>
  <c r="N2170" i="1" s="1"/>
  <c r="E2171" i="1"/>
  <c r="L2171" i="1"/>
  <c r="M2171" i="1" s="1"/>
  <c r="N2171" i="1" s="1"/>
  <c r="E2172" i="1"/>
  <c r="L2172" i="1"/>
  <c r="M2172" i="1"/>
  <c r="N2172" i="1"/>
  <c r="E2173" i="1"/>
  <c r="L2173" i="1"/>
  <c r="M2173" i="1" s="1"/>
  <c r="N2173" i="1" s="1"/>
  <c r="E2174" i="1"/>
  <c r="L2174" i="1"/>
  <c r="M2174" i="1"/>
  <c r="N2174" i="1" s="1"/>
  <c r="E2175" i="1"/>
  <c r="L2175" i="1"/>
  <c r="M2175" i="1"/>
  <c r="N2175" i="1"/>
  <c r="E2176" i="1"/>
  <c r="L2176" i="1"/>
  <c r="M2176" i="1"/>
  <c r="N2176" i="1" s="1"/>
  <c r="E2177" i="1"/>
  <c r="L2177" i="1"/>
  <c r="M2177" i="1"/>
  <c r="N2177" i="1" s="1"/>
  <c r="E2178" i="1"/>
  <c r="L2178" i="1"/>
  <c r="M2178" i="1"/>
  <c r="N2178" i="1" s="1"/>
  <c r="E2179" i="1"/>
  <c r="L2179" i="1"/>
  <c r="M2179" i="1"/>
  <c r="N2179" i="1"/>
  <c r="E2180" i="1"/>
  <c r="L2180" i="1"/>
  <c r="M2180" i="1"/>
  <c r="N2180" i="1" s="1"/>
  <c r="E2181" i="1"/>
  <c r="L2181" i="1"/>
  <c r="M2181" i="1" s="1"/>
  <c r="N2181" i="1" s="1"/>
  <c r="E2182" i="1"/>
  <c r="L2182" i="1"/>
  <c r="M2182" i="1" s="1"/>
  <c r="N2182" i="1" s="1"/>
  <c r="E2183" i="1"/>
  <c r="L2183" i="1"/>
  <c r="M2183" i="1"/>
  <c r="N2183" i="1"/>
  <c r="E2184" i="1"/>
  <c r="L2184" i="1"/>
  <c r="M2184" i="1" s="1"/>
  <c r="N2184" i="1" s="1"/>
  <c r="E2185" i="1"/>
  <c r="L2185" i="1"/>
  <c r="M2185" i="1"/>
  <c r="N2185" i="1"/>
  <c r="E2186" i="1"/>
  <c r="L2186" i="1"/>
  <c r="M2186" i="1"/>
  <c r="N2186" i="1"/>
  <c r="E2187" i="1"/>
  <c r="L2187" i="1"/>
  <c r="M2187" i="1" s="1"/>
  <c r="N2187" i="1" s="1"/>
  <c r="E2188" i="1"/>
  <c r="L2188" i="1"/>
  <c r="M2188" i="1"/>
  <c r="N2188" i="1" s="1"/>
  <c r="E2189" i="1"/>
  <c r="L2189" i="1"/>
  <c r="M2189" i="1"/>
  <c r="N2189" i="1" s="1"/>
  <c r="E2190" i="1"/>
  <c r="L2190" i="1"/>
  <c r="M2190" i="1"/>
  <c r="N2190" i="1" s="1"/>
  <c r="E2191" i="1"/>
  <c r="L2191" i="1"/>
  <c r="M2191" i="1" s="1"/>
  <c r="N2191" i="1" s="1"/>
  <c r="E2192" i="1"/>
  <c r="L2192" i="1"/>
  <c r="M2192" i="1"/>
  <c r="N2192" i="1"/>
  <c r="E2193" i="1"/>
  <c r="L2193" i="1"/>
  <c r="M2193" i="1"/>
  <c r="N2193" i="1" s="1"/>
  <c r="E2194" i="1"/>
  <c r="L2194" i="1"/>
  <c r="M2194" i="1"/>
  <c r="N2194" i="1" s="1"/>
  <c r="E2195" i="1"/>
  <c r="L2195" i="1"/>
  <c r="M2195" i="1"/>
  <c r="N2195" i="1"/>
  <c r="E2196" i="1"/>
  <c r="L2196" i="1"/>
  <c r="M2196" i="1"/>
  <c r="N2196" i="1"/>
  <c r="L2" i="1"/>
  <c r="M2" i="1" s="1"/>
  <c r="N2" i="1" s="1"/>
  <c r="E2" i="1"/>
</calcChain>
</file>

<file path=xl/sharedStrings.xml><?xml version="1.0" encoding="utf-8"?>
<sst xmlns="http://schemas.openxmlformats.org/spreadsheetml/2006/main" count="32427" uniqueCount="5215">
  <si>
    <t>AreaNumber</t>
  </si>
  <si>
    <t>BranchNumber</t>
  </si>
  <si>
    <t>Line</t>
  </si>
  <si>
    <t>ItemNumber</t>
  </si>
  <si>
    <t>Description</t>
  </si>
  <si>
    <t>Rank</t>
  </si>
  <si>
    <t>RepCost</t>
  </si>
  <si>
    <t>OnHandQty</t>
  </si>
  <si>
    <t>OverStock</t>
  </si>
  <si>
    <t>OverStock$</t>
  </si>
  <si>
    <t>LastRecv</t>
  </si>
  <si>
    <t>LastVendor</t>
  </si>
  <si>
    <t>ACNT</t>
  </si>
  <si>
    <t>69908-101</t>
  </si>
  <si>
    <t>Panicum virgatum Heavy Metal Switch Grass 1 gal. Container</t>
  </si>
  <si>
    <t>DC</t>
  </si>
  <si>
    <t>QUALITY GREENHOUSES AND PERENNIAL FARM INC</t>
  </si>
  <si>
    <t>77223-SP4</t>
  </si>
  <si>
    <t>Phedimus (Sedum) spurius Voodoo Creeping Stonecrop SP4 Container</t>
  </si>
  <si>
    <t>BC</t>
  </si>
  <si>
    <t>MIDWEST GROUNDCOVERS</t>
  </si>
  <si>
    <t>72623-SP4</t>
  </si>
  <si>
    <t>Petrosedum rupestre Angelina Stonecrop SP4 Container</t>
  </si>
  <si>
    <t>BB</t>
  </si>
  <si>
    <t>67205-STK103</t>
  </si>
  <si>
    <t>Hydrangea petiolaris Climbing Hydrangea Staked 3 gal. Container</t>
  </si>
  <si>
    <t>EAST COAST NURSERIES</t>
  </si>
  <si>
    <t>69669-101</t>
  </si>
  <si>
    <t>Ophiopogon japonicus Nana Dwarf Mondo Grass 1 gal. Container</t>
  </si>
  <si>
    <t>CC</t>
  </si>
  <si>
    <t>MARSHALLS RIVERBANK</t>
  </si>
  <si>
    <t>67205-103</t>
  </si>
  <si>
    <t>Hydrangea petiolaris Climbing Hydrangea 3 gal. Container</t>
  </si>
  <si>
    <t>63371-STK101</t>
  </si>
  <si>
    <t>Clematis Comtesse De Bouchard Clematis Staked 1 gal. Container</t>
  </si>
  <si>
    <t>DD</t>
  </si>
  <si>
    <t>MONROVIA GROWERS-OREGON</t>
  </si>
  <si>
    <t>78209-101</t>
  </si>
  <si>
    <t>Ophiopogon planiscapus Nigrescens Black Mondo Grass 1 gal. Container</t>
  </si>
  <si>
    <t>CB</t>
  </si>
  <si>
    <t>PRIDES CORNER FARM, INC.</t>
  </si>
  <si>
    <t>70066-SP4</t>
  </si>
  <si>
    <t>Cenchrus (Pennisetum) alopecuroides Hameln Dwarf Fountain Grass SP4 Container</t>
  </si>
  <si>
    <t>AA</t>
  </si>
  <si>
    <t>KURT BLUEMELS</t>
  </si>
  <si>
    <t>62789-101</t>
  </si>
  <si>
    <t>Carex flacca Blue Zinger Blue Sedge 1 gal. Container</t>
  </si>
  <si>
    <t>Hope Grange Nursery</t>
  </si>
  <si>
    <t>72596-101</t>
  </si>
  <si>
    <t>Schizachyrium scoparium The Blues Little Bluestem Grass 1 gal. Container</t>
  </si>
  <si>
    <t>72677-SP4</t>
  </si>
  <si>
    <t>Phedimus (Sedum) spurius Dragon's Blood Creeping Stonecrop SP4 Container</t>
  </si>
  <si>
    <t>69180-102</t>
  </si>
  <si>
    <t>Miscanthus sinensis Maidengrass 2 gal. Container</t>
  </si>
  <si>
    <t>63441-STK101</t>
  </si>
  <si>
    <t>Clematis Jackmanii Clematis Staked 1 gal. Container</t>
  </si>
  <si>
    <t>82822-SP5</t>
  </si>
  <si>
    <t>Carex flaccosperma Blue Wood Sedge SP5 Container</t>
  </si>
  <si>
    <t>EE</t>
  </si>
  <si>
    <t>72596-103</t>
  </si>
  <si>
    <t>Schizachyrium scoparium The Blues Little Bluestem Grass 3 gal. Container</t>
  </si>
  <si>
    <t>HALF HOLLOW NURSERY, INC.</t>
  </si>
  <si>
    <t>69908-103</t>
  </si>
  <si>
    <t>Panicum virgatum Heavy Metal Switch Grass 3 gal. Container</t>
  </si>
  <si>
    <t>MEDFORD NURSERY</t>
  </si>
  <si>
    <t>73570-STK105</t>
  </si>
  <si>
    <t>Trachelospermum jasminoides Star Jasmine Staked 5 gal. Container</t>
  </si>
  <si>
    <t xml:space="preserve">MONROVIA GROWERS - CALIFORNIA </t>
  </si>
  <si>
    <t>63441-STK101PREM</t>
  </si>
  <si>
    <t>Clematis Jackmanii Clematis Staked Premium 1 gal. Container</t>
  </si>
  <si>
    <t>COLR</t>
  </si>
  <si>
    <t>85099-101</t>
  </si>
  <si>
    <t>Agastache x Black Adder Hyssop 1 gal. Container</t>
  </si>
  <si>
    <t>90562-101</t>
  </si>
  <si>
    <t>Rudbeckia x American Gold Rush Black-Eyed Susan 1 gal. Container</t>
  </si>
  <si>
    <t>65673-101</t>
  </si>
  <si>
    <t>Geranium macrorrhizum Bevan's Variety Geranium 1 gal. Container</t>
  </si>
  <si>
    <t>67010-102</t>
  </si>
  <si>
    <t>Hosta Sum and Substance Plantain Lily 2 gal. Container</t>
  </si>
  <si>
    <t>68190-101</t>
  </si>
  <si>
    <t>Lamium maculatum Orchid Frost Deadnettle 1 gal. Container</t>
  </si>
  <si>
    <t>CA</t>
  </si>
  <si>
    <t>65082-102</t>
  </si>
  <si>
    <t>Eutrochium (Eupatorium) maculatum Gateway Joe-Pye Weed 2 gal. Container</t>
  </si>
  <si>
    <t>86151-101</t>
  </si>
  <si>
    <t>Asclepias tuberosa Gay Butterflies Milkweed 1 gal. Container</t>
  </si>
  <si>
    <t>96202-PF4PFO</t>
  </si>
  <si>
    <t>Phlox hybrida Candy Cloud Blue Portfolio Phlox True 1 gal. Container</t>
  </si>
  <si>
    <t>94536-101</t>
  </si>
  <si>
    <t>Helleborus x iburgensis FrostKiss Danas Dulcet Lenten Rose 1 gal. Container</t>
  </si>
  <si>
    <t>67047-101</t>
  </si>
  <si>
    <t>Hosta Francee Plantain Lily 1 gal. Container</t>
  </si>
  <si>
    <t>65546-101</t>
  </si>
  <si>
    <t>Oenothera (Gaura) lindheimeri Siskiyou Pink Gaura 1 gal. Container</t>
  </si>
  <si>
    <t>THE PERENNIAL FARM</t>
  </si>
  <si>
    <t>60558-101</t>
  </si>
  <si>
    <t>Agastache x Blue Fortune Hyssop 1 gal. Container</t>
  </si>
  <si>
    <t>79999-SP4</t>
  </si>
  <si>
    <t>Vegetable Assorted SP4 Container</t>
  </si>
  <si>
    <t>EMMAS GARDEN GROWERS INC</t>
  </si>
  <si>
    <t>63306-101</t>
  </si>
  <si>
    <t>Actaea (Cimicifuga) racemosa Bugbane 1 gal. Container</t>
  </si>
  <si>
    <t>68214-SP4</t>
  </si>
  <si>
    <t>Lantana camara New Gold Lantana SP4 Container</t>
  </si>
  <si>
    <t>69775-101</t>
  </si>
  <si>
    <t>Osmunda cinnamomea Cinnamon Fern 1 gal. Container</t>
  </si>
  <si>
    <t>78959-101</t>
  </si>
  <si>
    <t>Astilbe chinensis Vision In Red Chinese Astilbe 1 gal. Container</t>
  </si>
  <si>
    <t>69460-102</t>
  </si>
  <si>
    <t>Nipponanthemum nipponicum Montauk Daisy 2 gal. Container</t>
  </si>
  <si>
    <t>66927-101</t>
  </si>
  <si>
    <t>Hosta Guacamole Plantain Lily 1 gal. Container</t>
  </si>
  <si>
    <t>BA</t>
  </si>
  <si>
    <t>91097-PF4</t>
  </si>
  <si>
    <t>Hosta x Shadowland Wu-La-La Proven Winners Plantain Lily True 1 gal. Container</t>
  </si>
  <si>
    <t>69406-102</t>
  </si>
  <si>
    <t>Nepeta x faassenii Dropmore Catmint 2 gal. Container</t>
  </si>
  <si>
    <t>94317-101</t>
  </si>
  <si>
    <t>Monarda didyma Pocahontas Deep Purple Bee Balm 1 gal. Container</t>
  </si>
  <si>
    <t>90838-101</t>
  </si>
  <si>
    <t>Dianthus barbatus x interspecific Rockin Purple Sweet William 1 gal. Container</t>
  </si>
  <si>
    <t>72400-101</t>
  </si>
  <si>
    <t>Salvia x sylvestris Snow Hill Wood Sage 1 gal. Container</t>
  </si>
  <si>
    <t>DB</t>
  </si>
  <si>
    <t>63247-101</t>
  </si>
  <si>
    <t>Chelone lyonii Hot Lips Pink Turtlehead 1 gal. Container</t>
  </si>
  <si>
    <t>PFO</t>
  </si>
  <si>
    <t>81875-PF4PFO</t>
  </si>
  <si>
    <t>Coreopsis grandiflora Solanna Golden Sphere Portfolio Tickseed True 1 gal. Container</t>
  </si>
  <si>
    <t>90562-PF4PFO</t>
  </si>
  <si>
    <t>Rudbeckia x American Gold Rush Portfolio Black-Eyed Susan True 1 gal. Container</t>
  </si>
  <si>
    <t>90756-PF4PFO</t>
  </si>
  <si>
    <t>Carex oshimensis Feather Falls Portfolio Japanese Sedge True 1 gal. Container</t>
  </si>
  <si>
    <t>86243-PF4PFO</t>
  </si>
  <si>
    <t>Salvia (Perovskia) yangii (atriplicifolia) CrazyBlue Portfolio Russian Sage True 1 gal. Container</t>
  </si>
  <si>
    <t>75942-424PFO</t>
  </si>
  <si>
    <t>Acer palmatum subsp. matsumurae Tamukeyama Portfolio Japanese Laceleaf Maple 24 in. Box</t>
  </si>
  <si>
    <t>Devil Mountain Wholesale Nursery Oregon</t>
  </si>
  <si>
    <t>91121-103PFO</t>
  </si>
  <si>
    <t>Rosa floribunda Brick House Pink Portfolio Rose 3 gal. Container</t>
  </si>
  <si>
    <t>GREENLEAF NURSERY-N.C.</t>
  </si>
  <si>
    <t>60269-424PFO</t>
  </si>
  <si>
    <t>Acer palmatum Bloodgood Portfolio Japanese Maple 24 in. Box</t>
  </si>
  <si>
    <t>SHRB</t>
  </si>
  <si>
    <t>65338-305</t>
  </si>
  <si>
    <t>Forsythia x intermedia Lynwood Variety Border Forsythia 5 ft. Height Ball and Burlap</t>
  </si>
  <si>
    <t>MEHAFFEY'S NURSERY</t>
  </si>
  <si>
    <t>70535-103</t>
  </si>
  <si>
    <t>Physocarpus opulifolius Diabolo Ninebark 3 gal. Container</t>
  </si>
  <si>
    <t>74081-103</t>
  </si>
  <si>
    <t>Viburnum trilobum Wentworth Highbush Cranberry 3 gal. Container</t>
  </si>
  <si>
    <t>NORTH 40 NURSERY, INC.</t>
  </si>
  <si>
    <t>71628-110</t>
  </si>
  <si>
    <t>Rhododendron x Boule De Neige Rhododendron 10 gal. Container</t>
  </si>
  <si>
    <t>82490-105</t>
  </si>
  <si>
    <t>Hydrangea macrophylla Bloomstruck Endless Summer Big Leaf Hydrangea 5 gal. (14.88 L) Container</t>
  </si>
  <si>
    <t>71677-110</t>
  </si>
  <si>
    <t>Rhododendron hybrid PJM Rhododendron 10 gal. Container</t>
  </si>
  <si>
    <t>AB</t>
  </si>
  <si>
    <t>CLOVELLY NURSERIES</t>
  </si>
  <si>
    <t>70651-103</t>
  </si>
  <si>
    <t>Pieris japonica Cavatine Japanese Andromeda 3 gal. Container</t>
  </si>
  <si>
    <t>EASTERN SHORE NURSERY OF VA</t>
  </si>
  <si>
    <t>73157-248</t>
  </si>
  <si>
    <t>Syringa vulgaris President Grevy French Lilac 48 in. Height Ball and Burlap</t>
  </si>
  <si>
    <t>WAVERLY FARM</t>
  </si>
  <si>
    <t>78668-110</t>
  </si>
  <si>
    <t>Rhus typhina Tiger Eyes First Editions Cut-Leaf Staghorn Sumac 10 gal. Container</t>
  </si>
  <si>
    <t>68017-115</t>
  </si>
  <si>
    <t>Kalmia latifolia Bullseye Mountain Laurel 15 gal. Container</t>
  </si>
  <si>
    <t>Lakedale Nurseries Inc.</t>
  </si>
  <si>
    <t>66825-254</t>
  </si>
  <si>
    <t>Hibiscus syriacus Color Choice White Chiffon Proven Winners Rose of Sharon 54 in. Height Ball and Burlap</t>
  </si>
  <si>
    <t>82948-105</t>
  </si>
  <si>
    <t>Hydrangea paniculata Little Quick Fire Proven Winners Panicle Hydrangea 5 gal. (14.88 L) Container</t>
  </si>
  <si>
    <t>CHESAPEAKE NURSERIES, INC.</t>
  </si>
  <si>
    <t>67191-305</t>
  </si>
  <si>
    <t>Hydrangea paniculata Color Choice Limelight Proven Winners Panicle Hydrangea 5 ft. Height Ball and Burlap</t>
  </si>
  <si>
    <t>FOXBOROUGH NURSERY</t>
  </si>
  <si>
    <t>83160-103</t>
  </si>
  <si>
    <t>Deutzia x Yuki Cherry Blossom Proven Winners Deutzia True 3 gal. (11.36 L) Container</t>
  </si>
  <si>
    <t>74052-110</t>
  </si>
  <si>
    <t>Viburnum plicatum var. tomentosum Mariesii Doublefile Viburnum 10 gal. Container</t>
  </si>
  <si>
    <t>63837-102</t>
  </si>
  <si>
    <t>Cotoneaster dammeri Coral Beauty Bearberry Cotoneaster 2 gal. Container</t>
  </si>
  <si>
    <t>73128-103</t>
  </si>
  <si>
    <t>Syringa pubescens subsp. patula Miss Kim Downy Lilac 3 gal. Container</t>
  </si>
  <si>
    <t>63821-305</t>
  </si>
  <si>
    <t>Cotinus coggygria Royal Purple Smoke Bush 5 ft. Height Ball and Burlap</t>
  </si>
  <si>
    <t>65970-236</t>
  </si>
  <si>
    <t>Hamamelis x intermedia Arnold Promise Witch Hazel 36 in. Height Ball and Burlap</t>
  </si>
  <si>
    <t>67407-305</t>
  </si>
  <si>
    <t>Ilex x meserveae Blue Princess Blue Holly 5 ft. Height Ball and Burlap</t>
  </si>
  <si>
    <t>72318-110</t>
  </si>
  <si>
    <t>Salix integra Hakuro Nishiki Dappled Willow 10 gal. Container</t>
  </si>
  <si>
    <t>DAVID'S NURSERY</t>
  </si>
  <si>
    <t>72318-103</t>
  </si>
  <si>
    <t>Salix integra Hakuro Nishiki Dappled Willow 3 gal. Container</t>
  </si>
  <si>
    <t>77278-103</t>
  </si>
  <si>
    <t>Cornus racemosa Counties of Ohio Huron Gray Dogwood 3 gal. Container</t>
  </si>
  <si>
    <t>65973-236</t>
  </si>
  <si>
    <t>Hamamelis x intermedia Jelena Witch Hazel 36 in. Height Ball and Burlap</t>
  </si>
  <si>
    <t>71741-115</t>
  </si>
  <si>
    <t>Rhododendron x English Roseum Rhododendron 15 gal. Container</t>
  </si>
  <si>
    <t>79624-103</t>
  </si>
  <si>
    <t>Rhododendron maximum Roseum Rosebay Rhododendron 3 gal. Container</t>
  </si>
  <si>
    <t>81344-115</t>
  </si>
  <si>
    <t>Rhododendron catawbiense Chionoides Rhododendron 15 gal. Container</t>
  </si>
  <si>
    <t>91655-103</t>
  </si>
  <si>
    <t>Hydrangea paniculata Little Lime Punch Proven Winners Panicle Hydrangea True 3 gal. (11.36 L) Container</t>
  </si>
  <si>
    <t>67191-254</t>
  </si>
  <si>
    <t>Hydrangea paniculata Color Choice Limelight Proven Winners Panicle Hydrangea 54 in. Height Ball and Burlap</t>
  </si>
  <si>
    <t>78546-110</t>
  </si>
  <si>
    <t>Pieris japonica Dorothy Wycoff Japanese Andromeda 10 gal. Container</t>
  </si>
  <si>
    <t>77852-107</t>
  </si>
  <si>
    <t>Ilex verticillata Southern Gentleman Winterberry 7 gal. Container</t>
  </si>
  <si>
    <t>TANKARD NURSERIES</t>
  </si>
  <si>
    <t>73984-305</t>
  </si>
  <si>
    <t>Viburnum x burkwoodii Viburnum 5 ft. Height Ball and Burlap</t>
  </si>
  <si>
    <t>72213-101</t>
  </si>
  <si>
    <t>Rubus odoratus Purple Flowering Raspberry 1 gal. Container</t>
  </si>
  <si>
    <t>68854-103</t>
  </si>
  <si>
    <t>Mahonia aquifolium Compacta Oregon Grape 3 gal. Container</t>
  </si>
  <si>
    <t>67407-248</t>
  </si>
  <si>
    <t>Ilex x meserveae Blue Princess Blue Holly 48 in. Height Ball and Burlap</t>
  </si>
  <si>
    <t>76339-107</t>
  </si>
  <si>
    <t>Rhododendron x Pleasant White Azalea 7 gal. Container</t>
  </si>
  <si>
    <t>71741-107</t>
  </si>
  <si>
    <t>Rhododendron x English Roseum Rhododendron 7 gal. Container</t>
  </si>
  <si>
    <t>NORTH FORK NURSERY, INC.</t>
  </si>
  <si>
    <t>76308-103</t>
  </si>
  <si>
    <t>Rhododendron x Autumn Embers Encore Azalea True 3 gal. (11.36 L) Container</t>
  </si>
  <si>
    <t>67191-248</t>
  </si>
  <si>
    <t>Hydrangea paniculata Color Choice Limelight Proven Winners Panicle Hydrangea 48 in. Height Ball and Burlap</t>
  </si>
  <si>
    <t>71751-305</t>
  </si>
  <si>
    <t>Rhododendron catawbiense Roseum Elegans Rhododendron 5 ft. Height Ball and Burlap</t>
  </si>
  <si>
    <t>CAROLINA NATIVE NURSERY</t>
  </si>
  <si>
    <t>66801-254</t>
  </si>
  <si>
    <t>Hibiscus syriacus Color Choice Blue Satin Proven Winners Rose of Sharon 54 in. Height Ball and Burlap</t>
  </si>
  <si>
    <t>86517-107</t>
  </si>
  <si>
    <t>Thuja plicata Forever Goldy Southern Living Arborvitae 7 gal. Container</t>
  </si>
  <si>
    <t>71751-115</t>
  </si>
  <si>
    <t>Rhododendron catawbiense Roseum Elegans Rhododendron 15 gal. Container</t>
  </si>
  <si>
    <t>81344-105</t>
  </si>
  <si>
    <t>Rhododendron catawbiense Chionoides Rhododendron 5 gal. Container</t>
  </si>
  <si>
    <t>67191-110</t>
  </si>
  <si>
    <t>Hydrangea paniculata Color Choice Limelight Proven Winners Panicle Hydrangea 10 gal. Container</t>
  </si>
  <si>
    <t>65987-103</t>
  </si>
  <si>
    <t>Hamamelis vernalis Ozark Witch Hazel 3 gal. Container</t>
  </si>
  <si>
    <t>73989-248</t>
  </si>
  <si>
    <t>Viburnum carlesii Koreanspice Viburnum 48 in. Height Ball and Burlap</t>
  </si>
  <si>
    <t>73122-103</t>
  </si>
  <si>
    <t>Syringa meyeri Palibin Dwarf Korean Lilac 3 gal. Container</t>
  </si>
  <si>
    <t>63188-230</t>
  </si>
  <si>
    <t>Chamaecyparis obtusa Nana Gracilis Hinoki Falsecypress 30 in. Height Ball and Burlap</t>
  </si>
  <si>
    <t>67209-230</t>
  </si>
  <si>
    <t>Hydrangea quercifolia Snow Queen Oakleaf Hydrangea 30 in. Height Ball and Burlap</t>
  </si>
  <si>
    <t>76314-103</t>
  </si>
  <si>
    <t>Rhododendron x Girards Rose Azalea 3 gal. Container</t>
  </si>
  <si>
    <t>70651-110</t>
  </si>
  <si>
    <t>Pieris japonica Cavatine Japanese Andromeda 10 gal. Container</t>
  </si>
  <si>
    <t>WOODBURN NURSERY &amp; AZALEAS INC</t>
  </si>
  <si>
    <t>82465-248</t>
  </si>
  <si>
    <t>Chamaecyparis obtusa Kosteri Fast Form Hinoki Falsecypress 48 in. Height Ball and Burlap</t>
  </si>
  <si>
    <t>78552-110</t>
  </si>
  <si>
    <t>Pieris japonica Scarlet O'Hara Japanese Andromeda 10 gal. Container</t>
  </si>
  <si>
    <t>82687-107</t>
  </si>
  <si>
    <t>Hydrangea quercifolia Jetstream First Editions Oakleaf Hydrangea 7 gal. (24.32 L) Container</t>
  </si>
  <si>
    <t>EDGAR JOYCE NURSERY</t>
  </si>
  <si>
    <t>77266-103</t>
  </si>
  <si>
    <t>Cornus alba Creme De Mint Tatarian Dogwood 3 gal. Container</t>
  </si>
  <si>
    <t>95366-103</t>
  </si>
  <si>
    <t>Cornus alba Sgt. Pepper Proven Winners Tatarian Dogwood True 3 gal. (11.36 L) Container</t>
  </si>
  <si>
    <t>79941-STD110</t>
  </si>
  <si>
    <t>Hydrangea paniculata Color Choice Little Lime Proven Winners Panicle Hydrangea Tree Form Standard 10 gal. Container</t>
  </si>
  <si>
    <t>90207-103</t>
  </si>
  <si>
    <t>Buddleja x Color Choice Pugster Periwinkle Proven Winners Butterfly Bush True 3 gal. (11.36 L) Container</t>
  </si>
  <si>
    <t>80034-254</t>
  </si>
  <si>
    <t>Hibiscus syriacus Color Choice Blue Chiffon Proven Winners Rose of Sharon 54 in. Height Ball and Burlap</t>
  </si>
  <si>
    <t>66797-254</t>
  </si>
  <si>
    <t>Hibiscus syriacus Color Choice Lavender Chiffon Proven Winners Rose of Sharon 54 in. Height Ball and Burlap</t>
  </si>
  <si>
    <t>74052-254</t>
  </si>
  <si>
    <t>Viburnum plicatum var. tomentosum Mariesii Doublefile Viburnum 54 in. Height Ball and Burlap</t>
  </si>
  <si>
    <t>67406-105</t>
  </si>
  <si>
    <t>Ilex x meserveae Blue Prince Blue Holly 5 gal. Container</t>
  </si>
  <si>
    <t>77836-105</t>
  </si>
  <si>
    <t>Ilex x meserveae Blue Maid Blue Holly 5 gal. Container</t>
  </si>
  <si>
    <t>79224-103</t>
  </si>
  <si>
    <t>Weigela florida My Monet Proven Winners Weigela 3 gal. Container</t>
  </si>
  <si>
    <t>73273-305</t>
  </si>
  <si>
    <t>Taxus x media Hicksii Anglojap Yew 5 ft. Height Ball and Burlap</t>
  </si>
  <si>
    <t>67364-110</t>
  </si>
  <si>
    <t>Ilex crenata Green Lustre Japanese Holly 10 gal. Container</t>
  </si>
  <si>
    <t>73146-305</t>
  </si>
  <si>
    <t>Syringa vulgaris Alba White Common Lilac 5 ft. Height Ball and Burlap</t>
  </si>
  <si>
    <t>SCHICHTEL'S NURSERY INC.</t>
  </si>
  <si>
    <t>62399-GB224</t>
  </si>
  <si>
    <t>Buxus x Green Mountain Boxwood Globe 24 in. Height Ball and Burlap</t>
  </si>
  <si>
    <t>89907-110PREM</t>
  </si>
  <si>
    <t>Rhododendron maximum Roseum Pink Rosebay Rhododendron Premium 10 gal. Container</t>
  </si>
  <si>
    <t>71749-110</t>
  </si>
  <si>
    <t>Rhododendron x Nova Zembla Rhododendron 10 gal. Container</t>
  </si>
  <si>
    <t>78789-102</t>
  </si>
  <si>
    <t>Rosa x Flower Carpet Coral Rose 2 gal. Container</t>
  </si>
  <si>
    <t>73122-105</t>
  </si>
  <si>
    <t>Syringa meyeri Palibin Dwarf Korean Lilac 5 gal. Container</t>
  </si>
  <si>
    <t>67191-STD107</t>
  </si>
  <si>
    <t>Hydrangea paniculata Color Choice Limelight Proven Winners Panicle Hydrangea Tree Form Standard 7 gal. (24.32 L) Container</t>
  </si>
  <si>
    <t>62399-115</t>
  </si>
  <si>
    <t>Buxus x Green Mountain Boxwood 15 gal. Container</t>
  </si>
  <si>
    <t>REARDON NURSERY</t>
  </si>
  <si>
    <t>73158-248</t>
  </si>
  <si>
    <t>Syringa vulgaris President Lincoln Common Lilac 48 in. Height Ball and Burlap</t>
  </si>
  <si>
    <t>73983-305</t>
  </si>
  <si>
    <t>Viburnum x burkwoodii Mohawk Viburnum 5 ft. Height Ball and Burlap</t>
  </si>
  <si>
    <t>62428-254</t>
  </si>
  <si>
    <t>Buxus sempervirens Boxwood 54 in. Height Ball and Burlap</t>
  </si>
  <si>
    <t>72318-STD308</t>
  </si>
  <si>
    <t>Salix integra Hakuro Nishiki Dappled Willow Tree Form Standard 8 ft. Height Ball and Burlap</t>
  </si>
  <si>
    <t>78551-115</t>
  </si>
  <si>
    <t>Pieris japonica Red Mill Japanese Andromeda 15 gal. Container</t>
  </si>
  <si>
    <t>86527-105</t>
  </si>
  <si>
    <t>Buxus microphylla Little Missy Littleleaf Boxwood 5 gal. Container</t>
  </si>
  <si>
    <t>TREE</t>
  </si>
  <si>
    <t>63699-310</t>
  </si>
  <si>
    <t>Cornus kousa Kousa Dogwood 10 ft. Height Ball and Burlap</t>
  </si>
  <si>
    <t>62147-MS308</t>
  </si>
  <si>
    <t>Betula populifolia Whitespire Gray Birch Tree Form Multi Stem 8 ft. Height Ball and Burlap</t>
  </si>
  <si>
    <t>67935-306</t>
  </si>
  <si>
    <t>Juniperus scopulorum Moonglow Rocky Mountain Juniper 6 ft. Height Ball and Burlap</t>
  </si>
  <si>
    <t>LOSELY NURSERY</t>
  </si>
  <si>
    <t>73387-308</t>
  </si>
  <si>
    <t>Thuja occidentalis Nigra Arborvitae 8 ft. Height Ball and Burlap</t>
  </si>
  <si>
    <t>77548-110</t>
  </si>
  <si>
    <t>Malus domestica Red Delicious Semi-Dwarf Apple 10 gal. Container</t>
  </si>
  <si>
    <t>69623-030</t>
  </si>
  <si>
    <t>Nyssa sylvatica Black Tupelo 3 in. Caliper Ball and Burlap</t>
  </si>
  <si>
    <t>63705-025</t>
  </si>
  <si>
    <t>Cornus x rutgersensis Stellar Celestial Dogwood 2.5 in. Caliper Ball and Burlap</t>
  </si>
  <si>
    <t>81117-307</t>
  </si>
  <si>
    <t>Picea orientalis Gowdy Oriental Spruce 7 ft. Height Ball and Burlap</t>
  </si>
  <si>
    <t>60207-MS307</t>
  </si>
  <si>
    <t>Acer griseum Paperbark Maple Tree Form Multi Stem 7 ft. Height Ball and Burlap</t>
  </si>
  <si>
    <t>74565-120</t>
  </si>
  <si>
    <t>Cercis canadensis Lavender Twist Weeping Eastern Redbud 20 gal. Container</t>
  </si>
  <si>
    <t>SHADE TREES NURSERY INC.</t>
  </si>
  <si>
    <t>84331-105</t>
  </si>
  <si>
    <t>Picea pungens Baby Blue Blue Spruce 5 gal. Container</t>
  </si>
  <si>
    <t>79591-305</t>
  </si>
  <si>
    <t>Pinus mugo Tannenbaum Swiss Mountain Pine 5 ft. Height Ball and Burlap</t>
  </si>
  <si>
    <t>77919-311</t>
  </si>
  <si>
    <t>Juniperus virginiana Taylor Eastern Red Cedar 11 ft. Height Ball and Burlap</t>
  </si>
  <si>
    <t>68926-STD307</t>
  </si>
  <si>
    <t>Malus x Coralburst Crabapple Tree Form Standard 7 ft. Height Ball and Burlap</t>
  </si>
  <si>
    <t>BRYAN WAGONER TREE FARM, LLC</t>
  </si>
  <si>
    <t>70642-308</t>
  </si>
  <si>
    <t>Picea pungens Glauca Blue Spruce 8 ft. Height Ball and Burlap</t>
  </si>
  <si>
    <t>NURSERY DIRECT</t>
  </si>
  <si>
    <t>69818-025</t>
  </si>
  <si>
    <t>Ostrya virginiana American Hop Hornbeam 2.5 in. Caliper Ball and Burlap</t>
  </si>
  <si>
    <t>TUCKAHOE NURSERIES, INC.</t>
  </si>
  <si>
    <t>73397-SP115</t>
  </si>
  <si>
    <t>Thuja occidentalis Emerald Arborvitae Spiral 15 gal. Container</t>
  </si>
  <si>
    <t>ESHRAGHI NURSERIES</t>
  </si>
  <si>
    <t>76013-125</t>
  </si>
  <si>
    <t>Thuja Green Giant Arborvitae 25-30 gal. Container</t>
  </si>
  <si>
    <t>THE HOLLY FACTORY</t>
  </si>
  <si>
    <t>77841-307</t>
  </si>
  <si>
    <t>Ilex x Oakleaf Red Holly 7 ft. Height Ball and Burlap</t>
  </si>
  <si>
    <t>62133-308</t>
  </si>
  <si>
    <t>Betula nigra Heritage River Birch 8 ft. Height Ball and Burlap</t>
  </si>
  <si>
    <t>Growers Choice, LLC</t>
  </si>
  <si>
    <t>75944-236</t>
  </si>
  <si>
    <t>Acer palmatum Orangeola Japanese Maple 36 in. Height Ball and Burlap</t>
  </si>
  <si>
    <t>81374-115</t>
  </si>
  <si>
    <t>Picea pungens The Blues Blue Spruce 15 gal. Container</t>
  </si>
  <si>
    <t>BLUE MOUNTAIN NURSERY, LLC</t>
  </si>
  <si>
    <t>68905-035</t>
  </si>
  <si>
    <t>Malus x Sugar Tyme Crabapple 3.5 in. Caliper Ball and Burlap</t>
  </si>
  <si>
    <t>74939-308</t>
  </si>
  <si>
    <t>Liquidambar styraciflua Slender Silhouette Sweetgum 8 ft. Height Ball and Burlap</t>
  </si>
  <si>
    <t>96386-020</t>
  </si>
  <si>
    <t>Malus x SnowSweet Apple 2 in. Caliper Ball and Burlap</t>
  </si>
  <si>
    <t>77919-316</t>
  </si>
  <si>
    <t>Juniperus virginiana Taylor Eastern Red Cedar 16 ft. Height Ball and Burlap</t>
  </si>
  <si>
    <t>BOLD SPRINGS NURSERY, INC.</t>
  </si>
  <si>
    <t>79889-242</t>
  </si>
  <si>
    <t>Acer palmatum Mikawa Yatsubusa Japanese Maple 42 in. Height Ball and Burlap</t>
  </si>
  <si>
    <t>81117-308</t>
  </si>
  <si>
    <t>Picea orientalis Gowdy Oriental Spruce 8 ft. Height Ball and Burlap</t>
  </si>
  <si>
    <t>67856-307</t>
  </si>
  <si>
    <t>Juniperus chinensis Torulosa Hollywood Juniper 7 ft. Height Ball and Burlap</t>
  </si>
  <si>
    <t>60207-MS306</t>
  </si>
  <si>
    <t>Acer griseum Paperbark Maple Tree Form Multi Stem 6 ft. Height Ball and Burlap</t>
  </si>
  <si>
    <t>82450-025</t>
  </si>
  <si>
    <t>Prunus x Weeping Extraordinaire Double Flowering Cherry 2.5 in. Caliper Ball and Burlap</t>
  </si>
  <si>
    <t>74875-307</t>
  </si>
  <si>
    <t>Juniperus chinensis Hetzii Chinese Juniper 7 ft. Height Ball and Burlap</t>
  </si>
  <si>
    <t>75942-120-W36IN</t>
  </si>
  <si>
    <t>Acer palmatum subsp. matsumurae Tamukeyama Japanese Laceleaf Maple 36 in. Width 20 gal. Container</t>
  </si>
  <si>
    <t>68790-308</t>
  </si>
  <si>
    <t>Magnolia grandiflora Little Gem Southern Magnolia 8 ft. Height Ball and Burlap</t>
  </si>
  <si>
    <t>Coffey's 3rd Generation Nursery</t>
  </si>
  <si>
    <t>63699-306</t>
  </si>
  <si>
    <t>Cornus kousa Kousa Dogwood 6 ft. Height Ball and Burlap</t>
  </si>
  <si>
    <t>77544-110</t>
  </si>
  <si>
    <t>Malus domestica Granny Smith Apple 10 gal. Container</t>
  </si>
  <si>
    <t>74322-020</t>
  </si>
  <si>
    <t>Zelkova serrata Green Vase Japanese Zelkova 2 in. Caliper Ball and Burlap</t>
  </si>
  <si>
    <t>63667-308</t>
  </si>
  <si>
    <t>Cornus florida Cherokee Princess Flowering Dogwood 8 ft. Height Ball and Burlap</t>
  </si>
  <si>
    <t>KLINE'S TREE FARM</t>
  </si>
  <si>
    <t>77977-025</t>
  </si>
  <si>
    <t>Liquidambar styraciflua Happidaze American Sweetgum 2.5 in. Caliper Ball and Burlap</t>
  </si>
  <si>
    <t>69623-025</t>
  </si>
  <si>
    <t>Nyssa sylvatica Black Tupelo 2.5 in. Caliper Ball and Burlap</t>
  </si>
  <si>
    <t>60337-020</t>
  </si>
  <si>
    <t>Acer saccharum Green Mountain Sugar Maple 2 in. Caliper Ball and Burlap</t>
  </si>
  <si>
    <t>73138-020</t>
  </si>
  <si>
    <t>Syringa reticulata Ivory Silk Japanese Tree Lilac 2 in. Caliper Ball and Burlap</t>
  </si>
  <si>
    <t>71229-020</t>
  </si>
  <si>
    <t>Prunus subhirtella Autumnallis Higan Cherry 2 in. Ball and Burlap</t>
  </si>
  <si>
    <t>63703-020</t>
  </si>
  <si>
    <t>Cornus x rutgersensis Stellar Aurora Dogwood 2 in. Caliper Ball and Burlap</t>
  </si>
  <si>
    <t>60337-030</t>
  </si>
  <si>
    <t>Acer saccharum Green Mountain Sugar Maple 3 in. Caliper Ball and Burlap</t>
  </si>
  <si>
    <t>60338-025</t>
  </si>
  <si>
    <t>Acer saccharum Legacy Sugar Maple 2.5 in. Caliper Ball and Burlap</t>
  </si>
  <si>
    <t>71242-040</t>
  </si>
  <si>
    <t>Prunus x yedoensis Flowering Yoshino Cherry 4 in. Caliper Ball and Burlap</t>
  </si>
  <si>
    <t>72302-025</t>
  </si>
  <si>
    <t>Salix alba Tristis Golden Weeping Willow 2.5 in. Caliper Ball and Burlap</t>
  </si>
  <si>
    <t>71242-025</t>
  </si>
  <si>
    <t>Prunus x yedoensis Flowering Yoshino Cherry 2.5 in. Caliper Ball and Burlap</t>
  </si>
  <si>
    <t>76405-125</t>
  </si>
  <si>
    <t>Prunus x subhirtella Snow Fountains Weeping Higan Cherry 25-30 gal. Container</t>
  </si>
  <si>
    <t>73359-308</t>
  </si>
  <si>
    <t>Thuja occidentalis Elegantissima Arborvitae 8 ft. Height Ball and Burlap</t>
  </si>
  <si>
    <t>77547-110</t>
  </si>
  <si>
    <t>Malus domestica McIntosh Semi-Dwarf Apple 10 gal. Container</t>
  </si>
  <si>
    <t>87157-120</t>
  </si>
  <si>
    <t>Ilex x aquipernyi Dragon Slayer Holly 20 gal. Container</t>
  </si>
  <si>
    <t>63107-050</t>
  </si>
  <si>
    <t>Cercis canadensis Eastern Redbud 5 in. Caliper Ball and Burlap</t>
  </si>
  <si>
    <t>COUNTY LINE NURSERIES</t>
  </si>
  <si>
    <t>80810-020</t>
  </si>
  <si>
    <t>Acer palmatum Ryusen Weeping Japanese Maple 2 in. Caliper Ball and Burlap</t>
  </si>
  <si>
    <t>70688-306</t>
  </si>
  <si>
    <t>Pinus bungeana Lacebark Pine 6 ft. Height Ball and Burlap</t>
  </si>
  <si>
    <t>67947-306</t>
  </si>
  <si>
    <t>Juniperus scopulorum Wichita Blue Rocky Mountain Juniper 6 ft. Height Ball and Burlap</t>
  </si>
  <si>
    <t>77919-306</t>
  </si>
  <si>
    <t>Juniperus virginiana Taylor Eastern Red Cedar 6 ft. Height Ball and Burlap</t>
  </si>
  <si>
    <t>70765-310</t>
  </si>
  <si>
    <t>Pinus strobus Eastern White Pine 10 ft. Height Ball and Burlap</t>
  </si>
  <si>
    <t>AC</t>
  </si>
  <si>
    <t>71442-020</t>
  </si>
  <si>
    <t>Quercus phellos Willow Oak 2 in. Caliper Ball and Burlap</t>
  </si>
  <si>
    <t>70642-310</t>
  </si>
  <si>
    <t>Picea pungens Glauca Blue Spruce 10 ft. Height Ball and Burlap</t>
  </si>
  <si>
    <t>68905-020</t>
  </si>
  <si>
    <t>Malus x Sugar Tyme Crabapple 2 in. Ball and Burlap</t>
  </si>
  <si>
    <t>63182-105</t>
  </si>
  <si>
    <t>Chamaecyparis obtusa Gracilis Hinoki Cypress 5 gal. Container</t>
  </si>
  <si>
    <t>65811-025</t>
  </si>
  <si>
    <t>Gleditsia triacanthos var. inermis Skyline Thornless Honeylocust 2.5 in. Caliper Ball and Burlap</t>
  </si>
  <si>
    <t>75944-242</t>
  </si>
  <si>
    <t>Acer palmatum Orangeola Japanese Maple 42 in. Height Ball and Burlap</t>
  </si>
  <si>
    <t>62133-MS125</t>
  </si>
  <si>
    <t>Betula nigra Heritage River Birch Tree Form Multi Stem 25-30 gal. Container</t>
  </si>
  <si>
    <t>73356-306</t>
  </si>
  <si>
    <t>Thuja occidentalis Dark Green Arborvitae 6 ft. Height Ball and Burlap</t>
  </si>
  <si>
    <t>75943-236</t>
  </si>
  <si>
    <t>Acer palmatum subsp. matsumurae Viridis Japanese Laceleaf Maple 36 in. Height Ball and Burlap</t>
  </si>
  <si>
    <t>76399-248</t>
  </si>
  <si>
    <t>Chamaecyparis obtusa Wells Special Hinoki Cypress 48 in. Height Ball and Burlap</t>
  </si>
  <si>
    <t>68835-307</t>
  </si>
  <si>
    <t>Magnolia x soulangeana Saucer Magnolia 7 ft. Height Ball and Burlap</t>
  </si>
  <si>
    <t>67317-312</t>
  </si>
  <si>
    <t>Ilex x Doctor Kassab Holly 12 ft. Height Ball and Burlap</t>
  </si>
  <si>
    <t>60200-020</t>
  </si>
  <si>
    <t>Acer x freemanii Autumn Blaze Freeman Maple 2 in. Caliper Ball and Burlap</t>
  </si>
  <si>
    <t>65811-020</t>
  </si>
  <si>
    <t>Gleditsia triacanthos var. inermis Skyline Thornless Honey Locust 2 in. Caliper Ball and Burlap</t>
  </si>
  <si>
    <t>71220-035</t>
  </si>
  <si>
    <t>Prunus Kanzan (Kwanzan) Japanese Flowering Cherry 3.5 in. Caliper Ball and Burlap</t>
  </si>
  <si>
    <t>RIVENDELL NURSERY</t>
  </si>
  <si>
    <t>77882-310</t>
  </si>
  <si>
    <t>Juniperus chinensis Hetz Columnaris Chinese Juniper 10 ft. Height Ball and Burlap</t>
  </si>
  <si>
    <t>73806-025</t>
  </si>
  <si>
    <t>Ulmus parvifolia Emer II (Allee) Chinese Elm 2.5 in. Caliper Ball and Burlap</t>
  </si>
  <si>
    <t>63107-MS308</t>
  </si>
  <si>
    <t>Cercis canadensis Eastern Redbud Tree Form Multi Stem 8 ft. Height Ball and Burlap</t>
  </si>
  <si>
    <t>60269-125</t>
  </si>
  <si>
    <t>Acer palmatum Bloodgood Japanese Maple 25-30 gal. Container</t>
  </si>
  <si>
    <t>82406-030</t>
  </si>
  <si>
    <t>Acer truncatum x platanoides Crimson Sunset Maple 3 in. Caliper Ball and Burlap</t>
  </si>
  <si>
    <t>73570-STK102</t>
  </si>
  <si>
    <t>Trachelospermum jasminoides Star Jasmine Staked 2 gal. Container</t>
  </si>
  <si>
    <t>78051-106</t>
  </si>
  <si>
    <t>Wisteria floribunda Royal Purple Japanese Wisteria 6 gal. Container</t>
  </si>
  <si>
    <t>ISELI NURSERY</t>
  </si>
  <si>
    <t>80585-102</t>
  </si>
  <si>
    <t>Lonicera sempervirens Major Wheeler Honeysuckle 2 gal. Container</t>
  </si>
  <si>
    <t>60705-101</t>
  </si>
  <si>
    <t>Ajuga reptans Burgundy Glow Bugleweed 1 gal. Container</t>
  </si>
  <si>
    <t>EMERALD FLORA</t>
  </si>
  <si>
    <t>82256-SP2</t>
  </si>
  <si>
    <t>Carex stricta Tussock Sedge SP2 Container</t>
  </si>
  <si>
    <t>CHIEF MOUNTAIN FARMS, LLC</t>
  </si>
  <si>
    <t>77324-102</t>
  </si>
  <si>
    <t>Leymus arenarius Blue Dune Lyme Grass 2 gal. Container</t>
  </si>
  <si>
    <t>70066-105</t>
  </si>
  <si>
    <t>Cenchrus (Pennisetum) alopecuroides Hameln Dwarf Fountain Grass 5 gal. Container</t>
  </si>
  <si>
    <t>77690-103</t>
  </si>
  <si>
    <t>Panicum virgatum Northwind Switch Grass 3 gal. Container</t>
  </si>
  <si>
    <t>60707-101</t>
  </si>
  <si>
    <t>Ajuga reptans Chocolate Chip Bugleweed 1 gal. Container</t>
  </si>
  <si>
    <t>90756-101</t>
  </si>
  <si>
    <t>Carex oshimensis Feather Falls Japanese Sedge 1 gal. Container</t>
  </si>
  <si>
    <t>72674-101</t>
  </si>
  <si>
    <t>Phedimus (Sedum) spurius John Creech Creeping Stonecrop 1 gal. Container</t>
  </si>
  <si>
    <t>NORTH FORK BOUTIQUE GARDEN</t>
  </si>
  <si>
    <t>74877-101</t>
  </si>
  <si>
    <t>Juncus effusus Soft Rush 1 gal. Container</t>
  </si>
  <si>
    <t>69169-105</t>
  </si>
  <si>
    <t>Miscanthus sinensis Morning Light Maidengrass 5 gal. Container</t>
  </si>
  <si>
    <t>73466-SP3</t>
  </si>
  <si>
    <t>Thymus serpyllum Magic Carpet Creeping Thyme SP3 Container</t>
  </si>
  <si>
    <t>62796-SP4</t>
  </si>
  <si>
    <t>Carex morrowii Ice Dance Japanese Sedge SP4 Container</t>
  </si>
  <si>
    <t>JUDGES FARM PERENNIALS</t>
  </si>
  <si>
    <t>83003-101</t>
  </si>
  <si>
    <t>Hylotelephium (Sedum) x SunSparkler Lime Zinger Stonecrop 1 gal. Container</t>
  </si>
  <si>
    <t>80772-101</t>
  </si>
  <si>
    <t>Bouteloua gracilis Blonde Ambition Blue Grama Grass 1 gal. Container</t>
  </si>
  <si>
    <t>69911-105</t>
  </si>
  <si>
    <t>Panicum virgatum Shenandoah Switch Grass 5 gal. Container</t>
  </si>
  <si>
    <t>90688-101</t>
  </si>
  <si>
    <t>Hylotelephium (Sedum) x SunSparkler Plum Dazzled Stonecrop 1 gal. Container</t>
  </si>
  <si>
    <t>86749-M1X2</t>
  </si>
  <si>
    <t>Sedum Stonecrop 1 ft. x 2 ft. Mat</t>
  </si>
  <si>
    <t>KAWASAKI GREENHOUSES</t>
  </si>
  <si>
    <t>74097-SP4</t>
  </si>
  <si>
    <t>Vinca minor Variegata Variegated Periwinkle SP4 Container</t>
  </si>
  <si>
    <t>VAN VUGT GREENHOUSES, INC</t>
  </si>
  <si>
    <t>80585-101</t>
  </si>
  <si>
    <t>Lonicera sempervirens Major Wheeler Honeysuckle 1 gal. Container</t>
  </si>
  <si>
    <t>93362-103</t>
  </si>
  <si>
    <t>Calamagrostis brachytricha Feather Fabulous Feather Reed Grass 3 gal. Container</t>
  </si>
  <si>
    <t>COUNTRY GARDENS NURSERY</t>
  </si>
  <si>
    <t>74248-110</t>
  </si>
  <si>
    <t>Wisteria frutescens Amethyst Falls American Wisteria 10 gal. Container</t>
  </si>
  <si>
    <t>65045-101</t>
  </si>
  <si>
    <t>Euonymus fortunei Coloratus Wintercreeper 1 gal. Container</t>
  </si>
  <si>
    <t>69912-SP2</t>
  </si>
  <si>
    <t>Panicum virgatum Switch Grass SP2 Container</t>
  </si>
  <si>
    <t>BAKER ENVIRONMENTAL NURSERY</t>
  </si>
  <si>
    <t>BWEB</t>
  </si>
  <si>
    <t>93098B</t>
  </si>
  <si>
    <t>Thuja Occidentalis Full Speed A Hedge Thin Man Arborvitae</t>
  </si>
  <si>
    <t>NULL</t>
  </si>
  <si>
    <t>ZIRKLE'S NURSERIES</t>
  </si>
  <si>
    <t>93598-106</t>
  </si>
  <si>
    <t>Sciadopitys verticillata Propeller Japanese Umbrella Pine 6 gal. Container</t>
  </si>
  <si>
    <t>76542-101</t>
  </si>
  <si>
    <t>Kalimeris incisa Blue Star Japanese Aster 1 gal. Container</t>
  </si>
  <si>
    <t>60399-102</t>
  </si>
  <si>
    <t>Achillea x Moonshine Yarrow 2 gal. Container</t>
  </si>
  <si>
    <t>83011-101</t>
  </si>
  <si>
    <t>Heuchera x Fire Alarm Coral Bells 1 gal. Container</t>
  </si>
  <si>
    <t>89926-102</t>
  </si>
  <si>
    <t>Aquilegia caerulea Kirigami Deep Blue &amp; White Columbine 2 gal. Container</t>
  </si>
  <si>
    <t>CENTERTON NURSERY, INC.</t>
  </si>
  <si>
    <t>72718-804</t>
  </si>
  <si>
    <t>Senecio cineraria Dusty Miller 804 (8 Pack 4 Cell) Flat</t>
  </si>
  <si>
    <t>Kube-Pak Inc.</t>
  </si>
  <si>
    <t>91991-101</t>
  </si>
  <si>
    <t>Aquilegia x hybrida Earlybird Red Yellow Columbine 1 gal. Container</t>
  </si>
  <si>
    <t>94028-101</t>
  </si>
  <si>
    <t>Polemonium pulcherrimum Golden Feathers Jacob's Ladder 1 gal. Container</t>
  </si>
  <si>
    <t>73963-101</t>
  </si>
  <si>
    <t>Veronica spicata Royal Candles Speedwell 1 gal. Container</t>
  </si>
  <si>
    <t>68407-101</t>
  </si>
  <si>
    <t>Liatris spicata Floristan White Gayfeather 1 gal. Container</t>
  </si>
  <si>
    <t>64129-101</t>
  </si>
  <si>
    <t>Dahlia pinnata Garden Dahlia 1 gal. Container</t>
  </si>
  <si>
    <t>Beds and Borders</t>
  </si>
  <si>
    <t>64290-101</t>
  </si>
  <si>
    <t>Dianthus x Star Single Eastern Star Pinks 1 gal. Container</t>
  </si>
  <si>
    <t>PLEASANT VIEW GARDENS</t>
  </si>
  <si>
    <t>64573-101</t>
  </si>
  <si>
    <t>Dryopteris erythrosora Japanese Shield (Autumn) Fern 1 gal. Container</t>
  </si>
  <si>
    <t>63305-101</t>
  </si>
  <si>
    <t>Actaea (Cimicifuga) racemosa Brunette Bugbane 1 gal. Container</t>
  </si>
  <si>
    <t>63092-101</t>
  </si>
  <si>
    <t>Ceratostigma plumbaginoides Plumbago 1 gal. Container</t>
  </si>
  <si>
    <t>69423-HB0010</t>
  </si>
  <si>
    <t>Nephrolepis exaltata Boston Sword Fern 10 in. Hanging Basket</t>
  </si>
  <si>
    <t>HENRY F. MICHELL COMPANY</t>
  </si>
  <si>
    <t>69862-102</t>
  </si>
  <si>
    <t>Paeonia Pink Peony 2 gal. Container</t>
  </si>
  <si>
    <t>85057-101</t>
  </si>
  <si>
    <t>Lilium Casa Blanca Oriental Lily 1 gal. Container</t>
  </si>
  <si>
    <t>87207-101</t>
  </si>
  <si>
    <t>Dianthus x Kahori Scarlet Pinks 1 gal. Container</t>
  </si>
  <si>
    <t>91932-PF4</t>
  </si>
  <si>
    <t>Hemerocallis x Double Pardon Me Proven Winners Daylily True 1 gal. (3.79 L) Container</t>
  </si>
  <si>
    <t>96317-101</t>
  </si>
  <si>
    <t>Anacis (Coreopsis) verticillata Nova Sunstone Threadleaf Tickseed 1 gal. Container</t>
  </si>
  <si>
    <t>90170-101</t>
  </si>
  <si>
    <t>Lamium maculatum Ghost Deadnettle 1 gal. Container</t>
  </si>
  <si>
    <t>66220-SP4</t>
  </si>
  <si>
    <t>Helichrysum petiolare Licorice-Plant SP4 Container</t>
  </si>
  <si>
    <t>90813-PF4</t>
  </si>
  <si>
    <t>Amsonia tabernaemontana Storm Cloud Proven Winners Cloud Bluestar True 1 gal. (3.79 L) Container</t>
  </si>
  <si>
    <t>91427-102</t>
  </si>
  <si>
    <t>Solidago odora Sweet Goldenrod 2 gal. Container</t>
  </si>
  <si>
    <t>66868-101</t>
  </si>
  <si>
    <t>Hosta Blue Angel Plantain Lily 1 gal. Container</t>
  </si>
  <si>
    <t>70539-101</t>
  </si>
  <si>
    <t>Physostegia virginiana Miss Manners Obedient Plant 1 gal. Container</t>
  </si>
  <si>
    <t>70974-101</t>
  </si>
  <si>
    <t>Polystichum polyblepharum Tassel Fern 1 gal. Container</t>
  </si>
  <si>
    <t>74730-101</t>
  </si>
  <si>
    <t>Fragaria virginiana Wild Strawberry 1 gal. Container</t>
  </si>
  <si>
    <t>61607-102</t>
  </si>
  <si>
    <t>Asclepias incarnata Swamp Milkweed 2 gal. Container</t>
  </si>
  <si>
    <t>68267-101</t>
  </si>
  <si>
    <t>Lavandula angustifolia Munstead English Lavender 1 gal. Container</t>
  </si>
  <si>
    <t>74440-101</t>
  </si>
  <si>
    <t>Alchemilla mollis Auslese Lady's Mantle 1 gal. Container</t>
  </si>
  <si>
    <t>79936-101</t>
  </si>
  <si>
    <t>Echinacea x Cone-Fections Hot Papaya Coneflower 1 gal. Container</t>
  </si>
  <si>
    <t>60769-102</t>
  </si>
  <si>
    <t>Allium x Globemaster Ornamental Onion 2 gal. Container</t>
  </si>
  <si>
    <t>84930-101</t>
  </si>
  <si>
    <t>Alcea rosea annua Spring Celebrities Purple Hollyhock 1 gal. Container</t>
  </si>
  <si>
    <t>90080-101</t>
  </si>
  <si>
    <t>Heuchera x Magma Coral Bells 1 gal. Container</t>
  </si>
  <si>
    <t>94108-PF4</t>
  </si>
  <si>
    <t>Amsonia x String Theory Proven Winners Bluestar True 1 gal. (3.79 L) Container</t>
  </si>
  <si>
    <t>95852-102</t>
  </si>
  <si>
    <t>Hibiscus hybrid Summerific Cookies and Cream Proven Winners Rose Mallow True 2 gal. (7.57 L) Container</t>
  </si>
  <si>
    <t>67743-101</t>
  </si>
  <si>
    <t>Iris sibirica Caesar's Brother Siberian Iris 1 gal. Container</t>
  </si>
  <si>
    <t>60450-101</t>
  </si>
  <si>
    <t>Aconitum napellus Monkshood 1 gal. Container</t>
  </si>
  <si>
    <t>79999-101</t>
  </si>
  <si>
    <t>Vegetable Assorted 1 gal. Container</t>
  </si>
  <si>
    <t>68463-006</t>
  </si>
  <si>
    <t>Lilium longiflorum Easter Lily 6 in. Container</t>
  </si>
  <si>
    <t>Trillium Floral</t>
  </si>
  <si>
    <t>84977-102</t>
  </si>
  <si>
    <t>Aralia cordata Sun King Japanese Spikenard 2 gal. Container</t>
  </si>
  <si>
    <t>82434-101</t>
  </si>
  <si>
    <t>Lysimachia lanceolata Burgundy Mist Lanceleaf Loosestrife 1 gal. Container</t>
  </si>
  <si>
    <t>84616-PF4</t>
  </si>
  <si>
    <t>Ligularia hybrid Bottle Rocket Proven Winners Leopard Plant True 1 gal. (3.79 L) Container</t>
  </si>
  <si>
    <t>72999-101</t>
  </si>
  <si>
    <t>Stachys monieri Hummelo Betony 1 gal. Container</t>
  </si>
  <si>
    <t>72567-101</t>
  </si>
  <si>
    <t>Scabiosa columbaria Butterfly Blue Pincushion 1 gal. Container</t>
  </si>
  <si>
    <t>62459-102</t>
  </si>
  <si>
    <t>Calamintha nepeta White Cloud Calamint 2 gal. Container</t>
  </si>
  <si>
    <t>SEPERS NURSERY</t>
  </si>
  <si>
    <t>89094-101</t>
  </si>
  <si>
    <t>Pericallis senetti Blue Cineraria 1 gal. Container</t>
  </si>
  <si>
    <t>76733-103</t>
  </si>
  <si>
    <t>Paeonia x Julia Rose Itoh Peony 3 gal. Container</t>
  </si>
  <si>
    <t>92304-PF4</t>
  </si>
  <si>
    <t>Phlox paniculata Luminary Backlight Proven Winners Tall Phlox True 1 gal. (3.79 L) Container</t>
  </si>
  <si>
    <t>95184-101</t>
  </si>
  <si>
    <t>Veronica longifolia Vernique Shinning Sea Speedwell 1 gal. Container</t>
  </si>
  <si>
    <t>77723-101</t>
  </si>
  <si>
    <t>Hemerocallis x Purple d'Oro Daylily 1 gal. Container</t>
  </si>
  <si>
    <t>61706-101</t>
  </si>
  <si>
    <t>Aster x Wood's Pink Aster 1 gal. Container</t>
  </si>
  <si>
    <t>82088-101</t>
  </si>
  <si>
    <t>Dianthus x Scent First Coral Reef Pinks 1 gal. Container</t>
  </si>
  <si>
    <t>82713-101</t>
  </si>
  <si>
    <t>Phlox paniculata Jeana Tall Phlox 1 gal. Container</t>
  </si>
  <si>
    <t>90666-101</t>
  </si>
  <si>
    <t>Iris versicolor Purple Flame Blue Flag Iris 1 gal. Container</t>
  </si>
  <si>
    <t>90870-101</t>
  </si>
  <si>
    <t>Petrosedum (Sedum) rupestre SunSparkler Wildfire Stonecrop 1 gal. Container</t>
  </si>
  <si>
    <t>61982-006</t>
  </si>
  <si>
    <t>Begonia coccinea Wing Begonia 6 in. Container</t>
  </si>
  <si>
    <t>87171-101</t>
  </si>
  <si>
    <t>Phlox paniculata Flame Blue Tall Phlox 1 gal. Container</t>
  </si>
  <si>
    <t>92310-101</t>
  </si>
  <si>
    <t>Agastache x Poquito Orange Hyssop 1 gal. Container</t>
  </si>
  <si>
    <t>95395-PF4</t>
  </si>
  <si>
    <t>Agastache x Meant to Bee Queen Nectarine Proven Winners Anise Hyssop True 1 gal. (3.79 L) Container</t>
  </si>
  <si>
    <t>72392-102</t>
  </si>
  <si>
    <t>Salvia nemorosa Caradonna Woodland Sage 2 gal. Container</t>
  </si>
  <si>
    <t>64580-101</t>
  </si>
  <si>
    <t>Dryopteris marginalis Wood Fern 1 gal. Container</t>
  </si>
  <si>
    <t>69206-101</t>
  </si>
  <si>
    <t>Monarda didyma Petite Delight Bee Balm 1 gal. Container</t>
  </si>
  <si>
    <t>79110-SP5</t>
  </si>
  <si>
    <t>Begonia semperflorens Pink Green Leaf Wax Begonia SP5 Container</t>
  </si>
  <si>
    <t>81728-101</t>
  </si>
  <si>
    <t>Aster novae-angliae Vibrant Dome Aster 1 gal. Container</t>
  </si>
  <si>
    <t>82105-1801</t>
  </si>
  <si>
    <t>Color Annual 18 Count Flat</t>
  </si>
  <si>
    <t>90787-102</t>
  </si>
  <si>
    <t>Penstemon digitalis Dakota Burgundy Foxglove Beardtongue 2 gal. Container</t>
  </si>
  <si>
    <t>67046-102</t>
  </si>
  <si>
    <t>Hosta fortunei Aureomarginata Gold-Edged Plantain Lily 2 gal. Container</t>
  </si>
  <si>
    <t>68192-101</t>
  </si>
  <si>
    <t>Lamium maculatum Purple Dragon Deadnettle 1 gal. Container</t>
  </si>
  <si>
    <t>68360-101</t>
  </si>
  <si>
    <t>Leucanthemum x superbum Snowcap Shasta Daisy 1 gal. Container</t>
  </si>
  <si>
    <t>76512-101</t>
  </si>
  <si>
    <t>Heuchera x Obsidian Coral Bells 1 gal. Container</t>
  </si>
  <si>
    <t>67692-101</t>
  </si>
  <si>
    <t>Iris germanica Bearded Iris 1 gal. Container</t>
  </si>
  <si>
    <t>68475-101</t>
  </si>
  <si>
    <t>Limonium latifolium Sea Lavender 1 gal. Container</t>
  </si>
  <si>
    <t>PINEWOOD PERENNIAL</t>
  </si>
  <si>
    <t>72407-101</t>
  </si>
  <si>
    <t>Salvia officinalis Purpurascens Sage 1 gal. Container</t>
  </si>
  <si>
    <t>82621-0014</t>
  </si>
  <si>
    <t>Nephrolepis obliterata Kimberley Queen Australian Sword Fern 14 in. Container</t>
  </si>
  <si>
    <t>84846-101</t>
  </si>
  <si>
    <t>Hylotelephium (Sedum) x SunSparkler Dazzleberry Stonecrop 1 gal. Container</t>
  </si>
  <si>
    <t>97293-101</t>
  </si>
  <si>
    <t>Eurybia divaricata White Wood Aster 1 gal. Container</t>
  </si>
  <si>
    <t>69653-101</t>
  </si>
  <si>
    <t>Oenothera berlandieri (speciosa) Siskiyou Evening Primrose 1 gal. Container</t>
  </si>
  <si>
    <t>92622-102</t>
  </si>
  <si>
    <t>Hemerocallis x Happy Ever Appster Just Plum Happy Daylily 2 gal. Container</t>
  </si>
  <si>
    <t>86540-101</t>
  </si>
  <si>
    <t>Echibeckia x Summerina Butterscotch Biscuit Echibeckia 1 gal. Container</t>
  </si>
  <si>
    <t>84792-101</t>
  </si>
  <si>
    <t>Salvia nemorosa Blue Marvel Woodland Sage 1 gal. Container</t>
  </si>
  <si>
    <t>84731-101</t>
  </si>
  <si>
    <t>Digitalis purpurea Dalmation White Foxglove 1 gal. Container</t>
  </si>
  <si>
    <t>76688-101</t>
  </si>
  <si>
    <t>Polemonium reptans Stairway To Heaven Jacob's Ladder 1 gal. Container</t>
  </si>
  <si>
    <t>81520-101</t>
  </si>
  <si>
    <t>X Heucherella Gold Zebra Foamy Bells 1 gal. Container</t>
  </si>
  <si>
    <t>64466-102</t>
  </si>
  <si>
    <t>Digitalis purpurea Foxy Foxglove 2 gal. Container</t>
  </si>
  <si>
    <t>81282-SP4</t>
  </si>
  <si>
    <t>Tradescantia spathacea Tricolor Oyster Plant SP4 Container</t>
  </si>
  <si>
    <t>82609-101</t>
  </si>
  <si>
    <t>Oenothera (Gaura) lindheimeri Rosy Jane Gaura 1 gal. Container</t>
  </si>
  <si>
    <t>91592-101</t>
  </si>
  <si>
    <t>Heliopsis helianthoides var. scabra Bleeding Hearts False Sunflower 1 gal. Container</t>
  </si>
  <si>
    <t>82105-006</t>
  </si>
  <si>
    <t>Color Annual 6 in. Container</t>
  </si>
  <si>
    <t>67063-102</t>
  </si>
  <si>
    <t>Hosta sieboldiana Elegans Plantain Lily 2 gal. Container</t>
  </si>
  <si>
    <t>66921-101</t>
  </si>
  <si>
    <t>Hosta Golden Tiara Plantain Lily 1 gal. Container</t>
  </si>
  <si>
    <t>73494-101</t>
  </si>
  <si>
    <t>Tiarella cordifolia Brandywine Foam Flower 1 gal. Container</t>
  </si>
  <si>
    <t>68418-101</t>
  </si>
  <si>
    <t>Ligularia dentata Othello Leopard Plant 1 gal. Container</t>
  </si>
  <si>
    <t>72568-101</t>
  </si>
  <si>
    <t>Scabiosa columbaria Pink Mist Pincushion Flower 1 gal. Container</t>
  </si>
  <si>
    <t>77624-102</t>
  </si>
  <si>
    <t>Vitis labrusca Niagara Fox Grape 2 gal. Container</t>
  </si>
  <si>
    <t>82549-101</t>
  </si>
  <si>
    <t>Vernonia lettermanii Iron Butterfly Ironweed 1 gal. Container</t>
  </si>
  <si>
    <t>70311-HB0010</t>
  </si>
  <si>
    <t>Petunia x hybrida Garden Petunia 10 in. Hanging Basket</t>
  </si>
  <si>
    <t>93301-PF4</t>
  </si>
  <si>
    <t>Agastache x Meant to Bee Royal Raspberry Proven Winners Anise Hyssop True 1 gal. (3.79 L) Container</t>
  </si>
  <si>
    <t>93312-102</t>
  </si>
  <si>
    <t>Hemerocallis x Happy Ever Appster Dynamite Returns Daylily 2 gal. Container</t>
  </si>
  <si>
    <t>92558-101</t>
  </si>
  <si>
    <t>Aquilegia x Earlybird Purple Blue Columbine 1 gal. Container</t>
  </si>
  <si>
    <t>94117-101</t>
  </si>
  <si>
    <t>Phlox paniculata Early White Tall Phlox 1 gal. Container</t>
  </si>
  <si>
    <t>67063-101</t>
  </si>
  <si>
    <t>Hosta sieboldiana Elegans Plantain Lily 1 gal. Container</t>
  </si>
  <si>
    <t>61850-101</t>
  </si>
  <si>
    <t>Athyrium filix-femina Lady In Red Lady Fern 1 gal. Container</t>
  </si>
  <si>
    <t>67255-101</t>
  </si>
  <si>
    <t>Hylotelephium (Sedum) hybrid Vera Jameson Stonecrop 1 gal. Container</t>
  </si>
  <si>
    <t>76732-103</t>
  </si>
  <si>
    <t>Paeonia x intersectional Bartzella Itoh Peony 3 gal. Container</t>
  </si>
  <si>
    <t>88117-101</t>
  </si>
  <si>
    <t>Scabiosa columbaria Flutter Rose Pink Pincushion 1 gal. Container</t>
  </si>
  <si>
    <t>90779-101</t>
  </si>
  <si>
    <t>Leucanthemum x superbum Realflor Real Sunbeam Shasta Daisy 1 gal. Container</t>
  </si>
  <si>
    <t>93364-102</t>
  </si>
  <si>
    <t>Delphinium x hybridus Delgenius Chantay Proven Winners Larkspur True 2 gal. (7.57 L) Container</t>
  </si>
  <si>
    <t>96791-101</t>
  </si>
  <si>
    <t>Iris reticulata Purple Hill Dwarf Iris 1 gal. Container</t>
  </si>
  <si>
    <t>68461-101</t>
  </si>
  <si>
    <t>Lilium lancifolium Asiatic Lily 1 gal. Container</t>
  </si>
  <si>
    <t>84977-103</t>
  </si>
  <si>
    <t>Aralia cordata Sun King Japanese Spikenard 3 gal. Container</t>
  </si>
  <si>
    <t>BERNECKERS NURSERY</t>
  </si>
  <si>
    <t>86914-101</t>
  </si>
  <si>
    <t>Physostegia virginiana Crystal Peak White Obedient Plant 1 gal. Container</t>
  </si>
  <si>
    <t>85662-102</t>
  </si>
  <si>
    <t>Achillea millefolium New Vintage Violet Yarrow 2 gal. Container</t>
  </si>
  <si>
    <t>92652-PF4</t>
  </si>
  <si>
    <t>Allium x Serendipity Proven Winners Ornamental Onion True 1 gal. (3.79 L) Container</t>
  </si>
  <si>
    <t>70378-101</t>
  </si>
  <si>
    <t>Phlox divaricata May Breeze Phlox 1 gal. Container</t>
  </si>
  <si>
    <t>90786-101</t>
  </si>
  <si>
    <t>Echinacea x Kismet Red Coneflower 1 gal. Container</t>
  </si>
  <si>
    <t>82913-101PREM</t>
  </si>
  <si>
    <t>Achillea millefolium Desert Eve Terracotta Yarrow Premium 1 gal. Container</t>
  </si>
  <si>
    <t>90333-101</t>
  </si>
  <si>
    <t>Echinacea x Kismet Yellow Coneflower 1 gal. Container</t>
  </si>
  <si>
    <t>61948-102</t>
  </si>
  <si>
    <t>Baptisia australis False Indigo 2 gal. Container</t>
  </si>
  <si>
    <t>77161-101</t>
  </si>
  <si>
    <t>Lilium x Star Gazer Oriental Lily 1 gal. Container</t>
  </si>
  <si>
    <t>68417-101</t>
  </si>
  <si>
    <t>Ligularia dentata Desdemona Leopard Plant 1 gal. Container</t>
  </si>
  <si>
    <t>72673-101</t>
  </si>
  <si>
    <t>Phedimus (Sedum) spurius Fulda Glow (Fire Glow) Creeping Stonecrop 1 gal. Container</t>
  </si>
  <si>
    <t>80753-SP4</t>
  </si>
  <si>
    <t>Herb Assorted SP4 Container</t>
  </si>
  <si>
    <t>66967-101</t>
  </si>
  <si>
    <t>Hosta Pauls Glory Plantain Lily 1 gal. Container</t>
  </si>
  <si>
    <t>90662-101</t>
  </si>
  <si>
    <t>Hosta Wrinkle in Time Plantain Lily 1 gal. Container</t>
  </si>
  <si>
    <t>93931-101</t>
  </si>
  <si>
    <t>Salvia (Perovskia) yangii (atriplicifolia) Prime Time Russian Sage 1 gal. Container</t>
  </si>
  <si>
    <t>67311-101</t>
  </si>
  <si>
    <t>Iberis sempervirens Snowflake Candytuft 1 gal. Container</t>
  </si>
  <si>
    <t>CANTERBURY HORTICULTURE</t>
  </si>
  <si>
    <t>70920-101</t>
  </si>
  <si>
    <t>Polemonium reptans Jacob's Ladder 1 gal. Container</t>
  </si>
  <si>
    <t>80806-101</t>
  </si>
  <si>
    <t>Dianthus x Scent First Passion Pinks 1 gal. Container</t>
  </si>
  <si>
    <t>84519-101</t>
  </si>
  <si>
    <t>Achillea millefolium Tutti Frutti Pink Grapefruit Yarrow 1 gal. Container</t>
  </si>
  <si>
    <t>83084-101</t>
  </si>
  <si>
    <t>Ligularia dentata Britt-Marie Crawford Leopard Plant 1 gal. Container</t>
  </si>
  <si>
    <t>82621-0010</t>
  </si>
  <si>
    <t>Nephrolepis obliterata Kimberley Queen Australian Sword Fern 10 in. Container</t>
  </si>
  <si>
    <t>85024-101</t>
  </si>
  <si>
    <t>Agastache x Kudos Coral Hyssop 1 gal. Container</t>
  </si>
  <si>
    <t>87126-101</t>
  </si>
  <si>
    <t>Armeria pseudarmeria Dreameria Sweet Dreams Great Thrift 1 gal. Container</t>
  </si>
  <si>
    <t>61546-101</t>
  </si>
  <si>
    <t>Artemisia schmidtiana Silver Mound Wormwood 1 gal. Container</t>
  </si>
  <si>
    <t>64129-SP4</t>
  </si>
  <si>
    <t>Dahlia pinnata Garden Dahlia SP4 Container</t>
  </si>
  <si>
    <t>77185-103</t>
  </si>
  <si>
    <t>Paeonia lactiflora Kansas Peony 3 gal. Container</t>
  </si>
  <si>
    <t>95505-PF4</t>
  </si>
  <si>
    <t>Monarda didyma Pardon My Rose Proven Winners Bee Balm True 1 gal. (3.79 L) Container</t>
  </si>
  <si>
    <t>61031-005</t>
  </si>
  <si>
    <t>Ananas comosus Pineapple 5 in. Container</t>
  </si>
  <si>
    <t>HOLN</t>
  </si>
  <si>
    <t>XMSCNJF90050</t>
  </si>
  <si>
    <t>Holiday Naturals Jeffery Pine Cones 6-8 in. 50 Units Case D-111</t>
  </si>
  <si>
    <t>PDEP</t>
  </si>
  <si>
    <t>RACK-0001</t>
  </si>
  <si>
    <t>Nursery Rack Fee</t>
  </si>
  <si>
    <t>93298-TRL105PFO</t>
  </si>
  <si>
    <t>Rubus x Sweet-Ark Ponca Portfolio Thornless Blackberry Trellis 5 gal. Container</t>
  </si>
  <si>
    <t>82979-PF4PFO</t>
  </si>
  <si>
    <t>Heuchera x hybrida Carnival Rose Granita Portfolio Coral Bells True 1 gal. Container</t>
  </si>
  <si>
    <t>Simpson Nursery- TN</t>
  </si>
  <si>
    <t>94483-PF4PFO</t>
  </si>
  <si>
    <t>Canna x generalis Cannova Red Golden Flame Portfolio Canna Lily True 1 gal. Container</t>
  </si>
  <si>
    <t>91637-PF4PFO</t>
  </si>
  <si>
    <t>Heuchera x hybrida Carnival Cinnamon Stick Portfolio Coral Bells True 1 gal. Container</t>
  </si>
  <si>
    <t>91642-PF4PFO</t>
  </si>
  <si>
    <t>Dianthus x Mountain Frost Ruby Glitter Portfolio Pinks True 1 gal. Container</t>
  </si>
  <si>
    <t>76485-STK105PFO</t>
  </si>
  <si>
    <t>Clematis x Piilu Portfolio Clematis Staked 5 gal. Container</t>
  </si>
  <si>
    <t>93537-103PFO</t>
  </si>
  <si>
    <t>Spiraea japonica Empire Northern Lights Portfolio Spirea 3 gal. Container</t>
  </si>
  <si>
    <t>95007-0016DECPFO</t>
  </si>
  <si>
    <t>Patio Palette Artisan Ocean Falls Portfolio Annual Flower Combination 16 in. Decorative Container</t>
  </si>
  <si>
    <t>JOHNSON NURSERY - WILLARD, NC</t>
  </si>
  <si>
    <t>95004-STD105PFO</t>
  </si>
  <si>
    <t>Citrus x pyriformis Portfolio Ponderosa Lemon Tree Form Standard 5 gal. Container</t>
  </si>
  <si>
    <t>95793-0010PFO</t>
  </si>
  <si>
    <t>Bug Off! Portfolio Plant Blend 10 in. Decorative Bowl Container</t>
  </si>
  <si>
    <t>90152-106</t>
  </si>
  <si>
    <t>Thuja occidentalis Tater Tot Proven Winners Arborvitae 6 gal. Container</t>
  </si>
  <si>
    <t>BOUNTIFUL FARMS</t>
  </si>
  <si>
    <t>62428-3055</t>
  </si>
  <si>
    <t>Buxus sempervirens Boxwood 5.5 ft. Height Ball and Burlap</t>
  </si>
  <si>
    <t>63201-PM125</t>
  </si>
  <si>
    <t>Chamaecyparis pisifera Boulevard (Cyano-Viridis) Japanese Falsecypress Pom Pom 25-30 gal. Container</t>
  </si>
  <si>
    <t>Columbia Nursery LLC</t>
  </si>
  <si>
    <t>70731-103</t>
  </si>
  <si>
    <t>Pinus densiflora Globosa Japanese Red Pine 3 gal. Container</t>
  </si>
  <si>
    <t>70575-106</t>
  </si>
  <si>
    <t>Picea abies Pumila Norway Spruce 6 gal. Container</t>
  </si>
  <si>
    <t>62428-242</t>
  </si>
  <si>
    <t>Buxus sempervirens Boxwood 42 in. Height Ball and Burlap</t>
  </si>
  <si>
    <t>62403-107</t>
  </si>
  <si>
    <t>Buxus microphylla Winter Gem Littleleaf Boxwood 7 gal. Container</t>
  </si>
  <si>
    <t>77836-110</t>
  </si>
  <si>
    <t>Ilex x meserveae Blue Maid Blue Holly 10 gal. Container</t>
  </si>
  <si>
    <t>77836-236</t>
  </si>
  <si>
    <t>Ilex x meserveae Blue Maid Blue Holly 36 in. Height Ball and Burlap</t>
  </si>
  <si>
    <t>ANGELICA NURSERIES, INC.</t>
  </si>
  <si>
    <t>77334-103</t>
  </si>
  <si>
    <t>Cryptomeria japonica Black Dragon Japanese Cedar 3 gal. Container</t>
  </si>
  <si>
    <t>77761-105</t>
  </si>
  <si>
    <t>Hydrangea macrophylla Blushing Bride Endless Summer Big Leaf Hydrangea 5 gal. (14.88 L) Container</t>
  </si>
  <si>
    <t>71193-307</t>
  </si>
  <si>
    <t>Prunus laurocerasus Schipkaensis English Laurel 7 ft. Height Ball and Burlap</t>
  </si>
  <si>
    <t>78578-103</t>
  </si>
  <si>
    <t>Pinus strobus Blue Shag Eastern White Pine 3 gal. Container</t>
  </si>
  <si>
    <t>80832-STD115</t>
  </si>
  <si>
    <t>Hydrangea paniculata Vanilla Strawberry First Editions Panicle Hydrangea Tree Form Standard 15 gal. Container</t>
  </si>
  <si>
    <t>79612-STD110</t>
  </si>
  <si>
    <t>Hydrangea paniculata (Phantom) Lime Soda Panicle Hydrangea Tree Form Standard 10 gal. Container</t>
  </si>
  <si>
    <t>72131-103</t>
  </si>
  <si>
    <t>Rosa x The Fairy Rose 3 gal. Container</t>
  </si>
  <si>
    <t>74062-248</t>
  </si>
  <si>
    <t>Viburnum x rhytidophylloides Alleghany Lantanphyllum Viburnum 48 in. Height Ball and Burlap</t>
  </si>
  <si>
    <t>73128-105</t>
  </si>
  <si>
    <t>Syringa pubescens subsp. patula Miss Kim Downy Lilac 5 gal. Container</t>
  </si>
  <si>
    <t>70890-PF4</t>
  </si>
  <si>
    <t>Plumbago auriculata Royal Cape Monrovia Cape Leadwort True 1 gal. (3.79 L) Container</t>
  </si>
  <si>
    <t>63771-107</t>
  </si>
  <si>
    <t>Corylus avellana Contorta Contorted Filbert 7 gal. Container</t>
  </si>
  <si>
    <t>71919-103</t>
  </si>
  <si>
    <t>Rosa x Blushing Knock Out Shrub Rose True 3 gal. (11.36 L) Container</t>
  </si>
  <si>
    <t>96961-307</t>
  </si>
  <si>
    <t>Thujopsis dolabrata var. Hondai False Arborvitae 7 ft. Height Ball and Burlap</t>
  </si>
  <si>
    <t>63771-STD110</t>
  </si>
  <si>
    <t>Corylus avellana Contorta Contorted Filbert Tree Form Standard 10 gal. Container</t>
  </si>
  <si>
    <t>91894-106</t>
  </si>
  <si>
    <t>Prunus laurocerasus Volcano English Laurel 6 gal. Container</t>
  </si>
  <si>
    <t>73149-254</t>
  </si>
  <si>
    <t>Syringa vulgaris Charles Joly Common Lilac 54 in. Height Ball and Burlap</t>
  </si>
  <si>
    <t>90760-103</t>
  </si>
  <si>
    <t>Buddleia x Lo &amp; Behold Ruby Chip Proven Winners Butterfly Bush True 3 gal. (11.36 L) Container</t>
  </si>
  <si>
    <t>87076-103</t>
  </si>
  <si>
    <t>Caryopteris x clandonensis Color Choice Beyond Midnight Proven Winners Bluebeard True 3 gal. (11.36 L) Container</t>
  </si>
  <si>
    <t>84466-0014</t>
  </si>
  <si>
    <t>Gardenia jasminoides Cape Jasmine 14 in. Container</t>
  </si>
  <si>
    <t>Florida Tuxedo Plants</t>
  </si>
  <si>
    <t>84466-STD0010</t>
  </si>
  <si>
    <t>Gardenia jasminoides Cape Jasmine Tree Form Standard 10 in. Container</t>
  </si>
  <si>
    <t>70565-STD224</t>
  </si>
  <si>
    <t>Picea abies Little Gem Dwarf Norway Spruce Tree Form Standard 24 in. Height Ball and Burlap</t>
  </si>
  <si>
    <t>76304-103</t>
  </si>
  <si>
    <t>Rhododendron x Karen Azalea 3 gal. Container</t>
  </si>
  <si>
    <t>65338-103</t>
  </si>
  <si>
    <t>Forsythia x intermedia Lynwood Variety Border Forsythia 3 gal. Container</t>
  </si>
  <si>
    <t>78658-110</t>
  </si>
  <si>
    <t>Rhododendron x Cunningham's White Rhododendron 10 gal. Container</t>
  </si>
  <si>
    <t>76351-103</t>
  </si>
  <si>
    <t>Rhododendron x Gumpo White Satsuki Azalea 3 gal. Container</t>
  </si>
  <si>
    <t>76413-103</t>
  </si>
  <si>
    <t>Clethra alnifolia Sixteen Candles Summersweet 3 gal. Container</t>
  </si>
  <si>
    <t>62410-224</t>
  </si>
  <si>
    <t>Buxus sinica var. insularis Wintergreen Korean Boxwood 24 in. Height Ball and Burlap</t>
  </si>
  <si>
    <t>91214-103</t>
  </si>
  <si>
    <t>Cotoneaster x Autumn Inferno First Editions Cotoneaster True 3 gal. (11.36 L) Container</t>
  </si>
  <si>
    <t>63201-PM165</t>
  </si>
  <si>
    <t>Chamaecyparis pisifera Boulevard (Cyano-Viridis) Japanese Falsecypress Pom Pom 65 gal. Container</t>
  </si>
  <si>
    <t>DON MARJAMA NURSERY</t>
  </si>
  <si>
    <t>91938-W842</t>
  </si>
  <si>
    <t>Pinus densiflora Vibrant Japanese Red Pine 42 in. Width Ball and Burlap</t>
  </si>
  <si>
    <t>63188-224</t>
  </si>
  <si>
    <t>Chamaecyparis obtusa Nana Gracilis Hinoki Falsecypress 24 in. Height Ball and Burlap</t>
  </si>
  <si>
    <t>63203-242</t>
  </si>
  <si>
    <t>Chamaecyparis pisifera Filifera Aurea Sawara Cypress 42 in. Height Ball and Burlap</t>
  </si>
  <si>
    <t>71193-306</t>
  </si>
  <si>
    <t>Prunus laurocerasus Schipkaensis English Laurel 6 ft. Height Ball and Burlap</t>
  </si>
  <si>
    <t>67407-105</t>
  </si>
  <si>
    <t>Ilex x meserveae Blue Princess Blue Holly 5 gal. Container</t>
  </si>
  <si>
    <t>67407-107</t>
  </si>
  <si>
    <t>Ilex x meserveae Blue Princess Blue Holly 7 gal. Container</t>
  </si>
  <si>
    <t>69770-306</t>
  </si>
  <si>
    <t>Osmanthus heterophyllus Gulftide False Holly 6 ft. Height Ball and Burlap</t>
  </si>
  <si>
    <t>70565-105</t>
  </si>
  <si>
    <t>Picea abies Little Gem Dwarf Norway Spruce 5 gal. Container</t>
  </si>
  <si>
    <t>71741-248</t>
  </si>
  <si>
    <t>Rhododendron x English Roseum Rhododendron 48 in. Height Ball and Burlap</t>
  </si>
  <si>
    <t>73267-110</t>
  </si>
  <si>
    <t>Taxus x media Densiformis Yew 10 gal. Container</t>
  </si>
  <si>
    <t>77886-105</t>
  </si>
  <si>
    <t>Juniperus communis Gold Cone Juniper 5 gal. Container</t>
  </si>
  <si>
    <t>67962-102</t>
  </si>
  <si>
    <t>Juniperus virginiana Grey Owl Juniper 2 gal. Container</t>
  </si>
  <si>
    <t>67446-103</t>
  </si>
  <si>
    <t>Ilex verticillata Red Sprite Winterberry Holly 3 gal. Container</t>
  </si>
  <si>
    <t>Loew's Nursery, LLC</t>
  </si>
  <si>
    <t>80450-102</t>
  </si>
  <si>
    <t>Chaenomeles speciosa Double Take Scarlet Proven Winners Flowering Quince True 2 gal. (7.57 L) Container</t>
  </si>
  <si>
    <t>83121-103</t>
  </si>
  <si>
    <t>Physocarpus opulifolius Tiny Wine Proven Winners Ninebark 3 gal. Container</t>
  </si>
  <si>
    <t>81900-103</t>
  </si>
  <si>
    <t>Physocarpus opulifolius Little Devil First Editions Ninebark True 3 gal. (11.36 L) Container</t>
  </si>
  <si>
    <t>63080-236</t>
  </si>
  <si>
    <t>Cephalotaxus harringtonia Fastigiata Japanese Plum Yew 36 in. Height Ball and Burlap</t>
  </si>
  <si>
    <t>78658-115</t>
  </si>
  <si>
    <t>Rhododendron x Cunningham's White Rhododendron 15 gal. Container</t>
  </si>
  <si>
    <t>72957-105</t>
  </si>
  <si>
    <t>Spiraea japonica Little Princess Japanese Spirea 5 gal. Container</t>
  </si>
  <si>
    <t>73128-248</t>
  </si>
  <si>
    <t>Syringa pubescens subsp. patula Miss Kim Downy Lilac 48 in. Height Ball and Burlap</t>
  </si>
  <si>
    <t>96812-103</t>
  </si>
  <si>
    <t>Enkianthus campaulatus Jan's Red Iseli Redvein Enkianthus 3 gal. Container</t>
  </si>
  <si>
    <t>70890-105</t>
  </si>
  <si>
    <t>Plumbago auriculata Royal Cape Monrovia Cape Leadwort 5 gal. Container</t>
  </si>
  <si>
    <t>67158-INT008</t>
  </si>
  <si>
    <t>Hydrangea macrophylla Merritt's Supreme Big Leaf Hydrangea Interior Plant 8 in. Container</t>
  </si>
  <si>
    <t>70628-110-W24IN</t>
  </si>
  <si>
    <t>Picea pungens Glauca Globosa Blue Spruce 24 in. Width 10 gal. Container</t>
  </si>
  <si>
    <t>74049-305</t>
  </si>
  <si>
    <t>Viburnum plicatum var. tomentosum Summer Snowflake Doublefile Viburnum 5 ft. Height Ball and Burlap</t>
  </si>
  <si>
    <t>67191-STD248</t>
  </si>
  <si>
    <t>Hydrangea paniculata Color Choice Limelight Proven Winners Panicle Hydrangea Tree Form Standard 48 in. Height Ball and Burlap</t>
  </si>
  <si>
    <t>68035-236</t>
  </si>
  <si>
    <t>Kalmia latifolia Mountain Laurel 36 in. Height Ball and Burlap</t>
  </si>
  <si>
    <t>69433-STD0010</t>
  </si>
  <si>
    <t>Nerium oleander Oleander Tree Form Standard 10 in. Container</t>
  </si>
  <si>
    <t>63497-105</t>
  </si>
  <si>
    <t>Clethra alnifolia Hummingbird Summersweet 5 gal. Container</t>
  </si>
  <si>
    <t>63854-103</t>
  </si>
  <si>
    <t>Cotoneaster salicifolius Repens Willowleaf Cotoneaster 3 gal. Container</t>
  </si>
  <si>
    <t>67407-236</t>
  </si>
  <si>
    <t>Ilex x meserveae Blue Princess Blue Holly 36 in. Height Ball and Burlap</t>
  </si>
  <si>
    <t>79612-STD306</t>
  </si>
  <si>
    <t>Hydrangea paniculata (Phantom) Lime Soda Panicle Hydrangea Tree Form Standard 6 ft. Height Ball and Burlap</t>
  </si>
  <si>
    <t>73996-105</t>
  </si>
  <si>
    <t>Viburnum dentatum Autumn Jazz Arrowwood Viburnum 5 gal. Container</t>
  </si>
  <si>
    <t>77585-103</t>
  </si>
  <si>
    <t>Vaccinium corymbosum Bluecrop Highbush Blueberry 3 gal. Container</t>
  </si>
  <si>
    <t>77776-STD110</t>
  </si>
  <si>
    <t>Hydrangea paniculata Color Choice Quick Fire Proven Winners Panicle Hydrangea Tree Form Standard 10 gal. Container</t>
  </si>
  <si>
    <t>77836-305</t>
  </si>
  <si>
    <t>Ilex x meserveae Blue Maid Blue Holly 5 ft. Height Ball and Burlap</t>
  </si>
  <si>
    <t>69126-102</t>
  </si>
  <si>
    <t>Microbiota decussata Siberian Cypress 2 gal. Container</t>
  </si>
  <si>
    <t>71751-236</t>
  </si>
  <si>
    <t>Rhododendron catawbiense Roseum Elegans Rhododendron 36 in. Height Ball and Burlap</t>
  </si>
  <si>
    <t>70891-102</t>
  </si>
  <si>
    <t>Plumbago auriculata Cape Leadwort 2 gal. Container</t>
  </si>
  <si>
    <t>75996-305</t>
  </si>
  <si>
    <t>Hibiscus syriacus Lucy Proven Winners Rose of Sharon 5 ft. Height Ball and Burlap</t>
  </si>
  <si>
    <t>74056-248</t>
  </si>
  <si>
    <t>Viburnum plicatum var. tomentosum Shasta Doublefile Viburnum 48 in. Height Ball and Burlap</t>
  </si>
  <si>
    <t>CD</t>
  </si>
  <si>
    <t>73122-STD110</t>
  </si>
  <si>
    <t>Syringa meyeri Palibin Dwarf Korean Lilac Tree Form Standard 10 gal. Container</t>
  </si>
  <si>
    <t>74065-305</t>
  </si>
  <si>
    <t>Viburnum rhytidophyllum Leatherleaf Viburnum 5 ft. Height Ball and Burlap</t>
  </si>
  <si>
    <t>78791-102</t>
  </si>
  <si>
    <t>Rosa x Flower Carpet Red Rose 2 gal. Container</t>
  </si>
  <si>
    <t>73122-230</t>
  </si>
  <si>
    <t>Syringa meyeri Palibin Dwarf Korean Lilac 30 in. Height Ball and Burlap</t>
  </si>
  <si>
    <t>65070-110</t>
  </si>
  <si>
    <t>Euonymus kiautschovicus Manhattan Spreading Euonymus 10 gal. Container</t>
  </si>
  <si>
    <t>63198-308</t>
  </si>
  <si>
    <t>Chamaecyparis obtusa Verdoni Hinoki Falsecypress 8 ft. Height Ball and Burlap</t>
  </si>
  <si>
    <t>73508-102</t>
  </si>
  <si>
    <t>Tibouchina urvilleana Princess Flower 2 gal. Container</t>
  </si>
  <si>
    <t>MONROVIA GROWERS-GEORGIA</t>
  </si>
  <si>
    <t>63201-SP195</t>
  </si>
  <si>
    <t>Chamaecyparis pisifera Boulevard (Cyano-Viridis) Japanese Falsecypress Spiral 95 gal. Container</t>
  </si>
  <si>
    <t>79391-102</t>
  </si>
  <si>
    <t>Rosa x Coral Drift Rose True 2 gal. (7.57 L) Container</t>
  </si>
  <si>
    <t>RIDGE MANOR NURSERIES, INC.</t>
  </si>
  <si>
    <t>77800-110</t>
  </si>
  <si>
    <t>Ilex crenata Chesapeake Japanese Holly 10 gal. Container</t>
  </si>
  <si>
    <t>73122-STD230</t>
  </si>
  <si>
    <t>Syringa meyeri Palibin Dwarf Korean Lilac Tree Form Standard 30 in. Height Ball and Burlap</t>
  </si>
  <si>
    <t>73128-242</t>
  </si>
  <si>
    <t>Syringa pubescens subsp. patula Miss Kim Downy Lilac 42 in. Height Ball and Burlap</t>
  </si>
  <si>
    <t>69286-103</t>
  </si>
  <si>
    <t>Nandina domestica Gulf Stream Heavenly Bamboo 3 gal. Container</t>
  </si>
  <si>
    <t>66790-254</t>
  </si>
  <si>
    <t>Hibiscus syriacus Diana Rose of Sharon 54 in. Height Ball and Burlap</t>
  </si>
  <si>
    <t>73984-248</t>
  </si>
  <si>
    <t>Viburnum x burkwoodii Viburnum 48 in. Height Ball and Burlap</t>
  </si>
  <si>
    <t>70652-105</t>
  </si>
  <si>
    <t>Pieris japonica Compacta Japanese Andromeda 5 gal. Container</t>
  </si>
  <si>
    <t>67191-306</t>
  </si>
  <si>
    <t>Hydrangea paniculata Color Choice Limelight Proven Winners Panicle Hydrangea 6 ft. Height Ball and Burlap</t>
  </si>
  <si>
    <t>79612-STD248</t>
  </si>
  <si>
    <t>Hydrangea paniculata (Phantom) Lime Soda Panicle Hydrangea Tree Form Standard 48 in. Height Ball and Burlap</t>
  </si>
  <si>
    <t>69770-110</t>
  </si>
  <si>
    <t>Osmanthus heterophyllus Gulftide False Holly 10 gal. Container</t>
  </si>
  <si>
    <t>64263-103</t>
  </si>
  <si>
    <t>Deutzia gracilis Nikko Slender Deutzia 3 gal. Container</t>
  </si>
  <si>
    <t>72981-103</t>
  </si>
  <si>
    <t>Spiraea x vanhouttei Spirea 3 gal. Container</t>
  </si>
  <si>
    <t>71789-236</t>
  </si>
  <si>
    <t>Rhododendron maximum Rosebay Rhododendron 36 in. Height Ball and Burlap</t>
  </si>
  <si>
    <t>72972-103</t>
  </si>
  <si>
    <t>Spiraea prunifolia Bridal Wreath Spiraea 3 gal. Container</t>
  </si>
  <si>
    <t>75996-248</t>
  </si>
  <si>
    <t>Hibiscus syriacus Lucy Proven Winners Rose of Sharon 48 in. Height Ball and Burlap</t>
  </si>
  <si>
    <t>73997-110</t>
  </si>
  <si>
    <t>Viburnum dentatum Chicago Lustre Arrowwood Viburnum 10 gal. Container</t>
  </si>
  <si>
    <t>81407-101</t>
  </si>
  <si>
    <t>Rubus idaeus Caroline Red Raspberry 1 gal. Container</t>
  </si>
  <si>
    <t>61511-103</t>
  </si>
  <si>
    <t>Aronia melanocarpa Viking Viking Chokeberry 3 gal. Container</t>
  </si>
  <si>
    <t>68487-102</t>
  </si>
  <si>
    <t>Lindera benzoin Spicebush 2 gal. Container</t>
  </si>
  <si>
    <t>63080-248</t>
  </si>
  <si>
    <t>Cephalotaxus harringtonia Fastigiata Japanese Plum Yew 48 in. Height Ball and Burlap</t>
  </si>
  <si>
    <t>67406-305</t>
  </si>
  <si>
    <t>Ilex x meserveae Blue Prince Blue Holly 5 ft. Height Ball and Burlap</t>
  </si>
  <si>
    <t>67198-248</t>
  </si>
  <si>
    <t>Hydrangea paniculata Tardiva Panicle Hydrangea 48 in. Height Ball and Burlap</t>
  </si>
  <si>
    <t>68752-310</t>
  </si>
  <si>
    <t>Magnolia hybrid Little Girl Jane Magnolia 10 ft. Height Ball and Burlap</t>
  </si>
  <si>
    <t>80832-110</t>
  </si>
  <si>
    <t>Hydrangea paniculata Vanilla Strawberry First Editions Panicle Hydrangea 10 gal. Container</t>
  </si>
  <si>
    <t>87357-103</t>
  </si>
  <si>
    <t>Buddleja x Color Choice Pugster White Proven Winners Butterfly Bush True 3 gal. (11.36 L) Container</t>
  </si>
  <si>
    <t>72056-ESP109</t>
  </si>
  <si>
    <t>Rosa x New Dawn Climbing Rose Espalier 9 gal. Container</t>
  </si>
  <si>
    <t>62428-110-30IN</t>
  </si>
  <si>
    <t>Buxus sempervirens Boxwood 30 in. Height 10 gal. Container</t>
  </si>
  <si>
    <t>ADVANCED ORNAMENTALS</t>
  </si>
  <si>
    <t>84685-TRL109</t>
  </si>
  <si>
    <t>Rosa x Cloud 10 Climbing Rose Trellis 9 gal. Container</t>
  </si>
  <si>
    <t>67912-BS007</t>
  </si>
  <si>
    <t>Juniperus procumbens Nana Dwarf Japanese Garden Juniper Bonsai 7 in. Container</t>
  </si>
  <si>
    <t>67158-INT0010</t>
  </si>
  <si>
    <t>Hydrangea macrophylla Merritt's Supreme Big Leaf Hydrangea Interior Plant 10 in. Container</t>
  </si>
  <si>
    <t>67158-INT006</t>
  </si>
  <si>
    <t>Hydrangea macrophylla Merritt's Supreme Big Leaf Hydrangea Interior Plant 6 in. Container</t>
  </si>
  <si>
    <t>J. DEFRANCESCO &amp; SONS</t>
  </si>
  <si>
    <t>76060-110</t>
  </si>
  <si>
    <t>Buxus sempervirens Dee Runk Boxwood 10 gal. Container</t>
  </si>
  <si>
    <t>85319-103</t>
  </si>
  <si>
    <t>Spiraea latifolia Broadleaf Meadowsweet 3 gal. Container</t>
  </si>
  <si>
    <t>73985-305</t>
  </si>
  <si>
    <t>Viburnum x carlcephalum Fragrant Snowball 5 ft. Height Ball and Burlap</t>
  </si>
  <si>
    <t>77852-105</t>
  </si>
  <si>
    <t>Ilex verticillata Southern Gentleman Winterberry 5 gal. Container</t>
  </si>
  <si>
    <t>78792-102</t>
  </si>
  <si>
    <t>Rosa x Flower Carpet Scarlet Rose 2 gal. Container</t>
  </si>
  <si>
    <t>74049-105</t>
  </si>
  <si>
    <t>Viburnum plicatum var. tomentosum Summer Snowflake Doublefile Viburnum 5 gal. Container</t>
  </si>
  <si>
    <t>71751-242</t>
  </si>
  <si>
    <t>Rhododendron catawbiense Roseum Elegans Rhododendron 42 in. Height Ball and Burlap</t>
  </si>
  <si>
    <t>71741-242</t>
  </si>
  <si>
    <t>Rhododendron x English Roseum Rhododendron 42 in. Height Ball and Burlap</t>
  </si>
  <si>
    <t>77334-106</t>
  </si>
  <si>
    <t>Cryptomeria japonica Black Dragon Japanese Cedar 6 gal. Container</t>
  </si>
  <si>
    <t>66801-305</t>
  </si>
  <si>
    <t>Hibiscus syriacus Color Choice Blue Satin Proven Winners Rose of Sharon 5 ft. Height Ball and Burlap</t>
  </si>
  <si>
    <t>67860-102</t>
  </si>
  <si>
    <t>Juniperus chinensis var. sargentii var. Sargentii Chinese Juniper 2 gal. Container</t>
  </si>
  <si>
    <t>MAY NURSERY, INC.</t>
  </si>
  <si>
    <t>81311-103</t>
  </si>
  <si>
    <t>Buddleja x Miss Molly Proven Winners Butterfly Bush True 3 gal. (11.36 L) Container</t>
  </si>
  <si>
    <t>68752-306</t>
  </si>
  <si>
    <t>Magnolia hybrid Little Girl Jane Magnolia 6 ft. Height Ball and Burlap</t>
  </si>
  <si>
    <t>73122-STD248</t>
  </si>
  <si>
    <t>Syringa meyeri Palibin Dwarf Korean Lilac Tree Form Standard 48 in. Height Ball and Burlap</t>
  </si>
  <si>
    <t>71176-103</t>
  </si>
  <si>
    <t>Prunus x cistena Purple Leaf Sand Cherry 3 gal. Container</t>
  </si>
  <si>
    <t>82848-101</t>
  </si>
  <si>
    <t>Vaccinium macroapron Cranberry 1 gal. Container</t>
  </si>
  <si>
    <t>67407-306</t>
  </si>
  <si>
    <t>Ilex x meserveae Blue Princess Blue Holly 6 ft. Height Ball and Burlap</t>
  </si>
  <si>
    <t>74049-248</t>
  </si>
  <si>
    <t>Viburnum plicatum var. tomentosum Summer Snowflake Doublefile Viburnum 48 in. Height Ball and Burlap</t>
  </si>
  <si>
    <t>62428-GB236</t>
  </si>
  <si>
    <t>Buxus sempervirens Boxwood Globe 36 in. Ball and Burlap</t>
  </si>
  <si>
    <t>67209-102</t>
  </si>
  <si>
    <t>Hydrangea quercifolia Snow Queen Oakleaf Hydrangea 2 gal. Container</t>
  </si>
  <si>
    <t>73247-224</t>
  </si>
  <si>
    <t>Taxus baccata Repandens English Yew 24 in. Height Ball and Burlap</t>
  </si>
  <si>
    <t>73994-105</t>
  </si>
  <si>
    <t>Viburnum dentatum Blue Muffin Proven Winners Arrowwood Viburnum 5 gal. Container</t>
  </si>
  <si>
    <t>65070-ESP105</t>
  </si>
  <si>
    <t>Euonymus kiautschovicus Manhattan Spreading Euonymus Espalier 5 gal. Container</t>
  </si>
  <si>
    <t>Everde Northern CA</t>
  </si>
  <si>
    <t>73128-236</t>
  </si>
  <si>
    <t>Syringa pubescens subsp. patula Miss Kim Downy Lilac 36 in. Height Ball and Burlap</t>
  </si>
  <si>
    <t>72318-105</t>
  </si>
  <si>
    <t>Salix integra Hakuro Nishiki Dappled Willow 5 gal. Container</t>
  </si>
  <si>
    <t>71741-105</t>
  </si>
  <si>
    <t>Rhododendron x English Roseum Rhododendron 5 gal. Container</t>
  </si>
  <si>
    <t>76339-105</t>
  </si>
  <si>
    <t>Rhododendron x Pleasant White Azalea 5 gal. Container</t>
  </si>
  <si>
    <t>71568-102</t>
  </si>
  <si>
    <t>Rhododendron x Gibraltar Exbury Azalea 2 gal. Container</t>
  </si>
  <si>
    <t>74065-248</t>
  </si>
  <si>
    <t>Viburnum rhytidophyllum Leatherleaf Viburnum 48 in. Height Ball and Burlap</t>
  </si>
  <si>
    <t>78552-115</t>
  </si>
  <si>
    <t>Pieris japonica Scarlet O'Hara Japanese Andromeda 15 gal. Container</t>
  </si>
  <si>
    <t>72181-102</t>
  </si>
  <si>
    <t>Rosa virginiana Virginia Rose 2 gal. Container</t>
  </si>
  <si>
    <t>81444-254</t>
  </si>
  <si>
    <t>Taxus x media H.M. Eddie Yew 54 in. Height Ball and Burlap</t>
  </si>
  <si>
    <t>70890-STK105</t>
  </si>
  <si>
    <t>Plumbago auriculata Royal Cape Monrovia Cape Leadwort Staked 5 gal. Container</t>
  </si>
  <si>
    <t>66782-254</t>
  </si>
  <si>
    <t>Hibiscus syriacus Aphrodite Rose of Sharon 54 in. Height Ball and Burlap</t>
  </si>
  <si>
    <t>78850-101</t>
  </si>
  <si>
    <t>Calluna vulgaris Winter Chocolate Heather 1 gal. Container</t>
  </si>
  <si>
    <t>80832-STD306</t>
  </si>
  <si>
    <t>Hydrangea paniculata Vanilla Strawberry First Editions Panicle Hydrangea Tree Form Standard 6 ft. Height Ball and Burlap</t>
  </si>
  <si>
    <t>65070-107</t>
  </si>
  <si>
    <t>Euonymus kiautschovicus Manhattan Spreading Euonymus 7 gal. Container</t>
  </si>
  <si>
    <t>SUCC</t>
  </si>
  <si>
    <t>65168-0014</t>
  </si>
  <si>
    <t>Euphorbia tirucalli Indian Tree Spurge 14 in. Container</t>
  </si>
  <si>
    <t>88889-SP4</t>
  </si>
  <si>
    <t>Assorted Succulents SP4 Container</t>
  </si>
  <si>
    <t>88889-008</t>
  </si>
  <si>
    <t>Assorted Succulents 8 in. Container</t>
  </si>
  <si>
    <t>92956-0010</t>
  </si>
  <si>
    <t>Beaucarnea guatemalensis Ponytail Plant 10 in. Container</t>
  </si>
  <si>
    <t>74678-SP4</t>
  </si>
  <si>
    <t>Echeveria affinis Hen and Chicks SP4 Container</t>
  </si>
  <si>
    <t>60582-101</t>
  </si>
  <si>
    <t>Agave americana American Century Plant 1 gal. Container</t>
  </si>
  <si>
    <t>LANDCRAFT ENVIRONMENTS,LTD</t>
  </si>
  <si>
    <t>60337-040</t>
  </si>
  <si>
    <t>Acer saccharum Green Mountain Sugar Maple 4 in. Caliper Ball and Burlap</t>
  </si>
  <si>
    <t>BRAUN NURSERY LIMITED</t>
  </si>
  <si>
    <t>60269-020</t>
  </si>
  <si>
    <t>Acer palmatum Bloodgood Japanese Maple 2 in. Caliper Ball and Burlap</t>
  </si>
  <si>
    <t>60314-050</t>
  </si>
  <si>
    <t>Acer rubrum October Glory Red Maple 5 in. Caliper Ball and Burlap</t>
  </si>
  <si>
    <t>HIDDEN VALLEY NURSERY, LLC</t>
  </si>
  <si>
    <t>70728-103</t>
  </si>
  <si>
    <t>Pinus mugo Swiss Mountain Pine 3 gal. Container</t>
  </si>
  <si>
    <t>71383-020</t>
  </si>
  <si>
    <t>Quercus bicolor Swamp White Oak 2 in. Caliper Ball and Burlap</t>
  </si>
  <si>
    <t>SCENIC HILLS NURSERY</t>
  </si>
  <si>
    <t>73041-120</t>
  </si>
  <si>
    <t>Stewartia pseudocamellia Japanese Stewartia 20 gal. Container</t>
  </si>
  <si>
    <t>73068-020</t>
  </si>
  <si>
    <t>Styrax japonicus Japanese Snowbell 2 in. Caliper Ball and Burlap</t>
  </si>
  <si>
    <t>68835-310</t>
  </si>
  <si>
    <t>Magnolia x soulangeana Saucer Magnolia 10 ft. Height Ball and Burlap</t>
  </si>
  <si>
    <t>75976-025</t>
  </si>
  <si>
    <t>Acer saccharum Fall Fiesta Sugar Maple 2.5 in. Caliper Ball and Burlap</t>
  </si>
  <si>
    <t>74939-020</t>
  </si>
  <si>
    <t>Liquidambar styraciflua Slender Silhouette Sweetgum 2 in. Caliper Ball and Burlap</t>
  </si>
  <si>
    <t>71150-030</t>
  </si>
  <si>
    <t>Prunus x Okame Flowering Cherry 3 in. Caliper Ball and Burlap</t>
  </si>
  <si>
    <t>77841-306</t>
  </si>
  <si>
    <t>Ilex x Oakleaf Red Holly 6 ft. Height Ball and Burlap</t>
  </si>
  <si>
    <t>62155-MS308</t>
  </si>
  <si>
    <t>Betula utilis var. jacquemontii Himalayan Birch Tree Form Multi Stem 8 ft. Height Ball and Burlap</t>
  </si>
  <si>
    <t>60994-310</t>
  </si>
  <si>
    <t>Amelanchier canadensis Shadblow Serviceberry 10 ft. Height Ball and Burlap</t>
  </si>
  <si>
    <t>68511-025</t>
  </si>
  <si>
    <t>Liriodendron tulipifera Arnold Tulip Tree 2.5 in. Caliper Ball and Burlap</t>
  </si>
  <si>
    <t>77578-020</t>
  </si>
  <si>
    <t>Malus domestica Stayman Winesap Apple 2 in. Caliper Ball and Burlap</t>
  </si>
  <si>
    <t>82761-248</t>
  </si>
  <si>
    <t>Acer shirasawanum Moonrise Full Moon Japanese Maple 48 in. Height Ball and Burlap</t>
  </si>
  <si>
    <t>60995-MS308</t>
  </si>
  <si>
    <t>Amelanchier x lamarckii (grandiflora) Autumn Brilliance Apple Serviceberry Tree Form Multi Stem 8 ft. Height Ball and Burlap</t>
  </si>
  <si>
    <t>74570-115</t>
  </si>
  <si>
    <t>Callitropsis (Chamaecyparis) nootkatensis Jubilee Alaskan Cedar 15 gal. Container</t>
  </si>
  <si>
    <t>63685-0125</t>
  </si>
  <si>
    <t>Cornus florida Cherokee Brave Flowering Dogwood 1.25 in. Caliper Ball and Burlap</t>
  </si>
  <si>
    <t>73693-W830</t>
  </si>
  <si>
    <t>Tsuga canadensis Pendula Eastern Hemlock 30 in. Width Ball and Burlap</t>
  </si>
  <si>
    <t>84924-106</t>
  </si>
  <si>
    <t>Pinus strobus Niagara Falls Eastern White Pine 6 gal. Container</t>
  </si>
  <si>
    <t>60994-MS307</t>
  </si>
  <si>
    <t>Amelanchier canadensis Shadblow Serviceberry Tree Form Multi Stem 7 ft. Height Ball and Burlap</t>
  </si>
  <si>
    <t>ANNULLI NURSERIES</t>
  </si>
  <si>
    <t>81117-110</t>
  </si>
  <si>
    <t>Picea orientalis Gowdy Oriental Spruce 10 gal. Container</t>
  </si>
  <si>
    <t>73397-SC415</t>
  </si>
  <si>
    <t>Thuja occidentalis Emerald Green American Arborvitae Sculptured 16 in. Box</t>
  </si>
  <si>
    <t>73039-030</t>
  </si>
  <si>
    <t>Stewartia monadelpha Tall Stewartia 3 in. Caliper Ball and Burlap</t>
  </si>
  <si>
    <t>71379-045</t>
  </si>
  <si>
    <t>Quercus alba White Oak 4.5 in. Caliper Ball and Burlap</t>
  </si>
  <si>
    <t>63657-103</t>
  </si>
  <si>
    <t>Cornus alternifolia Pagoda Dogwood 3 gal. Container</t>
  </si>
  <si>
    <t>68235-306</t>
  </si>
  <si>
    <t>Larix decidua Pendula Pendula Weeping Larch 6 ft. Height Ball and Burlap</t>
  </si>
  <si>
    <t>71242-115</t>
  </si>
  <si>
    <t>Prunus x yedoensis Flowering Yoshino Cherry 15 gal. Container</t>
  </si>
  <si>
    <t>62171-115</t>
  </si>
  <si>
    <t>Bismarckia nobilis Bismarck Palm 15 gal. Container</t>
  </si>
  <si>
    <t>68782-310</t>
  </si>
  <si>
    <t>Magnolia grandiflora D. D. Blanchard Southern Magnolia 10 ft. Height Ball and Burlap</t>
  </si>
  <si>
    <t>70773-TP125</t>
  </si>
  <si>
    <t>Pinus sylvestris Scots Pine Topiary 25-30 gal. Container</t>
  </si>
  <si>
    <t>82761-306</t>
  </si>
  <si>
    <t>Acer shirasawanum Moonrise Full Moon Japanese Maple 6 ft. Height Ball and Burlap</t>
  </si>
  <si>
    <t>60269-115-6FT</t>
  </si>
  <si>
    <t>Acer palmatum Bloodgood Japanese Maple 6 ft. Height 15 gal. Container</t>
  </si>
  <si>
    <t>63687-307</t>
  </si>
  <si>
    <t>Cornus florida Rubra Dogwood 7 ft. Height Ball and Burlap</t>
  </si>
  <si>
    <t>68514-025</t>
  </si>
  <si>
    <t>Liriodendron tulipifera Tulip Tree 2.5 in. Caliper Ball and Burlap</t>
  </si>
  <si>
    <t>62971-310</t>
  </si>
  <si>
    <t>Cedrus deodara Kashmir Deodar Cedar 10 ft. Height Ball and Burlap</t>
  </si>
  <si>
    <t>79996-115</t>
  </si>
  <si>
    <t>Prunus subhirtella Pink Snow Showers Weeping Cherry 15 gal. Container</t>
  </si>
  <si>
    <t>73041-025</t>
  </si>
  <si>
    <t>Stewartia pseudocamellia Japanese Stewartia 2.5 in. Caliper Ball and Burlap</t>
  </si>
  <si>
    <t>70619-110</t>
  </si>
  <si>
    <t>Picea orientalis Skylands Oriental Spruce 10 gal. Container</t>
  </si>
  <si>
    <t>71439-050</t>
  </si>
  <si>
    <t>Quercus palustris Pin Oak 5 in. Caliper Ball and Burlap</t>
  </si>
  <si>
    <t>62133-125</t>
  </si>
  <si>
    <t>Betula nigra Heritage River Birch 25-30 gal. Container</t>
  </si>
  <si>
    <t>73520-025</t>
  </si>
  <si>
    <t>Tilia cordata Greenspire Little Leaf Linden 2.5 in. Caliper Ball and Burlap</t>
  </si>
  <si>
    <t>70480-0017</t>
  </si>
  <si>
    <t>Phoenix roebelenii Pygmy Date Palm 17 in. Container</t>
  </si>
  <si>
    <t>73844-0017</t>
  </si>
  <si>
    <t>Adonidia (Veitchia) merrilli Christmas Palm 17 in. Container</t>
  </si>
  <si>
    <t>60207-125</t>
  </si>
  <si>
    <t>Acer griseum Paperbark Maple 25-30 gal. Container</t>
  </si>
  <si>
    <t>76016-309</t>
  </si>
  <si>
    <t>Thuja occidentalis Hetz Wintergreen American Arborvitae 9 ft. Height Ball and Burlap</t>
  </si>
  <si>
    <t>84833-020</t>
  </si>
  <si>
    <t>Prunus sargentii Rancho Flowering Cherry 2 in. Caliper Ball and Burlap</t>
  </si>
  <si>
    <t>81903-035</t>
  </si>
  <si>
    <t>Nyssa sylvatica Green Gable Black Tupelo 3.5 in. Caliper Ball and Burlap</t>
  </si>
  <si>
    <t>68812-310</t>
  </si>
  <si>
    <t>Magnolia x loebneri Merrill Magnolia 10 ft. Height Ball and Burlap</t>
  </si>
  <si>
    <t>68835-305</t>
  </si>
  <si>
    <t>Magnolia x soulangeana Saucer Magnolia 5 ft. Height Ball and Burlap</t>
  </si>
  <si>
    <t>78257-020</t>
  </si>
  <si>
    <t>Pyrus calleryana Cleveland Select Flowering Pear 2 in. Caliper Ball and Burlap</t>
  </si>
  <si>
    <t>60310-040</t>
  </si>
  <si>
    <t>Acer rubrum Red Sunset Red Maple 4 in. Caliper Ball and Burlap</t>
  </si>
  <si>
    <t>62134-248</t>
  </si>
  <si>
    <t>Betula nigra Fox Valley Dwarf River Birch 48 in. Height Ball and Burlap</t>
  </si>
  <si>
    <t>79087-020</t>
  </si>
  <si>
    <t>Cornus x Jersey Star Venus Dogwood 2 in. Caliper Ball and Burlap</t>
  </si>
  <si>
    <t>80521-025</t>
  </si>
  <si>
    <t>Nyssa sylvatica Wildfire Black Tupelo 2.5 in. Caliper Ball and Burlap</t>
  </si>
  <si>
    <t>63178-308</t>
  </si>
  <si>
    <t>Chamaecyparis obtusa Crippsii Golden Hinoki Cypress 8 ft. Height Ball and Burlap</t>
  </si>
  <si>
    <t>73788-107</t>
  </si>
  <si>
    <t>Ulmus americana Princeton American Elm 7 gal. Container</t>
  </si>
  <si>
    <t>75942-107-W24IN</t>
  </si>
  <si>
    <t>Acer palmatum subsp. matsumurae Tamukeyama Japanese Laceleaf Maple 24 in. Width 7 gal. Container</t>
  </si>
  <si>
    <t>82929-025</t>
  </si>
  <si>
    <t>Chionanthus retusus China Snow Chinese Fringe Tree 2.5 in. Caliper Ball and Burlap</t>
  </si>
  <si>
    <t>68514-020</t>
  </si>
  <si>
    <t>Liriodendron tulipifera Tulip Tree 2 in. Ball and Burlap</t>
  </si>
  <si>
    <t>Coastal Nurseries Corp</t>
  </si>
  <si>
    <t>70779-308</t>
  </si>
  <si>
    <t>Pinus thunbergii Japanese Black Pine 8 ft. Height Ball and Burlap</t>
  </si>
  <si>
    <t>65810-020</t>
  </si>
  <si>
    <t>Gleditsia triacanthos var. inermis Shademaster Thornless Honeylocust 2 in. Caliper Ball and Burlap</t>
  </si>
  <si>
    <t>68784-314</t>
  </si>
  <si>
    <t>Magnolia grandiflora Edith Bogue Southern Magnolia 14 ft. Height Ball and Burlap</t>
  </si>
  <si>
    <t>75944-120</t>
  </si>
  <si>
    <t>Acer palmatum Orangeola Japanese Maple 20 gal. Container</t>
  </si>
  <si>
    <t>82406-050</t>
  </si>
  <si>
    <t>Acer truncatum x platanoides Crimson Sunset Maple 5 in. Caliper Ball and Burlap</t>
  </si>
  <si>
    <t>60310-025</t>
  </si>
  <si>
    <t>Acer rubrum Red Sunset Red Maple 2.5 in. Caliper Ball and Burlap</t>
  </si>
  <si>
    <t>60995-025</t>
  </si>
  <si>
    <t>Amelanchier x lamarckii (grandiflora) Autumn Brilliance Apple Serviceberry 2.5 in. Caliper Ball and Burlap</t>
  </si>
  <si>
    <t>63890-025</t>
  </si>
  <si>
    <t>Crataegus viridis Winter King Green Hawthorn 2.5 in. Caliper Ball and Burlap</t>
  </si>
  <si>
    <t>77882-115</t>
  </si>
  <si>
    <t>Juniperus chinensis Hetz Columnaris Chinese Juniper 15 gal. Container</t>
  </si>
  <si>
    <t>60995-310</t>
  </si>
  <si>
    <t>Amelanchier x lamarckii (grandiflora) Autumn Brilliance Apple Serviceberry 10 ft. Height Ball and Burlap</t>
  </si>
  <si>
    <t>65779-107</t>
  </si>
  <si>
    <t>Ginkgo biloba Autumn Gold Maidenhair Tree 7 gal. Container</t>
  </si>
  <si>
    <t>75978-306</t>
  </si>
  <si>
    <t>Acer shirasawanum Autumn Moon Full Moon Japanese Maple 6 ft. Height Ball and Burlap</t>
  </si>
  <si>
    <t>63259-307</t>
  </si>
  <si>
    <t>Chionanthus virginicus Fringetree 7 ft. Height Ball and Burlap</t>
  </si>
  <si>
    <t>68844-308</t>
  </si>
  <si>
    <t>Magnolia stellata Star Magnolia 8 ft. Height Ball and Burlap</t>
  </si>
  <si>
    <t>VALLEY VIEW NURSERY</t>
  </si>
  <si>
    <t>81770-025</t>
  </si>
  <si>
    <t>Magnolia virginiana Green Shadow Sweetbay Magnolia 2.5 in. Caliper Ball and Burlap</t>
  </si>
  <si>
    <t>62967-316</t>
  </si>
  <si>
    <t>Cedrus deodara Aurea Golden Deodar Cedar 16 ft. Height Ball and Burlap</t>
  </si>
  <si>
    <t>91949-020</t>
  </si>
  <si>
    <t>Malus x domestica Freedom Semi-Dwarf Apple 2 in. Caliper Ball and Burlap</t>
  </si>
  <si>
    <t>80810-305</t>
  </si>
  <si>
    <t>Acer palmatum Ryusen Weeping Japanese Maple 5 ft. Height Ball and Burlap</t>
  </si>
  <si>
    <t>68884-025</t>
  </si>
  <si>
    <t>Malus x Donald Wyman Crabapple 2.5 in. Caliper Ball and Burlap</t>
  </si>
  <si>
    <t>73359-307</t>
  </si>
  <si>
    <t>Thuja occidentalis Elegantissima Arborvitae 7 ft. Height Ball and Burlap</t>
  </si>
  <si>
    <t>60200-025</t>
  </si>
  <si>
    <t>Acer x freemanii Autumn Blaze Freeman Maple 2.5 in. Caliper Ball and Burlap</t>
  </si>
  <si>
    <t>63985-120</t>
  </si>
  <si>
    <t>Cupressocyparis leylandii Leyland Cypress 20 gal. Container</t>
  </si>
  <si>
    <t>71240-025</t>
  </si>
  <si>
    <t>Prunus x yedoensis Akebono Flowering Cherry 2.5 in. Caliper Ball and Burlap</t>
  </si>
  <si>
    <t>76248-305</t>
  </si>
  <si>
    <t>Cedrus atlantica Horstmann Blue Atlas Cedar 5 ft. Height Ball and Burlap</t>
  </si>
  <si>
    <t>ED</t>
  </si>
  <si>
    <t>63699-030</t>
  </si>
  <si>
    <t>Cornus kousa Kousa Dogwood 3 in. Caliper Ball and Burlap</t>
  </si>
  <si>
    <t>63701-310</t>
  </si>
  <si>
    <t>Cornus kousa var. chinensis Chinese Dogwood 10 ft. Height Ball and Burlap</t>
  </si>
  <si>
    <t>85200-307</t>
  </si>
  <si>
    <t>Juniperus x Star Power Juniper 7 ft. Height Ball and Burlap</t>
  </si>
  <si>
    <t>77855-308</t>
  </si>
  <si>
    <t>Ilex x Acadiana Red Holly 8 ft. Height Ball and Burlap</t>
  </si>
  <si>
    <t>93098-115</t>
  </si>
  <si>
    <t>Thuja occidentalis Full Speed A Hedge Thin Man Arborvitae 15 gal. Container</t>
  </si>
  <si>
    <t>87141-025</t>
  </si>
  <si>
    <t>Cornus kousa Scarlet Fire Kousa Dogwood 2.5 in. Caliper Ball and Burlap</t>
  </si>
  <si>
    <t>81387-248</t>
  </si>
  <si>
    <t>Ginkgo biloba Jade Butterfly Garden Debut Maidenhair Tree 48 in. Height Ball and Burlap</t>
  </si>
  <si>
    <t>70778-106</t>
  </si>
  <si>
    <t>Pinus thunbergii Thunderhead Japanese Black Pine 6 gal. Container</t>
  </si>
  <si>
    <t>81432-020</t>
  </si>
  <si>
    <t>Cercis canadensis Ruby Falls Weeping Eastern Redbud 2 in. Caliper Ball and Burlap</t>
  </si>
  <si>
    <t>76578-307</t>
  </si>
  <si>
    <t>Pinus nigra Oregon Green Austrian Pine 7 ft. Height Ball and Burlap</t>
  </si>
  <si>
    <t>70601-105</t>
  </si>
  <si>
    <t>Picea laxa (glauca) White Spruce 5 gal. Container</t>
  </si>
  <si>
    <t>75976-040</t>
  </si>
  <si>
    <t>Acer saccharum Fall Fiesta Sugar Maple 4 in. Caliper Ball and Burlap</t>
  </si>
  <si>
    <t>63687-0175</t>
  </si>
  <si>
    <t>Cornus florida Rubra Dogwood 1.75 in. Caliper Ball and Burlap</t>
  </si>
  <si>
    <t>60310-020</t>
  </si>
  <si>
    <t>Acer rubrum Red Sunset Red Maple 2 in. Caliper Ball and Burlap</t>
  </si>
  <si>
    <t>71454-050</t>
  </si>
  <si>
    <t>Quercus rubra Red Oak 5 in. Caliper Ball and Burlap</t>
  </si>
  <si>
    <t>71242-020</t>
  </si>
  <si>
    <t>Prunus x yedoensis Flowering Yoshino Cherry 2 in. Caliper Ball and Burlap</t>
  </si>
  <si>
    <t>73806-040</t>
  </si>
  <si>
    <t>Ulmus parvifolia Emer II (Allee) Chinese Elm 4 in. Caliper Ball and Burlap</t>
  </si>
  <si>
    <t>62818-030</t>
  </si>
  <si>
    <t>Carpinus caroliniana American Hornbeam 3 in. Caliper Ball and Burlap</t>
  </si>
  <si>
    <t>GARDEN STATE NURSERY LLC</t>
  </si>
  <si>
    <t>63890-020</t>
  </si>
  <si>
    <t>Crataegus viridis Winter King Green Hawthorn 2 in. Caliper Ball and Burlap</t>
  </si>
  <si>
    <t>81433-STD306</t>
  </si>
  <si>
    <t>Ginkgo biloba Troll Maidenhair Tree Tree Form Standard 6 ft. Height Ball and Burlap</t>
  </si>
  <si>
    <t>78982-125</t>
  </si>
  <si>
    <t>Prunus persica Crimson Cascade Weeping Peach 25-30 gal. Container</t>
  </si>
  <si>
    <t>94140-115</t>
  </si>
  <si>
    <t>Acer japonicum Rising Sun Full Moon Japanese Maple 15 gal. Container</t>
  </si>
  <si>
    <t>93638-020</t>
  </si>
  <si>
    <t>Nyssa sylvatica Northern Splendor Black Gum 2 in. Caliper Ball and Burlap</t>
  </si>
  <si>
    <t>81442-306PREM</t>
  </si>
  <si>
    <t>Cornus kousa Summer Fun Dogwood Premium 6 ft. Height Ball and Burlap</t>
  </si>
  <si>
    <t>75942-145-W60IN</t>
  </si>
  <si>
    <t>Acer palmatum subsp. matsumurae Tamukeyama Japanese Laceleaf Maple 60 in. Width 45 gal. Container</t>
  </si>
  <si>
    <t>90900-106</t>
  </si>
  <si>
    <t>Cercidiphyllum japonicum Morioka Weeping Katsura 6 gal. Container</t>
  </si>
  <si>
    <t>96837-305</t>
  </si>
  <si>
    <t>Acer palmatum Mikazuki (Crescent Moon) Japanese Maple 5 ft. Height Ball and Burlap</t>
  </si>
  <si>
    <t>63187-SPEC</t>
  </si>
  <si>
    <t>Chamaecyparis obtusa Nana Aurea Dwarf Golden Hinoki Cypress Specimen . Ball and Burlap</t>
  </si>
  <si>
    <t>95030-020</t>
  </si>
  <si>
    <t>Cornus mas Saffron Sentinel Cornelian Cherry 2 in. Caliper Ball and Burlap</t>
  </si>
  <si>
    <t>84508-101</t>
  </si>
  <si>
    <t>Beaucarnea recurvata Ponytail Palm 1 gal. Container</t>
  </si>
  <si>
    <t>83117-030</t>
  </si>
  <si>
    <t>Acer saccharum Flashfire Sugar Maple 3 in. Caliper Ball and Burlap</t>
  </si>
  <si>
    <t>85621-025</t>
  </si>
  <si>
    <t>Magnolia x brooklynensis Judy Zuk Magnolia 2.5 in. Caliper Ball and Burlap</t>
  </si>
  <si>
    <t>84924-115</t>
  </si>
  <si>
    <t>Pinus strobus Niagara Falls Eastern White Pine 15 gal. Container</t>
  </si>
  <si>
    <t>67262-0012</t>
  </si>
  <si>
    <t>Hyophorbe verschaffeltii Spindle Palm 12 in. Container</t>
  </si>
  <si>
    <t>63705-020</t>
  </si>
  <si>
    <t>Cornus x rutgersensis Stellar Celestial Dogwood 2 in. Caliper Ball and Burlap</t>
  </si>
  <si>
    <t>68835-308</t>
  </si>
  <si>
    <t>Magnolia x soulangeana Saucer Magnolia 8 ft. Height Ball and Burlap</t>
  </si>
  <si>
    <t>74625-105</t>
  </si>
  <si>
    <t>Cupressus sempervirens Glauca Blue Italian Cypress 5 gal. Container</t>
  </si>
  <si>
    <t>60207-MS308</t>
  </si>
  <si>
    <t>Acer griseum Paperbark Maple Tree Form Multi Stem 8 ft. Height Ball and Burlap</t>
  </si>
  <si>
    <t>73041-0175</t>
  </si>
  <si>
    <t>Stewartia pseudocamellia Japanese Stewartia 1.75 in. Caliper Ball and Burlap</t>
  </si>
  <si>
    <t>76915-307</t>
  </si>
  <si>
    <t>Ilex x Centennial Girl Holly 7 ft. Height Ball and Burlap</t>
  </si>
  <si>
    <t>84348-115</t>
  </si>
  <si>
    <t>Pinus heldreichii (leucodermis) Irish Bell Bosnian Pine 15 gal. Container</t>
  </si>
  <si>
    <t>63701-309</t>
  </si>
  <si>
    <t>Cornus kousa var. chinensis Chinese Dogwood 9 ft. Height Ball and Burlap</t>
  </si>
  <si>
    <t>83448-106</t>
  </si>
  <si>
    <t>Pinus densiflora Burke's Red Variegated Japanese Red Pine 6 gal. Container</t>
  </si>
  <si>
    <t>75960-020</t>
  </si>
  <si>
    <t>Acer palmatum Trompenburg Japanese Maple 2 in. Caliper Ball and Burlap</t>
  </si>
  <si>
    <t>68757-030</t>
  </si>
  <si>
    <t>Magnolia x brooklynensis Lois Magnolia 3 in. Caliper Ball and Burlap</t>
  </si>
  <si>
    <t>84346-236</t>
  </si>
  <si>
    <t>Pinus leucodermis Emerald Arrow Bosnian Pine 36 in. Height Ball and Burlap</t>
  </si>
  <si>
    <t>93677-120-1.5IN</t>
  </si>
  <si>
    <t>Malus x Firestorm Honeycrisp Apple 1.5 in. Caliper 20 gal. Container</t>
  </si>
  <si>
    <t>62835-0125</t>
  </si>
  <si>
    <t>Carya ovata Shagbark Hickory 1.25 in. Caliper Ball and Burlap</t>
  </si>
  <si>
    <t>77354-020</t>
  </si>
  <si>
    <t>Taxodium distichum Shawnee Brave Bald Cypress 2 in. Caliper Ball and Burlap</t>
  </si>
  <si>
    <t>Ground Roots LLC</t>
  </si>
  <si>
    <t>71242-030</t>
  </si>
  <si>
    <t>Prunus x yedoensis Flowering Yoshino Cherry 3 in. Caliper Ball and Burlap</t>
  </si>
  <si>
    <t>73086-103</t>
  </si>
  <si>
    <t>Syagrus romanzoffianum Queen Palm 3 gal. Container</t>
  </si>
  <si>
    <t>73520-020</t>
  </si>
  <si>
    <t>Tilia cordata Greenspire Little Leaf Linden 2 in. Caliper Ball and Burlap</t>
  </si>
  <si>
    <t>68884-020</t>
  </si>
  <si>
    <t>Malus x Donald Wyman Crabapple 2 in. Ball and Burlap</t>
  </si>
  <si>
    <t>62171-125</t>
  </si>
  <si>
    <t>Bismarckia nobilis Bismarck Palm 25-30 gal. Container</t>
  </si>
  <si>
    <t>60995-030</t>
  </si>
  <si>
    <t>Amelanchier x lamarckii (grandiflora) Autumn Brilliance Apple Serviceberry 3 in. Caliper Ball and Burlap</t>
  </si>
  <si>
    <t>60994-307</t>
  </si>
  <si>
    <t>Amelanchier canadensis Shadblow Serviceberry 7 ft. Height Ball and Burlap</t>
  </si>
  <si>
    <t>60310-MS310</t>
  </si>
  <si>
    <t>Acer rubrum Red Sunset Red Maple Tree Form Multi Stem 10 ft. Height Ball and Burlap</t>
  </si>
  <si>
    <t>96683-307</t>
  </si>
  <si>
    <t>Abies pinsapo Solton Spanish Fir 7 ft. Height Ball and Burlap</t>
  </si>
  <si>
    <t>75964-115</t>
  </si>
  <si>
    <t>Acer palmatum Arakawa Japanese Maple 15 gal. Container</t>
  </si>
  <si>
    <t>84329-110</t>
  </si>
  <si>
    <t>Picea orientalis Shadows Broom Oriental Spruce 10 gal. Container</t>
  </si>
  <si>
    <t>85320-030</t>
  </si>
  <si>
    <t>Cornus x rutgersensis Hyperion Dogwood 3 in. Caliper Ball and Burlap</t>
  </si>
  <si>
    <t>73039-035</t>
  </si>
  <si>
    <t>Stewartia monadelpha Tall Stewartia 3.5 in. Caliper Ball and Burlap</t>
  </si>
  <si>
    <t>79993-310</t>
  </si>
  <si>
    <t>Cercis hybrid Merlot Redbud 10 ft. Height Ball and Burlap</t>
  </si>
  <si>
    <t>92642-305</t>
  </si>
  <si>
    <t>Pinus cembra Dwarf Blue Glauca Nana Swiss Stone Pine 5 ft. Height Ball and Burlap</t>
  </si>
  <si>
    <t>92642-306</t>
  </si>
  <si>
    <t>Pinus cembra Dwarf Blue Glauca Nana Swiss Stone Pine 6 ft. Height Ball and Burlap</t>
  </si>
  <si>
    <t>96399-115</t>
  </si>
  <si>
    <t>Pinus cembra Westerstede Swiss Stone Pine 15 gal. Container</t>
  </si>
  <si>
    <t>CHAD SOBELLA NURSERY, LLC</t>
  </si>
  <si>
    <t>68757-025</t>
  </si>
  <si>
    <t>Magnolia x brooklynensis Lois Magnolia 2.5 in. Caliper Ball and Burlap</t>
  </si>
  <si>
    <t>67427-307</t>
  </si>
  <si>
    <t>Ilex opaca Satyr Hill American Holly 7 ft. Height Ball and Burlap</t>
  </si>
  <si>
    <t>71240-035</t>
  </si>
  <si>
    <t>Prunus x yedoensis Akebono Flowering Cherry 3.5 in. Caliper Ball and Burlap</t>
  </si>
  <si>
    <t>62133-030</t>
  </si>
  <si>
    <t>Betula nigra Heritage River Birch 3 in. Caliper Ball and Burlap</t>
  </si>
  <si>
    <t>62137-020</t>
  </si>
  <si>
    <t>Betula papyrifera Paper Birch 2 in. Caliper Ball and Burlap</t>
  </si>
  <si>
    <t>63704-030</t>
  </si>
  <si>
    <t>Cornus x rutgersensis Stellar Constellation Dogwood 3 in. Caliper Ball and Burlap</t>
  </si>
  <si>
    <t>77748-020</t>
  </si>
  <si>
    <t>Carpinus betulus Frans Fontaine European Hornbeam 2 in. Caliper Ball and Burlap</t>
  </si>
  <si>
    <t>60269-025</t>
  </si>
  <si>
    <t>Acer palmatum Bloodgood Japanese Maple 2.5 in. Caliper Ball and Burlap</t>
  </si>
  <si>
    <t>60314-040</t>
  </si>
  <si>
    <t>Acer rubrum October Glory Red Maple 4 in. Caliper Ball and Burlap</t>
  </si>
  <si>
    <t>69109-115</t>
  </si>
  <si>
    <t>Metasequoia glyptostroboides Dawn Redwood 15 gal. Container</t>
  </si>
  <si>
    <t>73041-115</t>
  </si>
  <si>
    <t>Stewartia pseudocamellia Japanese Stewartia 15 gal. Container</t>
  </si>
  <si>
    <t>68835-306</t>
  </si>
  <si>
    <t>Magnolia x soulangeana Saucer Magnolia 6 ft. Height Ball and Burlap</t>
  </si>
  <si>
    <t>73513-030</t>
  </si>
  <si>
    <t>Tilia americana Redmond American Linden 3 in. Caliper Ball and Burlap</t>
  </si>
  <si>
    <t>76915-305</t>
  </si>
  <si>
    <t>Ilex x Centennial Girl Holly 5 ft. Height Ball and Burlap</t>
  </si>
  <si>
    <t>74567-110</t>
  </si>
  <si>
    <t>Cercis canadensis Hearts of Gold Eastern Redbud 10 gal. Container</t>
  </si>
  <si>
    <t>79443-115</t>
  </si>
  <si>
    <t>Pinus parviflora Glauca Brevifolia Japanese White Pine 15 gal. Container</t>
  </si>
  <si>
    <t>90408-025</t>
  </si>
  <si>
    <t>Nyssa sylvatica The James Forest Fire Black Tupelo 2.5 in. Caliper Ball and Burlap</t>
  </si>
  <si>
    <t>92004-224</t>
  </si>
  <si>
    <t>Acer japonicum Fairy Lights Full Moon Maple 24 in. Height Ball and Burlap</t>
  </si>
  <si>
    <t>71222-045</t>
  </si>
  <si>
    <t>Prunus serrulata Royal Burgundy Flowering Cherry 4.5 in. Caliper Ball and Burlap</t>
  </si>
  <si>
    <t>68926-020</t>
  </si>
  <si>
    <t>Malus x Coralburst Crabapple 2 in. Ball and Burlap</t>
  </si>
  <si>
    <t>73806-020</t>
  </si>
  <si>
    <t>Ulmus parvifolia Emer II (Allee) Chinese Elm 2 in. Caliper Ball and Burlap</t>
  </si>
  <si>
    <t>67325-115</t>
  </si>
  <si>
    <t>Ilex x Nellie R. Stevens Holly 15 gal. Container</t>
  </si>
  <si>
    <t>63667-020</t>
  </si>
  <si>
    <t>Cornus florida Cherokee Princess Dogwood 2 in. Caliper Ball and Burlap</t>
  </si>
  <si>
    <t>76789-110</t>
  </si>
  <si>
    <t>Pyrus pyrifolia Shinseiki Asian Pear 10 gal. Container</t>
  </si>
  <si>
    <t>73357-307</t>
  </si>
  <si>
    <t>Thuja occidentalis DeGroots Spire American Arborvitae 7 ft. Height Ball and Burlap</t>
  </si>
  <si>
    <t>73695-307</t>
  </si>
  <si>
    <t>Tsuga canadensis Eastern Hemlock 7 ft. Height Ball and Burlap</t>
  </si>
  <si>
    <t>62155-020</t>
  </si>
  <si>
    <t>Betula utilis var. jacquemontii Himalayan Birch 2 in. Caliper Ball and Burlap</t>
  </si>
  <si>
    <t>74322-030</t>
  </si>
  <si>
    <t>Zelkova serrata Green Vase Japanese Zelkova 3 in. Caliper Ball and Burlap</t>
  </si>
  <si>
    <t>75750-305</t>
  </si>
  <si>
    <t>Picea laxa (glauca) Densata Black Hills Spruce 5 ft. Height Ball and Burlap</t>
  </si>
  <si>
    <t>76049-040</t>
  </si>
  <si>
    <t>Fagus sylvatica Purple Fountain Weeping Beech 4 in. Caliper Ball and Burlap</t>
  </si>
  <si>
    <t>67408-310</t>
  </si>
  <si>
    <t>Ilex x aquipernyi Dragon Lady Holly 10 ft. Height Ball and Burlap</t>
  </si>
  <si>
    <t>83101-248</t>
  </si>
  <si>
    <t>Picea abies Gold Drift Norway Spruce 48 in. Height Ball and Burlap</t>
  </si>
  <si>
    <t>82929-020</t>
  </si>
  <si>
    <t>Chionanthus retusus China Snow Chinese Fringe Tree 2 in. Caliper Ball and Burlap</t>
  </si>
  <si>
    <t>82406-040</t>
  </si>
  <si>
    <t>Acer truncatum x platanoides Crimson Sunset Maple 4 in. Caliper Ball and Burlap</t>
  </si>
  <si>
    <t>60260-105</t>
  </si>
  <si>
    <t>Acer palmatum Japanese Maple 5 gal. Container</t>
  </si>
  <si>
    <t>70558-309</t>
  </si>
  <si>
    <t>Picea abies Cupressina Norway Spruce 9 ft. Height Ball and Burlap</t>
  </si>
  <si>
    <t>60520-020</t>
  </si>
  <si>
    <t>Aesculus x carnea Red Horsechestnut 2 in. Caliper Ball and Burlap</t>
  </si>
  <si>
    <t>73086-0014</t>
  </si>
  <si>
    <t>Syagrus romanzoffianum Queen Palm 14 in. Container</t>
  </si>
  <si>
    <t>81378-020</t>
  </si>
  <si>
    <t>Quercus hybrid Kindred Spirit Oak 2 in. Caliper Ball and Burlap</t>
  </si>
  <si>
    <t>80810-030</t>
  </si>
  <si>
    <t>Acer palmatum Ryusen Weeping Japanese Maple 3 in. Caliper Ball and Burlap</t>
  </si>
  <si>
    <t>60337-050</t>
  </si>
  <si>
    <t>Acer saccharum Green Mountain Sugar Maple 5 in. Caliper Ball and Burlap</t>
  </si>
  <si>
    <t>76404-125</t>
  </si>
  <si>
    <t>Prunus subhirtella Pendula Plena Rosea Double Weeping Cherry 25-30 gal. Container</t>
  </si>
  <si>
    <t>80032-307</t>
  </si>
  <si>
    <t>Picea omorika Bruns Serbian Spruce 7 ft. Height Ball and Burlap</t>
  </si>
  <si>
    <t>60314-115</t>
  </si>
  <si>
    <t>Acer rubrum October Glory Red Maple 15 gal. Container</t>
  </si>
  <si>
    <t>60207-020</t>
  </si>
  <si>
    <t>Acer griseum Paperbark Maple 2 in. Caliper Ball and Burlap</t>
  </si>
  <si>
    <t>62133-MS312</t>
  </si>
  <si>
    <t>Betula nigra Heritage River Birch Tree Form Multi Stem 12 ft. Height Ball and Burlap</t>
  </si>
  <si>
    <t>62143-020</t>
  </si>
  <si>
    <t>Betula pendula Youngii Weeping Birch 2 in. Caliper Ball and Burlap</t>
  </si>
  <si>
    <t>70760-308</t>
  </si>
  <si>
    <t>Pinus strobus Pendula Weeping Eastern White Pine 8 ft. Height Ball and Burlap</t>
  </si>
  <si>
    <t>60253-120-8FT</t>
  </si>
  <si>
    <t>Acer palmatum Sangokaku Coral Bark Japanese Maple 8 ft. Height 20 gal. Container</t>
  </si>
  <si>
    <t>75942-125-1.75IN</t>
  </si>
  <si>
    <t>Acer palmatum subsp. matsumurae Tamukeyama Japanese Laceleaf Maple 1.75 in. Caliper 25-30 gal. Container</t>
  </si>
  <si>
    <t>71240-040</t>
  </si>
  <si>
    <t>Prunus x yedoensis Akebono Flowering Cherry 4 in. Caliper Ball and Burlap</t>
  </si>
  <si>
    <t>73397-SC420</t>
  </si>
  <si>
    <t>Thuja occidentalis Emerald Arborvitae Sculptured 20 in. Box</t>
  </si>
  <si>
    <t>73513-020</t>
  </si>
  <si>
    <t>Tilia americana Redmond American Linden 2 in. Caliper Ball and Burlap</t>
  </si>
  <si>
    <t>71242-050</t>
  </si>
  <si>
    <t>Prunus x yedoensis Flowering Yoshino Cherry 5 in. Caliper Ball and Burlap</t>
  </si>
  <si>
    <t>68749-025</t>
  </si>
  <si>
    <t>Magnolia x Galaxy Magnolia 2.5 in. Caliper Ball and Burlap</t>
  </si>
  <si>
    <t>79889-248</t>
  </si>
  <si>
    <t>Acer palmatum Mikawa Yatsubusa Japanese Maple 48 in. Height Ball and Burlap</t>
  </si>
  <si>
    <t>60269-135</t>
  </si>
  <si>
    <t>Acer palmatum Bloodgood Japanese Maple 35 gal. Container</t>
  </si>
  <si>
    <t>60337-115</t>
  </si>
  <si>
    <t>Acer saccharum Green Mountain Sugar Maple 15 gal. Container</t>
  </si>
  <si>
    <t>75944-STDW848</t>
  </si>
  <si>
    <t>Acer palmatum Orangeola Japanese Maple Tree Form Standard 48 in. Width Ball and Burlap</t>
  </si>
  <si>
    <t>62135-MS308</t>
  </si>
  <si>
    <t>Betula nigra River Birch Tree Form Multi Stem 8 ft. Height Ball and Burlap</t>
  </si>
  <si>
    <t>65810-0175</t>
  </si>
  <si>
    <t>Gleditsia triacanthos var. inermis Shademaster Thornless Honeylocust 1.75 in. Caliper Ball and Burlap</t>
  </si>
  <si>
    <t>62133-025</t>
  </si>
  <si>
    <t>Betula nigra Heritage River Birch 2.5 in. Caliper Ball and Burlap</t>
  </si>
  <si>
    <t>71496-0010</t>
  </si>
  <si>
    <t>Ravenea rivularis Majesty Palm 10 in. Container</t>
  </si>
  <si>
    <t>60197-035</t>
  </si>
  <si>
    <t>Acer x freemanii Armstrong Freeman Maple 3.5 in. Caliper Ball and Burlap</t>
  </si>
  <si>
    <t>87141-107</t>
  </si>
  <si>
    <t>Cornus kousa Scarlet Fire Kousa Dogwood 7 gal. Container</t>
  </si>
  <si>
    <t>79219-107</t>
  </si>
  <si>
    <t>Pinus flexilis Domingo Limber Pine 7 gal. Container</t>
  </si>
  <si>
    <t>85621-030</t>
  </si>
  <si>
    <t>Magnolia x brooklynensis Judy Zuk Magnolia 3 in. Caliper Ball and Burlap</t>
  </si>
  <si>
    <t>96471-312</t>
  </si>
  <si>
    <t>Metasequoia glyptostroboides Soul Fire Dawn Redwood 12 ft. Height Ball and Burlap</t>
  </si>
  <si>
    <t>63694-030</t>
  </si>
  <si>
    <t>Cornus kousa National Chinese Dogwood 3 in. Caliper Ball and Burlap</t>
  </si>
  <si>
    <t>75942-125-W54IN</t>
  </si>
  <si>
    <t>Acer palmatum subsp. matsumurae Tamukeyama Japanese Laceleaf Maple 54 in. Width 25-30 gal. Container</t>
  </si>
  <si>
    <t>73041-MS310PREM</t>
  </si>
  <si>
    <t>Stewartia pseudocamellia Japanese Stewartia Tree Form Multi Stem Premium 10 ft. Height Ball and Burlap</t>
  </si>
  <si>
    <t>75942-125-W48IN</t>
  </si>
  <si>
    <t>Acer palmatum subsp. matsumurae Tamukeyama Japanese Laceleaf Maple 48 in. Width 25-30 gal. Container</t>
  </si>
  <si>
    <t>81387-125-48IN</t>
  </si>
  <si>
    <t>Ginkgo biloba Jade Butterfly Garden Debut Maidenhair Tree 25-30 gal. Container</t>
  </si>
  <si>
    <t>87141-020</t>
  </si>
  <si>
    <t>Cornus kousa Scarlet Fire Kousa Dogwood 2 in. Caliper Ball and Burlap</t>
  </si>
  <si>
    <t>71220-050</t>
  </si>
  <si>
    <t>Prunus Kanzan (Kwanzan) Japanese Flowering Cherry 5 in. Caliper Ball and Burlap</t>
  </si>
  <si>
    <t>83448-115</t>
  </si>
  <si>
    <t>Pinus densiflora Burke's Red Variegated Japanese Red Pine 15 gal. Container</t>
  </si>
  <si>
    <t>81419-025</t>
  </si>
  <si>
    <t>Cladrastis kentukea American Yellowwood 2.5 in. Caliper Ball and Burlap</t>
  </si>
  <si>
    <t>NORTHEAST NURSERIES</t>
  </si>
  <si>
    <t>76013-318</t>
  </si>
  <si>
    <t>Thuja Green Giant Arborvitae 18 ft. Height Ball and Burlap</t>
  </si>
  <si>
    <t>63703-030</t>
  </si>
  <si>
    <t>Cornus x rutgersensis Stellar Aurora Dogwood 3 in. Caliper Ball and Burlap</t>
  </si>
  <si>
    <t>61003-025</t>
  </si>
  <si>
    <t>Amelanchier laevis Allegheny Serviceberry 2.5 in. Caliper Ball and Burlap</t>
  </si>
  <si>
    <t>74565-025</t>
  </si>
  <si>
    <t>Cercis canadensis Lavender Twist Weeping Eastern Redbud 2.5 in. Caliper Ball and Burlap</t>
  </si>
  <si>
    <t>72613-306</t>
  </si>
  <si>
    <t>Sciadopitys verticillata Umbrella Pine 6 ft. Height Ball and Burlap</t>
  </si>
  <si>
    <t>73039-025</t>
  </si>
  <si>
    <t>Stewartia monadelpha Tall Stewartia 2.5 in. Caliper Ball and Burlap</t>
  </si>
  <si>
    <t>63699-107</t>
  </si>
  <si>
    <t>Cornus kousa Kousa Dogwood 7 gal. Container</t>
  </si>
  <si>
    <t>71383-050</t>
  </si>
  <si>
    <t>Quercus bicolor Swamp White Oak 5 in. Caliper Ball and Burlap</t>
  </si>
  <si>
    <t>63107-0175</t>
  </si>
  <si>
    <t>Cercis canadensis Eastern Redbud 1.75 in. Caliper Ball and Burlap</t>
  </si>
  <si>
    <t>63704-025</t>
  </si>
  <si>
    <t>Cornus x rutgersensis Stellar Constellation Dogwood 2.5 in. Caliper Ball and Burlap</t>
  </si>
  <si>
    <t>60995-308</t>
  </si>
  <si>
    <t>Amelanchier x lamarckii (grandiflora) Autumn Brilliance Apple Serviceberry 8 ft. Height Ball and Burlap</t>
  </si>
  <si>
    <t>75942-248SPC</t>
  </si>
  <si>
    <t>Acer palmatum subsp. matsumurae Tamukeyama Japanese Laceleaf Maple Specimen 48 in. Width Ball and Burlap</t>
  </si>
  <si>
    <t>90290-248</t>
  </si>
  <si>
    <t>Pinus cembra Chalet Swiss Stone Pine 48 in. Height Ball and Burlap</t>
  </si>
  <si>
    <t>75943-254</t>
  </si>
  <si>
    <t>Acer palmatum subsp. matsumurae Viridis Japanese Laceleaf Maple 54 in. Height Ball and Burlap</t>
  </si>
  <si>
    <t>67943-308</t>
  </si>
  <si>
    <t>Juniperus scopulorum Skyrocket Rocky Mountain Juniper 8 ft. Height Ball and Burlap</t>
  </si>
  <si>
    <t>71454-030</t>
  </si>
  <si>
    <t>Quercus rubra Red Oak 3 in. Caliper Ball and Burlap</t>
  </si>
  <si>
    <t>67408-306</t>
  </si>
  <si>
    <t>Ilex x aquipernyi Dragon Lady Holly 6 ft. Height Ball and Burlap</t>
  </si>
  <si>
    <t>78905-020</t>
  </si>
  <si>
    <t>Styrax japonicus Snowcone Japanese Snowbell 2 in. Caliper Ball and Burlap</t>
  </si>
  <si>
    <t>68780-314</t>
  </si>
  <si>
    <t>Magnolia grandiflora Bracken's Brown Beauty Southern Magnolia 14 ft. Height Ball and Burlap</t>
  </si>
  <si>
    <t>70558-307</t>
  </si>
  <si>
    <t>Picea abies Cupressina Norway Spruce 7 ft. Height Ball and Burlap</t>
  </si>
  <si>
    <t>80521-020</t>
  </si>
  <si>
    <t>Nyssa sylvatica Wildfire Black Tupelo 2 in. Caliper Ball and Burlap</t>
  </si>
  <si>
    <t>62971-316</t>
  </si>
  <si>
    <t>Cedrus deodara Kashmir Deodar Cedar 16 ft. Height Ball and Burlap</t>
  </si>
  <si>
    <t>82915-236</t>
  </si>
  <si>
    <t>Chamaecyparis obtusa Super Compact Hinoki Cypress 36 in. Height Ball and Burlap</t>
  </si>
  <si>
    <t>81903-025</t>
  </si>
  <si>
    <t>Nyssa sylvatica Green Gable Black Tupelo 2.5 in. Caliper Ball and Burlap</t>
  </si>
  <si>
    <t>79414-3TESP120</t>
  </si>
  <si>
    <t>Malus domestica Honeycrisp Semi-Dwarf Apple 3 Tier Espalier 20 gal. Container</t>
  </si>
  <si>
    <t>96472-W830</t>
  </si>
  <si>
    <t>Pinus mugo Nippon Glow Swiss Mountain Pine 30 in. Width Ball and Burlap</t>
  </si>
  <si>
    <t>81676-020PREM</t>
  </si>
  <si>
    <t>Cornus florida Jean's Appalachian Snow Dogwood Premium 2 in. Caliper Ball and Burlap</t>
  </si>
  <si>
    <t>76578-PM248</t>
  </si>
  <si>
    <t>Pinus nigra Oregon Green Austrian Pine Pom Pom 48 in. Height Ball and Burlap</t>
  </si>
  <si>
    <t>79087-020PREM</t>
  </si>
  <si>
    <t>Cornus x Jersey Star Venus Dogwood Premium 2 in. Caliper Ball and Burlap</t>
  </si>
  <si>
    <t>TROP</t>
  </si>
  <si>
    <t>65264-0010</t>
  </si>
  <si>
    <t>Ficus benghalensis Audrey Banyan Tree 10 in. Container</t>
  </si>
  <si>
    <t>69839-0010</t>
  </si>
  <si>
    <t>Pachira aquatica Guiana Chestnut Money Tree 10 in. Container</t>
  </si>
  <si>
    <t>70319-INTDB006</t>
  </si>
  <si>
    <t>Phalaenopsis x Moth Orchid Double Stem Interior Plant 6 in. Container</t>
  </si>
  <si>
    <t>65271-STD0014</t>
  </si>
  <si>
    <t>Ficus binnendijkii Alii Narrow Leaf Fig Tree Form Standard 14 in. Container</t>
  </si>
  <si>
    <t>84511-006</t>
  </si>
  <si>
    <t>Epipremnum aureum Marble Queen Golden Pothos 6 in. Container</t>
  </si>
  <si>
    <t>84475-0010</t>
  </si>
  <si>
    <t>Aglaonema x Chinese Evergreen 10 in. Container</t>
  </si>
  <si>
    <t>96071-0010</t>
  </si>
  <si>
    <t>Dracaena fragrans White Aspen Corn Plant 10 in. Container</t>
  </si>
  <si>
    <t>95985-004</t>
  </si>
  <si>
    <t>Sansevieria francisii Snake Plant 4 in. Container</t>
  </si>
  <si>
    <t>72589-0014</t>
  </si>
  <si>
    <t>Heptapleurum (Schefflera) arboricola Dwarf Umbrella Plant 14 in. Container</t>
  </si>
  <si>
    <t>92170-0010</t>
  </si>
  <si>
    <t>Zamioculcas zamiifolia Raven (Super Nova) ZZ Plant 10 in. Container</t>
  </si>
  <si>
    <t>65281-STD0017</t>
  </si>
  <si>
    <t>Ficus lyrata Fiddle-Leaf Fig Tree Form Standard 17 in. Container</t>
  </si>
  <si>
    <t>64541-125</t>
  </si>
  <si>
    <t>Dracaena reflexa Song of India Dracaena 25-30 gal. Container</t>
  </si>
  <si>
    <t>64540-0010</t>
  </si>
  <si>
    <t>Dracaena marginata Dragon Tree 10 in. Container</t>
  </si>
  <si>
    <t>73060-0010</t>
  </si>
  <si>
    <t>Strelitzia reginae Bird of Paradise 10 in. Container</t>
  </si>
  <si>
    <t>72490-0010</t>
  </si>
  <si>
    <t>Sansevieria trifasciata Snake Plant 10 in. Container</t>
  </si>
  <si>
    <t>64537-0010</t>
  </si>
  <si>
    <t>Dracaena fragrans Limelight Dracaena 10 in. Container</t>
  </si>
  <si>
    <t>69394-101</t>
  </si>
  <si>
    <t>Neoregelia carolinae Blushing Bromeliad 1 gal. Container</t>
  </si>
  <si>
    <t>66055-HB0010</t>
  </si>
  <si>
    <t>Hedera helix English Ivy 10 in. Hanging Basket</t>
  </si>
  <si>
    <t>64771-006</t>
  </si>
  <si>
    <t>Epipremnum aureum Golden Pothos 6 in. Container</t>
  </si>
  <si>
    <t>72589-0010</t>
  </si>
  <si>
    <t>Heptapleurum (Schefflera) arboricola Dwarf Umbrella Plant 10 in. Container</t>
  </si>
  <si>
    <t>74993-HB0010</t>
  </si>
  <si>
    <t>Monstera deliciosa Swiss Cheese Plant 10 in. Hanging Basket</t>
  </si>
  <si>
    <t>64530-0010</t>
  </si>
  <si>
    <t>Dracaena deremensis Compacta Dracaena 10 in. Container</t>
  </si>
  <si>
    <t>91630-HB008</t>
  </si>
  <si>
    <t>Philodendron hederaceum Micans Velvet Leaf Philodendron 8 in. Hanging Basket</t>
  </si>
  <si>
    <t>95887-0010</t>
  </si>
  <si>
    <t>Monstera deliciosa Thai Constellation Swiss Cheese Plant 10 in. Container</t>
  </si>
  <si>
    <t>65270-STD0014</t>
  </si>
  <si>
    <t>Ficus benjamina Weeping Fig Tree Form Standard 14 in. Container</t>
  </si>
  <si>
    <t>84505-006</t>
  </si>
  <si>
    <t>Philodendron cordatum Brazil Philodendron 6 in. Container</t>
  </si>
  <si>
    <t>84626-006</t>
  </si>
  <si>
    <t>Epipremnum aureum Pearls and Jade Pothos 6 in. Container</t>
  </si>
  <si>
    <t>65281-0010</t>
  </si>
  <si>
    <t>Ficus lyrata Fiddle-Leaf Fig 10 in. Container</t>
  </si>
  <si>
    <t>72490-0014</t>
  </si>
  <si>
    <t>Sansevieria trifasciata Snake Plant 14 in. Container</t>
  </si>
  <si>
    <t>79573-101</t>
  </si>
  <si>
    <t>Carex cherokeensis Cherokee Sedge 1 gal. Container</t>
  </si>
  <si>
    <t>67205-107</t>
  </si>
  <si>
    <t>Hydrangea petiolaris Climbing Hydrangea 7 gal. Container</t>
  </si>
  <si>
    <t>76529-STK105</t>
  </si>
  <si>
    <t>Mandevilla x Sun Parasol Crimson Dipladenia Staked 5 gal. Container</t>
  </si>
  <si>
    <t>TOPIARY CREATIONS</t>
  </si>
  <si>
    <t>66052-ESP105</t>
  </si>
  <si>
    <t>Hedera helix Thorndale English Ivy Espalier 5 gal. Container</t>
  </si>
  <si>
    <t>62778-101</t>
  </si>
  <si>
    <t>Carex buchananii Leatherleaf Sedge 1 gal. Container</t>
  </si>
  <si>
    <t>68609-STK102</t>
  </si>
  <si>
    <t>Lonicera heckrottii Goldflame Honeysuckle Staked 2 gal. Container</t>
  </si>
  <si>
    <t>62167-STK105</t>
  </si>
  <si>
    <t>Bignonia capreolata Tangerine Beauty Cross Vine Staked 5 gal. Container</t>
  </si>
  <si>
    <t>76529-STD102</t>
  </si>
  <si>
    <t>Mandevilla x Sun Parasol Crimson Dipladenia Tree Form Standard 2 gal. Container</t>
  </si>
  <si>
    <t>EMERALD FOREST INTERIOR</t>
  </si>
  <si>
    <t>79320-ST105PREM</t>
  </si>
  <si>
    <t>Parthenocissus tricuspidata Veitchii Boston Ivy Staked Premium 5 gal. Container</t>
  </si>
  <si>
    <t>62710-STK101</t>
  </si>
  <si>
    <t>Campsis x tagliabuana Madame Galen Trumpet Vine Staked 1 gal. Container</t>
  </si>
  <si>
    <t>66052-STK105</t>
  </si>
  <si>
    <t>Hedera helix Thorndale English Ivy Staked 5 gal. Container</t>
  </si>
  <si>
    <t>79721-101</t>
  </si>
  <si>
    <t>Calamagrostis arundinacea var. brachytricha Korean Feather Reed Grass 1 gal. Container</t>
  </si>
  <si>
    <t>76428-RCF24</t>
  </si>
  <si>
    <t>Ajuga reptans Mahogany Bugleweed 24 Count Rooted Cutting Flat</t>
  </si>
  <si>
    <t>Juniper Hill Inc</t>
  </si>
  <si>
    <t>75491-STK105</t>
  </si>
  <si>
    <t>Clematis x Rouge Cardinal Clematis Staked 5 gal. Container</t>
  </si>
  <si>
    <t>69012-TRL006</t>
  </si>
  <si>
    <t>Mandevilla splendens Shining Mandevilla Trellis 6 in. Container</t>
  </si>
  <si>
    <t>FLORIDA TROPICALS DIRECT</t>
  </si>
  <si>
    <t>76230-STD110</t>
  </si>
  <si>
    <t>Campsis x tagliabuana Indian Summer Trumpet Vine Tree Form Standard 10 gal. Container</t>
  </si>
  <si>
    <t>86884-STK105PREM</t>
  </si>
  <si>
    <t>Clematis x Vancouver Mystic Gem Clematis Staked Premium 5 gal. Container</t>
  </si>
  <si>
    <t>93155-STK102PREM</t>
  </si>
  <si>
    <t>Mandevilla x Diamantina Coral Orange Sunrise Dipladenia Staked Premium 2 gal. Container</t>
  </si>
  <si>
    <t>SAMUEL I. MINDER NRSY, INC</t>
  </si>
  <si>
    <t>79738-103</t>
  </si>
  <si>
    <t>Nassella tenuissima Mexican Feather Grass 3 gal. Container</t>
  </si>
  <si>
    <t>62707-STK105</t>
  </si>
  <si>
    <t>Campsis radicans Flava Trumpet Vine Staked 5 gal. Container</t>
  </si>
  <si>
    <t>69177-103</t>
  </si>
  <si>
    <t>Miscanthus sinensis Yaku Jima Dwarf Maidengrass 3 gal. Container</t>
  </si>
  <si>
    <t>69910-101</t>
  </si>
  <si>
    <t>Panicum virgatum Rotstrahlbusch Switch Grass 1 gal. Container</t>
  </si>
  <si>
    <t>69911-103</t>
  </si>
  <si>
    <t>Panicum virgatum Shenandoah Switch Grass 3 gal. Container</t>
  </si>
  <si>
    <t>68609-STK101</t>
  </si>
  <si>
    <t>Lonicera heckrottii Goldflame Honeysuckle Staked 1 gal. Container</t>
  </si>
  <si>
    <t>60707-RCF24</t>
  </si>
  <si>
    <t>Ajuga reptans Chocolate Chip Bugleweed 24 Count Rooted Cutting Flat</t>
  </si>
  <si>
    <t>68716-SP4</t>
  </si>
  <si>
    <t>Lysimachia nummularia Creeping Jenny SP4 Container</t>
  </si>
  <si>
    <t>69967-105</t>
  </si>
  <si>
    <t>Parthenocissus quinquefolia Virginia Creeper 5 gal. Container</t>
  </si>
  <si>
    <t>BLUE HERON FARM (NURSERY)</t>
  </si>
  <si>
    <t>69164-107</t>
  </si>
  <si>
    <t>Miscanthus sinensis Gracillimus Maidengrass 7 gal. Container</t>
  </si>
  <si>
    <t>INGLESIDE PLANTATION, INC.</t>
  </si>
  <si>
    <t>76229-STK105</t>
  </si>
  <si>
    <t>Campsis radicans Balboa Sunset Monrovia Trumpet Vine Staked 5 gal. Container</t>
  </si>
  <si>
    <t>60458-101</t>
  </si>
  <si>
    <t>Acorus gramineus Ogon Golden Variegated Sweet Flag 1 gal. Container</t>
  </si>
  <si>
    <t>78203-101</t>
  </si>
  <si>
    <t>Liriope muscari Love Potion No. 13 Emerald Goddess Lilyturf 1 gal. Container</t>
  </si>
  <si>
    <t>LINER SOURCE, INC.</t>
  </si>
  <si>
    <t>62710-STK105</t>
  </si>
  <si>
    <t>Campsis x tagliabuana Madame Galen Trumpet Vine Staked 5 gal. Container</t>
  </si>
  <si>
    <t>91024-105</t>
  </si>
  <si>
    <t>Cortaderia selloana Ivory Feathers Monrovia Dwarf Pampas Grass 5 gal. Container</t>
  </si>
  <si>
    <t>76443-102</t>
  </si>
  <si>
    <t>Bougainvillea x New River Bougainvillea 2 gal. Container</t>
  </si>
  <si>
    <t>77747-STK105</t>
  </si>
  <si>
    <t>Lonicera x Mandarin Honeysuckle Staked 5 gal. Container</t>
  </si>
  <si>
    <t>75471-103</t>
  </si>
  <si>
    <t>Campsis radicans Flamenco Trumpet Vine 3 gal. Container</t>
  </si>
  <si>
    <t>62710-103</t>
  </si>
  <si>
    <t>Campsis x tagliabuana Madame Galen Trumpet Vine 3 gal. Container</t>
  </si>
  <si>
    <t>84810-STK105</t>
  </si>
  <si>
    <t>Clematis Jackmanii Superba Late Large-flowered Clematis Staked 5 gal. Container</t>
  </si>
  <si>
    <t>84810-STK101</t>
  </si>
  <si>
    <t>Clematis Jackmanii Superba Late Large-flowered Clematis Staked 1 gal. Container</t>
  </si>
  <si>
    <t>76529-TRL101</t>
  </si>
  <si>
    <t>Mandevilla x Sun Parasol Crimson Dipladenia Trellis 1 gal. Container</t>
  </si>
  <si>
    <t>82739-STK105</t>
  </si>
  <si>
    <t>Clematis Vancouver Fragrant Star Clematis Staked 5 gal. Container</t>
  </si>
  <si>
    <t>79394-103</t>
  </si>
  <si>
    <t>Lonicera sempervirens Alabama Crimson Trumpet Honeysuckle 3 gal. Container</t>
  </si>
  <si>
    <t>82206-STK102</t>
  </si>
  <si>
    <t>Mandevilla x Sun Parasol Giant Pink Mandevilla Staked 2 gal. Container</t>
  </si>
  <si>
    <t>69909-101</t>
  </si>
  <si>
    <t>Panicum virgatum Prairie Sky Switch Grass 1 gal. Container</t>
  </si>
  <si>
    <t>66052-ESP110</t>
  </si>
  <si>
    <t>Hedera helix Thorndale English Ivy Espalier 10 gal. Container</t>
  </si>
  <si>
    <t>63238-101</t>
  </si>
  <si>
    <t>Chasmanthium latifolium Northern Sea Oats 1 gal. Container</t>
  </si>
  <si>
    <t>64779-101</t>
  </si>
  <si>
    <t>Eragrostis spectabilis Purple Love Grass 1 gal. Container</t>
  </si>
  <si>
    <t>76005-103</t>
  </si>
  <si>
    <t>Miscanthus sinensis Little Zebra Maidengrass 3 gal. Container</t>
  </si>
  <si>
    <t>69969-103</t>
  </si>
  <si>
    <t>Parthenocissus tricuspidata Boston Ivy 3 gal. Container</t>
  </si>
  <si>
    <t>72290-SP4</t>
  </si>
  <si>
    <t>Sagina subulata Aurea Scotch Moss SP4 Container</t>
  </si>
  <si>
    <t>63459-101</t>
  </si>
  <si>
    <t>Clematis terniflora Sweet Autumn Clematis 1 gal. Container</t>
  </si>
  <si>
    <t>69160-105</t>
  </si>
  <si>
    <t>Miscanthus sinensis var. condensatus Cabaret Maidengrass 5 gal. Container</t>
  </si>
  <si>
    <t>70076-103</t>
  </si>
  <si>
    <t>Cenchrus (Pennisetum) orientale Karley Rose Oriental Fountain Grass 3 gal. Container</t>
  </si>
  <si>
    <t>76229-STK102</t>
  </si>
  <si>
    <t>Campsis radicans Balboa Sunset Monrovia Trumpet Vine Staked True 2 gal. (7.57 L) Container</t>
  </si>
  <si>
    <t>68630-101</t>
  </si>
  <si>
    <t>Lonicera sempervirens Trumpet Honeysuckle 1 gal. Container</t>
  </si>
  <si>
    <t>65510-101</t>
  </si>
  <si>
    <t>Galium odoratum Sweet Woodruff 1 gal. Container</t>
  </si>
  <si>
    <t>74247-STK020</t>
  </si>
  <si>
    <t>Wisteria floribunda Japanese Wisteria Staked 2 in. Caliper Ball and Burlap</t>
  </si>
  <si>
    <t>80764-STK105PREM</t>
  </si>
  <si>
    <t>Clematis Vancouver Starry Nights Clematis Staked Premium 5 gal. Container</t>
  </si>
  <si>
    <t>Gabrielsen Farms</t>
  </si>
  <si>
    <t>62707-STK101</t>
  </si>
  <si>
    <t>Campsis radicans Flava Trumpet Vine Staked 1 gal. Container</t>
  </si>
  <si>
    <t>69012-HP006</t>
  </si>
  <si>
    <t>Mandevilla splendens Shining Mandevilla Hoop 6 in. Container</t>
  </si>
  <si>
    <t>79436-2401</t>
  </si>
  <si>
    <t>Ajuga reptans Black Scallop Bugleweed 24 Count Flat</t>
  </si>
  <si>
    <t>68630-103</t>
  </si>
  <si>
    <t>Lonicera sempervirens Trumpet Honeysuckle 3 gal. Container</t>
  </si>
  <si>
    <t>78194-SP4</t>
  </si>
  <si>
    <t>Isotoma fluviatilis Blue Star Creeper SP4 Container</t>
  </si>
  <si>
    <t>79296-101</t>
  </si>
  <si>
    <t>Hakonechloa macra All Gold Japanese Forest Grass 1 gal. Container</t>
  </si>
  <si>
    <t>68609-STK105</t>
  </si>
  <si>
    <t>Lonicera heckrottii Goldflame Honeysuckle Staked 5 gal. Container</t>
  </si>
  <si>
    <t>62204-ESP105</t>
  </si>
  <si>
    <t>Bougainvillea x buttiana Barbara Karst Bougainvillea Espalier 5 gal. Container</t>
  </si>
  <si>
    <t>63459-105</t>
  </si>
  <si>
    <t>Clematis terniflora Sweet Autumn Clematis 5 gal. Container</t>
  </si>
  <si>
    <t>Charles Spitzner Nursery</t>
  </si>
  <si>
    <t>69175-103</t>
  </si>
  <si>
    <t>Miscanthus sinensis Strictus Maidengrass 3 gal. Container</t>
  </si>
  <si>
    <t>84722-103</t>
  </si>
  <si>
    <t>Miscanthus sinensis Mystal Little Miss Maidengrass 3 gal. Container</t>
  </si>
  <si>
    <t>77669-SP4</t>
  </si>
  <si>
    <t>Bouteloua curtipendula Sideoats Grama SP4 Container</t>
  </si>
  <si>
    <t>77690-101</t>
  </si>
  <si>
    <t>Panicum virgatum Northwind Switch Grass 1 gal. Container</t>
  </si>
  <si>
    <t>69669-SP4</t>
  </si>
  <si>
    <t>Ophiopogon japonicus Nana Dwarf Mondo Grass SP4 Container</t>
  </si>
  <si>
    <t>63412-STK102PREM</t>
  </si>
  <si>
    <t>Clematis x Pink Champagne Clematis Staked Premium 2 gal. Container</t>
  </si>
  <si>
    <t>66226-101</t>
  </si>
  <si>
    <t>Helictotrichon sempervirens Blue Oat Grass 1 gal. Container</t>
  </si>
  <si>
    <t>62707-103</t>
  </si>
  <si>
    <t>Campsis radicans Flava Trumpet Vine 3 gal. Container</t>
  </si>
  <si>
    <t>72407-SP5</t>
  </si>
  <si>
    <t>Salvia officinalis Purpurascens Sage SP5 Container</t>
  </si>
  <si>
    <t>LUCAS GREENHOUSES</t>
  </si>
  <si>
    <t>61074-101</t>
  </si>
  <si>
    <t>Anemone x hybrida September Charm Japanese Anemone 1 gal. Container</t>
  </si>
  <si>
    <t>64891-101</t>
  </si>
  <si>
    <t>Eryngium yuccifolium Rattlesnake-Master 1 gal. Container</t>
  </si>
  <si>
    <t>61794-101</t>
  </si>
  <si>
    <t>Astilbe japonica Peach Blossom Astilbe 1 gal. Container</t>
  </si>
  <si>
    <t>73880-101</t>
  </si>
  <si>
    <t>Verbena canadensis Homestead Purple Rose Vervain 1 gal. Container</t>
  </si>
  <si>
    <t>60558-102</t>
  </si>
  <si>
    <t>Agastache x Blue Fortune Hyssop 2 gal. Container</t>
  </si>
  <si>
    <t>67768-SP4</t>
  </si>
  <si>
    <t>Iris versicolor Blue Flag Iris SP4 Container</t>
  </si>
  <si>
    <t>86093-102</t>
  </si>
  <si>
    <t>Hibiscus x Summerific Berry Awesome Proven Winners Rose Mallow 2 gal. Container</t>
  </si>
  <si>
    <t>95106-101</t>
  </si>
  <si>
    <t>Kniphofia uvaria Glowstick Red-hot Poker 1 gal. Container</t>
  </si>
  <si>
    <t>61732-102</t>
  </si>
  <si>
    <t>Astilbe x arendsii Bridal Veil Astilbe 2 gal. Container</t>
  </si>
  <si>
    <t>64417-101</t>
  </si>
  <si>
    <t>Dicentra spectabilis Alba Bleeding Heart 1 gal. Container</t>
  </si>
  <si>
    <t>67064-102</t>
  </si>
  <si>
    <t>Hosta sieboldiana Frances Williams Plantain Lily 2 gal. Container</t>
  </si>
  <si>
    <t>66460-102</t>
  </si>
  <si>
    <t>Hemerocallis x Pardon Me Daylily 2 gal. Container</t>
  </si>
  <si>
    <t>67046-101</t>
  </si>
  <si>
    <t>Hosta fortunei Aureomarginata Gold-Edged Plantain Lily 1 gal. Container</t>
  </si>
  <si>
    <t>82646-PF4</t>
  </si>
  <si>
    <t>Echinacea x Double Scoop Raspberry Proven Winners Coneflower True 1 gal. (3.79 L) Container</t>
  </si>
  <si>
    <t>84900-101</t>
  </si>
  <si>
    <t>Astilbe chinense Spotlight Chinese Astilbe 1 gal. Container</t>
  </si>
  <si>
    <t>85679-101</t>
  </si>
  <si>
    <t>Echinacea x Sombrero Lemon Yellow Coneflower 1 gal. Container</t>
  </si>
  <si>
    <t>87661-102</t>
  </si>
  <si>
    <t>Iris ensata Crystal Halo Japanese Iris 2 gal. Container</t>
  </si>
  <si>
    <t>82981-1001</t>
  </si>
  <si>
    <t>Impatiens x hybrida SunPatiens Series New Guinea Impatiens 10 Count Flat</t>
  </si>
  <si>
    <t>Gabrielsen Florist</t>
  </si>
  <si>
    <t>93407-101</t>
  </si>
  <si>
    <t>Hylotelephium (Sedum) cauticola Blueberry Pie Stonecrop 1 gal. Container</t>
  </si>
  <si>
    <t>86047-101</t>
  </si>
  <si>
    <t>Crocosmia x Orange Pekoe Montbretia 1 gal. Container</t>
  </si>
  <si>
    <t>95946-101</t>
  </si>
  <si>
    <t>Echinacea x hybrida Sombrero Poco White Coneflower 1 gal. Container</t>
  </si>
  <si>
    <t>64327-SP4</t>
  </si>
  <si>
    <t>Dianthus caryophyllus Carnation SP4 Container</t>
  </si>
  <si>
    <t>66554-101</t>
  </si>
  <si>
    <t>Hemerocallis x Strawberry Candy Daylily 1 gal. Container</t>
  </si>
  <si>
    <t>67252-101</t>
  </si>
  <si>
    <t>Hylotelephium (Sedum) spectabile Neon Stonecrop 1 gal. Container</t>
  </si>
  <si>
    <t>89884-101PREM</t>
  </si>
  <si>
    <t>Helianthus annuus Sunbelievable Brown Eyed Girl Sunflower Premium 1 gal. Container</t>
  </si>
  <si>
    <t>80000-0010</t>
  </si>
  <si>
    <t>Color Bowl 10 in. Container</t>
  </si>
  <si>
    <t>66904-101</t>
  </si>
  <si>
    <t>Hosta Fragrant Bouquet Plantain Lily 1 gal. Container</t>
  </si>
  <si>
    <t>65091-SP4</t>
  </si>
  <si>
    <t>Euphorbia amygdaloides Purpurea Wood Spurge SP4 Container</t>
  </si>
  <si>
    <t>67049-SP4</t>
  </si>
  <si>
    <t>Hosta Patriot Plantain Lily SP4 Container</t>
  </si>
  <si>
    <t>72390-102</t>
  </si>
  <si>
    <t>Salvia x sylvestris Blue Hill Wood Sage 2 gal. Container</t>
  </si>
  <si>
    <t>77183-102</t>
  </si>
  <si>
    <t>Paeonia lactiflora Festiva Maxima Peony 2 gal. Container</t>
  </si>
  <si>
    <t>62308-101</t>
  </si>
  <si>
    <t>Brunnera macrophylla Jack Frost Siberian Bugloss 1 gal. Container</t>
  </si>
  <si>
    <t>77384-102</t>
  </si>
  <si>
    <t>Hemerocallis x Rosy Returns Daylily 2 gal. Container</t>
  </si>
  <si>
    <t>76501-101</t>
  </si>
  <si>
    <t>Euphorbia amygdaloides var. robbiae var. Robbiae Wood Spurge 1 gal. Container</t>
  </si>
  <si>
    <t>81733-101</t>
  </si>
  <si>
    <t>Eutrochium (Eupatorium) dubium Baby Joe Coastal Plain Joe-Pye Weed 1 gal. Container</t>
  </si>
  <si>
    <t>82236-101</t>
  </si>
  <si>
    <t>Gaillardia aristata Arizona Red Shades Blanket Flower 1 gal. Container</t>
  </si>
  <si>
    <t>71480-SP4</t>
  </si>
  <si>
    <t>Ranunculus asiaticus Persian Buttercup SP4 Container</t>
  </si>
  <si>
    <t>73448-SP4</t>
  </si>
  <si>
    <t>Thymus x citriodorus Doone Valley Lemon Thyme SP4 Container</t>
  </si>
  <si>
    <t>68226-SP4</t>
  </si>
  <si>
    <t>Lantana camara Lantana SP4 Container</t>
  </si>
  <si>
    <t>72241-102</t>
  </si>
  <si>
    <t>Rudbeckia hirta Black-Eyed Susan 2 gal. Container</t>
  </si>
  <si>
    <t>65547-SP5</t>
  </si>
  <si>
    <t>Oenothera (Gaura) lindheimeri Whirling Butterflies Gaura SP5 Container</t>
  </si>
  <si>
    <t>68269-SP5</t>
  </si>
  <si>
    <t>Lavandula angustifolia Lavender SP5 Container</t>
  </si>
  <si>
    <t>64417-102</t>
  </si>
  <si>
    <t>Dicentra spectabilis Alba Bleeding Heart 2 gal. Container</t>
  </si>
  <si>
    <t>63634-101</t>
  </si>
  <si>
    <t>Coreopsis rosea American Dream Tickseed 1 gal. Container</t>
  </si>
  <si>
    <t>61681-101</t>
  </si>
  <si>
    <t>Aster novi-belgii Alert Aster 1 gal. Container</t>
  </si>
  <si>
    <t>63643-102</t>
  </si>
  <si>
    <t>Anacis (Coreopsis) verticillata Moonbeam Threadleaf Tickseed 2 gal. Container</t>
  </si>
  <si>
    <t>61810-101</t>
  </si>
  <si>
    <t>Astilbe simplicifolia Sprite Astilbe 1 gal. Container</t>
  </si>
  <si>
    <t>LOEN NURSERY</t>
  </si>
  <si>
    <t>66304-101</t>
  </si>
  <si>
    <t>Hemerocallis x Black Eyed Stella Daylily 1 gal. Container</t>
  </si>
  <si>
    <t>65076-101</t>
  </si>
  <si>
    <t>Eutrochium (Eupatorium) dubium Little Joe Coastal Plain Joe-Pye Weed 1 gal. Container</t>
  </si>
  <si>
    <t>64309-101</t>
  </si>
  <si>
    <t>Dianthus x allwoodii Frosty Fire Pinks 1 gal. Container</t>
  </si>
  <si>
    <t>67040-101</t>
  </si>
  <si>
    <t>Hosta Undulata Albomarginata Plantain Lily 1 gal. Container</t>
  </si>
  <si>
    <t>77186-102</t>
  </si>
  <si>
    <t>Paeonia lactiflora Karl Rosenfield Peony 2 gal. Container</t>
  </si>
  <si>
    <t>73598-SP5</t>
  </si>
  <si>
    <t>Tradescantia pallida Purple Heart Purple Spiderwort SP5 Container</t>
  </si>
  <si>
    <t>82236-SP4</t>
  </si>
  <si>
    <t>Gaillardia aristata Arizona Red Shades Blanket Flower SP4 Container</t>
  </si>
  <si>
    <t>84922-101</t>
  </si>
  <si>
    <t>Verbena bonariensis Lollipop Vervain 1 gal. Container</t>
  </si>
  <si>
    <t>86243-101</t>
  </si>
  <si>
    <t>Salvia (Perovskia) yangii (atriplicifolia) CrazyBlue Russian Sage 1 gal. Container</t>
  </si>
  <si>
    <t>90521-101</t>
  </si>
  <si>
    <t>Oenothera (Gaura) lindheimeri Steffi Blush Pink White Gaura 1 gal. Container</t>
  </si>
  <si>
    <t>91447-102</t>
  </si>
  <si>
    <t>Hemerocallis x Happy Ever Appster Red Hot Returns Daylily 2 gal. Container</t>
  </si>
  <si>
    <t>94599-PF4</t>
  </si>
  <si>
    <t>Hosta x Shadowland Above the Clouds Proven Winners Plantain Lily True 1 gal. (3.79 L) Container</t>
  </si>
  <si>
    <t>64420-102</t>
  </si>
  <si>
    <t>Dicentra spectabilis Bleeding Heart 2 gal. Container</t>
  </si>
  <si>
    <t>68578-SP4</t>
  </si>
  <si>
    <t>Lobelia laxiflora Cardinal Flower SP4 Container</t>
  </si>
  <si>
    <t>67644-101</t>
  </si>
  <si>
    <t>Iris ensata (kaempferi) Variegata Variegated Japanese Water Iris 1 gal. Container</t>
  </si>
  <si>
    <t>61581-SP3</t>
  </si>
  <si>
    <t>Asarum canadense Wild Ginger SP3 Container</t>
  </si>
  <si>
    <t>79505-102</t>
  </si>
  <si>
    <t>Digitalis purpurea Camelot Rose Foxglove 2 gal. Container</t>
  </si>
  <si>
    <t>82187-102</t>
  </si>
  <si>
    <t>Nepeta x faassenii Junior Walker Catmint 2 gal. Container</t>
  </si>
  <si>
    <t>82621-006</t>
  </si>
  <si>
    <t>Nephrolepis obliterata Kimberley Queen Australian Sword Fern 6 in. Container</t>
  </si>
  <si>
    <t>72400-102</t>
  </si>
  <si>
    <t>Salvia x sylvestris Snow Hill Wood Sage 2 gal. Container</t>
  </si>
  <si>
    <t>68194-101</t>
  </si>
  <si>
    <t>Lamium maculatum White Nancy Deadnettle 1 gal. Container</t>
  </si>
  <si>
    <t>70157-102</t>
  </si>
  <si>
    <t>Salvia (Perovskia) yangii (atriplicifolia) Russian Sage 2 gal. Container</t>
  </si>
  <si>
    <t>95396-PF4</t>
  </si>
  <si>
    <t>Agastache x Pink Pearl Anise Hyssop True 1 gal. Container</t>
  </si>
  <si>
    <t>85255-PF4</t>
  </si>
  <si>
    <t>Lavandula angustifolia SuperBlue English Lavender True 1 gal. (3.79 L) Container</t>
  </si>
  <si>
    <t>66942-101</t>
  </si>
  <si>
    <t>Hosta Krossa Regal Plantain Lily 1 gal. Container</t>
  </si>
  <si>
    <t>77384-101</t>
  </si>
  <si>
    <t>Hemerocallis x Rosy Returns Daylily 1 gal. Container</t>
  </si>
  <si>
    <t>76943-101</t>
  </si>
  <si>
    <t>Anemone x hybrida Whirlwind Japanese Anemone 1 gal. Container</t>
  </si>
  <si>
    <t>67768-102</t>
  </si>
  <si>
    <t>Iris versicolor Blue Flag Iris 2 gal. Container</t>
  </si>
  <si>
    <t>64746-101</t>
  </si>
  <si>
    <t>Epimedium x Rubrum Red Barrenwort 1 gal. Container</t>
  </si>
  <si>
    <t>65568-SP4</t>
  </si>
  <si>
    <t>Gazania rigens Daybreak Bright Orange Treasure Flower SP4 Container</t>
  </si>
  <si>
    <t>68418-102</t>
  </si>
  <si>
    <t>Ligularia dentata Othello Leopard Plant 2 gal. Container</t>
  </si>
  <si>
    <t>84622-101</t>
  </si>
  <si>
    <t>Penstemon barbatus Rock Candy Blue Beardtongue 1 gal. Container</t>
  </si>
  <si>
    <t>61780-102</t>
  </si>
  <si>
    <t>Astilbe chinensis Purple Candles Chinese Astilbe 2 gal. Container</t>
  </si>
  <si>
    <t>85662-101</t>
  </si>
  <si>
    <t>Achillea millefolium New Vintage Violet Yarrow 1 gal. Container</t>
  </si>
  <si>
    <t>69032-105</t>
  </si>
  <si>
    <t>Onoclea (Matteuccia) struthiopteris Ostrich Fern 5 gal. Container</t>
  </si>
  <si>
    <t>61581-101</t>
  </si>
  <si>
    <t>Asarum canadense Wild Ginger 1 gal. Container</t>
  </si>
  <si>
    <t>69192-101</t>
  </si>
  <si>
    <t>Monarda Raspberry Wine Bee Balm 1 gal. Container</t>
  </si>
  <si>
    <t>64575-101</t>
  </si>
  <si>
    <t>Dryopteris filix-mas Male Fern 1 gal. Container</t>
  </si>
  <si>
    <t>67310-101</t>
  </si>
  <si>
    <t>Iberis sempervirens Purity Candytuft 1 gal. Container</t>
  </si>
  <si>
    <t>69410-SP4</t>
  </si>
  <si>
    <t>Nepeta x faassenii Walker's Low Catmint SP4 Container</t>
  </si>
  <si>
    <t>66867-102</t>
  </si>
  <si>
    <t>Hosta Big Daddy Plantain Lily 2 gal. Container</t>
  </si>
  <si>
    <t>66460-101</t>
  </si>
  <si>
    <t>Hemerocallis x Pardon Me Daylily 1 gal. Container</t>
  </si>
  <si>
    <t>62187-101</t>
  </si>
  <si>
    <t>Boltonia asteroides var. latisquama Snowbank False Aster 1 gal. Container</t>
  </si>
  <si>
    <t>85664-SP4</t>
  </si>
  <si>
    <t>Agastache rugosa Little Adder Hyssop SP4 Container</t>
  </si>
  <si>
    <t>97153-101</t>
  </si>
  <si>
    <t>Alstroemeria x hybrid Summer Heat Peruvian Lily 1 gal. Container</t>
  </si>
  <si>
    <t>95120-SP4</t>
  </si>
  <si>
    <t>Browallia americana Jamaican Forget-Me-Not SP4 Container</t>
  </si>
  <si>
    <t>72624-101</t>
  </si>
  <si>
    <t>Hylotelephium (Sedum) spectabile Autumn Fire Stonecrop 1 gal. Container</t>
  </si>
  <si>
    <t>77179-102</t>
  </si>
  <si>
    <t>Paeonia lactiflora Duchesse de Nemours Peony 2 gal. Container</t>
  </si>
  <si>
    <t>62313-101</t>
  </si>
  <si>
    <t>Brunnera macrophylla Siberian Bugloss 1 gal. Container</t>
  </si>
  <si>
    <t>64661-101</t>
  </si>
  <si>
    <t>Echinops sphaerocephalus Arctic Glow Great Globe Thistle 1 gal. Container</t>
  </si>
  <si>
    <t>GLOVER PERENNIALS</t>
  </si>
  <si>
    <t>70452-101</t>
  </si>
  <si>
    <t>Phlox stolonifera Creeping Phlox 1 gal. Container</t>
  </si>
  <si>
    <t>84940-101</t>
  </si>
  <si>
    <t>Nepeta faassenii Purrsian Blue Catmint 1 gal. Container</t>
  </si>
  <si>
    <t>69405-102</t>
  </si>
  <si>
    <t>Nepeta racemosa Blue Wonder Catmint 2 gal. Container</t>
  </si>
  <si>
    <t>86420-101</t>
  </si>
  <si>
    <t>Lavandula angustifolia Big Time Blue English Lavender 1 gal. Container</t>
  </si>
  <si>
    <t>86435-101</t>
  </si>
  <si>
    <t>Anemone x hybrida Fantasy Red Riding Hood Japanese Anemone 1 gal. Container</t>
  </si>
  <si>
    <t>90143-101</t>
  </si>
  <si>
    <t>Echinacea x Sombrero Tres Amigos Coneflower 1 gal. Container</t>
  </si>
  <si>
    <t>90522-101</t>
  </si>
  <si>
    <t>Oenothera (Gaura) lindheimeri Steffi Dark Rose Gaura 1 gal. Container</t>
  </si>
  <si>
    <t>74497-101</t>
  </si>
  <si>
    <t>Symphyotrichum (Aster) cordifolium Blue Wood Aster 1 gal. Container</t>
  </si>
  <si>
    <t>93715-101</t>
  </si>
  <si>
    <t>Allium x Bubble Bath Ornamental Onion 1 gal. Container</t>
  </si>
  <si>
    <t>93297-101</t>
  </si>
  <si>
    <t>Veronica longifolia Skyward Pink Speedwell 1 gal. Container</t>
  </si>
  <si>
    <t>95147-103PFO</t>
  </si>
  <si>
    <t>Hydrangea paniculata Sweet Starlight Portfolio Panicle Hydrangea 3 gal. Container</t>
  </si>
  <si>
    <t>77623-TRL105PFO</t>
  </si>
  <si>
    <t>Vitis vinifera Thompson Portfolio Seedless Grape Trellis 5 gal. Container</t>
  </si>
  <si>
    <t>95792-STD105PFO</t>
  </si>
  <si>
    <t>Persea americana Fantastic Portfolio Avocado Tree Form Standard 5 gal. Container</t>
  </si>
  <si>
    <t>90872-115PFO</t>
  </si>
  <si>
    <t>Lagerstroemia x Thunderstruck Lavender Skies Portfolio Crape Myrtle 15 gal. Container</t>
  </si>
  <si>
    <t>SIMPSON NURSERIES</t>
  </si>
  <si>
    <t>94476-PF4PFO</t>
  </si>
  <si>
    <t>Coleus scutellarioides Kong Lime Sprite Portfolio Coleus True 1 gal. Container</t>
  </si>
  <si>
    <t>95006-0016DECPFO</t>
  </si>
  <si>
    <t>Patio Palette Black Candy Cascade Portfolio Annual Flower Combination 16 in. Decorative Container</t>
  </si>
  <si>
    <t>90962-PF4PFO</t>
  </si>
  <si>
    <t>Achillea millefolium New Vintage Rose Portfolio Yarrow True 1 gal. Container</t>
  </si>
  <si>
    <t>84810-STK105PFO</t>
  </si>
  <si>
    <t>Clematis Jackmanii Superba Portfolio Late Large-Flowered Clematis Staked 5 gal. Container</t>
  </si>
  <si>
    <t>66052-TRL105PFO</t>
  </si>
  <si>
    <t>Hedera helix Thorndale Portfolio English Ivy Trellis 5 gal. Container</t>
  </si>
  <si>
    <t>65068-ESP105</t>
  </si>
  <si>
    <t>Euonymus japonicus Silver King Japanese Euonymus Espalier 5 gal. Container</t>
  </si>
  <si>
    <t>67837-SP105</t>
  </si>
  <si>
    <t>Juniperus chinensis Mint Julep Monrovia Chinese Juniper Spiral 5 gal. Container</t>
  </si>
  <si>
    <t>62617-105</t>
  </si>
  <si>
    <t>Camellia japonica Kramer's Supreme Camellia 5 gal. Container</t>
  </si>
  <si>
    <t>67850-101</t>
  </si>
  <si>
    <t>Juniperus x pfitzeriana Sea Green Juniper 1 gal. Container</t>
  </si>
  <si>
    <t>64147-107</t>
  </si>
  <si>
    <t>Daphne x burkwoodii Carol Mackie Winter Daphne 7 gal. Container</t>
  </si>
  <si>
    <t>65065-103</t>
  </si>
  <si>
    <t>Euonymus japonicus Aureomarginatus Japanese Euonymus 3 gal. Container</t>
  </si>
  <si>
    <t>70596-SP115</t>
  </si>
  <si>
    <t>Picea laxa (glauca) Conica Dwarf Alberta White Spruce Spiral 15 gal. Container</t>
  </si>
  <si>
    <t>73273-224</t>
  </si>
  <si>
    <t>Taxus x media Hicksii Anglojap Yew 24 in. Height Ball and Burlap</t>
  </si>
  <si>
    <t>73371-103</t>
  </si>
  <si>
    <t>Thuja occidentalis Hetz Midget American Arborvitae 3 gal. Container</t>
  </si>
  <si>
    <t>JOHNSON FARMS, INC.</t>
  </si>
  <si>
    <t>73246-236</t>
  </si>
  <si>
    <t>Taxus baccata Stricta Fastigiata English Yew 36 in. Height Ball and Burlap</t>
  </si>
  <si>
    <t>74055-103</t>
  </si>
  <si>
    <t>Viburnum plicatum f. plicatum Popcorn Doublefile Viburnum 3 gal. Container</t>
  </si>
  <si>
    <t>77480-102</t>
  </si>
  <si>
    <t>Euonymus fortunei Moonshadow Wintercreeper 2 gal. Container</t>
  </si>
  <si>
    <t>78680-105</t>
  </si>
  <si>
    <t>Rosa x Golden Showers Climbing Rose 5 gal. Container</t>
  </si>
  <si>
    <t>PLEASANT RUN NURSERY</t>
  </si>
  <si>
    <t>62415-242</t>
  </si>
  <si>
    <t>Buxus sempervirens Fastigiata Boxwood 42 in. Height Ball and Burlap</t>
  </si>
  <si>
    <t>66597-110</t>
  </si>
  <si>
    <t>Heptacodium miconioides Seven Son Flower 10 gal. Container</t>
  </si>
  <si>
    <t>90549-102</t>
  </si>
  <si>
    <t>Lagerstroemia indica Bellini Raspberry Crape Myrtle 2 gal. Container</t>
  </si>
  <si>
    <t>71192-115</t>
  </si>
  <si>
    <t>Prunus laurocerasus Otto Luyken English Laurel 15 gal. Container</t>
  </si>
  <si>
    <t>65070-105</t>
  </si>
  <si>
    <t>Euonymus kiautschovicus Manhattan Spreading Euonymus 5 gal. Container</t>
  </si>
  <si>
    <t>71997-102</t>
  </si>
  <si>
    <t>Rosa floribunda Iceberg White Shrub Rose 2 gal. Container</t>
  </si>
  <si>
    <t>78606-105</t>
  </si>
  <si>
    <t>Pyracantha coccinea Lowboy Scarlet Firethorn 5 gal. Container</t>
  </si>
  <si>
    <t>89640-STD105PREM</t>
  </si>
  <si>
    <t>Rosa x Grace N' Grit Pink Bicolor Shrub Rose Tree Form Standard Premium 5 gal. Container</t>
  </si>
  <si>
    <t>85963-102</t>
  </si>
  <si>
    <t>Rubus occidentalis Black Raspberry 2 gal. Container</t>
  </si>
  <si>
    <t>67163-110</t>
  </si>
  <si>
    <t>Hydrangea macrophylla Nikko Blue Big Leaf Hydrangea 10 gal. Container</t>
  </si>
  <si>
    <t>68752-308</t>
  </si>
  <si>
    <t>Magnolia hybrid Little Girl Jane Magnolia 8 ft. Height Ball and Burlap</t>
  </si>
  <si>
    <t>ROBERT M. GRAGG &amp; SONS NURSERY</t>
  </si>
  <si>
    <t>78578-105</t>
  </si>
  <si>
    <t>Pinus strobus Blue Shag Eastern White Pine 5 gal. Container</t>
  </si>
  <si>
    <t>67837-2T102</t>
  </si>
  <si>
    <t>Juniperus chinensis Mint Julep Monrovia Chinese Juniper 2 Tier Poodle True 2 gal. (7.57 L) Container</t>
  </si>
  <si>
    <t>91715-103</t>
  </si>
  <si>
    <t>Philadelphus coronarius Illuminati Tower Proven Winners Mock Orange 3 gal. Container</t>
  </si>
  <si>
    <t>77858-115</t>
  </si>
  <si>
    <t>Ilex x Red Beauty Holly 15 gal. Container</t>
  </si>
  <si>
    <t>95537-107</t>
  </si>
  <si>
    <t>Prunus laurocerasus Napoleon Bloomables English Laurel 7 gal. Container</t>
  </si>
  <si>
    <t>A&amp;R SPADA FARMS, LLC</t>
  </si>
  <si>
    <t>82863-307</t>
  </si>
  <si>
    <t>Lagerstroemia indica Moonlight Magic First Editions Crape Myrtle 7 ft. Height Ball and Burlap</t>
  </si>
  <si>
    <t>WESCOAT NURSERIES, INC.</t>
  </si>
  <si>
    <t>95236-105</t>
  </si>
  <si>
    <t>Hydrangea arborescens FlowerFull First Editions Smooth Hydrangea 5 gal. (14.88 L) Container</t>
  </si>
  <si>
    <t>62399-SP115-36IN</t>
  </si>
  <si>
    <t>Buxus x Green Mountain Boxwood Spiral 36 in. Height 15 gal. Container</t>
  </si>
  <si>
    <t>77467-107</t>
  </si>
  <si>
    <t>Elaeagnus x ebbingei Silverberry 7 gal. Container</t>
  </si>
  <si>
    <t>78976-115</t>
  </si>
  <si>
    <t>Vitex angus-castus Shoal Creek Chastetree 15 gal. Container</t>
  </si>
  <si>
    <t>62399-PY105</t>
  </si>
  <si>
    <t>Buxus x Green Mountain Boxwood Pyramidal 5 gal. Container</t>
  </si>
  <si>
    <t>67872-102</t>
  </si>
  <si>
    <t>Juniperus conferta Blue Pacific Shore Juniper 2 gal. Container</t>
  </si>
  <si>
    <t>69276-107</t>
  </si>
  <si>
    <t>Myrica pennsylvanica Bayberry 7 gal. Container</t>
  </si>
  <si>
    <t>63084-103</t>
  </si>
  <si>
    <t>Cephalotaxus harringtonia Duke Gardens Japanese Plum Yew 3 gal. Container</t>
  </si>
  <si>
    <t>66790-105</t>
  </si>
  <si>
    <t>Hibiscus syriacus Diana Rose of Sharon 5 gal. Container</t>
  </si>
  <si>
    <t>68027-102</t>
  </si>
  <si>
    <t>Kalmia latifolia Olympic Fire Mountain Laurel 2 gal. Container</t>
  </si>
  <si>
    <t>60534-115</t>
  </si>
  <si>
    <t>Aesculus parviflora Bottlebrush Buckeye 15 gal. Container</t>
  </si>
  <si>
    <t>62399-SP110</t>
  </si>
  <si>
    <t>Buxus x Green Mountain Boxwood Spiral 10 gal. Container</t>
  </si>
  <si>
    <t>67102-110</t>
  </si>
  <si>
    <t>Hydrangea arborescens Annabelle Smooth Hydrangea 10 gal. Container</t>
  </si>
  <si>
    <t>67446-107</t>
  </si>
  <si>
    <t>Ilex verticillata Red Sprite Winterberry Holly 7 gal. Container</t>
  </si>
  <si>
    <t>74081-107</t>
  </si>
  <si>
    <t>Viburnum trilobum Wentworth Highbush Cranberry 7 gal. Container</t>
  </si>
  <si>
    <t>79586-107</t>
  </si>
  <si>
    <t>Hydrangea arborescens Incrediball Incrediball Proven Winners Smooth Hydrangea 7 gal. Container</t>
  </si>
  <si>
    <t>67837-SP102</t>
  </si>
  <si>
    <t>Juniperus chinensis Mint Julep Monrovia Chinese Juniper Spiral True 2 gal. (7.57 L) Container</t>
  </si>
  <si>
    <t>82416-103</t>
  </si>
  <si>
    <t>Cephalanthus occidentalis Color Choice Sugar Shack Proven Winners Shack Buttonbush True 3 gal. (11.36 L) Container</t>
  </si>
  <si>
    <t>62399-GB221</t>
  </si>
  <si>
    <t>Buxus x Green Mountain Boxwood Globe 21 in. Height Ball and Burlap</t>
  </si>
  <si>
    <t>82465-305</t>
  </si>
  <si>
    <t>Chamaecyparis obtusa Kosteri Fast Form Hinoki Falsecypress 5 ft. Height Ball and Burlap</t>
  </si>
  <si>
    <t>66790-110</t>
  </si>
  <si>
    <t>Hibiscus syriacus Diana Rose of Sharon 10 gal. Container</t>
  </si>
  <si>
    <t>74932-110</t>
  </si>
  <si>
    <t>Ligustrum ovalifolium California Privet 10 gal. Container</t>
  </si>
  <si>
    <t>73998-110</t>
  </si>
  <si>
    <t>Viburnum dentatum Arrowwood Viburnum 10 gal. Container</t>
  </si>
  <si>
    <t>62428-115-30IN</t>
  </si>
  <si>
    <t>Buxus sempervirens Boxwood 30 in. Height 15 gal. Container</t>
  </si>
  <si>
    <t>91449-102</t>
  </si>
  <si>
    <t>Spiraea japonica Poprocks Petite Bloomin' Easy Spirea True 2 gal. (7.57 L) Container</t>
  </si>
  <si>
    <t>86681-102</t>
  </si>
  <si>
    <t>Rosa x Baimas Pinktopia Easy Elegance Rose True 2 gal. (7.57 L) Container</t>
  </si>
  <si>
    <t>89916-305</t>
  </si>
  <si>
    <t>Hibiscus syriacus Color Choice White Pillar Proven Winners Rose of Sharon 5 ft. Height Ball and Burlap</t>
  </si>
  <si>
    <t>77492-105</t>
  </si>
  <si>
    <t>Euonymus japonicus Grandifolius Japanese Euonymus 5 gal. Container</t>
  </si>
  <si>
    <t>76048-103</t>
  </si>
  <si>
    <t>Prunus maritima Beach Plum 3 gal. Container</t>
  </si>
  <si>
    <t>73256-242</t>
  </si>
  <si>
    <t>Taxus cuspidata Capitata Japanese Yew 42 in. Height Ball and Burlap</t>
  </si>
  <si>
    <t>72166-102</t>
  </si>
  <si>
    <t>Rosa rugosa Alba Japanese Rose 2 gal. Container</t>
  </si>
  <si>
    <t>65338-248</t>
  </si>
  <si>
    <t>Forsythia x intermedia Lynwood Variety Border Forsythia 48 in. Height Ball and Burlap</t>
  </si>
  <si>
    <t>70596-3T110</t>
  </si>
  <si>
    <t>Picea laxa (glauca) Conica Dwarf Alberta White Spruce 3 Tier Poodle 10 gal. Container</t>
  </si>
  <si>
    <t>66805-105</t>
  </si>
  <si>
    <t>Hibiscus syriacus Minerva Rose of Sharon 5 gal. Container</t>
  </si>
  <si>
    <t>70596-SP120-48IN</t>
  </si>
  <si>
    <t>Picea laxa (glauca) Conica Dwarf Alberta White Spruce Spiral 48 in. Height 20 gal Container</t>
  </si>
  <si>
    <t>67837-2T105</t>
  </si>
  <si>
    <t>Juniperus chinensis Mint Julep Monrovia Chinese Juniper 2 Tier Poodle 5 gal. Container</t>
  </si>
  <si>
    <t>71069-105</t>
  </si>
  <si>
    <t>Dasiphora (Potentilla) fruticosa Pink Beauty Shrubby Cinquefoil 5 gal. Container</t>
  </si>
  <si>
    <t>67278-105</t>
  </si>
  <si>
    <t>Hypericum frondosum Sunburst St. John's Wort 5 gal. Container</t>
  </si>
  <si>
    <t>67165-102</t>
  </si>
  <si>
    <t>Hydrangea macrophylla Pink Elf Monrovia Big Leaf Hydrangea True 2 gal. (7.57 L) Container</t>
  </si>
  <si>
    <t>63720-103</t>
  </si>
  <si>
    <t>Cornus racemosa Gray Dogwood 3 gal. Container</t>
  </si>
  <si>
    <t>67837-SP107</t>
  </si>
  <si>
    <t>Juniperus chinensis Mint Julep Monrovia Chinese Juniper Spiral 7 gal. Container</t>
  </si>
  <si>
    <t>78029-103</t>
  </si>
  <si>
    <t>Thuja occidentalis Mr. Bowling Ball (Linesville) American Arborvitae 3 gal. Container</t>
  </si>
  <si>
    <t>76395-103</t>
  </si>
  <si>
    <t>Chamaecyparis pisifera Curly Tops Sawara Cypress 3 gal. Container</t>
  </si>
  <si>
    <t>BIZON NURSERY CO. (ADMIN OFFICE)</t>
  </si>
  <si>
    <t>75927-101</t>
  </si>
  <si>
    <t>Abelia x grandiflora Rose Creek Glossy Abelia 1 gal. Container</t>
  </si>
  <si>
    <t>73267-230</t>
  </si>
  <si>
    <t>Taxus x media Densiformis Anglojap Yew 30 in. Height Ball and Burlap</t>
  </si>
  <si>
    <t>70565-STD105</t>
  </si>
  <si>
    <t>Picea abies Little Gem Dwarf Norway Spruce Tree Form Standard 5 gal. Container</t>
  </si>
  <si>
    <t>79398-103</t>
  </si>
  <si>
    <t>Rosa x White Drift Rose True 3 gal. (11.36 L) Container</t>
  </si>
  <si>
    <t>70628-STD105</t>
  </si>
  <si>
    <t>Picea pungens Glauca Globosa Blue Spruce Tree Form Standard 5 gal. Container</t>
  </si>
  <si>
    <t>79991-103</t>
  </si>
  <si>
    <t>Hydrangea macrophylla Nantucket Blue Garden Debut Big Leaf Hydrangea 3 gal. Container</t>
  </si>
  <si>
    <t>62399-SP107</t>
  </si>
  <si>
    <t>Buxus x Green Mountain Boxwood Spiral 7 gal. Container</t>
  </si>
  <si>
    <t>73282-103</t>
  </si>
  <si>
    <t>Tecoma stans Esperanza 3 gal. Container</t>
  </si>
  <si>
    <t>70535-105</t>
  </si>
  <si>
    <t>Physocarpus opulifolius Diabolo Ninebark 5 gal. Container</t>
  </si>
  <si>
    <t>79612-STD305</t>
  </si>
  <si>
    <t>Hydrangea paniculata (Phantom) Lime Soda Panicle Hydrangea Tree Form Standard 5 ft. Height Ball and Burlap</t>
  </si>
  <si>
    <t>FERNBROOK NURSERY, INC</t>
  </si>
  <si>
    <t>85719-103</t>
  </si>
  <si>
    <t>Physocarpus opulifolius Tiny Wine Gold Proven Winners Ninebark True 3 gal. (11.36 L) Container</t>
  </si>
  <si>
    <t>81061-110</t>
  </si>
  <si>
    <t>Lagerstroemia x Plum Magic First Editions Crape Myrtle 10 gal. Container</t>
  </si>
  <si>
    <t>WILLAMETTE TREE WHOLESALE</t>
  </si>
  <si>
    <t>77487-ESP110PREM</t>
  </si>
  <si>
    <t>Euonymus japonicus Chollipo Japanese Euonymus Espalier Premium 10 gal. Container</t>
  </si>
  <si>
    <t>63198-242</t>
  </si>
  <si>
    <t>Chamaecyparis obtusa Verdoni Hinoki Falsecypress 42 in. Height Ball and Burlap</t>
  </si>
  <si>
    <t>74932-307</t>
  </si>
  <si>
    <t>Ligustrum ovalifolium California Privet 7 ft. Height Ball and Burlap</t>
  </si>
  <si>
    <t>63650-103</t>
  </si>
  <si>
    <t>Cornus alba Elegantissima Tatarian Dogwood 3 gal. Container</t>
  </si>
  <si>
    <t>60000-103</t>
  </si>
  <si>
    <t>Abelia x grandiflora Edward Goucher Glossy Abelia 3 gal. Container</t>
  </si>
  <si>
    <t>62410-103</t>
  </si>
  <si>
    <t>Buxus sinica var. insularis Wintergreen Korean Boxwood 3 gal. Container</t>
  </si>
  <si>
    <t>63207-110</t>
  </si>
  <si>
    <t>Chamaecyparis pisifera Golden Mop Sawara Cypress 10 gal. Container</t>
  </si>
  <si>
    <t>67121-103</t>
  </si>
  <si>
    <t>Hydrangea macrophylla Mariesii Perfecta Blue Wave Lacecap Hydrangea 3 gal. Container</t>
  </si>
  <si>
    <t>67411-105</t>
  </si>
  <si>
    <t>Ilex x meserveae China Girl Holly 5 gal. Container</t>
  </si>
  <si>
    <t>67837-ESP105</t>
  </si>
  <si>
    <t>Juniperus chinensis Mint Julep Monrovia Chinese Juniper Espalier 5 gal. Container</t>
  </si>
  <si>
    <t>65067-102</t>
  </si>
  <si>
    <t>Euonymus japonicus Microphyllus Spindle Tree 2 gal. Container</t>
  </si>
  <si>
    <t>76031-105</t>
  </si>
  <si>
    <t>Aucuba japonica Serratifolia Sawtoothed Spotted Laurel 5 gal. Container</t>
  </si>
  <si>
    <t>77776-105</t>
  </si>
  <si>
    <t>Hydrangea paniculata Color Choice Quick Fire Proven Winners Panicle Hydrangea 5 gal. (14.88 L) Container</t>
  </si>
  <si>
    <t>69769-110</t>
  </si>
  <si>
    <t>Osmanthus heterophyllus Goshiki False Holly 10 gal. Container</t>
  </si>
  <si>
    <t>67332-107PREM</t>
  </si>
  <si>
    <t>Ilex aquifolium Argentea Marginata English Holly Premium 7 gal. Container</t>
  </si>
  <si>
    <t>62399-236PREM</t>
  </si>
  <si>
    <t>Buxus x Green Mountain Boxwood Premium 36 in. Height Ball and Burlap</t>
  </si>
  <si>
    <t>95091-103</t>
  </si>
  <si>
    <t>Rhododendron x Perfecto Mundo Red Proven Winners Reblooming Azalea True 3 gal. (11.36 L) Container</t>
  </si>
  <si>
    <t>84272-W236</t>
  </si>
  <si>
    <t>Hydrangea macrophylla Double Delights Star Gazer Lace Cap Hydrangea 36 in. Width Ball and Burlap</t>
  </si>
  <si>
    <t>63084-106</t>
  </si>
  <si>
    <t>Cephalotaxus harringtonia Duke Gardens Japanese Plum Yew 6 gal. Container</t>
  </si>
  <si>
    <t>Eason Horticultural Resources, Inc.</t>
  </si>
  <si>
    <t>70628-STD221</t>
  </si>
  <si>
    <t>Picea pungens Glauca Globosa Blue Spruce Tree Form Standard 21 in. Height Ball and Burlap</t>
  </si>
  <si>
    <t>70628-236</t>
  </si>
  <si>
    <t>Picea pungens Glauca Globosa Blue Spruce 36 in. Height Ball and Burlap</t>
  </si>
  <si>
    <t>67191-STD305</t>
  </si>
  <si>
    <t>Hydrangea paniculata Color Choice Limelight Proven Winners Panicle Hydrangea Tree Form Standard 5 ft. Height Ball and Burlap</t>
  </si>
  <si>
    <t>92943-103</t>
  </si>
  <si>
    <t>Hydrangea macrophylla Pop Star Endless Summer Big Leaf Hydrangea True 3 gal. (11.36 L) Container</t>
  </si>
  <si>
    <t>93779-103</t>
  </si>
  <si>
    <t>Weigela florida Wine &amp; Spirits Proven Winners Weigela True 3 gal. (11.36 L) Container</t>
  </si>
  <si>
    <t>94490-103</t>
  </si>
  <si>
    <t>Ilex glabra Forever Emerald Garden Debut Inkberry Holly True 3 gal. (11.36 L) Container</t>
  </si>
  <si>
    <t>61902-103</t>
  </si>
  <si>
    <t>Baccharis halimifolia Groundsel Bush 3 gal. Container</t>
  </si>
  <si>
    <t>62428-105</t>
  </si>
  <si>
    <t>Buxus sempervirens Boxwood 5 gal. Container</t>
  </si>
  <si>
    <t>67912-STK105</t>
  </si>
  <si>
    <t>Juniperus procumbens Nana Dwarf Japanese Garden Juniper Staked 5 gal. Container</t>
  </si>
  <si>
    <t>69276-306</t>
  </si>
  <si>
    <t>Myrica pennsylvanica Bayberry 6 ft. Height Ball and Burlap</t>
  </si>
  <si>
    <t>STARKIE BROS GARDEN CENTER</t>
  </si>
  <si>
    <t>94528-105PREM</t>
  </si>
  <si>
    <t>Lagerstroemia indica Summerlasting Raspberry Monrovia Crape Myrtle Premium 5 gal. Container</t>
  </si>
  <si>
    <t>73508-STD0010</t>
  </si>
  <si>
    <t>Tibouchina urvilleana Princess Flower Tree Form Standard 10 in. Container</t>
  </si>
  <si>
    <t>61902-107</t>
  </si>
  <si>
    <t>Baccharis halimifolia Groundsel Bush 7 gal. Container</t>
  </si>
  <si>
    <t>72318-STD120</t>
  </si>
  <si>
    <t>Salix integra Hakuro Nishiki Dappled Willow Tree Form Standard 20 gal. Container</t>
  </si>
  <si>
    <t>62415-230</t>
  </si>
  <si>
    <t>Buxus sempervirens Fastigiata Boxwood 30 in. Height Ball and Burlap</t>
  </si>
  <si>
    <t>82689-103</t>
  </si>
  <si>
    <t>Buddleia x Lo &amp; Behold Pink Micro Chip Proven Winners Seedless Butterfly Bush True 3 gal. (11.36 L) Container</t>
  </si>
  <si>
    <t>Youngblood Nursery</t>
  </si>
  <si>
    <t>81344-103</t>
  </si>
  <si>
    <t>Rhododendron catawbiense Chionoides Rhododendron 3 gal. Container</t>
  </si>
  <si>
    <t>63947-103</t>
  </si>
  <si>
    <t>Cryptomeria japonica Globosa Nana Japanese Cedar 3 gal. Container</t>
  </si>
  <si>
    <t>71749-105</t>
  </si>
  <si>
    <t>Rhododendron x Nova Zembla Rhododendron 5 gal. Container</t>
  </si>
  <si>
    <t>70655-107</t>
  </si>
  <si>
    <t>Pieris japonica Mountain Fire Japanese Andromeda 7 gal. Container</t>
  </si>
  <si>
    <t>63220-102</t>
  </si>
  <si>
    <t>Chamaecyparis pisifera Vintage Gold Japanese Falsecypress 2 gal. Container</t>
  </si>
  <si>
    <t>MONROVIA GROWERS-CONNECTICUT</t>
  </si>
  <si>
    <t>77774-105</t>
  </si>
  <si>
    <t>Hydrangea macrophylla Red 'N Pretty Monrovia Big Leaf Hydrangea 5 gal. Container</t>
  </si>
  <si>
    <t>70569-105</t>
  </si>
  <si>
    <t>Picea abies Nidiformis Bird's Nest Spruce 5 gal. Container</t>
  </si>
  <si>
    <t>65338-236</t>
  </si>
  <si>
    <t>Forsythia x intermedia Lynwood Variety Border Forsythia 36 in. Height Ball and Burlap</t>
  </si>
  <si>
    <t>63072-103</t>
  </si>
  <si>
    <t>Cephalanthus occidentalis Buttonbush 3 gal. Container</t>
  </si>
  <si>
    <t>81298-STD110</t>
  </si>
  <si>
    <t>Hibiscus syriacus Woodbridge Rose of Sharon Tree Form Standard 10 gal. Container</t>
  </si>
  <si>
    <t>80525-102</t>
  </si>
  <si>
    <t>Rosa x Apricot Drift Rose True 2 gal. (7.57 L) Container</t>
  </si>
  <si>
    <t>78528-110</t>
  </si>
  <si>
    <t>Rhododendron x Roseum Pink Rhododendron 10 gal. Container</t>
  </si>
  <si>
    <t>73122-STD306</t>
  </si>
  <si>
    <t>Syringa meyeri Palibin Dwarf Korean Lilac Tree Form Standard 6 ft. Height Ball and Burlap</t>
  </si>
  <si>
    <t>69126-103</t>
  </si>
  <si>
    <t>Microbiota decussata Siberian Cypress 3 gal. Container</t>
  </si>
  <si>
    <t>62410-107</t>
  </si>
  <si>
    <t>Buxus sinica var. insularis Wintergreen Korean Boxwood 7 gal. Container</t>
  </si>
  <si>
    <t>67837-105</t>
  </si>
  <si>
    <t>Juniperus chinensis Mint Julep Monrovia Chinese Juniper 5 gal. Container</t>
  </si>
  <si>
    <t>67872-101</t>
  </si>
  <si>
    <t>Juniperus conferta Blue Pacific Shore Juniper 1 gal. Container</t>
  </si>
  <si>
    <t>69286-105</t>
  </si>
  <si>
    <t>Nandina domestica Gulf Stream Heavenly Bamboo 5 gal. Container</t>
  </si>
  <si>
    <t>63188-218</t>
  </si>
  <si>
    <t>Chamaecyparis obtusa Nana Gracilis Hinoki Falsecypress 18 in. Height Ball and Burlap</t>
  </si>
  <si>
    <t>71918-103</t>
  </si>
  <si>
    <t>Rosa x Blaze Climbing Rose 3 gal. Container</t>
  </si>
  <si>
    <t>73370-103</t>
  </si>
  <si>
    <t>Thuja occidentalis Golden Globe Arborvitae 3 gal. Container</t>
  </si>
  <si>
    <t>77632-102</t>
  </si>
  <si>
    <t>Rubus idaeus var. strigosus Heritage Raspberry 2 gal. Container</t>
  </si>
  <si>
    <t>77487-102</t>
  </si>
  <si>
    <t>Euonymus japonicus Chollipo Japanese Euonymus 2 gal. Container</t>
  </si>
  <si>
    <t>76064-224</t>
  </si>
  <si>
    <t>Buxus sempervirens Variegata Variegated Boxwood 24 in. Height Ball and Burlap</t>
  </si>
  <si>
    <t>78037-102</t>
  </si>
  <si>
    <t>Skimmia japonica Male Skimmia 2 gal. Container</t>
  </si>
  <si>
    <t>78976-105</t>
  </si>
  <si>
    <t>Vitex angus-castus Shoal Creek Chastetree 5 gal. Container</t>
  </si>
  <si>
    <t>77334-105</t>
  </si>
  <si>
    <t>Cryptomeria japonica Black Dragon Japanese Cedar 5 gal. Container</t>
  </si>
  <si>
    <t>78914-236</t>
  </si>
  <si>
    <t>Taxus cuspidata Fastigiata Japanese Yew 36 in. Height Ball and Burlap</t>
  </si>
  <si>
    <t>77477-105</t>
  </si>
  <si>
    <t>Euonymus japonicus Gold Spot Japanese Euonymus 5 gal. Container</t>
  </si>
  <si>
    <t>67380-115</t>
  </si>
  <si>
    <t>Ilex crenata Sky Pencil Japanese Holly 15 gal. Container</t>
  </si>
  <si>
    <t>70628-224</t>
  </si>
  <si>
    <t>Picea pungens Glauca Globosa Blue Spruce 24 in. Height Ball and Burlap</t>
  </si>
  <si>
    <t>67406-248</t>
  </si>
  <si>
    <t>Ilex x meserveae Blue Prince Blue Holly 48 in. Height Ball and Burlap</t>
  </si>
  <si>
    <t>73247-105</t>
  </si>
  <si>
    <t>Taxus baccata Repandens English Yew 5 gal. Container</t>
  </si>
  <si>
    <t>83086-105</t>
  </si>
  <si>
    <t>Thuja occidentalis Anna's Magic Ball Proven Winners Arborvitae 5 gal. (14.88 L) Container</t>
  </si>
  <si>
    <t>62399-218</t>
  </si>
  <si>
    <t>Buxus x Green Mountain Boxwood 18 in. Height Ball and Burlap</t>
  </si>
  <si>
    <t>67887-103</t>
  </si>
  <si>
    <t>Juniperus horizontalis Blue Chip Creeping Juniper 3 gal. Container</t>
  </si>
  <si>
    <t>63821-105</t>
  </si>
  <si>
    <t>Cotinus coggygria Royal Purple Smoke Bush 5 gal. Container</t>
  </si>
  <si>
    <t>62397-103</t>
  </si>
  <si>
    <t>Buxus x Green Gem Boxwood 3 gal. Container</t>
  </si>
  <si>
    <t>67115-103</t>
  </si>
  <si>
    <t>Hydrangea macrophylla All Summer Beauty Big Leaf Hydrangea 3 gal. Container</t>
  </si>
  <si>
    <t>74055-107</t>
  </si>
  <si>
    <t>Viburnum plicatum f. plicatum Popcorn Doublefile Viburnum 7 gal. Container</t>
  </si>
  <si>
    <t>77836-242</t>
  </si>
  <si>
    <t>Ilex x meserveae Blue Maid Blue Holly 42 in. Height Ball and Burlap</t>
  </si>
  <si>
    <t>71192-248</t>
  </si>
  <si>
    <t>Prunus laurocerasus Otto Luyken English Laurel 48 in. Height Ball and Burlap</t>
  </si>
  <si>
    <t>82875-SP110PREM</t>
  </si>
  <si>
    <t>Ilex x Emerald Colonnade Monrovia Holly Spiral Premium 10 gal. Container</t>
  </si>
  <si>
    <t>67837-OPP105</t>
  </si>
  <si>
    <t>Juniperus chinensis Mint Julep Monrovia Chinese Juniper Oriental Pom Pom 5 gal. Container</t>
  </si>
  <si>
    <t>77901-OPP105PREM</t>
  </si>
  <si>
    <t>Juniperus chinensis San Jose Chinese Juniper Oriental Pom Pom Premium 5 gal. Container</t>
  </si>
  <si>
    <t>62399-STD218</t>
  </si>
  <si>
    <t>Buxus x Green Mountain Boxwood Tree Form Standard 18 in. Height Ball and Burlap</t>
  </si>
  <si>
    <t>91450-103</t>
  </si>
  <si>
    <t>Spiraea japonica Rainbow Fizz Bloomin' Easy Spirea True 3 gal. (11.36 L) Container</t>
  </si>
  <si>
    <t>73163-106</t>
  </si>
  <si>
    <t>Syringa vulgaris Sensation Lilac 6 gal. Container</t>
  </si>
  <si>
    <t>62428-PY248</t>
  </si>
  <si>
    <t>Buxus sempervirens Boxwood Pyramidal 48 in. Height Ball and Burlap</t>
  </si>
  <si>
    <t>69276-236</t>
  </si>
  <si>
    <t>Myrica pennsylvanica Bayberry 36 in. Height Ball and Burlap</t>
  </si>
  <si>
    <t>80095-PF4</t>
  </si>
  <si>
    <t>Rosa x Sweet Drift Rose True 1 gal. (3.79 L) Container</t>
  </si>
  <si>
    <t>69276-248</t>
  </si>
  <si>
    <t>Myrica pennsylvanica Bayberry 48 in. Height Ball and Burlap</t>
  </si>
  <si>
    <t>79941-107</t>
  </si>
  <si>
    <t>Hydrangea paniculata Color Choice Little Lime Proven Winners Panicle Hydrangea 7 gal. Container</t>
  </si>
  <si>
    <t>62428-SP110</t>
  </si>
  <si>
    <t>Buxus sempervirens Boxwood Spiral 10 gal. Container</t>
  </si>
  <si>
    <t>62428-PM115</t>
  </si>
  <si>
    <t>Buxus sempervirens Boxwood Pom Pom 15 gal. Container</t>
  </si>
  <si>
    <t>77836-115</t>
  </si>
  <si>
    <t>Ilex x meserveae Blue Maid Blue Holly 15 gal. Container</t>
  </si>
  <si>
    <t>84681-103</t>
  </si>
  <si>
    <t>Diervilla x Kodiak Orange Proven Winners Bush Honeysuckle True 3 gal. (11.36 L) Container</t>
  </si>
  <si>
    <t>84378-102</t>
  </si>
  <si>
    <t>Rosa palustris Swamp Rose 2 gal. Container</t>
  </si>
  <si>
    <t>85089-103</t>
  </si>
  <si>
    <t>Hibiscus syriacus Bali First Editions Rose of Sharon True 3 gal. (11.36 L) Container</t>
  </si>
  <si>
    <t>70628-107-W18IN</t>
  </si>
  <si>
    <t>Picea pungens Glauca Globosa Blue Spruce 18 in. Width 7 gal. Container</t>
  </si>
  <si>
    <t>69276-310</t>
  </si>
  <si>
    <t>Myrica pennsylvanica Bayberry 10 ft. Height Ball and Burlap</t>
  </si>
  <si>
    <t>62399-PY254</t>
  </si>
  <si>
    <t>Buxus x Green Mountain Boxwood Pyramidal 54 in. Height Ball and Burlap</t>
  </si>
  <si>
    <t>67837-SP110</t>
  </si>
  <si>
    <t>Juniperus chinensis Mint Julep Monrovia Chinese Juniper Spiral 10 gal. Container</t>
  </si>
  <si>
    <t>63725-105</t>
  </si>
  <si>
    <t>Cornus sericea Baileyi Red Twig Dogwood 5 gal. Container</t>
  </si>
  <si>
    <t>62329-103</t>
  </si>
  <si>
    <t>Buddleja davidii Black Knight Butterfly Bush 3 gal. Container</t>
  </si>
  <si>
    <t>66825-103</t>
  </si>
  <si>
    <t>Hibiscus syriacus Color Choice White Chiffon Proven Winners Rose of Sharon True 3 gal. (11.36 L) Container</t>
  </si>
  <si>
    <t>71192-224</t>
  </si>
  <si>
    <t>Prunus laurocerasus Otto Luyken English Laurel 24 in. Height Ball and Burlap</t>
  </si>
  <si>
    <t>TWIN SPRINGS NURSERY</t>
  </si>
  <si>
    <t>90560-STD105MON</t>
  </si>
  <si>
    <t>Rosa x Nitty Gritty White Rose Tree Form Standard 5 gal. Container</t>
  </si>
  <si>
    <t>62399-SP107-36IN</t>
  </si>
  <si>
    <t>Buxus x Green Mountain Boxwood Spiral 36 in. Height 7 gal. Container</t>
  </si>
  <si>
    <t>91995-103</t>
  </si>
  <si>
    <t>Itea virginica Love Child First Editions Sweetspire True 3 gal. (11.36 L) Container</t>
  </si>
  <si>
    <t>62399-CN120-48IN</t>
  </si>
  <si>
    <t>Buxus x Green Mountain Boxwood Cone 48 in. Height 20 gal. Container</t>
  </si>
  <si>
    <t>81450-103</t>
  </si>
  <si>
    <t>Spiraea japonica Double Play Artisan Proven Winners Spirea 3 gal. Container</t>
  </si>
  <si>
    <t>77492-ESP105</t>
  </si>
  <si>
    <t>Euonymus japonicus Grandifolius Japanese Euonymus Espalier 5 gal. Container</t>
  </si>
  <si>
    <t>84270-103</t>
  </si>
  <si>
    <t>Hydrangea macrophylla Teller Blue Lacecap Hydrangea 3 gal. Container</t>
  </si>
  <si>
    <t>77849-107</t>
  </si>
  <si>
    <t>Cornus sericea Arctic Fire Red Proven Winners Red Twig Dogwood 7 gal. (24.32 L) Container</t>
  </si>
  <si>
    <t>62399-PY242</t>
  </si>
  <si>
    <t>Buxus x Green Mountain Boxwood Pyramidal 42 in. Height Ball and Burlap</t>
  </si>
  <si>
    <t>82482-106</t>
  </si>
  <si>
    <t>Buxus sinica var. insularis Franklin's Gem Korean Boxwood 6 gal. Container</t>
  </si>
  <si>
    <t>62399-2T110</t>
  </si>
  <si>
    <t>Buxus x Green Mountain Boxwood 2 Tier Poodle 10 gal. Container</t>
  </si>
  <si>
    <t>90889-110</t>
  </si>
  <si>
    <t>Hydrangea paniculata Limelight Prime Proven Winners Panicle Hydrangea 10 gal. Container</t>
  </si>
  <si>
    <t>90912-102</t>
  </si>
  <si>
    <t>Rosa floribunda Brick House Red Bloomables Rose True 2 gal. (7.57 L) Container</t>
  </si>
  <si>
    <t>81362-103</t>
  </si>
  <si>
    <t>Hydrangea quercifolia Munchkin Oakleaf Hydrangea 3 gal. Container</t>
  </si>
  <si>
    <t>63084-110</t>
  </si>
  <si>
    <t>Cephalotaxus harringtonia Duke Gardens Japanese Plum Yew 10 gal. Container</t>
  </si>
  <si>
    <t>71741-236</t>
  </si>
  <si>
    <t>Rhododendron x English Roseum Rhododendron 36 in. Height Ball and Burlap</t>
  </si>
  <si>
    <t>72318-STD110</t>
  </si>
  <si>
    <t>Salix integra Hakuro Nishiki Dappled Willow Tree Form Standard 10 gal. Container</t>
  </si>
  <si>
    <t>78976-110</t>
  </si>
  <si>
    <t>Vitex angus-castus Shoal Creek Chastetree 10 gal. Container</t>
  </si>
  <si>
    <t>74167-105</t>
  </si>
  <si>
    <t>Vitex angus-castus Chastetree 5 gal. Container</t>
  </si>
  <si>
    <t>63650-105</t>
  </si>
  <si>
    <t>Cornus alba Elegantissima Tatarian Dogwood 5 gal. Container</t>
  </si>
  <si>
    <t>77334-248</t>
  </si>
  <si>
    <t>Cryptomeria japonica Black Dragon Japanese Cedar 48 in. Height Ball and Burlap</t>
  </si>
  <si>
    <t>63833-102</t>
  </si>
  <si>
    <t>Cotoneaster apiculatus Cranberry Cotoneaster 2 gal. Container</t>
  </si>
  <si>
    <t>78913-105</t>
  </si>
  <si>
    <t>Taxus cuspidata Emerald Spreader Monrovia Japanese Yew 5 gal. Container</t>
  </si>
  <si>
    <t>74030-105</t>
  </si>
  <si>
    <t>Viburnum awabuki Chindo Sweet Viburnum 5 gal. Container</t>
  </si>
  <si>
    <t>78833-103</t>
  </si>
  <si>
    <t>Rosa x Zephirine Drouhin Climbing Rose 3 gal. Container</t>
  </si>
  <si>
    <t>74036-107</t>
  </si>
  <si>
    <t>Viburnum opulus Roseum European Cranberrybush 7 gal. Container</t>
  </si>
  <si>
    <t>74032-103</t>
  </si>
  <si>
    <t>Viburnum opulus Compactum European Cranberrybush 3 gal. Container</t>
  </si>
  <si>
    <t>67160-105</t>
  </si>
  <si>
    <t>Hydrangea macrophylla Pink 'N Pretty Monrovia Big Leaf Hydrangea 5 gal. Container</t>
  </si>
  <si>
    <t>SiteOne Misc. Nursery Procurement</t>
  </si>
  <si>
    <t>67837-PM105</t>
  </si>
  <si>
    <t>Juniperus chinensis Mint Julep Monrovia Chinese Juniper Pom Pom 5 gal. Container</t>
  </si>
  <si>
    <t>91664-103</t>
  </si>
  <si>
    <t>Dasiphora (Potentilla) fruticosa Happy Face Hearts Proven Winners Shrubby Cinquefoil True 3 gal. (11.36 L) Container</t>
  </si>
  <si>
    <t>79399-215</t>
  </si>
  <si>
    <t>Buxus sinica var. insularis Justin Brouwers Korean Boxwood 15 in. Height Ball and Burlap</t>
  </si>
  <si>
    <t>63189-105</t>
  </si>
  <si>
    <t>Chamaecyparis obtusa Nana Lutea Hinoki Falsecypress 5 gal. Container</t>
  </si>
  <si>
    <t>82583-103</t>
  </si>
  <si>
    <t>Hydrangea paniculata Fire Light Proven Winners Panicle Hydrangea True 3 gal. (11.36 L) Container</t>
  </si>
  <si>
    <t>67115-107</t>
  </si>
  <si>
    <t>Hydrangea macrophylla All Summer Beauty Big Leaf Hydrangea 7 gal. Container</t>
  </si>
  <si>
    <t>77632-103</t>
  </si>
  <si>
    <t>Rubus idaeus var. strigosus Heritage Raspberry 3 gal. Container</t>
  </si>
  <si>
    <t>79764-120</t>
  </si>
  <si>
    <t>Ilex crenata Excelsa Schwoebel Japanese Holly 20 gal. Container</t>
  </si>
  <si>
    <t>82888-105</t>
  </si>
  <si>
    <t>Thuja occidentalis Highlights Arborvitae 5 gal. Container</t>
  </si>
  <si>
    <t>82875-2T105</t>
  </si>
  <si>
    <t>Ilex x Emerald Colonnade Monrovia Holly 2 Tier Poodle 5 gal. Container</t>
  </si>
  <si>
    <t>86815-103</t>
  </si>
  <si>
    <t>Rosa x Coral Knock Out Shrub Rose True 3 gal. (11.36 L) Container</t>
  </si>
  <si>
    <t>63188-110-21IN</t>
  </si>
  <si>
    <t>Chamaecyparis obtusa Nana Gracilis Hinoki Falsecypress 21 in. Height 10 gal. Container</t>
  </si>
  <si>
    <t>91167-103</t>
  </si>
  <si>
    <t>Leucothoe axillaris ReJoyce Doghobble 3 gal. Container</t>
  </si>
  <si>
    <t>76392-106</t>
  </si>
  <si>
    <t>Chamaecyparis obtusa Tempelhof Hinoki Falsecypress 6 gal. Container</t>
  </si>
  <si>
    <t>70637-W842</t>
  </si>
  <si>
    <t>Picea pungens Montgomery Blue Spruce 42 in. Width Ball and Burlap</t>
  </si>
  <si>
    <t>62428-236PREM</t>
  </si>
  <si>
    <t>Buxus sempervirens Boxwood Premium 36 in. Height Ball and Burlap</t>
  </si>
  <si>
    <t>62428-PY110-36IN</t>
  </si>
  <si>
    <t>Buxus sempervirens Boxwood Pyramidal 36 in. Height 10 gal. Container</t>
  </si>
  <si>
    <t>62057-103</t>
  </si>
  <si>
    <t>Berberis x gladwynensis William Penn Barberry 3 gal. Container</t>
  </si>
  <si>
    <t>62345-103</t>
  </si>
  <si>
    <t>Buddleja davidii Nanho Blue Butterfly Bush 3 gal. Container</t>
  </si>
  <si>
    <t>62428-115</t>
  </si>
  <si>
    <t>Buxus sempervirens Boxwood 15 gal. Container</t>
  </si>
  <si>
    <t>82875-3T107PREM</t>
  </si>
  <si>
    <t>Ilex x Emerald Colonnade Monrovia Holly 3 Tier Poodle Premium 7 gal. Container</t>
  </si>
  <si>
    <t>62399-2T106</t>
  </si>
  <si>
    <t>Buxus x Green Mountain Boxwood 2 Tier Poodle 6 gal. Container</t>
  </si>
  <si>
    <t>78649-106-24IN</t>
  </si>
  <si>
    <t>Rhododendron x Anah Kruschke Rhododendron 24 in. Height 6 gal. Container</t>
  </si>
  <si>
    <t>78029-106</t>
  </si>
  <si>
    <t>Thuja occidentalis Mr. Bowling Ball (Linesville) American Arborvitae 6 gal. Container</t>
  </si>
  <si>
    <t>63947-102</t>
  </si>
  <si>
    <t>Cryptomeria Japonica Globosa Nana Japanese Cedar 2 gal. Container</t>
  </si>
  <si>
    <t>69770-248</t>
  </si>
  <si>
    <t>Osmanthus heterophyllus Gulftide False Holly 48 in. Height Ball and Burlap</t>
  </si>
  <si>
    <t>62521-103</t>
  </si>
  <si>
    <t>Calliandra haematocephala Nana Red Powderpuff 3 gal. Container</t>
  </si>
  <si>
    <t>63649-103</t>
  </si>
  <si>
    <t>Cornus alba Budd's Yellow Yellow Twig Dogwood 3 gal. Container</t>
  </si>
  <si>
    <t>62399-PY230</t>
  </si>
  <si>
    <t>Buxus x Green Mountain Boxwood Pyramidal 30 in. Height Ball and Burlap</t>
  </si>
  <si>
    <t>77477-102</t>
  </si>
  <si>
    <t>Euonymus japonicus Gold Spot Japanese Euonymus 2 gal. Container</t>
  </si>
  <si>
    <t>70596-3T105</t>
  </si>
  <si>
    <t>Picea laxa (glauca) Conica Dwarf Alberta White Spruce 3 Tier Poodle 5 gal. Container</t>
  </si>
  <si>
    <t>68258-101</t>
  </si>
  <si>
    <t>Laurus nobilis Bay Laurel 1 gal. Container</t>
  </si>
  <si>
    <t>67198-107</t>
  </si>
  <si>
    <t>Hydrangea paniculata Tardiva Panicle Hydrangea 7 gal. Container</t>
  </si>
  <si>
    <t>73165-305</t>
  </si>
  <si>
    <t>Syringa vulgaris Common Lilac 5 ft. Height Ball and Burlap</t>
  </si>
  <si>
    <t>WARNER NURSERY</t>
  </si>
  <si>
    <t>78605-105</t>
  </si>
  <si>
    <t>Pyracantha angustifolia Yukon Belle Monrovia Firethorn 5 gal. Container</t>
  </si>
  <si>
    <t>74056-103</t>
  </si>
  <si>
    <t>Viburnum plicatum var. tomentosum Shasta Doublefile Viburnum 3 gal. Container</t>
  </si>
  <si>
    <t>76393-105</t>
  </si>
  <si>
    <t>Chamaecyparis pisifera filifera Golden Charm Japanese Falsecypress 5 gal. Container</t>
  </si>
  <si>
    <t>TDH NURSERIES</t>
  </si>
  <si>
    <t>62399-PY224</t>
  </si>
  <si>
    <t>Buxus x Green Mountain Boxwood Pyramidal 24 in. Height Ball and Burlap</t>
  </si>
  <si>
    <t>PARSONAGE RUN NURSERY</t>
  </si>
  <si>
    <t>84406-105</t>
  </si>
  <si>
    <t>Platycladus (Thuja) orientalis Franky Boy Chinese Arborvitae 5 gal. Container</t>
  </si>
  <si>
    <t>63818-236</t>
  </si>
  <si>
    <t>Cotinus coggygria Golden Spirit Smoke Tree 36 in. Height Ball and Burlap</t>
  </si>
  <si>
    <t>85624-103</t>
  </si>
  <si>
    <t>Ilex glabra Color Choice Gem Box Proven Winners Inkberry Holly True 3 gal. (11.36 L) Container</t>
  </si>
  <si>
    <t>71576-107</t>
  </si>
  <si>
    <t>Rhododendron x Hershey Red Azalea 7 gal. Container</t>
  </si>
  <si>
    <t>73273-242</t>
  </si>
  <si>
    <t>Taxus x media Hicksii Anglojap Yew 42 in. Height Ball and Burlap</t>
  </si>
  <si>
    <t>84395-103</t>
  </si>
  <si>
    <t>Syringa x Bloomerang Dark Purple Proven Winners Lilac 3 gal. Container</t>
  </si>
  <si>
    <t>74932-307SPC</t>
  </si>
  <si>
    <t>Ligustrum ovalifolium California Privet Specimen 7 ft. Height Ball and Burlap</t>
  </si>
  <si>
    <t>77776-STD305</t>
  </si>
  <si>
    <t>Hydrangea paniculata Color Choice Quick Fire Proven Winners Panicle Hydrangea Tree Form Standard 5 ft. Height Ball and Burlap</t>
  </si>
  <si>
    <t>62400-106</t>
  </si>
  <si>
    <t>Buxus x Green Velvet Boxwood 6 gal. Container</t>
  </si>
  <si>
    <t>70628-102</t>
  </si>
  <si>
    <t>Picea pungens Glauca Globosa Blue Spruce 2 gal. Container</t>
  </si>
  <si>
    <t>80832-105</t>
  </si>
  <si>
    <t>Hydrangea paniculata Vanilla Strawberry First Editions Panicle Hydrangea 5 gal. (14.88 L) Container</t>
  </si>
  <si>
    <t>80435-102</t>
  </si>
  <si>
    <t>Chaenomeles speciosa Double Take Orange Proven Winners Flowering Quince True 2 gal. (7.57 L) Container</t>
  </si>
  <si>
    <t>61878-103</t>
  </si>
  <si>
    <t>Aucuba japonica Mr. Goldstrike Spotted Laurel 3 gal. Container</t>
  </si>
  <si>
    <t>72318-107</t>
  </si>
  <si>
    <t>Salix integra Hakuro Nishiki Dappled Willow 7 gal. Container</t>
  </si>
  <si>
    <t>69276-105</t>
  </si>
  <si>
    <t>Myrica pennsylvanica Bayberry 5 gal. Container</t>
  </si>
  <si>
    <t>67885-101</t>
  </si>
  <si>
    <t>Juniperus horizontalis Bar Harbor Creeping Juniper 1 gal. Container</t>
  </si>
  <si>
    <t>68856-105</t>
  </si>
  <si>
    <t>Mahonia bealei Leatherleaf Mahonia 5 gal. Container</t>
  </si>
  <si>
    <t>71997-105</t>
  </si>
  <si>
    <t>Rosa floribunda Iceberg White Shrub Rose 5 gal. Container</t>
  </si>
  <si>
    <t>60534-110</t>
  </si>
  <si>
    <t>Aesculus parviflora Bottlebrush Buckeye 10 gal. Container</t>
  </si>
  <si>
    <t>73122-107</t>
  </si>
  <si>
    <t>Syringa meyeri Palibin Dwarf Korean Lilac 7 gal. Container</t>
  </si>
  <si>
    <t>74060-107</t>
  </si>
  <si>
    <t>Viburnum x pragense Prague Viburnum 7 gal. Container</t>
  </si>
  <si>
    <t>73273-103</t>
  </si>
  <si>
    <t>Taxus x media Hicksii Anglojap Yew 3 gal. Container</t>
  </si>
  <si>
    <t>74052-105</t>
  </si>
  <si>
    <t>Viburnum plicatum var. tomentosum Mariesii Doublefile Viburnum 5 gal. Container</t>
  </si>
  <si>
    <t>71997-103</t>
  </si>
  <si>
    <t>Rosa floribunda Iceberg White Shrub Rose 3 gal. Container</t>
  </si>
  <si>
    <t>74062-236</t>
  </si>
  <si>
    <t>Viburnum x rhytidophylloides Alleghany Lantanphyllum Viburnum 36 in. Height Ball and Burlap</t>
  </si>
  <si>
    <t>84395-STD110</t>
  </si>
  <si>
    <t>Syringa x Bloomerang Dark Purple Proven Winners Lilac Tree Form Standard 10 gal. Container</t>
  </si>
  <si>
    <t>86413-107</t>
  </si>
  <si>
    <t>Buddleja x Color Choice Pugster Blue Proven Winners Butterfly Bush 7 gal. (24.32 L) Container</t>
  </si>
  <si>
    <t>90558-STD105PREM</t>
  </si>
  <si>
    <t>Rosa x Grace N' Grit Yellow Shrub Rose Tree Form Standard Premium 5 gal. Container</t>
  </si>
  <si>
    <t>62399-SP115-42IN</t>
  </si>
  <si>
    <t>Buxus x Green Mountain Boxwood Spiral 42 in. Height 15 gal. Container</t>
  </si>
  <si>
    <t>65353-105</t>
  </si>
  <si>
    <t>Fothergilla gardenii Dwarf Fothergilla 5 gal. Container</t>
  </si>
  <si>
    <t>62410-110</t>
  </si>
  <si>
    <t>Buxus sinica var. insularis Wintergreen Korean Boxwood 10 gal. Container</t>
  </si>
  <si>
    <t>76064-CN224</t>
  </si>
  <si>
    <t>Buxus sempervirens Variegata Variegated Boxwood Cone 24 in. Height Ball and Burlap</t>
  </si>
  <si>
    <t>91945-102</t>
  </si>
  <si>
    <t>Euonymus japonicus Happiness Japanese Euonymus 2 gal. Container</t>
  </si>
  <si>
    <t>91812-103</t>
  </si>
  <si>
    <t>Hydrangea paniculata Little Hottie First Editions Panicle Hydrangea True 3 gal. (11.36 L) Container</t>
  </si>
  <si>
    <t>90746-102</t>
  </si>
  <si>
    <t>Rosa x Petite Knock Out Miniature Rose True 2 gal. (7.57 L) Container</t>
  </si>
  <si>
    <t>63080-110</t>
  </si>
  <si>
    <t>Cephalotaxus harringtonia Fastigiata Japanese Plum Yew 10 gal. Container</t>
  </si>
  <si>
    <t>70596-103-30IN</t>
  </si>
  <si>
    <t>Picea laxa (glauca) Conica Dwarf Alberta White Spruce 30 in. Height 3 gal. Container</t>
  </si>
  <si>
    <t>71821-107</t>
  </si>
  <si>
    <t>Rhododendron x Tradition Azalea 7 gal. Container</t>
  </si>
  <si>
    <t>73508-105</t>
  </si>
  <si>
    <t>Tibouchina urvilleana Princess Flower 5 gal. Container</t>
  </si>
  <si>
    <t>74291-105</t>
  </si>
  <si>
    <t>Yucca gloriosa var. tristis (recurvifolia) Curve-Leaf Yucca 5 gal. Container</t>
  </si>
  <si>
    <t>74284-105</t>
  </si>
  <si>
    <t>Yucca filamentosa Golden Sword Curlyleaf Yucca 5 gal. Container</t>
  </si>
  <si>
    <t>60995-020</t>
  </si>
  <si>
    <t>Amelanchier x lamarckii (grandiflora) Autumn Brilliance Apple Serviceberry 2 in. Caliper Ball and Burlap</t>
  </si>
  <si>
    <t>62967-306</t>
  </si>
  <si>
    <t>Cedrus deodara Aurea Golden Deodar Cedar 6 ft. Height Ball and Burlap</t>
  </si>
  <si>
    <t>Ron Anton Sales</t>
  </si>
  <si>
    <t>63174-307</t>
  </si>
  <si>
    <t>Callitropsis (Chamaecyparis) nootkatensis Pendula Weeping Alaskan Cedar 7 ft. Height Ball and Burlap</t>
  </si>
  <si>
    <t>68107-306</t>
  </si>
  <si>
    <t>Lagerstroemia indica Catawba Crape Myrtle 6 ft. Height Ball and Burlap</t>
  </si>
  <si>
    <t>WORTHINGTON FARMS, INC.</t>
  </si>
  <si>
    <t>60269-308</t>
  </si>
  <si>
    <t>Acer palmatum Bloodgood Japanese Maple 8 ft. Height Ball and Burlap</t>
  </si>
  <si>
    <t>67856-308</t>
  </si>
  <si>
    <t>Juniperus chinensis Torulosa Hollywood Juniper 8 ft. Height Ball and Burlap</t>
  </si>
  <si>
    <t>63178-103</t>
  </si>
  <si>
    <t>Chamaecyparis obtusa Crippsii Golden Hinoki Cypress 3 gal. Container</t>
  </si>
  <si>
    <t>71174-115</t>
  </si>
  <si>
    <t>Prunus cerasifera Thundercloud Cherry Plum 15 gal. Container</t>
  </si>
  <si>
    <t>63667-306</t>
  </si>
  <si>
    <t>Cornus florida Cherokee Princess Dogwood 6 ft. Height Ball and Burlap</t>
  </si>
  <si>
    <t>71150-020</t>
  </si>
  <si>
    <t>Prunus x Okame Flowering Cherry 2 in. Caliper Ball and Burlap</t>
  </si>
  <si>
    <t>71454-0175</t>
  </si>
  <si>
    <t>Quercus rubra Red Oak 1.75 in. Caliper Ball and Burlap</t>
  </si>
  <si>
    <t>73138-115</t>
  </si>
  <si>
    <t>Syringa reticulata Ivory Silk Japanese Tree Lilac 15 gal. Container</t>
  </si>
  <si>
    <t>73138-025</t>
  </si>
  <si>
    <t>Syringa reticulata Ivory Silk Japanese Tree Lilac 2.5 in. Caliper Ball and Burlap</t>
  </si>
  <si>
    <t>76253-312</t>
  </si>
  <si>
    <t>Cedrus deodara Gold Cone Deodar Cedar 12 ft. Height Ball and Burlap</t>
  </si>
  <si>
    <t>76394-105</t>
  </si>
  <si>
    <t>Chamaecyparis pisifera Baby Blue Blue Sawara Cypress 5 gal. Container</t>
  </si>
  <si>
    <t>77878-110</t>
  </si>
  <si>
    <t>Juniperus scopulorum Blue Arrow Rocky Mountain Juniper 10 gal. Container</t>
  </si>
  <si>
    <t>78895-310</t>
  </si>
  <si>
    <t>Picea pungens Blue Select Blue Spruce 10 ft. Height Ball and Burlap</t>
  </si>
  <si>
    <t>75946-110</t>
  </si>
  <si>
    <t>Acer palmatum Emperor 1 Japanese Maple 10 gal. Container</t>
  </si>
  <si>
    <t>77846-307</t>
  </si>
  <si>
    <t>Ilex hybrid Robin Holly 7 ft. Height Ball and Burlap</t>
  </si>
  <si>
    <t>78567-248</t>
  </si>
  <si>
    <t>Pinus flexilis Vanderwolf's Pyramid Limber Pine 48 in. Height Ball and Burlap</t>
  </si>
  <si>
    <t>60269-ESP5X5FT420</t>
  </si>
  <si>
    <t>Acer palmatum Bloodgood Japanese Maple Espalier 20 in. Container</t>
  </si>
  <si>
    <t>63699-309</t>
  </si>
  <si>
    <t>Cornus kousa Kousa Dogwood 9 ft. Height Ball and Burlap</t>
  </si>
  <si>
    <t>76017-307</t>
  </si>
  <si>
    <t>Thuja occidentalis Yellow Ribbon American Arborvitae 7 ft. Height Ball and Burlap</t>
  </si>
  <si>
    <t>62155-308</t>
  </si>
  <si>
    <t>Betula utilis var. jacquemontii Himalayan Birch 8 ft. Height Ball and Burlap</t>
  </si>
  <si>
    <t>75951-305</t>
  </si>
  <si>
    <t>Acer palmatum Osakazuki Japanese Maple 5 ft. Height Ball and Burlap</t>
  </si>
  <si>
    <t>63699-MS306</t>
  </si>
  <si>
    <t>Cornus kousa Kousa Dogwood Tree Form Multi Stem 6 ft. Height Ball and Burlap</t>
  </si>
  <si>
    <t>75943-115</t>
  </si>
  <si>
    <t>Acer palmatum subsp. matsumurae Viridis Japanese Laceleaf Maple 15 gal. Container</t>
  </si>
  <si>
    <t xml:space="preserve">Everde Oregon </t>
  </si>
  <si>
    <t>63699-MS308</t>
  </si>
  <si>
    <t>Cornus kousa Kousa Dogwood Tree Form Multi Stem 8 ft. Height Ball and Burlap</t>
  </si>
  <si>
    <t>62815-115</t>
  </si>
  <si>
    <t>Carpinus betulus Fastigiata European Hornbeam 15 gal. Container</t>
  </si>
  <si>
    <t>76408-115</t>
  </si>
  <si>
    <t>Prunus virginiana Canada Red Chokecherry 15 gal. Container</t>
  </si>
  <si>
    <t>71174-025</t>
  </si>
  <si>
    <t>Prunus cerasifera Thundercloud Cherry Plum 2.5 in. Caliper Ball and Burlap</t>
  </si>
  <si>
    <t>70614-305</t>
  </si>
  <si>
    <t>Picea omorika Pendula Serbian Spruce 5 ft. Height Ball and Burlap</t>
  </si>
  <si>
    <t>67325-305</t>
  </si>
  <si>
    <t>Ilex x Nellie R. Stevens Holly 5 ft. Height Ball and Burlap</t>
  </si>
  <si>
    <t>63985-105</t>
  </si>
  <si>
    <t>Cupressocyparis leylandii Leyland Cypress 5 gal. Container</t>
  </si>
  <si>
    <t>73788-125</t>
  </si>
  <si>
    <t>Ulmus americana Princeton American Elm 25-30 gal. Container</t>
  </si>
  <si>
    <t>76405-110</t>
  </si>
  <si>
    <t>Prunus x subhirtella Snow Fountains Weeping Higan Cherry 10 gal. Container</t>
  </si>
  <si>
    <t>Riggins Nursery</t>
  </si>
  <si>
    <t>76405-020</t>
  </si>
  <si>
    <t>Prunus x subhirtella Snow Fountains Weeping Higan Cherry 2 in. Caliper Ball and Burlap</t>
  </si>
  <si>
    <t>62132-MS314</t>
  </si>
  <si>
    <t>Betula nigra Dura Heat River Birch Tree Form Multi Stem 14 ft. Height Ball and Burlap</t>
  </si>
  <si>
    <t>60253-025</t>
  </si>
  <si>
    <t>Acer palmatum Sangokaku Coral Bark Japanese Maple 2.5 in. Caliper Ball and Burlap</t>
  </si>
  <si>
    <t>60261-115</t>
  </si>
  <si>
    <t>Acer palmatum subsp. matsumurae Crimson Queen Japanese Laceleaf Maple 15 gal. Container</t>
  </si>
  <si>
    <t>60269-248</t>
  </si>
  <si>
    <t>Acer palmatum Bloodgood Japanese Maple 48 in. Height Ball and Burlap</t>
  </si>
  <si>
    <t>KG FARMS INC</t>
  </si>
  <si>
    <t>62980-SE107</t>
  </si>
  <si>
    <t>Cedrus atlantica Glauca Pendula Weeping Blue Atlas Cedar Serpentine 7 gal. Container</t>
  </si>
  <si>
    <t>63107-015</t>
  </si>
  <si>
    <t>Cercis canadensis Eastern Redbud 1.5 in. Caliper Ball and Burlap</t>
  </si>
  <si>
    <t>68144-308</t>
  </si>
  <si>
    <t>Lagerstroemia indica Dynamite Crape Myrtle 8 ft. Height Ball and Burlap</t>
  </si>
  <si>
    <t>WAGONER'S NURSERY</t>
  </si>
  <si>
    <t>63951-110</t>
  </si>
  <si>
    <t>Cryptomeria japonica Yoshino Japanese Cedar 10 gal. Container</t>
  </si>
  <si>
    <t>68124-115</t>
  </si>
  <si>
    <t>Lagerstroemia hybrid Tonto Crape Myrtle 15 gal. Container</t>
  </si>
  <si>
    <t>67852-SP110</t>
  </si>
  <si>
    <t>Juniperus chinensis Spartan Chinese Juniper Spiral 10 gal. Container</t>
  </si>
  <si>
    <t>63098-020</t>
  </si>
  <si>
    <t>Cercidiphyllum japonicum Katsura 2 in. Caliper Ball and Burlap</t>
  </si>
  <si>
    <t>77538-105</t>
  </si>
  <si>
    <t>Ficus carica Brown Turkey Fig 5 gal. Container</t>
  </si>
  <si>
    <t>76405-030</t>
  </si>
  <si>
    <t>Prunus x subhirtella Snow Fountains Weeping Higan Cherry 3 in. Caliper Ball and Burlap</t>
  </si>
  <si>
    <t>77882-2T105</t>
  </si>
  <si>
    <t>Juniperus chinensis Hetz Columnaris Chinese Juniper 2 Tier Poodle 5 gal. Container</t>
  </si>
  <si>
    <t>76915-115</t>
  </si>
  <si>
    <t>Ilex x Centennial Girl Holly 15 gal. Container</t>
  </si>
  <si>
    <t>73789-035</t>
  </si>
  <si>
    <t>Ulmus americana Valley Forge American Elm 3.5 in. Caliper Ball and Burlap</t>
  </si>
  <si>
    <t>83117-025</t>
  </si>
  <si>
    <t>Acer saccharum Flashfire Sugar Maple 2.5 in. Caliper Ball and Burlap</t>
  </si>
  <si>
    <t>77882-3T107MON</t>
  </si>
  <si>
    <t>Juniperus chinensis Hetz Columnaris Chinese Juniper 3 Tier Poodle 7 gal. Container</t>
  </si>
  <si>
    <t>67974-102</t>
  </si>
  <si>
    <t>Juniperus virginiana Eastern Redcedar 2 gal. Container</t>
  </si>
  <si>
    <t>JP Chesapeake Management LLC</t>
  </si>
  <si>
    <t>71217-102</t>
  </si>
  <si>
    <t>Prunus serotina Black Cherry 2 gal. Container</t>
  </si>
  <si>
    <t>77882-115PREM</t>
  </si>
  <si>
    <t>Juniperus chinensis Hetz Columnaris Chinese Juniper Premium 15 gal. Container</t>
  </si>
  <si>
    <t>60260-115.307</t>
  </si>
  <si>
    <t>Acer palmatum Japanese Maple 7 ft. Height 15 gal. Container</t>
  </si>
  <si>
    <t>68117-115PREM</t>
  </si>
  <si>
    <t>Lagerstroemia indica x fauriei Natchez Crape Myrtle Premium 15 gal. Container</t>
  </si>
  <si>
    <t>81770-020</t>
  </si>
  <si>
    <t>Magnolia virginiana Green Shadow Sweetbay Magnolia 2 in. Caliper Ball and Burlap</t>
  </si>
  <si>
    <t>93631-115</t>
  </si>
  <si>
    <t>Acer x pseudosieboldianum Pacific Rim Wabi Sabi Korean Maple 15 gal. Container</t>
  </si>
  <si>
    <t>60255-020</t>
  </si>
  <si>
    <t>Acer palmatum subsp. matsumurae Seiryu Japanese Laceleaf Maple 2 in. Caliper Ball and Burlap</t>
  </si>
  <si>
    <t>90886-020</t>
  </si>
  <si>
    <t>Cercis canadensis Flame Thrower Eastern Redbud 2 in. Caliper Ball and Burlap</t>
  </si>
  <si>
    <t>96479-306</t>
  </si>
  <si>
    <t>Ilex opaca Arlene Leach American Holly 6 ft. Height Ball and Burlap</t>
  </si>
  <si>
    <t>67852-SP120</t>
  </si>
  <si>
    <t>Juniperus chinensis Spartan Chinese Juniper Spiral 20 gal. Container</t>
  </si>
  <si>
    <t>86606-305</t>
  </si>
  <si>
    <t>Chamaecyparis obtusa Iseli Green Hinoki Cypress 5 ft. Height Ball and Burlap</t>
  </si>
  <si>
    <t>82408-020</t>
  </si>
  <si>
    <t>Gleditsia triacanthos var. inermis Street Keeper Thornless Honeylocust 2 in. Caliper Ball and Burlap</t>
  </si>
  <si>
    <t>73039-312PREM</t>
  </si>
  <si>
    <t>Stewartia monadelpha Tall Stewartia Premium 12 ft. Height Ball and Burlap</t>
  </si>
  <si>
    <t>73039-040</t>
  </si>
  <si>
    <t>Stewartia monadelpha Tall Stewartia 4 in. Caliper Ball and Burlap</t>
  </si>
  <si>
    <t>90200-305</t>
  </si>
  <si>
    <t>Juniperus virginiana Emerald Feather Eastern Red Cedar 5 ft. Height Ball and Burlap</t>
  </si>
  <si>
    <t>77339-312</t>
  </si>
  <si>
    <t>Cupressocyparis leylandii Emerald Isle Monrovia Leyland Cypress 12 ft. Height Ball and Burlap</t>
  </si>
  <si>
    <t>75955-115</t>
  </si>
  <si>
    <t>Acer palmatum Ojishi Japanese Maple 15 gal. Container</t>
  </si>
  <si>
    <t>63679-020</t>
  </si>
  <si>
    <t>Cornus florida Spring Grove Dogwood 2 in. Caliper Ball and Burlap</t>
  </si>
  <si>
    <t>89845-W830</t>
  </si>
  <si>
    <t>Acer palmatum subsp. matsumurae Emerald Lace Japanese Laceleaf Maple 30 in. Width Ball and Burlap</t>
  </si>
  <si>
    <t>RUSSELL'S NURSERY</t>
  </si>
  <si>
    <t>75970-110</t>
  </si>
  <si>
    <t>Acer rubrum Brandywine Red Maple 10 gal. Container</t>
  </si>
  <si>
    <t>Bell Nursery</t>
  </si>
  <si>
    <t>77888-PM102MON</t>
  </si>
  <si>
    <t>Juniperus chinensis Hetzii Glauca Chinese Juniper Pom Pom Premium 2 gal. Container</t>
  </si>
  <si>
    <t>70572-STK107PREM</t>
  </si>
  <si>
    <t>Picea abies Pendula Norway Spruce Staked Premium 7 gal. Container</t>
  </si>
  <si>
    <t>73397-306PREM</t>
  </si>
  <si>
    <t>Thuja occidentalis Emerald Arborvitae Premium 6 ft. Height Ball and Burlap</t>
  </si>
  <si>
    <t>71174-120</t>
  </si>
  <si>
    <t>Prunus cerasifera Thundercloud Cherry Plum 20 gal. Container</t>
  </si>
  <si>
    <t>63036-102</t>
  </si>
  <si>
    <t>Celtis occidentalis Hackberry 2 gal. Container</t>
  </si>
  <si>
    <t>81938-025</t>
  </si>
  <si>
    <t>Liriodendron tulipifera Emerald City Tulip Tree 2.5 in. Caliper Ball and Burlap</t>
  </si>
  <si>
    <t>63705-0175</t>
  </si>
  <si>
    <t>Cornus x rutgersensis Stellar Celestial Dogwood 1.75 in. Caliper Ball and Burlap</t>
  </si>
  <si>
    <t>62155-MS312</t>
  </si>
  <si>
    <t>Betula utilis var. jacquemontii Himalayan Birch Tree Form Multi Stem 12 ft. Height Ball and Burlap</t>
  </si>
  <si>
    <t>60197-030</t>
  </si>
  <si>
    <t>Acer x freemanii Armstrong Freeman Maple 3 in. Caliper Ball and Burlap</t>
  </si>
  <si>
    <t>75943-230</t>
  </si>
  <si>
    <t>Acer palmatum subsp. matsumurae Viridis Japanese Laceleaf Maple 30 in. Height Ball and Burlap</t>
  </si>
  <si>
    <t>60269-305SPC</t>
  </si>
  <si>
    <t>Acer palmatum Bloodgood Japanese Maple Specimen 5 ft. Height Ball and Burlap</t>
  </si>
  <si>
    <t>81387-110</t>
  </si>
  <si>
    <t>Ginkgo biloba Jade Butterfly Garden Debut Maidenhair Tree 10 gal. Container</t>
  </si>
  <si>
    <t>62155-125</t>
  </si>
  <si>
    <t>Betula utilis var. jacquemontii Himalayan Birch 25-30 gal. Container</t>
  </si>
  <si>
    <t>82408-025</t>
  </si>
  <si>
    <t>Gleditsia triacanthos var. inermis Street Keeper Thornless Honeylocust 2.5 in. Caliper Ball and Burlap</t>
  </si>
  <si>
    <t>79931-308</t>
  </si>
  <si>
    <t>Magnolia virginiana Moonglow Sweetbay Magnolia 8 ft. Height Ball and Burlap</t>
  </si>
  <si>
    <t>81432-115</t>
  </si>
  <si>
    <t>Cercis canadensis Ruby Falls Weeping Eastern Redbud 15 gal. Container</t>
  </si>
  <si>
    <t>62132-MS115</t>
  </si>
  <si>
    <t>Betula nigra Dura Heat River Birch Tree Form Multi Stem 15 gal. Container</t>
  </si>
  <si>
    <t>65780-115</t>
  </si>
  <si>
    <t>Ginkgo biloba Fastigiata Maidenhair Tree 15 gal. Container</t>
  </si>
  <si>
    <t>HALE &amp; HINES NURSERY</t>
  </si>
  <si>
    <t>67434-308</t>
  </si>
  <si>
    <t>Ilex opaca American Holly 8 ft. Height Ball and Burlap</t>
  </si>
  <si>
    <t>63344-103</t>
  </si>
  <si>
    <t>Citrus limon Lemon 3 gal. Container</t>
  </si>
  <si>
    <t>68125-STD115</t>
  </si>
  <si>
    <t>Lagerstroemia indica x fauriei Tuscarora Crape Myrtle Tree Form Standard 15 gal. Container</t>
  </si>
  <si>
    <t>60261-120</t>
  </si>
  <si>
    <t>Acer palmatum subsp. matsumurae Crimson Queen Japanese Laceleaf Maple 20 gal. Container</t>
  </si>
  <si>
    <t>77882-306</t>
  </si>
  <si>
    <t>Juniperus chinensis Hetz Columnaris Chinese Juniper 6 ft. Height Ball and Burlap</t>
  </si>
  <si>
    <t>76255-307</t>
  </si>
  <si>
    <t>Cedrus deodara Karl Fuchs Deodar Cedar 7 ft. Height Ball and Burlap</t>
  </si>
  <si>
    <t>68124-307</t>
  </si>
  <si>
    <t>Lagerstroemia hybrid Tonto Crape Myrtle 7 ft. Height Ball and Burlap</t>
  </si>
  <si>
    <t>Back Road Farms</t>
  </si>
  <si>
    <t>63951-125</t>
  </si>
  <si>
    <t>Cryptomeria japonica Yoshino Japanese Cedar 25-30 gal. Container</t>
  </si>
  <si>
    <t>73387-307</t>
  </si>
  <si>
    <t>Thuja occidentalis Nigra Arborvitae 7 ft. Height Ball and Burlap</t>
  </si>
  <si>
    <t>76253-310</t>
  </si>
  <si>
    <t>Cedrus deodara Gold Cone Deodar Cedar 10 ft. Height Ball and Burlap</t>
  </si>
  <si>
    <t>64487-103</t>
  </si>
  <si>
    <t>Diospyros virginiana Persimmon 3 gal. Container</t>
  </si>
  <si>
    <t>81722-105</t>
  </si>
  <si>
    <t>Cedrus deodara Feelin Sunny Monrovia Deodar Cedar 5 gal. Container</t>
  </si>
  <si>
    <t>60318-102</t>
  </si>
  <si>
    <t>Acer rubrum Red Maple 2 gal. Container</t>
  </si>
  <si>
    <t>77748-115</t>
  </si>
  <si>
    <t>Carpinus betulus Frans Fontaine European Hornbeam 15 gal. Container</t>
  </si>
  <si>
    <t>71242-145</t>
  </si>
  <si>
    <t>Prunus x yedoensis Flowering Yoshino Cherry 45 gal. Container</t>
  </si>
  <si>
    <t>78155-306</t>
  </si>
  <si>
    <t>Callitropsis (Chamaecyparis) nootkatensis Glauca Pendula Blue Weeping Alaskan Cedar 6 ft. Height Ball and Burlap</t>
  </si>
  <si>
    <t>62132-035</t>
  </si>
  <si>
    <t>Betula nigra Dura Heat River Birch 3.5 in. Caliper Ball and Burlap</t>
  </si>
  <si>
    <t>79773-030</t>
  </si>
  <si>
    <t>Acer rubrum Redpointe Red Maple 3 in. Caliper Ball and Burlap</t>
  </si>
  <si>
    <t>65779-030</t>
  </si>
  <si>
    <t>Ginkgo biloba Autumn Gold Maidenhair Tree 3 in. Caliper Ball and Burlap</t>
  </si>
  <si>
    <t>73514-020</t>
  </si>
  <si>
    <t>Tilia americana American Linden 2 in. Caliper Ball and Burlap</t>
  </si>
  <si>
    <t>70626-105</t>
  </si>
  <si>
    <t>Picea pungens Fat Albert Blue Spruce 5 gal. Container</t>
  </si>
  <si>
    <t>60253-110</t>
  </si>
  <si>
    <t>Acer palmatum Sangokaku Coral Bark Japanese Maple 10 gal. Container</t>
  </si>
  <si>
    <t>68144-307</t>
  </si>
  <si>
    <t>Lagerstroemia indica Dynamite Crape Myrtle 7 ft. Height Ball and Burlap</t>
  </si>
  <si>
    <t>70773-PM115-48IN</t>
  </si>
  <si>
    <t>Pinus sylvestris Scots Pine Pom Pom 48 in. Height 15 gal. Container</t>
  </si>
  <si>
    <t>79566-110</t>
  </si>
  <si>
    <t>Cryptomeria japonica Radicans Japanese Cedar 10 gal. Container</t>
  </si>
  <si>
    <t>90155-307</t>
  </si>
  <si>
    <t>Lagerstroemia x Colorama Scarlet Garden Debut Crape Myrtle 7 ft. Height Ball and Burlap</t>
  </si>
  <si>
    <t>62817-307IH</t>
  </si>
  <si>
    <t>Carpinus betulus European Hornbeam Instant Hedge 7 ft. Height Ball and Burlap</t>
  </si>
  <si>
    <t>84688-030</t>
  </si>
  <si>
    <t>Prunus sargentii Pink Flair Flowering Cherry 3 in. Caliper Ball and Burlap</t>
  </si>
  <si>
    <t>75943-125</t>
  </si>
  <si>
    <t>Acer palmatum subsp. matsumurae Viridis Japanese Laceleaf Maple 25-30 gal. Container</t>
  </si>
  <si>
    <t>84688-025</t>
  </si>
  <si>
    <t>Prunus sargentii Pink Flair Flowering Cherry 2.5 in. Caliper Ball and Burlap</t>
  </si>
  <si>
    <t>67427-308</t>
  </si>
  <si>
    <t>Ilex opaca Satyr Hill American Holly 8 ft. Height Ball and Burlap</t>
  </si>
  <si>
    <t>77339-307</t>
  </si>
  <si>
    <t>Cupressocyparis leylandii Emerald Isle Monrovia Leyland Cypress 7 ft. Height Ball and Burlap</t>
  </si>
  <si>
    <t>82481-305</t>
  </si>
  <si>
    <t>Pinus nigra Frank Austrian Pine 5 ft. Height Ball and Burlap</t>
  </si>
  <si>
    <t>60994-102</t>
  </si>
  <si>
    <t>Amelanchier canadensis Shadblow Serviceberry 2 gal. Container</t>
  </si>
  <si>
    <t>81387-115</t>
  </si>
  <si>
    <t>Ginkgo biloba Jade Butterfly Garden Debut Maidenhair Tree 15 gal. Container</t>
  </si>
  <si>
    <t>62980-SE125</t>
  </si>
  <si>
    <t>Cedrus atlantica Glauca Pendula Weeping Blue Atlas Cedar Serpentine 25-30 gal. Container</t>
  </si>
  <si>
    <t>79087-115</t>
  </si>
  <si>
    <t>Cornus x Jersey Star Venus Dogwood 15 gal. Container</t>
  </si>
  <si>
    <t>73086-125</t>
  </si>
  <si>
    <t>Syagrus romanzoffianum Queen Palm 25-30 gal. Container</t>
  </si>
  <si>
    <t>70760-248</t>
  </si>
  <si>
    <t>Pinus strobus Pendula Weeping Eastern White Pine 48 in. Height Ball and Burlap</t>
  </si>
  <si>
    <t>68780-115</t>
  </si>
  <si>
    <t>Magnolia grandiflora Bracken's Brown Beauty Southern Magnolia 15 gal. Container</t>
  </si>
  <si>
    <t>68116-307</t>
  </si>
  <si>
    <t>Lagerstroemia indica x fauriei Muskogee Crape Myrtle 7 ft. Height Ball and Burlap</t>
  </si>
  <si>
    <t>63259-305</t>
  </si>
  <si>
    <t>Chionanthus virginicus Fringetree 5 ft. Height Ball and Burlap</t>
  </si>
  <si>
    <t>77303-308</t>
  </si>
  <si>
    <t>Lagerstroemia indica Pink Velour Crape Myrtle 8 ft. Height Ball and Burlap</t>
  </si>
  <si>
    <t>77339-308</t>
  </si>
  <si>
    <t>Cupressocyparis leylandii Emerald Isle Monrovia Leyland Cypress 8 ft. Height Ball and Burlap</t>
  </si>
  <si>
    <t>81374-110</t>
  </si>
  <si>
    <t>Picea pungens The Blues Blue Spruce 10 gal. Container</t>
  </si>
  <si>
    <t>76248-115-48IN</t>
  </si>
  <si>
    <t>Cedrus atlantica Horstmann Blue Atlas Cedar 48 in. Height 15 gal. Container</t>
  </si>
  <si>
    <t>83108-SPC</t>
  </si>
  <si>
    <t>Acer palmatum Murasaki Kiyohime Japanese Maple Specimen Ball and Burlap</t>
  </si>
  <si>
    <t>83424-STK103</t>
  </si>
  <si>
    <t>Pinus strobus Angel Falls Eastern White Pine Staked 3 gal. Container</t>
  </si>
  <si>
    <t>75942-STDW806</t>
  </si>
  <si>
    <t>Acer palmatum subsp. matsumurae Tamukeyama Japanese Laceleaf Maple Tree Form Standard 6 ft. Width Ball and Burlap</t>
  </si>
  <si>
    <t>63180-306PREM</t>
  </si>
  <si>
    <t>Chamaecyparis obtusa Fernspray Gold Golden Hinoki Cypress Premium 6 ft. Height Ball and Burlap</t>
  </si>
  <si>
    <t>89715-306</t>
  </si>
  <si>
    <t>Carpinus betulus Columnaris Nana Dwarf Columnar European Hornbeam 6 ft. Height Ball and Burlap</t>
  </si>
  <si>
    <t>90315-120-1.25IN</t>
  </si>
  <si>
    <t>Styrax japonicus Evening Light Japanese Snowbell 1.25 in. Caliper 20 gal. Container</t>
  </si>
  <si>
    <t>62979-120-8FT</t>
  </si>
  <si>
    <t>Cedrus atlantica Glauca Blue Atlas Cedar 8 ft. Height 20 gal. Container</t>
  </si>
  <si>
    <t>60269-110-8FT</t>
  </si>
  <si>
    <t>Acer palmatum Bloodgood Japanese Maple 8 ft. Height 10 gal. Container</t>
  </si>
  <si>
    <t>70619-309</t>
  </si>
  <si>
    <t>Picea orientalis Skylands Oriental Spruce 9 ft. Height Ball and Burlap</t>
  </si>
  <si>
    <t>70572-STK105PREM</t>
  </si>
  <si>
    <t>Picea abies Pendula Norway Spruce Staked Premium 5 gal. Container</t>
  </si>
  <si>
    <t>75978-305</t>
  </si>
  <si>
    <t>Acer shirasawanum Autumn Moon Full Moon Japanese Maple 5 ft. Height Ball and Burlap</t>
  </si>
  <si>
    <t>60267-230</t>
  </si>
  <si>
    <t>Acer palmatum subsp. matsumurae Waterfall Japanese Laceleaf Maple 30 in. Height Ball and Burlap</t>
  </si>
  <si>
    <t>78004-110PREM</t>
  </si>
  <si>
    <t>Magnolia grandiflora Teddy Bear Garden Debut Southern Magnolia Premium 10 gal. Container</t>
  </si>
  <si>
    <t>60269-110-5FT</t>
  </si>
  <si>
    <t>Acer palmatum Bloodgood Japanese Maple 5 ft. Height 10 gal. Container</t>
  </si>
  <si>
    <t>73397-110-48IN</t>
  </si>
  <si>
    <t>Thuja occidentalis Emerald Arborvitae 48 in. Height 10 gal. Container</t>
  </si>
  <si>
    <t>60253-125-8FT</t>
  </si>
  <si>
    <t>Acer palmatum Sangokaku Coral Bark Japanese Maple 8 ft. Height 25-30 gal. Container</t>
  </si>
  <si>
    <t>71442-102</t>
  </si>
  <si>
    <t>Quercus phellos Willow Oak 2 gal. Container</t>
  </si>
  <si>
    <t>68790-115PREM</t>
  </si>
  <si>
    <t>Magnolia grandiflora Little Gem Southern Magnolia Premium 15 gal. Container</t>
  </si>
  <si>
    <t>78519-0010</t>
  </si>
  <si>
    <t>Chamaedorea cataractarum Cat Palm 10 in. Container</t>
  </si>
  <si>
    <t>84331-305</t>
  </si>
  <si>
    <t>Picea pungens Baby Blue Blue Spruce 5 ft. Height Ball and Burlap</t>
  </si>
  <si>
    <t>82893-115</t>
  </si>
  <si>
    <t>Ginkgo biloba Chi-Chi Maidenhair Tree 15 gal. Container</t>
  </si>
  <si>
    <t>84247-305</t>
  </si>
  <si>
    <t>Chamaecyparis obtusa Gracilis Compacta False Cypress 5 ft. Height Ball and Burlap</t>
  </si>
  <si>
    <t>63180-306</t>
  </si>
  <si>
    <t>Chamaecyparis obtusa Fernspray Gold Golden Hinoki Cypress 6 ft. Height Ball and Burlap</t>
  </si>
  <si>
    <t>65811-125</t>
  </si>
  <si>
    <t>Gleditsia triacanthos var. inermis Skyline Thornless Honeylocust 25-30 gal. Container</t>
  </si>
  <si>
    <t>63176-306</t>
  </si>
  <si>
    <t>Chamaecyparis obtusa Aurea Golden Hinoki Cypress 6 ft. Height Ball and Burlap</t>
  </si>
  <si>
    <t>68749-020</t>
  </si>
  <si>
    <t>Magnolia x Galaxy Magnolia 2 in. Ball and Burlap</t>
  </si>
  <si>
    <t>68115-312</t>
  </si>
  <si>
    <t>Lagerstroemia indica x fauriei Miami Crape Myrtle 12 ft. Height Ball and Burlap</t>
  </si>
  <si>
    <t>73844-MS115</t>
  </si>
  <si>
    <t>Adonidia (Veitchia) merrilli Christmas Palm Tree Form Multi Stem 15 gal. Container</t>
  </si>
  <si>
    <t>65811-030</t>
  </si>
  <si>
    <t>Gleditsia triacanthos var. inermis Skyline Thornless Honeylocust 3 in. Caliper Ball and Burlap</t>
  </si>
  <si>
    <t>62979-307</t>
  </si>
  <si>
    <t>Cedrus atlantica Glauca Blue Atlas Cedar 7 ft. Height Ball and Burlap</t>
  </si>
  <si>
    <t>Bardes Nurseries LLC</t>
  </si>
  <si>
    <t>68117-306</t>
  </si>
  <si>
    <t>Lagerstroemia indica x fauriei Natchez Crape Myrtle 6 ft. Height Ball and Burlap</t>
  </si>
  <si>
    <t>63667-102</t>
  </si>
  <si>
    <t>Cornus florida Cherokee Princess Dogwood 2 gal. Container</t>
  </si>
  <si>
    <t>62135-MS316</t>
  </si>
  <si>
    <t>Betula nigra River Birch Tree Form Multi Stem 16 ft. Height Ball and Burlap</t>
  </si>
  <si>
    <t>62979-305</t>
  </si>
  <si>
    <t>Cedrus atlantica Glauca Blue Atlas Cedar 5 ft. Height Ball and Burlap</t>
  </si>
  <si>
    <t>60261-110</t>
  </si>
  <si>
    <t>Acer palmatum subsp. matsumurae Crimson Queen Japanese Laceleaf Maple 10 gal. Container</t>
  </si>
  <si>
    <t>60207-307</t>
  </si>
  <si>
    <t>Acer griseum Paperbark Maple 7 ft. Height Ball and Burlap</t>
  </si>
  <si>
    <t>63174-110</t>
  </si>
  <si>
    <t>Callitropsis (Chamaecyparis) nootkatensis Pendula Weeping Alaskan Cedar 10 gal. Container</t>
  </si>
  <si>
    <t>62980-SE105</t>
  </si>
  <si>
    <t>Cedrus atlantica Glauca Pendula Weeping Blue Atlas Cedar Serpentine 5 gal. Container</t>
  </si>
  <si>
    <t>63951-120</t>
  </si>
  <si>
    <t>Cryptomeria japonica Yoshino Japanese Cedar 20 gal. Container</t>
  </si>
  <si>
    <t>68161-306</t>
  </si>
  <si>
    <t>Lagerstroemia indica Red Rocket Crape Myrtle 6 ft. Height Ball and Burlap</t>
  </si>
  <si>
    <t>60260-306</t>
  </si>
  <si>
    <t>Acer palmatum Japanese Maple 6 ft. Height Ball and Burlap</t>
  </si>
  <si>
    <t>60267-105</t>
  </si>
  <si>
    <t>Acer palmatum subsp. matsumurae Waterfall Japanese Laceleaf Maple 5 gal. Container</t>
  </si>
  <si>
    <t>60337-025</t>
  </si>
  <si>
    <t>Acer saccharum Green Mountain Sugar Maple 2.5 in. Caliper Ball and Burlap</t>
  </si>
  <si>
    <t>67852-307</t>
  </si>
  <si>
    <t>Juniperus chinensis Spartan Chinese Juniper 7 ft. Height Ball and Burlap</t>
  </si>
  <si>
    <t>68082-020</t>
  </si>
  <si>
    <t>Koelreuteria paniculata Golden Raintree 2 in. Ball and Burlap</t>
  </si>
  <si>
    <t>68849-115</t>
  </si>
  <si>
    <t>Magnolia virginiana Sweet Bay Magnolia 15 gal. Container</t>
  </si>
  <si>
    <t>70572-306</t>
  </si>
  <si>
    <t>Picea abies Pendula Norway Spruce 6 ft. Height Ball and Burlap</t>
  </si>
  <si>
    <t>71379-020</t>
  </si>
  <si>
    <t>Quercus alba White Oak 2 in. Caliper Ball and Burlap</t>
  </si>
  <si>
    <t>68849-306</t>
  </si>
  <si>
    <t>Magnolia virginiana Sweet Bay Magnolia 6 ft. Height Ball and Burlap</t>
  </si>
  <si>
    <t>68905-0175</t>
  </si>
  <si>
    <t>Malus x Sugar Tyme Crabapple 1.75 in. Caliper Ball and Burlap</t>
  </si>
  <si>
    <t>Klem Tree Farm</t>
  </si>
  <si>
    <t>65783-306</t>
  </si>
  <si>
    <t>Ginkgo biloba Saratoga Maidenhair Tree 6 ft. Height Ball and Burlap</t>
  </si>
  <si>
    <t>75942-145-W54IN</t>
  </si>
  <si>
    <t>Acer palmatum subsp. matsumurae Tamukeyama Japanese Laceleaf Maple 54 in. Width 45 gal. Container</t>
  </si>
  <si>
    <t>95088-020</t>
  </si>
  <si>
    <t>Cornus florida Super Princess Dogwood 2 in. Caliper Ball and Burlap</t>
  </si>
  <si>
    <t>63951-150</t>
  </si>
  <si>
    <t>Cryptomeria japonica Yoshino Japanese Cedar 50 gal. Container</t>
  </si>
  <si>
    <t>90155-308</t>
  </si>
  <si>
    <t>Lagerstroemia x Colorama Scarlet Garden Debut Crape Myrtle 8 ft. Height Ball and Burlap</t>
  </si>
  <si>
    <t>81387-120-36IN</t>
  </si>
  <si>
    <t>Ginkgo biloba Jade Butterfly Garden Debut Maidenhair Tree 36 in. Height 20 gal. Container</t>
  </si>
  <si>
    <t>68125-115PREM</t>
  </si>
  <si>
    <t>Lagerstroemia indica x fauriei Tuscarora Crape Myrtle Premium 15 gal. Container</t>
  </si>
  <si>
    <t>81899-307</t>
  </si>
  <si>
    <t>Thuja occidentalis (American Pillar) Full Speed A Hedge American Arborvitae 7 ft. Height Ball and Burlap</t>
  </si>
  <si>
    <t>77560-ESP020</t>
  </si>
  <si>
    <t>Pyrus communis D Anjou European Pear Espalier 2 in. Caliper Ball and Burlap</t>
  </si>
  <si>
    <t>85068-107</t>
  </si>
  <si>
    <t>Thuja occidentalis North Pole Proven Winners American Arborvitae 7 gal. (24.32 L) Container</t>
  </si>
  <si>
    <t>60995-MS307</t>
  </si>
  <si>
    <t>Amelanchier x lamarckii (grandiflora) Autumn Brilliance Apple Serviceberry Tree Form Multi Stem 7 ft. Height Ball and Burlap</t>
  </si>
  <si>
    <t>73397-106</t>
  </si>
  <si>
    <t>Thuja occidentalis Emerald Arborvitae 6 gal. Container</t>
  </si>
  <si>
    <t>75943-224</t>
  </si>
  <si>
    <t>Acer palmatum subsp. matsumurae Viridis Japanese Laceleaf Maple 24 in. Height Ball and Burlap</t>
  </si>
  <si>
    <t>67963-307</t>
  </si>
  <si>
    <t>Juniperus virginiana Hillspire Eastern Red Cedar 7 ft. Height Ball and Burlap</t>
  </si>
  <si>
    <t>76404-025</t>
  </si>
  <si>
    <t>Prunus subhirtella Pendula Plena Rosea Double Weeping Cherry 2.5 in. Caliper Ball and Burlap</t>
  </si>
  <si>
    <t>76404-030</t>
  </si>
  <si>
    <t>Prunus subhirtella Pendula Plena Rosea Double Weeping Cherry 3 in. Caliper Ball and Burlap</t>
  </si>
  <si>
    <t>68144-306</t>
  </si>
  <si>
    <t>Lagerstroemia indica Dynamite Crape Myrtle 6 ft. Height Ball and Burlap</t>
  </si>
  <si>
    <t>63036-020</t>
  </si>
  <si>
    <t>Celtis occidentalis Hackberry 2 in. Caliper Ball and Burlap</t>
  </si>
  <si>
    <t>60358-020</t>
  </si>
  <si>
    <t>Acer tataricum subsp. ginnala Flame Amur Maple 2 in. Caliper Ball and Burlap</t>
  </si>
  <si>
    <t>75946-248</t>
  </si>
  <si>
    <t>Acer palmatum Emperor 1 Japanese Maple 48 in. Height Ball and Burlap</t>
  </si>
  <si>
    <t>75946-305</t>
  </si>
  <si>
    <t>Acer palmatum Emperor 1 Japanese Maple 5 ft. Height Ball and Burlap</t>
  </si>
  <si>
    <t>76385-305</t>
  </si>
  <si>
    <t>Chamaecyparis obtusa Compacta Dwarf Hinoki Cypress 5 ft. Height Ball and Burlap</t>
  </si>
  <si>
    <t>76405-025</t>
  </si>
  <si>
    <t>Prunus x subhirtella Snow Fountains Weeping Higan Cherry 2.5 in. Caliper Ball and Burlap</t>
  </si>
  <si>
    <t>76385-236</t>
  </si>
  <si>
    <t>Chamaecyparis obtusa Compacta Dwarf Hinoki Cypress 36 in. Height Ball and Burlap</t>
  </si>
  <si>
    <t>68125-306</t>
  </si>
  <si>
    <t>Lagerstroemia indica x fauriei Tuscarora Crape Myrtle 6 ft. Height Ball and Burlap</t>
  </si>
  <si>
    <t>72302-020</t>
  </si>
  <si>
    <t>Salix alba Tristis Golden Weeping Willow 2 in. Caliper Ball and Burlap</t>
  </si>
  <si>
    <t>73086-115</t>
  </si>
  <si>
    <t>Syagrus romanzoffianum Queen Palm 15 gal. Container</t>
  </si>
  <si>
    <t>68117-STD025</t>
  </si>
  <si>
    <t>Lagerstroemia indica x fauriei Natchez Crape Myrtle Tree Form Standard 2.5 in. Caliper Ball and Burlap</t>
  </si>
  <si>
    <t>75941-115</t>
  </si>
  <si>
    <t>Acer palmatum subsp. matsumurae Garnet Japanese Laceleaf Maple 15 gal. Container</t>
  </si>
  <si>
    <t>60261-125</t>
  </si>
  <si>
    <t>Acer palmatum subsp. matsumurae Crimson Queen Japanese Laceleaf Maple 25-30 gal. Container</t>
  </si>
  <si>
    <t>Primera Landscape Products LLC</t>
  </si>
  <si>
    <t>62132-308</t>
  </si>
  <si>
    <t>Betula nigra Dura Heat River Birch 8 ft. Height Ball and Burlap</t>
  </si>
  <si>
    <t>79979-025</t>
  </si>
  <si>
    <t>Quercus robur Fastigiata English Oak 2.5 in. Caliper Ball and Burlap</t>
  </si>
  <si>
    <t>74939-115</t>
  </si>
  <si>
    <t>Liquidambar styraciflua Slender Silhouette Sweetgum 15 gal. Container</t>
  </si>
  <si>
    <t>84280-306</t>
  </si>
  <si>
    <t>Ilex opaca Dan Fenton American Holly 6 ft. Height Ball and Burlap</t>
  </si>
  <si>
    <t>75122-306</t>
  </si>
  <si>
    <t>Pinus densiflora Oculus Draconis Japanese Red Pine 6 ft. Height Ball and Burlap</t>
  </si>
  <si>
    <t>62133-MS115</t>
  </si>
  <si>
    <t>Betula nigra Heritage River Birch Tree Form Multi Stem 15 gal. Container</t>
  </si>
  <si>
    <t>75942-110-W24IN</t>
  </si>
  <si>
    <t>Acer palmatum subsp. matsumurae Tamukeyama Japanese Laceleaf Maple 24 in. Width 10 gal. Container</t>
  </si>
  <si>
    <t>77882-SP110MON</t>
  </si>
  <si>
    <t>Juniperus chinensis Hetz Columnaris Chinese Juniper Spiral 10 gal. Container</t>
  </si>
  <si>
    <t>75942-236</t>
  </si>
  <si>
    <t>Acer palmatum subsp. matsumurae Tamukeyama Japanese Laceleaf Maple 36 in. Height Ball and Burlap</t>
  </si>
  <si>
    <t>65221-125</t>
  </si>
  <si>
    <t>Fagus sylvatica Green Beech 25-30 gal. Container</t>
  </si>
  <si>
    <t>93117-305</t>
  </si>
  <si>
    <t>Acer palmatum Summer Gold Japanese Maple 5 ft. Height Ball and Burlap</t>
  </si>
  <si>
    <t>78902-312</t>
  </si>
  <si>
    <t>Picea omorika Pendula Bruns Serbian Spruce 12 ft. Height Ball and Burlap</t>
  </si>
  <si>
    <t>67320-306</t>
  </si>
  <si>
    <t>Ilex x Greenleaf Holly 6 ft. Height Ball and Burlap</t>
  </si>
  <si>
    <t>60269-307</t>
  </si>
  <si>
    <t>Acer palmatum Bloodgood Japanese Maple 7 ft. Height Ball and Burlap</t>
  </si>
  <si>
    <t>62975-307</t>
  </si>
  <si>
    <t>Cedrus deodara Deodar Cedar 7 ft. Height Ball and Burlap</t>
  </si>
  <si>
    <t>62133-MS316</t>
  </si>
  <si>
    <t>Betula nigra Heritage River Birch Tree Form Multi Stem 16 ft. Height Ball and Burlap</t>
  </si>
  <si>
    <t>63699-115</t>
  </si>
  <si>
    <t>Cornus kousa Kousa Dogwood 15 gal. Container</t>
  </si>
  <si>
    <t>62980-SE305</t>
  </si>
  <si>
    <t>Cedrus atlantica Glauca Pendula Weeping Blue Atlas Cedar Serpentine 5 ft. Height Ball and Burlap</t>
  </si>
  <si>
    <t>62979-306</t>
  </si>
  <si>
    <t>Cedrus atlantica Glauca Blue Atlas Cedar 6 ft. Height Ball and Burlap</t>
  </si>
  <si>
    <t>65810-030</t>
  </si>
  <si>
    <t>Gleditsia triacanthos var. inermis Shademaster Thornless Honeylocust 3 in. Caliper Ball and Burlap</t>
  </si>
  <si>
    <t>70572-305</t>
  </si>
  <si>
    <t>Picea abies Pendula Norway Spruce 5 ft. Height Ball and Burlap</t>
  </si>
  <si>
    <t>73397-309</t>
  </si>
  <si>
    <t>Thuja occidentalis Emerald Arborvitae 9 ft. Height Ball and Burlap</t>
  </si>
  <si>
    <t>J.C. HILL</t>
  </si>
  <si>
    <t>73239-125</t>
  </si>
  <si>
    <t>Taxodium distichum Bald Cypress 25-30 gal. Container</t>
  </si>
  <si>
    <t>73387-306</t>
  </si>
  <si>
    <t>Thuja occidentalis Nigra Arborvitae 6 ft. Height Ball and Burlap</t>
  </si>
  <si>
    <t>67852-SP105</t>
  </si>
  <si>
    <t>Juniperus chinensis Spartan Chinese Juniper Spiral 5 gal. Container</t>
  </si>
  <si>
    <t>73239-115</t>
  </si>
  <si>
    <t>Taxodium distichum Bald Cypress 15 gal. Container</t>
  </si>
  <si>
    <t>71376-020</t>
  </si>
  <si>
    <t>Quercus acutissima Sawtooth Oak 2 in. Caliper Ball and Burlap</t>
  </si>
  <si>
    <t>68116-STD145</t>
  </si>
  <si>
    <t>Lagerstroemia indica x fauriei Muskogee Crape Myrtle Tree Form Standard 45 gal. Container</t>
  </si>
  <si>
    <t>CHERRYLAKE</t>
  </si>
  <si>
    <t>71150-025</t>
  </si>
  <si>
    <t>Prunus x Okame Flowering Cherry 2.5 in. Caliper Ball and Burlap</t>
  </si>
  <si>
    <t>63985-308</t>
  </si>
  <si>
    <t>Cupressocyparis leylandii Leyland Cypress 8 ft. Height Ball and Burlap</t>
  </si>
  <si>
    <t>71230-115</t>
  </si>
  <si>
    <t>Prunus subhirtella Pendula Weeping Cherry 15 gal. Container</t>
  </si>
  <si>
    <t>67408-307</t>
  </si>
  <si>
    <t>Ilex x aquipernyi Dragon Lady Holly 7 ft. Height Ball and Burlap</t>
  </si>
  <si>
    <t>67261-115</t>
  </si>
  <si>
    <t>Hyophorbe lagenicaulis Bottle Palm 15 gal. Container</t>
  </si>
  <si>
    <t>63182-307</t>
  </si>
  <si>
    <t>Chamaecyparis obtusa Gracilis Hinoki Cypress 7 ft. Height Ball and Burlap</t>
  </si>
  <si>
    <t>60995-015</t>
  </si>
  <si>
    <t>Amelanchier x lamarckii (grandiflora) Autumn Brilliance Apple Serviceberry 1.5 in. Caliper Ball and Burlap</t>
  </si>
  <si>
    <t>62980-SE306</t>
  </si>
  <si>
    <t>Cedrus atlantica Glauca Pendula Weeping Blue Atlas Cedar Serpentine 6 ft. Height Ball and Burlap</t>
  </si>
  <si>
    <t>60033-312</t>
  </si>
  <si>
    <t>Abies concolor White Fir 12 ft. Height Ball and Burlap</t>
  </si>
  <si>
    <t>FINELINE SALES</t>
  </si>
  <si>
    <t>67935-105</t>
  </si>
  <si>
    <t>Juniperus scopulorum Moonglow Rocky Mountain Juniper 5 gal. Container</t>
  </si>
  <si>
    <t>67965-307</t>
  </si>
  <si>
    <t>Juniperus chinensis Keteleeri Chinese Juniper 7 ft. Height Ball and Burlap</t>
  </si>
  <si>
    <t>77889-306</t>
  </si>
  <si>
    <t>Juniperus virginianna Hilli Hill's Dundee Juniper 6 ft. Height Ball and Burlap</t>
  </si>
  <si>
    <t>77846-308</t>
  </si>
  <si>
    <t>Ilex hybrid Robin Holly 8 ft. Height Ball and Burlap</t>
  </si>
  <si>
    <t>70779-307</t>
  </si>
  <si>
    <t>Pinus thunbergii Japanese Black Pine 7 ft. Height Ball and Burlap</t>
  </si>
  <si>
    <t>73520-030</t>
  </si>
  <si>
    <t>Tilia cordata Greenspire Little Leaf Linden 3 in. Caliper Ball and Burlap</t>
  </si>
  <si>
    <t>76255-308</t>
  </si>
  <si>
    <t>Cedrus deodara Karl Fuchs Deodar Cedar 8 ft. Height Ball and Burlap</t>
  </si>
  <si>
    <t>74937-020</t>
  </si>
  <si>
    <t>Liquidambar styraciflua Moraine Sweetgum 2 in. Caliper Ball and Burlap</t>
  </si>
  <si>
    <t>73387-305</t>
  </si>
  <si>
    <t>Thuja occidentalis Nigra Arborvitae 5 ft. Height Ball and Burlap</t>
  </si>
  <si>
    <t>WILLOWAY NURSERIES, INC</t>
  </si>
  <si>
    <t>90358-025</t>
  </si>
  <si>
    <t>Acer tataricum subsp. ginnala Ruby Slippers Amur Maple 2.5 in. Caliper Ball and Burlap</t>
  </si>
  <si>
    <t>86606-115</t>
  </si>
  <si>
    <t>Chamaecyparis obtusa Iseli Green Hinoki Cypress 15 gal. Container</t>
  </si>
  <si>
    <t>90761-125</t>
  </si>
  <si>
    <t>Lagerstroemia x Thunderstruck Coral Boom Garden Debut Crape Myrtle 25-30 gal. Container</t>
  </si>
  <si>
    <t>90886-115</t>
  </si>
  <si>
    <t>Cercis canadensis Flame Thrower Eastern Redbud 15 gal. Container</t>
  </si>
  <si>
    <t>68780-115PREM</t>
  </si>
  <si>
    <t>Magnolia grandiflora Bracken's Brown Beauty Southern Magnolia Premium 15 gal. Container</t>
  </si>
  <si>
    <t>77882-107PREM</t>
  </si>
  <si>
    <t>Juniperus chinensis Hetz Columnaris Chinese Juniper Premium 7 gal. Container</t>
  </si>
  <si>
    <t>85085-025</t>
  </si>
  <si>
    <t>Cercis canadensis Vanilla Twist Weeping Eastern Redbud 2.5 in. Caliper Ball and Burlap</t>
  </si>
  <si>
    <t>68757-020</t>
  </si>
  <si>
    <t>Magnolia x brooklynensis Lois Magnolia 2 in.</t>
  </si>
  <si>
    <t>68509-102</t>
  </si>
  <si>
    <t>Liquidambar styraciflua American Sweetgum 2 gal. Container</t>
  </si>
  <si>
    <t>81938-020</t>
  </si>
  <si>
    <t>Liriodendron tulipifera Emerald City Tulip Tree 2 in. Caliper Ball and Burlap</t>
  </si>
  <si>
    <t>68140-308</t>
  </si>
  <si>
    <t>Lagerstroemia indica Centennial Spirit Crape Myrtle 8 ft. Height Ball and Burlap</t>
  </si>
  <si>
    <t>MOBJACK NURSERIES</t>
  </si>
  <si>
    <t>67856-312</t>
  </si>
  <si>
    <t>Juniperus chinensis Torulosa Hollywood Juniper 12 ft. Height Ball and Burlap</t>
  </si>
  <si>
    <t>84247-306</t>
  </si>
  <si>
    <t>Chamaecyparis obtusa Gracilis Compacta False Cypress 6 ft. Height Ball and Burlap</t>
  </si>
  <si>
    <t>75945-230</t>
  </si>
  <si>
    <t>Acer palmatum subsp. matsumurae Red Dragon Japanese Laceleaf Maple 30 in. Height Ball and Burlap</t>
  </si>
  <si>
    <t>73788-025</t>
  </si>
  <si>
    <t>Ulmus americana Princeton American Elm 2.5 in. Caliper Ball and Burlap</t>
  </si>
  <si>
    <t>77543-0175</t>
  </si>
  <si>
    <t>Malus domestica Golden Delicious Apple 1.75 in. Caliper Ball and Burlap</t>
  </si>
  <si>
    <t>75943-416</t>
  </si>
  <si>
    <t>Acer palmatum subsp. matsumurae Viridis Japanese Laceleaf Maple 16 in. Box</t>
  </si>
  <si>
    <t>76013-316</t>
  </si>
  <si>
    <t>Thuja Green Giant Arborvitae 16 ft. Height Ball and Burlap</t>
  </si>
  <si>
    <t>62133-035</t>
  </si>
  <si>
    <t>Betula nigra Heritage River Birch 3.5 in. Caliper Ball and Burlap</t>
  </si>
  <si>
    <t>70620-305</t>
  </si>
  <si>
    <t>Picea orientalis Oriental Spruce 5 ft. Height Ball and Burlap</t>
  </si>
  <si>
    <t>67847-308</t>
  </si>
  <si>
    <t>Juniperus chinensis Robusta Green Chinese Juniper 8 ft. Height Ball and Burlap</t>
  </si>
  <si>
    <t>75942-125</t>
  </si>
  <si>
    <t>Acer palmatum subsp. matsumurae Tamukeyama Japanese Laceleaf Maple 25-30 gal. Container</t>
  </si>
  <si>
    <t>60261-224</t>
  </si>
  <si>
    <t>Acer palmatum subsp. matsumurae Crimson Queen Japanese Laceleaf Maple 24 in. Height Ball and Burlap</t>
  </si>
  <si>
    <t>84262-STD106</t>
  </si>
  <si>
    <t>Ginkgo biloba Mariken Maidenhair Tree Tree Form Standard 6 gal. Container</t>
  </si>
  <si>
    <t>90276-SPC</t>
  </si>
  <si>
    <t>Acer palmatum Englishtown Japanese Maple Specimen Ball and Burlap</t>
  </si>
  <si>
    <t>89845-SPC</t>
  </si>
  <si>
    <t>Acer palmatum subsp. matsumurae Emerald Lace Japanese Laceleaf Maple Specimen . Ball and Burlap</t>
  </si>
  <si>
    <t>76386-305</t>
  </si>
  <si>
    <t>Chamaecyparis obtusa Confucius Hinoki Cypress 5 ft. Height Ball and Burlap</t>
  </si>
  <si>
    <t>77919-248</t>
  </si>
  <si>
    <t>Juniperus virginiana Taylor Eastern Red Cedar 48 in. Height Ball and Burlap</t>
  </si>
  <si>
    <t>63699-MS307</t>
  </si>
  <si>
    <t>Cornus kousa Kousa Dogwood Tree Form Multi Stem 7 ft. Height Ball and Burlap</t>
  </si>
  <si>
    <t>78067-035</t>
  </si>
  <si>
    <t>Zelkova serrata Musashino Japanese Zelkova 3.5 in. Caliper Ball and Burlap</t>
  </si>
  <si>
    <t>76016-310</t>
  </si>
  <si>
    <t>Thuja occidentalis Hetz Wintergreen American Arborvitae 10 ft. Height Ball and Burlap</t>
  </si>
  <si>
    <t>77303-307</t>
  </si>
  <si>
    <t>Lagerstroemia indica Pink Velour Crape Myrtle 7 ft. Height Ball and Burlap</t>
  </si>
  <si>
    <t>73041-306</t>
  </si>
  <si>
    <t>Stewartia pseudocamellia Japanese Stewartia 6 ft. Height Ball and Burlap</t>
  </si>
  <si>
    <t>80521-125</t>
  </si>
  <si>
    <t>Nyssa sylvatica Wildfire Black Tupelo 25-30 gal. Container</t>
  </si>
  <si>
    <t>75956-115</t>
  </si>
  <si>
    <t>Acer palmatum Sherwood Flame Japanese Maple 15 gal. Container</t>
  </si>
  <si>
    <t>75942-230</t>
  </si>
  <si>
    <t>Acer palmatum subsp. matsumurae Tamukeyama Japanese Laceleaf Maple 30 in. Height Ball and Burlap</t>
  </si>
  <si>
    <t>76386-248</t>
  </si>
  <si>
    <t>Chamaecyparis obtusa Confucius Hinoki Cypress 48 in. Height Ball and Burlap</t>
  </si>
  <si>
    <t>82455-115</t>
  </si>
  <si>
    <t>Cercis canadensis Cascading Hearts Eastern Redbud 15 gal. Container</t>
  </si>
  <si>
    <t>BOTANICO, INC.</t>
  </si>
  <si>
    <t>72302-120</t>
  </si>
  <si>
    <t>Salix alba Tristis Golden Weeping Willow 20 gal. Container</t>
  </si>
  <si>
    <t>76013-306PREM</t>
  </si>
  <si>
    <t>Thuja Green Giant Arborvitae Premium 6 ft. Height Ball and Burlap</t>
  </si>
  <si>
    <t>75942-JRSPC1</t>
  </si>
  <si>
    <t>Acer palmatum subsp. matsumurae Tamukeyama Japanese Laceleaf Maple Jr. Specimen 1 . Ball and Burlap</t>
  </si>
  <si>
    <t>68116-115PREM</t>
  </si>
  <si>
    <t>Lagerstroemia indica x fauriei Muskogee Crape Myrtle Premium 15 gal. Container</t>
  </si>
  <si>
    <t>84262-103</t>
  </si>
  <si>
    <t>Ginkgo biloba Mariken Maidenhair Tree 3 gal. Container</t>
  </si>
  <si>
    <t>75944-115-W30IN</t>
  </si>
  <si>
    <t>Acer palmatum Orangeola Japanese Maple 30 in. Width 15 gal. Container</t>
  </si>
  <si>
    <t>86391-0175</t>
  </si>
  <si>
    <t>Cornus kousa x Rosy Teacups Dogwood 1.75 in. Caliper Ball and Burlap</t>
  </si>
  <si>
    <t>75945-110-W48IN</t>
  </si>
  <si>
    <t>Acer palmatum subsp. matsumurae Red Dragon Japanese Laceleaf Maple 48 in. Width 10 gal. Container</t>
  </si>
  <si>
    <t>82866-120-1.75IN</t>
  </si>
  <si>
    <t>Styrax japonicus Fragrant Fountain Japanese Snowbell 20 gal. Container</t>
  </si>
  <si>
    <t>63818-224</t>
  </si>
  <si>
    <t>Cotinus coggygria Golden Spirit Smoke Tree 24 in. Height Ball and Burlap</t>
  </si>
  <si>
    <t>76387-306PREM</t>
  </si>
  <si>
    <t>Chamaecyparis obtusa Filicoides Fernspray Hinoki Cypress Premium 6 ft. Height Ball and Burlap</t>
  </si>
  <si>
    <t>62815-SC424-8FT</t>
  </si>
  <si>
    <t>Carpinus betulus Fastigiata European Hornbeam Sculptured 8 ft. Height 24 in. Box</t>
  </si>
  <si>
    <t>69107-312PREM</t>
  </si>
  <si>
    <t>Metasequoia glyptostroboides Gold Rush Dawn Redwood Premium 12 ft. Height Ball and Burlap</t>
  </si>
  <si>
    <t>76255-115-7FT</t>
  </si>
  <si>
    <t>Cedrus deodara Karl Fuchs Deodar Cedar 7 ft. 15 gal. Container</t>
  </si>
  <si>
    <t>96383-025</t>
  </si>
  <si>
    <t>Carpinus caroliniana Rising Fire American Hornbeam 2.5 in. Caliper Ball and Burlap</t>
  </si>
  <si>
    <t>90973-120</t>
  </si>
  <si>
    <t>Cedrus deodara Wells Golden Deodar Cedar 20 gal. Container</t>
  </si>
  <si>
    <t>60210-248</t>
  </si>
  <si>
    <t>Acer japonicum Aconitifolium Full Moon Maple 48 in. Height Ball and Burlap</t>
  </si>
  <si>
    <t>60289-025</t>
  </si>
  <si>
    <t>Acer platanoides Royal Red Norway Maple 2.5 in. Caliper Ball and Burlap</t>
  </si>
  <si>
    <t>65810-120</t>
  </si>
  <si>
    <t>Gleditsia triacanthos var. inermis Shademaster Thornless Honeylocust 20 gal. Container</t>
  </si>
  <si>
    <t>63107-308</t>
  </si>
  <si>
    <t>Cercis canadensis Eastern Redbud 8 ft. Height Ball and Burlap</t>
  </si>
  <si>
    <t>67856-PM110</t>
  </si>
  <si>
    <t>Juniperus chinensis Torulosa Hollywood Juniper Pom Pom 10 gal. Container</t>
  </si>
  <si>
    <t>60269-110</t>
  </si>
  <si>
    <t>Acer palmatum Bloodgood Japanese Maple 10 gal. Container</t>
  </si>
  <si>
    <t>63667-0175</t>
  </si>
  <si>
    <t>Cornus florida Cherokee Princess Dogwood 1.75 in. Caliper Ball and Burlap</t>
  </si>
  <si>
    <t>67974-307</t>
  </si>
  <si>
    <t>Juniperus virginiana Eastern Redcedar 7 ft. Height Ball and Burlap</t>
  </si>
  <si>
    <t>70572-110</t>
  </si>
  <si>
    <t>Picea abies Pendula Norway Spruce 10 gal. Container</t>
  </si>
  <si>
    <t>71012-115</t>
  </si>
  <si>
    <t>Populus tremuloides Quaking Aspen 15 gal. Container</t>
  </si>
  <si>
    <t>73844-MS125</t>
  </si>
  <si>
    <t>Adonidia (Veitchia) merrilli Christmas Palm Tree Form Multi Stem 25-30 gal. Container</t>
  </si>
  <si>
    <t>71439-125</t>
  </si>
  <si>
    <t>Quercus palustris Pin Oak 25-30 gal. Container</t>
  </si>
  <si>
    <t>76385-248</t>
  </si>
  <si>
    <t>Chamaecyparis obtusa Compacta Dwarf Hinoki Cypress 48 in. Height Ball and Burlap</t>
  </si>
  <si>
    <t>60995-0175</t>
  </si>
  <si>
    <t>Amelanchier x lamarckii (grandiflora) Autumn Brilliance Apple Serviceberry 1.75 in. Caliper Ball and Burlap</t>
  </si>
  <si>
    <t>73530-025</t>
  </si>
  <si>
    <t>Tilia tomentosa Sterling Silver Linden 2.5 in. Caliper Ball and Burlap</t>
  </si>
  <si>
    <t>75943-248</t>
  </si>
  <si>
    <t>Acer palmatum subsp. matsumurae Viridis Japanese Laceleaf Maple 48 in. Height Ball and Burlap</t>
  </si>
  <si>
    <t>60207-030</t>
  </si>
  <si>
    <t>Acer griseum Paperbark Maple 3 in. Caliper Ball and Burlap</t>
  </si>
  <si>
    <t>62980-110</t>
  </si>
  <si>
    <t>Cedrus atlantica Glauca Pendula Weeping Blue Atlas Cedar 10 gal. Container</t>
  </si>
  <si>
    <t>60252-110</t>
  </si>
  <si>
    <t>Acer palmatum subsp. matsumurae Red Select Japanese Laceleaf Maple 10 gal. Container</t>
  </si>
  <si>
    <t>63176-248</t>
  </si>
  <si>
    <t>Chamaecyparis obtusa Aurea Golden Hinoki Cypress 48 in. Height Ball and Burlap</t>
  </si>
  <si>
    <t>63699-308</t>
  </si>
  <si>
    <t>Cornus kousa Kousa Dogwood 8 ft. Height Ball and Burlap</t>
  </si>
  <si>
    <t>67852-110</t>
  </si>
  <si>
    <t>Juniperus chinensis Spartan Chinese Juniper 10 gal. Container</t>
  </si>
  <si>
    <t>68905-115</t>
  </si>
  <si>
    <t>Malus x Sugar Tyme Crabapple 15 gal. Container</t>
  </si>
  <si>
    <t>72306-030</t>
  </si>
  <si>
    <t>Salix babylonica Weeping Willow 3 in. Caliper Ball and Burlap</t>
  </si>
  <si>
    <t>77303-306</t>
  </si>
  <si>
    <t>Lagerstroemia indica Pink Velour Crape Myrtle 6 ft. Height Ball and Burlap</t>
  </si>
  <si>
    <t>75946-306</t>
  </si>
  <si>
    <t>Acer palmatum Emperor 1 Japanese Maple 6 ft. Height Ball and Burlap</t>
  </si>
  <si>
    <t>78567-306</t>
  </si>
  <si>
    <t>Pinus flexilis Vanderwolf's Pyramid Limber Pine 6 ft. Height Ball and Burlap</t>
  </si>
  <si>
    <t>63985-103</t>
  </si>
  <si>
    <t>Cupressocyparis leylandii Leyland Cypress 3 gal. Container</t>
  </si>
  <si>
    <t>68116-306</t>
  </si>
  <si>
    <t>Lagerstroemia indica x fauriei Muskogee Crape Myrtle 6 ft. Height Ball and Burlap</t>
  </si>
  <si>
    <t>71360-035</t>
  </si>
  <si>
    <t>Pyrus calleryana Chanticleer Flowering Pear 3.5 in. Caliper Ball and Burlap</t>
  </si>
  <si>
    <t>73806-0175</t>
  </si>
  <si>
    <t>Ulmus parvifolia Emer II (Allee) Chinese Elm 1.75 in. Caliper Ball and Burlap</t>
  </si>
  <si>
    <t>63103-115</t>
  </si>
  <si>
    <t>Cercis canadensis Forest Pansy Eastern Redbud 15 gal. Container</t>
  </si>
  <si>
    <t>63176-305</t>
  </si>
  <si>
    <t>Chamaecyparis obtusa Aurea Golden Hinoki Cypress 5 ft. Height Ball and Burlap</t>
  </si>
  <si>
    <t>64730-107</t>
  </si>
  <si>
    <t>Ensete ventricosum Maurelii Red Banana 7 gal. Container</t>
  </si>
  <si>
    <t>64730-102</t>
  </si>
  <si>
    <t>Ensete ventricosum Maurelii Red Banana 2 gal. Container</t>
  </si>
  <si>
    <t>87479-102</t>
  </si>
  <si>
    <t>Alocasia x Calidora Elephant Ear 2 gal. Container</t>
  </si>
  <si>
    <t>63558-102</t>
  </si>
  <si>
    <t>Colocasia esculenta Elephant Ear 2 gal. Container</t>
  </si>
  <si>
    <t>67790-103</t>
  </si>
  <si>
    <t>Ixora coccinea Jungle Geranium 3 gal. Container</t>
  </si>
  <si>
    <t>76752-110</t>
  </si>
  <si>
    <t>Fargesia rufa Hardy Bamboo 10 gal. Container</t>
  </si>
  <si>
    <t>62737-008</t>
  </si>
  <si>
    <t>Canna x generalis Canna Lily 8 in. Container</t>
  </si>
  <si>
    <t>77011-SP4</t>
  </si>
  <si>
    <t>Cordyline indivisa Dracaena SP4 Container</t>
  </si>
  <si>
    <t>76420-0010</t>
  </si>
  <si>
    <t>Codiaeum variegatum Petra Croton 10 in. Container</t>
  </si>
  <si>
    <t>66779-006</t>
  </si>
  <si>
    <t>Hibiscus rosa-sinensis Chinese Hibiscus 6 in. Container</t>
  </si>
  <si>
    <t>77258-101</t>
  </si>
  <si>
    <t>Cordyline australis Red Star Dracaena 1 gal. Container</t>
  </si>
  <si>
    <t>63612-0010</t>
  </si>
  <si>
    <t>Cordyline fruticosa Red Sister Ti Plant 10 in. Container</t>
  </si>
  <si>
    <t>76420-006</t>
  </si>
  <si>
    <t>Codiaeum variegatum Petra Croton 6 in. Container</t>
  </si>
  <si>
    <t>77260-101</t>
  </si>
  <si>
    <t>Cordyline baueri Dracaena 1 gal. Container</t>
  </si>
  <si>
    <t>69236-105PREM</t>
  </si>
  <si>
    <t>Musa basjoo Japanese Banana Premium 5 gal. Container</t>
  </si>
  <si>
    <t>69236-103</t>
  </si>
  <si>
    <t>Musa basjoo Japanese Banana 3 gal. Container</t>
  </si>
  <si>
    <t>85865-102</t>
  </si>
  <si>
    <t>Canna x generalis Cannova Bronze Scarlet Canna Lily 2 gal. Container</t>
  </si>
  <si>
    <t>86367-0010</t>
  </si>
  <si>
    <t>Mandevilla sanderi Madinia Deep Red Dipladenia 10 in. Container</t>
  </si>
  <si>
    <t>62737-006</t>
  </si>
  <si>
    <t>Canna x generalis Canna Lily 6 in. Container</t>
  </si>
  <si>
    <t>77011-101</t>
  </si>
  <si>
    <t>Cordyline indivisa Dracaena 1 gal. Container</t>
  </si>
  <si>
    <t>92156-STK105PREM</t>
  </si>
  <si>
    <t>Mandevilla x Sunvilla Giant Red Mandevilla Staked Premium 5 gal. Container</t>
  </si>
  <si>
    <t>74091-RCF50</t>
  </si>
  <si>
    <t>Vinca minor Bowles Variety Common Periwinkle 50 Count Rooted Cutting Flat</t>
  </si>
  <si>
    <t>82232-STK105PREM</t>
  </si>
  <si>
    <t>Mandevilla x Sun Parasol Giant White Mandevilla Staked Premium 5 gal. Container</t>
  </si>
  <si>
    <t>79320-STK105</t>
  </si>
  <si>
    <t>Parthenocissus tricuspidata Veitchii Boston Ivy Staked 5 gal. Container</t>
  </si>
  <si>
    <t>68609-105</t>
  </si>
  <si>
    <t>Lonicera heckrottii Goldflame Honeysuckle 5 gal. Container</t>
  </si>
  <si>
    <t>69155-101</t>
  </si>
  <si>
    <t>Miscanthus sinensis Adagio Maidengrass 1 gal. Container</t>
  </si>
  <si>
    <t>JACK RABBIT NURSERY</t>
  </si>
  <si>
    <t>61047-101</t>
  </si>
  <si>
    <t>Andropogon gerardii Big Bluestem 1 gal. Container</t>
  </si>
  <si>
    <t>73468-101</t>
  </si>
  <si>
    <t>Thymus serpyllum Creeping Thyme 1 gal. Container</t>
  </si>
  <si>
    <t>91226-101</t>
  </si>
  <si>
    <t>Sedum spurium/rupestre/reflexum Trailing Trio Sedum 1 gal. Container</t>
  </si>
  <si>
    <t>69012-CM0010</t>
  </si>
  <si>
    <t>Mandevilla splendens Shining Mandevilla Columnar 10 in. Container</t>
  </si>
  <si>
    <t>68521-101</t>
  </si>
  <si>
    <t>Liriope muscari Royal Purple Lilyturf 1 gal. Container</t>
  </si>
  <si>
    <t>96904-101</t>
  </si>
  <si>
    <t>Ajuga reptans Best Buddies Toffee Bugleweed 1 gal. Container</t>
  </si>
  <si>
    <t>69169-101</t>
  </si>
  <si>
    <t>Miscanthus sinensis Morning Light Maidengrass 1 gal. Container</t>
  </si>
  <si>
    <t>80071-101</t>
  </si>
  <si>
    <t>Cenchrus (Pennisetum) alopecuroides Piglet Dwarf Fountain Grass 1 gal. Container</t>
  </si>
  <si>
    <t>63397-101</t>
  </si>
  <si>
    <t>Clematis Ville De Lyon Late Large-Flowered Clematis 1 gal. Container</t>
  </si>
  <si>
    <t>69012-STK0012</t>
  </si>
  <si>
    <t>Mandevilla splendens Shining Mandevilla Staked 12 in. Container</t>
  </si>
  <si>
    <t>83090-STK101</t>
  </si>
  <si>
    <t>Clematis x Sweet Summer Love Clematis Staked 1 gal. Container</t>
  </si>
  <si>
    <t>74091-1801</t>
  </si>
  <si>
    <t>Vinca minor Bowles Variety Common Periwinkle 18 Count Flat</t>
  </si>
  <si>
    <t>74248-STK115</t>
  </si>
  <si>
    <t>Wisteria frutescens Amethyst Falls American Wisteria Staked 15 gal. Container</t>
  </si>
  <si>
    <t>60721-105</t>
  </si>
  <si>
    <t>Akebia quinata Chocolate Vine 5 gal. Container</t>
  </si>
  <si>
    <t>73570-105</t>
  </si>
  <si>
    <t>Trachelospermum jasminoides Star Jasmine 5 gal. Container</t>
  </si>
  <si>
    <t>82206-STK105</t>
  </si>
  <si>
    <t>Mandevilla x Sun Parasol Giant Pink Mandevilla Staked 5 gal. Container</t>
  </si>
  <si>
    <t>94451-PF4</t>
  </si>
  <si>
    <t>Schizachyrium scoparium Prairie Winds Blue Paradise Proven Winners Little Bluestem True 1 gal. (3.79 L) Container</t>
  </si>
  <si>
    <t>69164-110</t>
  </si>
  <si>
    <t>Miscanthus sinensis Gracillimus Maidengrass 10 gal. Container</t>
  </si>
  <si>
    <t>63385-STK105</t>
  </si>
  <si>
    <t>Clematis Nelly Moser Clematis Staked 5 gal. Container</t>
  </si>
  <si>
    <t>90169-102</t>
  </si>
  <si>
    <t>Hibiscus x Summerific Cherry Choco Latte Proven Winners Rose Mallow True 2 gal. (7.57 L) Container</t>
  </si>
  <si>
    <t>76548-PF4</t>
  </si>
  <si>
    <t>Lantana sellowiana Lavender Swirl Monrovia Trailing Lantana True 1 gal. (3.79 L) Container</t>
  </si>
  <si>
    <t>63643-101</t>
  </si>
  <si>
    <t>Anacis (Coreopsis) verticillata Moonbeam Threadleaf Tickseed 1 gal. Container</t>
  </si>
  <si>
    <t>63911-101</t>
  </si>
  <si>
    <t>Crocosmia x Lucifer Montbretia 1 gal. Container</t>
  </si>
  <si>
    <t>66917-102</t>
  </si>
  <si>
    <t>Hosta Gold Standard Plantain Lily 2 gal. Container</t>
  </si>
  <si>
    <t>94743-102</t>
  </si>
  <si>
    <t>Hemerocallis x Fours are Wild Daylily 2 gal. Container</t>
  </si>
  <si>
    <t>70043-SP4PREM</t>
  </si>
  <si>
    <t>Pelargonium x hortorum Zonal Geranium Premium SP4 Container</t>
  </si>
  <si>
    <t>86422-101</t>
  </si>
  <si>
    <t>Salvia (Perovskia) yangii (atriplicifolia) Little Lace Russian Sage 1 gal. Container</t>
  </si>
  <si>
    <t>63247-102</t>
  </si>
  <si>
    <t>Chelone lyonii Hot Lips Pink Turtlehead 2 gal. Container</t>
  </si>
  <si>
    <t>68573-102</t>
  </si>
  <si>
    <t>Lobelia cardinalis Cardinal Flower 2 gal. Container</t>
  </si>
  <si>
    <t>67049-102</t>
  </si>
  <si>
    <t>Hosta Patriot Plantain Lily 2 gal. Container</t>
  </si>
  <si>
    <t>63018-1201</t>
  </si>
  <si>
    <t>Celosia argentea var. plumosa Cockscomb 12 Count Flat</t>
  </si>
  <si>
    <t>66081-102</t>
  </si>
  <si>
    <t>Helenium x Mardi Gras Sneezeweed 2 gal. Container</t>
  </si>
  <si>
    <t>83065-102</t>
  </si>
  <si>
    <t>Hibiscus moscheutos Luna Rose Rose Mallow 2 gal. Container</t>
  </si>
  <si>
    <t>68582-102</t>
  </si>
  <si>
    <t>Lobelia siphilitica Blue Cardinal Flower 2 gal. Container</t>
  </si>
  <si>
    <t>61806-101</t>
  </si>
  <si>
    <t>Astilbe simplicifolia Hennie Graafland Astilbe 1 gal. Container</t>
  </si>
  <si>
    <t>61793-102</t>
  </si>
  <si>
    <t>Astilbe japonica Montgomery Astilbe 2 gal. Container</t>
  </si>
  <si>
    <t>66386-101</t>
  </si>
  <si>
    <t>Hemerocallis x Happy Returns Daylily 1 gal. Container</t>
  </si>
  <si>
    <t>91168-102</t>
  </si>
  <si>
    <t>Echinacea x hybrida Artisan Red Ombre Coneflower 2 gal. Container</t>
  </si>
  <si>
    <t>66917-101</t>
  </si>
  <si>
    <t>Hosta Gold Standard Plantain Lily 1 gal. Container</t>
  </si>
  <si>
    <t>92236-PF4</t>
  </si>
  <si>
    <t>Dicentra x Pink Diamonds Proven Winners Bleeding Heart True 1 gal. (3.79 L) Container</t>
  </si>
  <si>
    <t>65081-101</t>
  </si>
  <si>
    <t>Eutrochium (Eupatorium) maculatum Joe-Pye Weed 1 gal. Container</t>
  </si>
  <si>
    <t>61744-102</t>
  </si>
  <si>
    <t>Astilbe x arendsii Fanal Astilbe 2 gal. Container</t>
  </si>
  <si>
    <t>82615-101</t>
  </si>
  <si>
    <t>Salvia x sylvetsris Sallyrosa April Night Wood Sage 1 gal. Container</t>
  </si>
  <si>
    <t>69407-102</t>
  </si>
  <si>
    <t>Nepeta Six Hills Giant Catmint 2 gal. Container</t>
  </si>
  <si>
    <t>74787-102</t>
  </si>
  <si>
    <t>Hemerocallis x Elegant Candy Daylily 2 gal. Container</t>
  </si>
  <si>
    <t>94437-101</t>
  </si>
  <si>
    <t>Monarda didyma Bee-Mine Bee-Mine Lavender Bee Balm 1 gal. Container</t>
  </si>
  <si>
    <t>92699-PF4</t>
  </si>
  <si>
    <t>Kniphofia x Pyromania Solar Flare Proven Winners Red Hot Poker True 1 gal. (3.79 L) Container</t>
  </si>
  <si>
    <t>92192-102</t>
  </si>
  <si>
    <t>Hemerocallis Trophytaker You Are My Sunshine Daylily 2 gal. Container</t>
  </si>
  <si>
    <t>82937-101</t>
  </si>
  <si>
    <t>Helleborus x FrostKiss Penny's Pink Lenten Rose 1 gal. Container</t>
  </si>
  <si>
    <t>73063-SP4</t>
  </si>
  <si>
    <t>Strobilanthes dyerianus Proven Winners Persian Shield SP4 Container</t>
  </si>
  <si>
    <t>69405-SP4</t>
  </si>
  <si>
    <t>Nepeta racemosa Blue Wonder Catmint SP4 Container</t>
  </si>
  <si>
    <t>83184-101</t>
  </si>
  <si>
    <t>Penstemon barbatus Rock Candy Pink Beardtongue 1 gal. Container</t>
  </si>
  <si>
    <t>82713-102</t>
  </si>
  <si>
    <t>Phlox paniculata Jeana Tall Phlox 2 gal. Container</t>
  </si>
  <si>
    <t>92117-PF4</t>
  </si>
  <si>
    <t>Brunnera macrophylla Jack of Diamonds Proven Winners Siberian Bugloss True 1 gal. (3.79 L) Container</t>
  </si>
  <si>
    <t>86486-PF4PFO</t>
  </si>
  <si>
    <t>Heuchera x Lime Ruffles Portfolio Coral Bells True 1 gal. Container</t>
  </si>
  <si>
    <t>81936-PF4PFO</t>
  </si>
  <si>
    <t>Juncus tenuis Blue Dart Portfolio Rush True 1 gal. Container</t>
  </si>
  <si>
    <t>81297-STD102PFO</t>
  </si>
  <si>
    <t>Rhododendron x Bloom-A-Thon Lavender Portfolio Azalea Tree Form Standard 2 gal. Container</t>
  </si>
  <si>
    <t>90977-103PFO</t>
  </si>
  <si>
    <t>Hydrangea macrophylla Painted Sky Portfolio Big Leaf Hydrangea 3 gal. Container</t>
  </si>
  <si>
    <t>73246-305</t>
  </si>
  <si>
    <t>Taxus baccata Stricta Fastigiata English Yew 5 ft. Height Ball and Burlap</t>
  </si>
  <si>
    <t>79612-105</t>
  </si>
  <si>
    <t>Hydrangea paniculata (Phantom) Lime Soda Panicle Hydrangea 5 gal. Container</t>
  </si>
  <si>
    <t>73836-105</t>
  </si>
  <si>
    <t>Vaccinium ovatum Evergreen Huckleberry 5 gal. Container</t>
  </si>
  <si>
    <t>74869-103</t>
  </si>
  <si>
    <t>Iva frutescens Marsh Elder 3 gal. Container</t>
  </si>
  <si>
    <t>62400-242</t>
  </si>
  <si>
    <t>Buxus x Green Velvet Boxwood 42 in. Height Ball and Burlap</t>
  </si>
  <si>
    <t>70596-110PREM</t>
  </si>
  <si>
    <t>Picea laxa (glauca) Conica Dwarf Alberta White Spruce Premium 10 gal. Container</t>
  </si>
  <si>
    <t>73983-236</t>
  </si>
  <si>
    <t>Viburnum x burkwoodii Mohawk Viburnum 36 in. Height Ball and Burlap</t>
  </si>
  <si>
    <t>74062-105</t>
  </si>
  <si>
    <t>Viburnum x rhytidophylloides Alleghany Lantanphyllum Viburnum 5 gal. Container</t>
  </si>
  <si>
    <t>KCK FARMS</t>
  </si>
  <si>
    <t>71577-103</t>
  </si>
  <si>
    <t>Rhododendron x Hino Crimson Azalea 3 gal. Container</t>
  </si>
  <si>
    <t>78605-ESP105</t>
  </si>
  <si>
    <t>Pyracantha angustifolia Yukon Belle Monrovia Firethorn Espalier 5 gal. Container</t>
  </si>
  <si>
    <t>82504-103</t>
  </si>
  <si>
    <t>Hydrangea serrata Color Choice Tuff Stuff Proven Winners Lacecap Hydrangea 3 gal. Container</t>
  </si>
  <si>
    <t>73371-106</t>
  </si>
  <si>
    <t>Thuja occidentalis Hetz Midget American Arborvitae 6 gal. Container</t>
  </si>
  <si>
    <t>85840-105</t>
  </si>
  <si>
    <t>Hydrangea arborescens Seaside Serenade Bar Harbor Smooth Hydrangea 5 gal. Container</t>
  </si>
  <si>
    <t>90889-STD110</t>
  </si>
  <si>
    <t>Hydrangea paniculata Limelight Prime Proven Winners Panicle Hydrangea Tree Form Standard 10 gal. Container</t>
  </si>
  <si>
    <t>71576-103</t>
  </si>
  <si>
    <t>Rhododendron x Hershey Red Azalea 3 gal. Container</t>
  </si>
  <si>
    <t>62399-107</t>
  </si>
  <si>
    <t>Buxus x Green Mountain Boxwood 7 gal. Container</t>
  </si>
  <si>
    <t>LANCASTER FARMS INC</t>
  </si>
  <si>
    <t>62428-242PREM</t>
  </si>
  <si>
    <t>Buxus sempervirens Boxwood Premium 42 in. Height Ball and Burlap</t>
  </si>
  <si>
    <t>80832-STD248</t>
  </si>
  <si>
    <t>Hydrangea paniculata Vanilla Strawberry First Editions Panicle Hydrangea Tree Form Standard 48 in. Height Ball and Burlap</t>
  </si>
  <si>
    <t>80067-110</t>
  </si>
  <si>
    <t>Rosa x Winners Circle Climbing Rose 10 gal. Container</t>
  </si>
  <si>
    <t>70569-106</t>
  </si>
  <si>
    <t>Picea abies Nidiformis Bird's Nest Spruce 6 gal. Container</t>
  </si>
  <si>
    <t>80832-107</t>
  </si>
  <si>
    <t>Hydrangea paniculata Vanilla Strawberry First Editions Panicle Hydrangea 7 gal. (24.32 L) Container</t>
  </si>
  <si>
    <t>65973-107</t>
  </si>
  <si>
    <t>Hamamelis x intermedia Jelena Witch Hazel 7 gal. Container</t>
  </si>
  <si>
    <t>63821-110</t>
  </si>
  <si>
    <t>Cotinus coggygria Royal Purple Smoke Bush 10 gal. Container</t>
  </si>
  <si>
    <t>ERNST NURSERY &amp; FARMS LLC</t>
  </si>
  <si>
    <t>76867-102</t>
  </si>
  <si>
    <t>Rosa x Peach Drift Rose True 2 gal. (7.57 L) Container</t>
  </si>
  <si>
    <t>70596-3T115</t>
  </si>
  <si>
    <t>Picea laxa (glauca) Conica Dwarf Alberta White Spruce 3 Tier Poodle 15 gal. Container</t>
  </si>
  <si>
    <t>67163-107</t>
  </si>
  <si>
    <t>Hydrangea macrophylla Nikko Blue Big Leaf Hydrangea 7 gal. Container</t>
  </si>
  <si>
    <t>69769-115</t>
  </si>
  <si>
    <t>Osmanthus heterophyllus Goshiki False Holly 15 gal. Container</t>
  </si>
  <si>
    <t>BROCK FARMS NURSERIES</t>
  </si>
  <si>
    <t>63947-230</t>
  </si>
  <si>
    <t>Cryptomeria japonica Globosa Nana Japanese Cedar 30 in. Height Ball and Burlap</t>
  </si>
  <si>
    <t>94824-307</t>
  </si>
  <si>
    <t>Picea abies Columnaris Norway Spruce 7 ft. Height Ball and Burlap</t>
  </si>
  <si>
    <t>KT Ornamentals</t>
  </si>
  <si>
    <t>95352-110</t>
  </si>
  <si>
    <t>Prunus laurocerasus Skinny Skip English Laurel 10 gal. Container</t>
  </si>
  <si>
    <t>63728-103</t>
  </si>
  <si>
    <t>Cornus sericea Kelseyi Red Twig Dogwood 3 gal. Container</t>
  </si>
  <si>
    <t>76317-103</t>
  </si>
  <si>
    <t>Rhododendron x Girards Crimson Azalea 3 gal. Container</t>
  </si>
  <si>
    <t>67212-107</t>
  </si>
  <si>
    <t>Hydrangea quercifolia Oakleaf Hydrangea 7 gal. Container</t>
  </si>
  <si>
    <t>68739-308</t>
  </si>
  <si>
    <t>Magnolia x Little Girl Ann Magnolia 8 ft. Height Ball and Burlap</t>
  </si>
  <si>
    <t>72949-103</t>
  </si>
  <si>
    <t>Spiraea x bumalda Firelight Spirea 3 gal. Container</t>
  </si>
  <si>
    <t>62932-103</t>
  </si>
  <si>
    <t>Ceanothus americanus New Jersey Tea 3 gal. Container</t>
  </si>
  <si>
    <t>76829-105</t>
  </si>
  <si>
    <t>Hydrangea macrophylla Twist-n-Shout Endless Summer Lacecap Hydrangea 5 gal. (14.88 L) Container</t>
  </si>
  <si>
    <t>70596-101PREM</t>
  </si>
  <si>
    <t>Picea laxa (glauca) Conica Dwarf Alberta White Spruce Premium 1 gal. Container</t>
  </si>
  <si>
    <t>85286-105</t>
  </si>
  <si>
    <t>Hydrangea paniculata Strawberry Shake Panicle Hydrangea 5 gal. Container</t>
  </si>
  <si>
    <t>63821-307</t>
  </si>
  <si>
    <t>Cotinus coggygria Royal Purple Smoke Bush 7 ft. Height Ball and Burlap</t>
  </si>
  <si>
    <t>61878-110</t>
  </si>
  <si>
    <t>Aucuba japonica Mr. Goldstrike Spotted Laurel 10 gal. Container</t>
  </si>
  <si>
    <t>78824-105</t>
  </si>
  <si>
    <t>Juniperus x pfitzeriana Sea of Gold Monrovia Juniper 5 gal. Container</t>
  </si>
  <si>
    <t>70628-W836</t>
  </si>
  <si>
    <t>Picea pungens Glauca Globosa Blue Spruce 36 in. Width Ball and Burlap</t>
  </si>
  <si>
    <t>93473-103</t>
  </si>
  <si>
    <t>Rhododendron x Perfecto Mundo Double White Proven Winners Reblooming Azalea True 3 gal. (11.36 L) Container</t>
  </si>
  <si>
    <t>80688-101</t>
  </si>
  <si>
    <t>Sarcococca hookeriana var. humilis Himalayan Wonders Fragrant Valley Sweet Box 1 gal. Container</t>
  </si>
  <si>
    <t>82303-107</t>
  </si>
  <si>
    <t>Hydrangea paniculata Bobo Proven Winners Panicle Hydrangea 7 gal. (24.32 L) Container</t>
  </si>
  <si>
    <t>81946-103</t>
  </si>
  <si>
    <t>Rhododendron x Autumn Lily Encore Azalea True 3 gal. (11.36 L) Container</t>
  </si>
  <si>
    <t>80095-103</t>
  </si>
  <si>
    <t>Rosa x Sweet Drift Rose True 3 gal. (11.36 L) Container</t>
  </si>
  <si>
    <t>76358-103</t>
  </si>
  <si>
    <t>Rhododendron x Autumn Chiffon Encore Azalea True 3 gal. (11.36 L) Container</t>
  </si>
  <si>
    <t>67368-105</t>
  </si>
  <si>
    <t>Ilex crenata Hetzii Japanese Holly 5 gal. Container</t>
  </si>
  <si>
    <t>62845-103</t>
  </si>
  <si>
    <t>Caryopteris x clandonensis Longwood Blue Bluebeard 3 gal. Container</t>
  </si>
  <si>
    <t>63771-110</t>
  </si>
  <si>
    <t>Corylus avellana Contorta Contorted Filbert 10 gal. Container</t>
  </si>
  <si>
    <t>77849-105</t>
  </si>
  <si>
    <t>Cornus sericea Arctic Fire Red Proven Winners Red Twig Dogwood 5 gal. (14.88 L) Container</t>
  </si>
  <si>
    <t>62401-PY105</t>
  </si>
  <si>
    <t>Buxus microphylla Faulkner Boxwood Pyramidal 5 gal. Container</t>
  </si>
  <si>
    <t>90388-103</t>
  </si>
  <si>
    <t>Ilex glabra Color Choice Strongbox Proven Winners Inkberry Holly 3 gal. Container</t>
  </si>
  <si>
    <t>91137-STD110</t>
  </si>
  <si>
    <t>Hydrangea paniculata Berry White Panicle Hydrangea Tree Form Standard 10 gal. Container</t>
  </si>
  <si>
    <t>93722-TRL109</t>
  </si>
  <si>
    <t>Rosa x Highwire Flyer Bloomables Climbing Rose Trellis 9 gal. Container</t>
  </si>
  <si>
    <t>78062-105</t>
  </si>
  <si>
    <t>Yucca filamentosa Ivory Tower Curlyleaf Yucca 5 gal. Container</t>
  </si>
  <si>
    <t>73357-107</t>
  </si>
  <si>
    <t>Thuja occidentalis DeGroots Spire American Arborvitae 7 gal. Container</t>
  </si>
  <si>
    <t>76252-105</t>
  </si>
  <si>
    <t>Cedrus deodara Feelin' Blue Deodar Cedar 5 gal. Container</t>
  </si>
  <si>
    <t>67935-305</t>
  </si>
  <si>
    <t>Juniperus scopulorum Moonglow Rocky Mountain Juniper 5 ft. Height Ball and Burlap</t>
  </si>
  <si>
    <t>68128-308</t>
  </si>
  <si>
    <t>Lagerstroemia indica x fauriei Zuni Crape Myrtle 8 ft. Height Ball and Burlap</t>
  </si>
  <si>
    <t>80060-115</t>
  </si>
  <si>
    <t>Ginkgo biloba Golden Globe Maidenhair Tree 15 gal. Container</t>
  </si>
  <si>
    <t>Barton Nursery</t>
  </si>
  <si>
    <t>75653-305</t>
  </si>
  <si>
    <t>Juniperus chinensis Blue Point Chinese Juniper 5 ft. Height Ball and Burlap</t>
  </si>
  <si>
    <t>75941-195SPC</t>
  </si>
  <si>
    <t>Acer palmatum subsp. matsumurae Garnet Japanese Laceleaf Maple Specimen 95 gal. Container</t>
  </si>
  <si>
    <t>92474-248</t>
  </si>
  <si>
    <t>Picea mariana Blue Teardrop Dwarf Black Spruce 48 in. Height Ball and Burlap</t>
  </si>
  <si>
    <t>78155-106</t>
  </si>
  <si>
    <t>Callitropsis (Chamaecyparis) nootkatensis Glauca Pendula Blue Weeping Alaskan Cedar 6 gal. Container</t>
  </si>
  <si>
    <t>67853-SP105</t>
  </si>
  <si>
    <t>Juniperus chinensis Spearmint Chinese Juniper Spiral 5 gal. Container</t>
  </si>
  <si>
    <t>63174-308</t>
  </si>
  <si>
    <t>Callitropsis (Chamaecyparis) nootkatensis Pendula Weeping Alaskan Cedar 8 ft. Height Ball and Burlap</t>
  </si>
  <si>
    <t>62817-020</t>
  </si>
  <si>
    <t>Carpinus betulus European Hornbeam 2 in. Caliper Ball and Burlap</t>
  </si>
  <si>
    <t>63667-030</t>
  </si>
  <si>
    <t>Cornus florida Cherokee Princess Dogwood 3 in. Caliper Ball and Burlap</t>
  </si>
  <si>
    <t>63107-MS307</t>
  </si>
  <si>
    <t>Cercis canadensis Eastern Redbud Tree Form Multi Stem 7 ft. Height Ball and Burlap</t>
  </si>
  <si>
    <t>77878-115</t>
  </si>
  <si>
    <t>Juniperus scopulorum Blue Arrow Rocky Mountain Juniper 15 gal. Container</t>
  </si>
  <si>
    <t>77919-110</t>
  </si>
  <si>
    <t>Juniperus virginiana Taylor Eastern Red Cedar 10 gal. Container</t>
  </si>
  <si>
    <t>63699-025</t>
  </si>
  <si>
    <t>Cornus kousa Kousa Dogwood 2.5 in. Caliper Ball and Burlap</t>
  </si>
  <si>
    <t>71496-0012</t>
  </si>
  <si>
    <t>Ravenea rivularis Majesty Palm 12 in. Container</t>
  </si>
  <si>
    <t>68811-107</t>
  </si>
  <si>
    <t>Magnolia x loebneri Leonard Messel Magnolia 7 gal. Container</t>
  </si>
  <si>
    <t>84332-305</t>
  </si>
  <si>
    <t>Picea pungens Bonny Blue Blue Spruce 5 ft. Height Ball and Burlap</t>
  </si>
  <si>
    <t>79376-307</t>
  </si>
  <si>
    <t>Taxodium distichum Peve Minaret Dwarf Bald Cypress 7 ft. Height Ball and Burlap</t>
  </si>
  <si>
    <t>95387-224</t>
  </si>
  <si>
    <t>Ginkgo biloba Clica Maidenhair Tree 24 in. Height Ball and Burlap</t>
  </si>
  <si>
    <t>62132-125</t>
  </si>
  <si>
    <t>Betula nigra Dura Heat River Birch 25-30 gal. Container</t>
  </si>
  <si>
    <t>67965-306</t>
  </si>
  <si>
    <t>Juniperus chinensis Keteleeri Chinese Juniper 6 ft. Height Ball and Burlap</t>
  </si>
  <si>
    <t>77841-110</t>
  </si>
  <si>
    <t>Ilex x Oakleaf Red Holly 10 gal. Container</t>
  </si>
  <si>
    <t>65215-040</t>
  </si>
  <si>
    <t>Fagus sylvactica Pendula Weeping Beech 4 in. Caliper Ball and Burlap</t>
  </si>
  <si>
    <t>84735-025</t>
  </si>
  <si>
    <t>Carpinus betulus Emerald Avenue European Hornbeam 2.5 in. Caliper Ball and Burlap</t>
  </si>
  <si>
    <t>70558-120.305</t>
  </si>
  <si>
    <t>Picea abies Cupressina Norway Spruce 5 ft. Height 20 gal. Container</t>
  </si>
  <si>
    <t>75962-125-48IN</t>
  </si>
  <si>
    <t>Acer palmatum Twombly's Red Sentinel Japanese Maple 48 in. Height 25-30 gal. Container</t>
  </si>
  <si>
    <t>79376-308</t>
  </si>
  <si>
    <t>Taxodium distichum Peve Minaret Dwarf Bald Cypress 8 ft. Height Ball and Burlap</t>
  </si>
  <si>
    <t>68116-STD025</t>
  </si>
  <si>
    <t>Lagerstroemia indica x fauriei Muskogee Crape Myrtle Tree Form Standard 2.5 in. Caliper Ball and Burlap</t>
  </si>
  <si>
    <t>77878-305</t>
  </si>
  <si>
    <t>Juniperus scopulorum Blue Arrow Rocky Mountain Juniper 5 ft. Height Ball and Burlap</t>
  </si>
  <si>
    <t>77538-103</t>
  </si>
  <si>
    <t>Ficus carica Brown Turkey Fig 3 gal. Container</t>
  </si>
  <si>
    <t>60200-120</t>
  </si>
  <si>
    <t>Acer x freemanii Autumn Blaze Freeman Maple 20 gal. Container</t>
  </si>
  <si>
    <t>71215-115</t>
  </si>
  <si>
    <t>Prunus sargentii Columnaris Columnar Sargent Cherry 15 gal. Container</t>
  </si>
  <si>
    <t>79961-309</t>
  </si>
  <si>
    <t>Cedrus deodara Sander's Blue Deodar Cedar 9 ft. Height Ball and Burlap</t>
  </si>
  <si>
    <t>78615-115</t>
  </si>
  <si>
    <t>Quercus palustris Green Pillar Pin Oak 15 gal. Container</t>
  </si>
  <si>
    <t>75978-110PREM</t>
  </si>
  <si>
    <t>Acer shirasawanum Autumn Moon Full Moon Japanese Maple Premium 10 gal. Container</t>
  </si>
  <si>
    <t>65219-248</t>
  </si>
  <si>
    <t>Fagus sylvatica Purpurea Tricolor European Beech 48 in. Height Ball and Burlap</t>
  </si>
  <si>
    <t>67852-305</t>
  </si>
  <si>
    <t>Juniperus chinensis Spartan Chinese Juniper 5 ft. Height Ball and Burlap</t>
  </si>
  <si>
    <t>68835-115</t>
  </si>
  <si>
    <t>Magnolia x soulangeana Saucer Magnolia 15 gal. Container</t>
  </si>
  <si>
    <t>81408-105</t>
  </si>
  <si>
    <t>Ficus carica Black Mission Fig 5 gal. Container</t>
  </si>
  <si>
    <t>84260-105</t>
  </si>
  <si>
    <t>Ficus carica Kadota Fig 5 gal. Container</t>
  </si>
  <si>
    <t>68790-ESP107PREM</t>
  </si>
  <si>
    <t>Magnolia grandiflora Little Gem Southern Magnolia Espalier Premium 7 gal. Container</t>
  </si>
  <si>
    <t>77919-305</t>
  </si>
  <si>
    <t>Juniperus virginiana Taylor Eastern Red Cedar 5 ft. Height Ball and Burlap</t>
  </si>
  <si>
    <t>71012-125</t>
  </si>
  <si>
    <t>Populus tremuloides Quaking Aspen 25-30 gal. Container</t>
  </si>
  <si>
    <t>60253-115-6FT</t>
  </si>
  <si>
    <t>Acer palmatum Sangokaku Coral Bark Japanese Maple 6 ft. Height 15 gal. Container</t>
  </si>
  <si>
    <t>75942-JRSPC</t>
  </si>
  <si>
    <t>Acer palmatum subsp. matsumurae Tamukeyama Japanese Laceleaf Maple Jr. Specimen . Ball and Burlap</t>
  </si>
  <si>
    <t>68124-308</t>
  </si>
  <si>
    <t>Lagerstroemia hybrid Tonto Crape Myrtle 8 ft. Height Ball and Burlap</t>
  </si>
  <si>
    <t>68107-308</t>
  </si>
  <si>
    <t>Lagerstroemia indica Catawba Crape Myrtle 8 ft. Height Ball and Burlap</t>
  </si>
  <si>
    <t>62133-107</t>
  </si>
  <si>
    <t>Betula nigra Heritage River Birch 7 gal. Container</t>
  </si>
  <si>
    <t>63182-305</t>
  </si>
  <si>
    <t>Chamaecyparis obtusa Gracilis Hinoki Cypress 5 ft. Height Ball and Burlap</t>
  </si>
  <si>
    <t>63174-306</t>
  </si>
  <si>
    <t>Callitropsis (Chamaecyparis) nootkatensis Pendula Weeping Alaskan Cedar 6 ft. Height Ball and Burlap</t>
  </si>
  <si>
    <t>71242-125</t>
  </si>
  <si>
    <t>Prunus x yedoensis Flowering Yoshino Cherry 25-30 gal. Container</t>
  </si>
  <si>
    <t>70626-115</t>
  </si>
  <si>
    <t>Picea pungens Fat Albert Blue Spruce 15 gal. Container</t>
  </si>
  <si>
    <t>68113-107</t>
  </si>
  <si>
    <t>Lagerstroemia indica x fauriei Hopi Crape Myrtle 7 gal. Container</t>
  </si>
  <si>
    <t>78902-307</t>
  </si>
  <si>
    <t>Picea omorika Pendula Bruns Serbian Spruce 7 ft. Height Ball and Burlap</t>
  </si>
  <si>
    <t>73514-050</t>
  </si>
  <si>
    <t>Tilia americana American Linden 5 in. Caliper Ball and Burlap</t>
  </si>
  <si>
    <t>A. BROWN &amp; SONS NURSERY INC</t>
  </si>
  <si>
    <t>82370-ESP110</t>
  </si>
  <si>
    <t>Malus x Three Variety Apple Grafted Espalier 10 gal. Container</t>
  </si>
  <si>
    <t>90973-308</t>
  </si>
  <si>
    <t>Cedrus deodara Wells Golden Deodar Cedar 8 ft. Height Ball and Burlap</t>
  </si>
  <si>
    <t>67852-2T105PREM</t>
  </si>
  <si>
    <t>Juniperus chinensis Spartan Chinese Juniper 2 Tier Poodle Premium 5 gal. Container</t>
  </si>
  <si>
    <t>67856-107</t>
  </si>
  <si>
    <t>Juniperus chinensis Torulosa Hollywood Juniper 7 gal. Container</t>
  </si>
  <si>
    <t>62967-307</t>
  </si>
  <si>
    <t>Cedrus deodara Aurea Golden Deodar Cedar 7 ft. Height Ball and Burlap</t>
  </si>
  <si>
    <t>62971-308</t>
  </si>
  <si>
    <t>Cedrus deodara Kashmir Deodar Cedar 8 ft. Height Ball and Burlap</t>
  </si>
  <si>
    <t>75653-SP105</t>
  </si>
  <si>
    <t>Juniperus chinensis Blue Point Chinese Juniper Spiral 5 gal. Container</t>
  </si>
  <si>
    <t>70572-248</t>
  </si>
  <si>
    <t>Picea abies Pendula Norway Spruce 48 in. Height Ball and Burlap</t>
  </si>
  <si>
    <t>71220-115</t>
  </si>
  <si>
    <t>Prunus Kanzan (Kwanzan) Japanese Flowering Cherry 15 gal. Container</t>
  </si>
  <si>
    <t>77919-309</t>
  </si>
  <si>
    <t>Juniperus virginiana Taylor Eastern Red Cedar 9 ft. Height Ball and Burlap</t>
  </si>
  <si>
    <t>63187-236</t>
  </si>
  <si>
    <t>Chamaecyparis obtusa Nana Aurea Dwarf Golden Hinoki Cypress 36 in. Height Ball and Burlap</t>
  </si>
  <si>
    <t>60260-MS110</t>
  </si>
  <si>
    <t>Acer palmatum Japanese Maple Tree Form Multi Stem 10 gal. Container</t>
  </si>
  <si>
    <t>68117-STD020</t>
  </si>
  <si>
    <t>Lagerstroemia indica x fauriei Natchez Crape Myrtle Tree Form Standard 2 in. Caliper Ball and Burlap</t>
  </si>
  <si>
    <t>73068-115</t>
  </si>
  <si>
    <t>Styrax japonicus Japanese Snowbell 15 gal. Container</t>
  </si>
  <si>
    <t>68780-310</t>
  </si>
  <si>
    <t>Magnolia grandiflora Bracken's Brown Beauty Southern Magnolia 10 ft. Height Ball and Burlap</t>
  </si>
  <si>
    <t>79993-115</t>
  </si>
  <si>
    <t>Cercis hybrid Merlot Redbud 15 gal. Container</t>
  </si>
  <si>
    <t>76752-102</t>
  </si>
  <si>
    <t>Fargesia rufa Hardy Bamboo 2 gal. Container</t>
  </si>
  <si>
    <t>PriorYearSales</t>
  </si>
  <si>
    <t>SalesVsPriorYear</t>
  </si>
  <si>
    <t>NEWCOMB'S NURSERY</t>
  </si>
  <si>
    <t>72597-101</t>
  </si>
  <si>
    <t>Schizachyrium scoparium Little Bluestem Grass 1 gal. Container</t>
  </si>
  <si>
    <t>66055-5001</t>
  </si>
  <si>
    <t>Hedera helix English Ivy 50 Count Flat</t>
  </si>
  <si>
    <t>79447-101</t>
  </si>
  <si>
    <t>Carex pensylvanica Pennsylvania Sedge 1 gal. Container</t>
  </si>
  <si>
    <t>74098-RCF50</t>
  </si>
  <si>
    <t>Vinca minor Common Periwinkle 50 Count Rooted Cutting Flat</t>
  </si>
  <si>
    <t>62796-101</t>
  </si>
  <si>
    <t>Carex morrowii Ice Dance Japanese Sedge 1 gal. Container</t>
  </si>
  <si>
    <t>70066-102</t>
  </si>
  <si>
    <t>Cenchrus (Pennisetum) alopecuroides Hameln Dwarf Fountain Grass 2 gal. Container</t>
  </si>
  <si>
    <t>69911-102</t>
  </si>
  <si>
    <t>Panicum virgatum Shenandoah Switch Grass 2 gal. Container</t>
  </si>
  <si>
    <t>65960-101</t>
  </si>
  <si>
    <t>Hakonechloa macra Aureola Golden Japanese Forest Grass 1 gal. Container</t>
  </si>
  <si>
    <t>69856-RCF100</t>
  </si>
  <si>
    <t>Pachysandra terminalis Japanese Spurge 100 Count Rooted Cutting Flat</t>
  </si>
  <si>
    <t>Clean Cut Growers</t>
  </si>
  <si>
    <t>77024-101</t>
  </si>
  <si>
    <t>Geranium sanguineum Max Frei Cranesbill 1 gal. Container</t>
  </si>
  <si>
    <t>70155-101</t>
  </si>
  <si>
    <t>Salvia (Perovskia) yangii (atriplicifolia) Little Spire Russian Sage 1 gal. Container</t>
  </si>
  <si>
    <t>67768-101</t>
  </si>
  <si>
    <t>Iris versicolor Blue Flag Iris 1 gal. Container</t>
  </si>
  <si>
    <t>61021-101</t>
  </si>
  <si>
    <t>Amsonia x Blue Ice Bluestar 1 gal. Container</t>
  </si>
  <si>
    <t>73876-101</t>
  </si>
  <si>
    <t>Verbena bonariensis Tall Brazilian Vervain 1 gal. Container</t>
  </si>
  <si>
    <t>64247-101</t>
  </si>
  <si>
    <t>Dennstaedtia punctilobula Hayscented Fern 1 gal. Container</t>
  </si>
  <si>
    <t>64643-101</t>
  </si>
  <si>
    <t>Echinacea purpurea White Swan Coneflower 1 gal. Container</t>
  </si>
  <si>
    <t>61612-101</t>
  </si>
  <si>
    <t>Asclepias tuberosa Butterfly Weed 1 gal. Container</t>
  </si>
  <si>
    <t>61744-101</t>
  </si>
  <si>
    <t>Astilbe x arendsii Fanal Astilbe 1 gal. Container</t>
  </si>
  <si>
    <t>61732-101</t>
  </si>
  <si>
    <t>Astilbe x arendsii Bridal Veil Astilbe 1 gal. Container</t>
  </si>
  <si>
    <t>66867-101</t>
  </si>
  <si>
    <t>Hosta Big Daddy Plantain Lily 1 gal. Container</t>
  </si>
  <si>
    <t>68351-101</t>
  </si>
  <si>
    <t>Leucanthemum x superbum Becky Shasta Daisy 1 gal. Container</t>
  </si>
  <si>
    <t>69410-102</t>
  </si>
  <si>
    <t>Nepeta x faassenii Walker's Low Catmint 2 gal. Container</t>
  </si>
  <si>
    <t>66553-101</t>
  </si>
  <si>
    <t>Hemerocallis x Stella de Oro Daylily 1 gal. Container</t>
  </si>
  <si>
    <t>61776-101</t>
  </si>
  <si>
    <t>Astilbe chinensis Visions Chinese Astilbe 1 gal. Container</t>
  </si>
  <si>
    <t>82571-101</t>
  </si>
  <si>
    <t>Echinacea x Cheyenne Spirit Coneflower 1 gal. Container</t>
  </si>
  <si>
    <t>61019-101</t>
  </si>
  <si>
    <t>Amsonia hubrichtii Blue Star 1 gal. Container</t>
  </si>
  <si>
    <t>63644-101</t>
  </si>
  <si>
    <t>Anacis (Coreopsis) verticillata Zagreb Threadleaf Tickseed 1 gal. Container</t>
  </si>
  <si>
    <t>76439-101</t>
  </si>
  <si>
    <t>Astilbe chinensis Vision In Pink Chinese Astilbe 1 gal. Container</t>
  </si>
  <si>
    <t>70464-101</t>
  </si>
  <si>
    <t>Phlox subulata Emerald Blue Creeping Phlox 1 gal. Container</t>
  </si>
  <si>
    <t>85153-PF4</t>
  </si>
  <si>
    <t>Nepeta x faassenii Cat's Meow Proven Winners Catmint True 1 gal. (3.79 L) Container</t>
  </si>
  <si>
    <t>85073-101</t>
  </si>
  <si>
    <t>Astilbe chinensis Vision In White Chinese Astilbe 1 gal. Container</t>
  </si>
  <si>
    <t>70157-101</t>
  </si>
  <si>
    <t>Salvia (Perovskia) yangii (atriplicifolia) Russian Sage 1 gal. Container</t>
  </si>
  <si>
    <t>70970-101</t>
  </si>
  <si>
    <t>Polystichum acrostichoides Christmas Fern 1 gal. Container</t>
  </si>
  <si>
    <t>72392-101</t>
  </si>
  <si>
    <t>Salvia nemorosa Caradonna Woodland Sage 1 gal. Container</t>
  </si>
  <si>
    <t>65640-101</t>
  </si>
  <si>
    <t>Geranium x cantabrigiense Biokovo Cranesbill 1 gal. Container</t>
  </si>
  <si>
    <t>76534-101</t>
  </si>
  <si>
    <t>Iris germanica Low Ho Silver Bearded Iris 1 gal. Container</t>
  </si>
  <si>
    <t>76013-145PFO</t>
  </si>
  <si>
    <t>Thuja Green Giant Portfolio Arborvitae 45 gal. Container</t>
  </si>
  <si>
    <t>91644-PF4PFO</t>
  </si>
  <si>
    <t>Coreopsis x UpTick Red Portfolio Tickseed True 1 gal. Container</t>
  </si>
  <si>
    <t>89690-103PFO</t>
  </si>
  <si>
    <t>Leucothoe keiskei Leafscape Burning Love Portfolio Doghobble 3 gal. Container</t>
  </si>
  <si>
    <t>90912-103PFO</t>
  </si>
  <si>
    <t>Rosa floribunda Brick House Portfolio Red Rose 3 gal. Container</t>
  </si>
  <si>
    <t>85738-PF4PFO</t>
  </si>
  <si>
    <t>Salvia nemorosa Lyrical White Portfolio Woodland Sage True 1 gal. Container</t>
  </si>
  <si>
    <t>91638-PF4PFO</t>
  </si>
  <si>
    <t>Salvia x sylvestris Blue By You Portfolio Wood Sage True 1 gal. Container</t>
  </si>
  <si>
    <t>63725-103</t>
  </si>
  <si>
    <t>Cornus sericea Baileyi Red Twig Dogwood 3 gal. Container</t>
  </si>
  <si>
    <t>62428-230</t>
  </si>
  <si>
    <t>Buxus sempervirens Boxwood 30 in. Height Ball and Burlap</t>
  </si>
  <si>
    <t>67453-105</t>
  </si>
  <si>
    <t>Ilex verticillata Winter Red Winterberry Holly 5 gal. Container</t>
  </si>
  <si>
    <t>72080-103</t>
  </si>
  <si>
    <t>Rosa x Pink Knock Out Rose True 3 gal. (11.36 L) Container</t>
  </si>
  <si>
    <t>62399-103</t>
  </si>
  <si>
    <t>Buxus x Green Mountain Boxwood 3 gal. Container</t>
  </si>
  <si>
    <t>67382-110</t>
  </si>
  <si>
    <t>Ilex crenata Steeds Japanese Holly 10 gal. Container</t>
  </si>
  <si>
    <t>62400-110</t>
  </si>
  <si>
    <t>Buxus x Green Velvet Boxwood 10 gal. Container</t>
  </si>
  <si>
    <t>68035-248</t>
  </si>
  <si>
    <t>Kalmia latifolia Mountain Laurel 48 in. Height Ball and Burlap</t>
  </si>
  <si>
    <t>74049-110</t>
  </si>
  <si>
    <t>Viburnum plicatum var. tomentosum Summer Snowflake Doublefile Viburnum 10 gal. Container</t>
  </si>
  <si>
    <t>74932-305</t>
  </si>
  <si>
    <t>Ligustrum ovalifolium California Privet 5 ft. Height Ball and Burlap</t>
  </si>
  <si>
    <t>70628-STD110</t>
  </si>
  <si>
    <t>Picea pungens Glauca Globosa Blue Spruce Tree Form Standard 10 gal. Container</t>
  </si>
  <si>
    <t>63497-103</t>
  </si>
  <si>
    <t>Clethra alnifolia Hummingbird Summersweet 3 gal. Container</t>
  </si>
  <si>
    <t>74823-110</t>
  </si>
  <si>
    <t>Hydrangea macrophylla The Original Endless Summer Big Leaf Hydrangea 10 gal. Container</t>
  </si>
  <si>
    <t>67397-110</t>
  </si>
  <si>
    <t>Ilex glabra Compacta Inkberry Holly 10 gal. Container</t>
  </si>
  <si>
    <t>67191-105</t>
  </si>
  <si>
    <t>Hydrangea paniculata Color Choice Limelight Proven Winners Panicle Hydrangea 5 gal. (14.88 L) Container</t>
  </si>
  <si>
    <t>77887-103</t>
  </si>
  <si>
    <t>Juniperus chinensis Gold Lace Chinese Juniper 3 gal. Container</t>
  </si>
  <si>
    <t>77800-115</t>
  </si>
  <si>
    <t>Ilex crenata Chesapeake Japanese Holly 15 gal. Container</t>
  </si>
  <si>
    <t>71677-103</t>
  </si>
  <si>
    <t>Rhododendron hybrid PJM Rhododendron 3 gal. Container</t>
  </si>
  <si>
    <t>67912-102</t>
  </si>
  <si>
    <t>Juniperus procumbens Nana Dwarf Japanese Garden Juniper 2 gal. Container</t>
  </si>
  <si>
    <t>67360-110</t>
  </si>
  <si>
    <t>Ilex crenata Compacta Japanese Holly 10 gal. Container</t>
  </si>
  <si>
    <t>72962-103</t>
  </si>
  <si>
    <t>Spiraea japonica Neon Flash Spirea 3 gal. Container</t>
  </si>
  <si>
    <t>62428-305</t>
  </si>
  <si>
    <t>Buxus sempervirens Boxwood 5 ft. Height Ball and Burlap</t>
  </si>
  <si>
    <t>67380-110</t>
  </si>
  <si>
    <t>Ilex crenata Sky Pencil Japanese Holly 10 gal. Container</t>
  </si>
  <si>
    <t>62400-218</t>
  </si>
  <si>
    <t>Buxus x Green Velvet Boxwood 18 in. Height Ball and Burlap</t>
  </si>
  <si>
    <t>74823-105</t>
  </si>
  <si>
    <t>Hydrangea macrophylla The Original Endless Summer Big Leaf Hydrangea 5 gal. (14.88 L) Container</t>
  </si>
  <si>
    <t>72011-103</t>
  </si>
  <si>
    <t>Rosa x Red Knock Out Shrub Rose True 3 gal. (11.36 L) Container</t>
  </si>
  <si>
    <t>73997-107</t>
  </si>
  <si>
    <t>Viburnum dentatum Chicago Lustre Arrowwood Viburnum 7 gal. Container</t>
  </si>
  <si>
    <t>90406-105</t>
  </si>
  <si>
    <t>Buxus x NewGen Freedom Boxwood 5 gal. Container</t>
  </si>
  <si>
    <t>77805-103</t>
  </si>
  <si>
    <t>Ilex crenata Hoogendorn Japanese Holly 3 gal. Container</t>
  </si>
  <si>
    <t>79382-103</t>
  </si>
  <si>
    <t>Chamaecyparis pisifera Filifera Aurea Nana Sawara Cypress 3 gal. Container</t>
  </si>
  <si>
    <t>62399-110</t>
  </si>
  <si>
    <t>Buxus x Green Mountain Boxwood 10 gal. Container</t>
  </si>
  <si>
    <t>75271-103</t>
  </si>
  <si>
    <t>Spiraea japonica Goldflame Japanese Spirea 3 gal. Container</t>
  </si>
  <si>
    <t>81300-103</t>
  </si>
  <si>
    <t>Weigela florida Spilled Wine Proven Winners Weigela True 3 gal. (11.36 L) Container</t>
  </si>
  <si>
    <t>67402-110</t>
  </si>
  <si>
    <t>Ilex glabra Shamrock Inkberry Holly 10 gal. Container</t>
  </si>
  <si>
    <t>74932-103</t>
  </si>
  <si>
    <t>Ligustrum ovalifolium California Privet 3 gal. Container</t>
  </si>
  <si>
    <t>86413-103</t>
  </si>
  <si>
    <t>Buddleja x Color Choice Pugster Blue Proven Winners Butterfly Bush True 3 gal. (11.36 L) Container</t>
  </si>
  <si>
    <t>88981-103</t>
  </si>
  <si>
    <t>Buddleja x Pugster Amethyst Proven Winners Butterfly Bush True 3 gal. (11.36 L) Container</t>
  </si>
  <si>
    <t>71741-110</t>
  </si>
  <si>
    <t>Rhododendron x English Roseum Rhododendron 10 gal. Container</t>
  </si>
  <si>
    <t>67360-103</t>
  </si>
  <si>
    <t>Ilex crenata Compacta Japanese Holly 3 gal. Container</t>
  </si>
  <si>
    <t>76929-103</t>
  </si>
  <si>
    <t>Rhododendron x Gumpo Pink Satsuki Azalea 3 gal. Container</t>
  </si>
  <si>
    <t>62400-115</t>
  </si>
  <si>
    <t>Buxus x Green Velvet Boxwood 15 gal. Container</t>
  </si>
  <si>
    <t>62399-242</t>
  </si>
  <si>
    <t>Buxus x Green Mountain Boxwood 42 in. Height Ball and Burlap</t>
  </si>
  <si>
    <t>78570-103</t>
  </si>
  <si>
    <t>Pinus mugo Slowmound Mugo Pine 3 gal. Container</t>
  </si>
  <si>
    <t>77564-103</t>
  </si>
  <si>
    <t>Sambucus nigra Color Choice Black Lace Proven Winners Elderberry True 3 gal. (11.36 L) Container</t>
  </si>
  <si>
    <t>70655-103</t>
  </si>
  <si>
    <t>Pieris japonica Mountain Fire Japanese Andromeda 3 gal. Container</t>
  </si>
  <si>
    <t>71821-103</t>
  </si>
  <si>
    <t>Rhododendron x Tradition Azalea 3 gal. Container</t>
  </si>
  <si>
    <t>67912-103</t>
  </si>
  <si>
    <t>Juniperus procumbens Nana Dwarf Japanese Garden Juniper 3 gal. Container</t>
  </si>
  <si>
    <t>67902-103</t>
  </si>
  <si>
    <t>Juniperus horizontalis Wiltonii Blue Rug Juniper 3 gal. Container</t>
  </si>
  <si>
    <t>67380-107</t>
  </si>
  <si>
    <t>Ilex crenata Sky Pencil Japanese Holly 7 gal. Container</t>
  </si>
  <si>
    <t>63499-103</t>
  </si>
  <si>
    <t>Clethra alnifolia Ruby Spice Summersweet 3 gal. Container</t>
  </si>
  <si>
    <t>62399-224</t>
  </si>
  <si>
    <t>Buxus x Green Mountain Boxwood 24 in. Height Ball and Burlap</t>
  </si>
  <si>
    <t>62407-105</t>
  </si>
  <si>
    <t>Buxus microphylla var. japonica Green Beauty Boxwood 5 gal. Container</t>
  </si>
  <si>
    <t>68752-307</t>
  </si>
  <si>
    <t>Magnolia hybrid Little Girl Jane Magnolia 7 ft. Height Ball and Burlap</t>
  </si>
  <si>
    <t>69276-103</t>
  </si>
  <si>
    <t>Myrica pennsylvanica Bayberry 3 gal. Container</t>
  </si>
  <si>
    <t>70655-115</t>
  </si>
  <si>
    <t>Pieris japonica Mountain Fire Japanese Andromeda 15 gal. Container</t>
  </si>
  <si>
    <t>74823-107</t>
  </si>
  <si>
    <t>Hydrangea macrophylla The Original Endless Summer Big Leaf Hydrangea 7 gal. Container</t>
  </si>
  <si>
    <t>62399-105</t>
  </si>
  <si>
    <t>Buxus x Green Mountain Boxwood 5 gal. Container</t>
  </si>
  <si>
    <t>62399-248</t>
  </si>
  <si>
    <t>Buxus x Green Mountain Boxwood 48 in. Height Ball and Burlap</t>
  </si>
  <si>
    <t>79398-102</t>
  </si>
  <si>
    <t>Rosa x White Drift Rose True 2 gal. (7.57 L) Container</t>
  </si>
  <si>
    <t>74932-248</t>
  </si>
  <si>
    <t>Ligustrum ovalifolium California Privet 48 in. Height Ball and Burlap</t>
  </si>
  <si>
    <t>85429-103</t>
  </si>
  <si>
    <t>Buddleja x CranRazz Butterfly Bush 3 gal. Container</t>
  </si>
  <si>
    <t>94708-103</t>
  </si>
  <si>
    <t>Rosa x Orange Glow Knock Out Shrub Rose True 3 gal. (11.36 L) Container</t>
  </si>
  <si>
    <t>67780-103</t>
  </si>
  <si>
    <t>Itea virginica Henry's Garnet Sweetspire 3 gal. Container</t>
  </si>
  <si>
    <t>67191-103</t>
  </si>
  <si>
    <t>Hydrangea paniculata Color Choice Limelight Proven Winners Panicle Hydrangea True 3 gal. (11.36 L) Container</t>
  </si>
  <si>
    <t>68388-103</t>
  </si>
  <si>
    <t>Leucothoe axillaris Coastal Doghobble 3 gal. Container</t>
  </si>
  <si>
    <t>67382-115</t>
  </si>
  <si>
    <t>Ilex crenata Steeds Japanese Holly 15 gal. Container</t>
  </si>
  <si>
    <t>62400-224</t>
  </si>
  <si>
    <t>Buxus x Green Velvet Boxwood 24 in. Height Ball and Burlap</t>
  </si>
  <si>
    <t>62428-236</t>
  </si>
  <si>
    <t>Buxus sempervirens Boxwood 36 in. Height Ball and Burlap</t>
  </si>
  <si>
    <t>71751-110</t>
  </si>
  <si>
    <t>Rhododendron catawbiense Roseum Elegans Rhododendron 10 gal. Container</t>
  </si>
  <si>
    <t>67210-107</t>
  </si>
  <si>
    <t>Hydrangea quercifolia Snowflake Oakleaf Hydrangea 7 gal. Container</t>
  </si>
  <si>
    <t>81361-105</t>
  </si>
  <si>
    <t>Hydrangea quercifolia Ruby Slippers Oakleaf Hydrangea 5 gal. Container</t>
  </si>
  <si>
    <t>77867-103</t>
  </si>
  <si>
    <t>Rosa x Double Pink Knock Out Rose True 3 gal. (11.36 L) Container</t>
  </si>
  <si>
    <t>61394-101</t>
  </si>
  <si>
    <t>Arctostaphylos uva-ursi Massachusetts Bearberry Kinnikinnick 1 gal. Container</t>
  </si>
  <si>
    <t>73273-230</t>
  </si>
  <si>
    <t>Taxus x media Hicksii Anglojap Yew 30 in. Height Ball and Burlap</t>
  </si>
  <si>
    <t>90001-103</t>
  </si>
  <si>
    <t>Hydrangea macrophylla Summer Crush Endless Summer Big Leaf Hydrangea True 3 gal. (11.36 L) Container</t>
  </si>
  <si>
    <t>71751-105</t>
  </si>
  <si>
    <t>Rhododendron catawbiense Roseum Elegans Rhododendron 5 gal. Container</t>
  </si>
  <si>
    <t>70655-105</t>
  </si>
  <si>
    <t>Pieris japonica Mountain Fire Japanese Andromeda 5 gal. Container</t>
  </si>
  <si>
    <t>62428-218</t>
  </si>
  <si>
    <t>Buxus sempervirens Boxwood 18 in. Height Ball and Burlap</t>
  </si>
  <si>
    <t>62403-105</t>
  </si>
  <si>
    <t>Buxus microphylla Winter Gem Littleleaf Boxwood 5 gal. Container</t>
  </si>
  <si>
    <t>62428-248</t>
  </si>
  <si>
    <t>Buxus sempervirens Boxwood 48 in. Height Ball and Burlap</t>
  </si>
  <si>
    <t>82821-103</t>
  </si>
  <si>
    <t>Deutzia x Color Choice Yuki Snowflake Proven Winners Deutzia True 3 gal. (11.36 L) Container</t>
  </si>
  <si>
    <t>71751-248</t>
  </si>
  <si>
    <t>Rhododendron catawbiense Roseum Elegans Rhododendron 48 in. Height Ball and Burlap</t>
  </si>
  <si>
    <t>71799-103</t>
  </si>
  <si>
    <t>Rhododendron x Blaauw's Pink Azalea 3 gal. Container</t>
  </si>
  <si>
    <t>74205-103</t>
  </si>
  <si>
    <t>Weigela florida Midnight Wine Proven Winners Weigela 3 gal. Container</t>
  </si>
  <si>
    <t>67952-102</t>
  </si>
  <si>
    <t>Juniperus squamata Blue Star Singleseed Juniper 2 gal. Container</t>
  </si>
  <si>
    <t>67784-103</t>
  </si>
  <si>
    <t>Itea virginica Color Choice Little Henry Proven Winners Sweetspire 3 gal. Container</t>
  </si>
  <si>
    <t>67191-107</t>
  </si>
  <si>
    <t>Hydrangea paniculata Color Choice Limelight Proven Winners Panicle Hydrangea 7 gal. (24.32 L) Container</t>
  </si>
  <si>
    <t>77805-107</t>
  </si>
  <si>
    <t>Ilex crenata Hoogendorn Japanese Holly 7 gal. Container</t>
  </si>
  <si>
    <t>77836-107</t>
  </si>
  <si>
    <t>Ilex x meserveae Blue Maid Blue Holly 7 gal. Container</t>
  </si>
  <si>
    <t>71774-103</t>
  </si>
  <si>
    <t>Rhododendron x Delaware Valley White Azalea 3 gal. Container</t>
  </si>
  <si>
    <t>71738-110</t>
  </si>
  <si>
    <t>Rhododendron catawbiense Boursault Catawba Rhododendron 10 gal. Container</t>
  </si>
  <si>
    <t>70596-102</t>
  </si>
  <si>
    <t>Picea laxa (glauca) Conica Dwarf Alberta White Spruce 2 gal. Container</t>
  </si>
  <si>
    <t>62399-230</t>
  </si>
  <si>
    <t>Buxus x Green Mountain Boxwood 30 in. Height Ball and Burlap</t>
  </si>
  <si>
    <t>62399-236</t>
  </si>
  <si>
    <t>Buxus x Green Mountain Boxwood 36 in. Height Ball and Burlap</t>
  </si>
  <si>
    <t>90781-103</t>
  </si>
  <si>
    <t>Spiraea hybrid Double Play Doozie Proven Winners Spirea True 3 gal. (11.36 L) Container</t>
  </si>
  <si>
    <t>63684-025</t>
  </si>
  <si>
    <t>Cornus florida Flowering Dogwood 2.5 in. Caliper Ball and Burlap</t>
  </si>
  <si>
    <t>73397-248</t>
  </si>
  <si>
    <t>Thuja occidentalis Emerald Arborvitae 48 in. Height Ball and Burlap</t>
  </si>
  <si>
    <t>63685-025</t>
  </si>
  <si>
    <t>Cornus florida Cherokee Brave Flowering Dogwood 2.5 in. Caliper Ball and Burlap</t>
  </si>
  <si>
    <t>77919-308</t>
  </si>
  <si>
    <t>Juniperus virginiana Taylor Eastern Red Cedar 8 ft. Height Ball and Burlap</t>
  </si>
  <si>
    <t>60314-020</t>
  </si>
  <si>
    <t>Acer rubrum October Glory Red Maple 2 in. Caliper Ball and Burlap</t>
  </si>
  <si>
    <t>81903-020</t>
  </si>
  <si>
    <t>Nyssa sylvatica Green Gable Black Tupelo 2 in. Caliper Ball and Burlap</t>
  </si>
  <si>
    <t>82406-025</t>
  </si>
  <si>
    <t>Acer truncatum x platanoides Crimson Sunset Maple 2.5 in. Caliper Ball and Burlap</t>
  </si>
  <si>
    <t>70584-305</t>
  </si>
  <si>
    <t>Picea abies Norway Spruce 5 ft. Height Ball and Burlap</t>
  </si>
  <si>
    <t>71230-020</t>
  </si>
  <si>
    <t>Prunus subhirtella Pendula Weeping Cherry 2 in. Ball and Burlap</t>
  </si>
  <si>
    <t>71220-025</t>
  </si>
  <si>
    <t>Prunus Kanzan (Kwanzan) Japanese Flowering Cherry 2.5 in. Caliper Ball and Burlap</t>
  </si>
  <si>
    <t>74322-025</t>
  </si>
  <si>
    <t>Zelkova serrata Green Vase Japanese Zelkova 2.5 in. Caliper Ball and Burlap</t>
  </si>
  <si>
    <t>76013-312</t>
  </si>
  <si>
    <t>Thuja Green Giant Arborvitae 12 ft. Height Ball and Burlap</t>
  </si>
  <si>
    <t>73695-306</t>
  </si>
  <si>
    <t>Tsuga canadensis Eastern Hemlock 6 ft. Height Ball and Burlap</t>
  </si>
  <si>
    <t>76013-307</t>
  </si>
  <si>
    <t>Thuja Green Giant Arborvitae 7 ft. Height Ball and Burlap</t>
  </si>
  <si>
    <t>60995-115</t>
  </si>
  <si>
    <t>Amelanchier x lamarckii (grandiflora) Autumn Brilliance Apple Serviceberry 15 gal. Container</t>
  </si>
  <si>
    <t>72302-030</t>
  </si>
  <si>
    <t>Salix alba Tristis Golden Weeping Willow 3 in. Caliper Ball and Burlap</t>
  </si>
  <si>
    <t>78257-030</t>
  </si>
  <si>
    <t>Pyrus calleryana Cleveland Select Flowering Pear 3 in. Caliper Ball and Burlap</t>
  </si>
  <si>
    <t>81676-020</t>
  </si>
  <si>
    <t>Cornus florida Jean's Appalachian Snow Dogwood 2 in. Caliper Ball and Burlap</t>
  </si>
  <si>
    <t>63107-025</t>
  </si>
  <si>
    <t>Cercis canadensis Eastern Redbud 2.5 in. Caliper Ball and Burlap</t>
  </si>
  <si>
    <t>76013-310</t>
  </si>
  <si>
    <t>Thuja Green Giant Arborvitae 10 ft. Height Ball and Burlap</t>
  </si>
  <si>
    <t>76013-308</t>
  </si>
  <si>
    <t>Thuja Green Giant Arborvitae 8 ft. Height Ball and Burlap</t>
  </si>
  <si>
    <t>71220-020</t>
  </si>
  <si>
    <t>Prunus Kanzan (Kwanzan) Japanese Flowering Cherry 2 in. Caliper Ball and Burlap</t>
  </si>
  <si>
    <t>73397-308</t>
  </si>
  <si>
    <t>Thuja occidentalis Emerald Arborvitae 8 ft. Height Ball and Burlap</t>
  </si>
  <si>
    <t>73397-307</t>
  </si>
  <si>
    <t>Thuja occidentalis Emerald Arborvitae 7 ft. Height Ball and Burlap</t>
  </si>
  <si>
    <t>70601-306</t>
  </si>
  <si>
    <t>Picea laxa (glauca) White Spruce 6 ft. Height Ball and Burlap</t>
  </si>
  <si>
    <t>70765-308</t>
  </si>
  <si>
    <t>Pinus strobus Eastern White Pine 8 ft. Height Ball and Burlap</t>
  </si>
  <si>
    <t>60332-025</t>
  </si>
  <si>
    <t>Acer saccharum Commemoration Sugar Maple 2.5 in. Caliper Ball and Burlap</t>
  </si>
  <si>
    <t>60995-306</t>
  </si>
  <si>
    <t>Amelanchier x lamarckii (grandiflora) Autumn Brilliance Apple Serviceberry 6 ft. Height Ball and Burlap</t>
  </si>
  <si>
    <t>60269-115-5FT</t>
  </si>
  <si>
    <t>Acer palmatum Bloodgood Japanese Maple 5 ft. Height 15 gal. Container</t>
  </si>
  <si>
    <t>76013-248</t>
  </si>
  <si>
    <t>Thuja Green Giant Arborvitae 48 in. Height Ball and Burlap</t>
  </si>
  <si>
    <t>76013-306</t>
  </si>
  <si>
    <t>Thuja Green Giant Arborvitae 6 ft. Height Ball and Burlap</t>
  </si>
  <si>
    <t>63685-020</t>
  </si>
  <si>
    <t>Cornus florida Cherokee Brave Flowering Dogwood 2 in. Caliper Ball and Burlap</t>
  </si>
  <si>
    <t>70558-310</t>
  </si>
  <si>
    <t>Picea abies Cupressina Norway Spruce 10 ft. Height Ball and Burlap</t>
  </si>
  <si>
    <t>76385-242</t>
  </si>
  <si>
    <t>Chamaecyparis obtusa Compacta Dwarf Hinoki Cypress 42 in. Height Ball and Burlap</t>
  </si>
  <si>
    <t>62815-030</t>
  </si>
  <si>
    <t>Carpinus betulus Fastigiata European Hornbeam 3 in. Caliper Ball and Burlap</t>
  </si>
  <si>
    <t>73397-306</t>
  </si>
  <si>
    <t>Thuja occidentalis Emerald Arborvitae 6 ft. Height Ball and Burlap</t>
  </si>
  <si>
    <t>76013-309</t>
  </si>
  <si>
    <t>Thuja Green Giant Arborvitae 9 ft. Height Ball and Burlap</t>
  </si>
  <si>
    <t>Biome Ground &amp; Water LLC</t>
  </si>
  <si>
    <t>73397-305</t>
  </si>
  <si>
    <t>Thuja occidentalis Emerald Arborvitae 5 ft. Height Ball and Burlap</t>
  </si>
  <si>
    <t>71439-020</t>
  </si>
  <si>
    <t>Quercus palustris Pin Oak 2 in. Caliper Ball and Burlap</t>
  </si>
  <si>
    <t>70584-308</t>
  </si>
  <si>
    <t>Picea abies Norway Spruce 8 ft. Height Ball and Burlap</t>
  </si>
  <si>
    <t>70641-306</t>
  </si>
  <si>
    <t>Picea pungens Blue Spruce 6 ft. Height Ball and Burlap</t>
  </si>
  <si>
    <t>70584-307</t>
  </si>
  <si>
    <t>Picea abies Norway Spruce 7 ft. Height Ball and Burlap</t>
  </si>
  <si>
    <t>60314-025</t>
  </si>
  <si>
    <t>Acer rubrum October Glory Red Maple 2.5 in. Caliper Ball and Burlap</t>
  </si>
  <si>
    <t>60314-030</t>
  </si>
  <si>
    <t>Acer rubrum October Glory Red Maple 3 in. Caliper Ball and Burlap</t>
  </si>
  <si>
    <t>81316-025</t>
  </si>
  <si>
    <t>Platanus x acerifolia Exclamation London Planetree 2.5 in. Caliper Ball and Burlap</t>
  </si>
  <si>
    <t>62815-020</t>
  </si>
  <si>
    <t>Carpinus betulus Fastigiata European Hornbeam 2 in. Caliper Ball and Burlap</t>
  </si>
  <si>
    <t>78009-020</t>
  </si>
  <si>
    <t>Malus x Royal Raindrops Flowering Crabapple 2 in. Caliper Ball and Burlap</t>
  </si>
  <si>
    <t>70601-307</t>
  </si>
  <si>
    <t>Picea laxa (glauca) White Spruce 7 ft. Height Ball and Burlap</t>
  </si>
  <si>
    <t>70584-306</t>
  </si>
  <si>
    <t>Picea abies Norway Spruce 6 ft. Height Ball and Burlap</t>
  </si>
  <si>
    <t>71220-030</t>
  </si>
  <si>
    <t>Prunus Kanzan (Kwanzan) Japanese Flowering Cherry 3 in. Caliper Ball and Burlap</t>
  </si>
  <si>
    <t>73397-310</t>
  </si>
  <si>
    <t>Thuja occidentalis Emerald Arborvitae 10 ft. Height Ball and Burlap</t>
  </si>
  <si>
    <t>70765-306</t>
  </si>
  <si>
    <t>Pinus strobus Eastern White Pine 6 ft. Height Ball and Burlap</t>
  </si>
  <si>
    <t>76013-305</t>
  </si>
  <si>
    <t>Thuja Green Giant Arborvitae 5 ft. Height Ball and Burlap</t>
  </si>
  <si>
    <t>67325-307</t>
  </si>
  <si>
    <t>Ilex x Nellie R. Stevens Holly 7 ft. Height Ball and Burlap</t>
  </si>
  <si>
    <t>78257-025</t>
  </si>
  <si>
    <t>Pyrus calleryana Cleveland Select Flowering Pear 2.5 in. Caliper Ball and Burlap</t>
  </si>
  <si>
    <t>62815-025</t>
  </si>
  <si>
    <t>Carpinus betulus Fastigiata European Hornbeam 2.5 in. Caliper Ball and Burlap</t>
  </si>
  <si>
    <t>74939-025</t>
  </si>
  <si>
    <t>Liquidambar styraciflua Slender Silhouette Sweetgum 2.5 in. Caliper Ball and Burlap</t>
  </si>
  <si>
    <t>67427-305</t>
  </si>
  <si>
    <t>Ilex opaca Satyr Hill American Holly 5 ft. Height Ball and Burlap</t>
  </si>
  <si>
    <t>82256-101</t>
  </si>
  <si>
    <t>Carex stricta Tussock Sedge 1 gal. Container</t>
  </si>
  <si>
    <t>65962-101</t>
  </si>
  <si>
    <t>Hakonechloa macra Japanese Forest Grass 1 gal. Container</t>
  </si>
  <si>
    <t>65252-101</t>
  </si>
  <si>
    <t>Festuca glauca Elijah Blue Blue Fescue 1 gal. Container</t>
  </si>
  <si>
    <t>62792-101</t>
  </si>
  <si>
    <t>Carex oshimensis Evergold Japanese Sedge 1 gal. Container</t>
  </si>
  <si>
    <t>69908-102</t>
  </si>
  <si>
    <t>Panicum virgatum Heavy Metal Switch Grass 2 gal. Container</t>
  </si>
  <si>
    <t>64253-101</t>
  </si>
  <si>
    <t>Deschampsia cespitosa Tufted Hair Grass 1 gal. Container</t>
  </si>
  <si>
    <t>72654-101</t>
  </si>
  <si>
    <t>Sedum kamtschaticum ssp. ellacombeanum Japanese Stonecrop 1 gal. Container</t>
  </si>
  <si>
    <t>70076-102</t>
  </si>
  <si>
    <t>Cenchrus (Pennisetum) orientale Karley Rose Oriental Fountain Grass 2 gal. Container</t>
  </si>
  <si>
    <t>79447-SP2</t>
  </si>
  <si>
    <t>Carex pensylvanica Pennsylvania Sedge SP2 Container</t>
  </si>
  <si>
    <t>72623-101</t>
  </si>
  <si>
    <t>Petrosedum rupestre Angelina Stonecrop 1 gal. Container</t>
  </si>
  <si>
    <t>75000-102</t>
  </si>
  <si>
    <t>Muhlenbergia capillaris Pink Muhly Grass 2 gal. Container</t>
  </si>
  <si>
    <t>72988-101</t>
  </si>
  <si>
    <t>Sporobolus heterolepis Prairie Dropseed 1 gal. Container</t>
  </si>
  <si>
    <t>84848-101</t>
  </si>
  <si>
    <t>Carex oshimensis EverColor Eversheen Variegated Sedge 1 gal. Container</t>
  </si>
  <si>
    <t>92475-101</t>
  </si>
  <si>
    <t>Deschampsia cespitosa Goldtau Golden Dew Tufted Hair Grass 1 gal. Container</t>
  </si>
  <si>
    <t>79738-101</t>
  </si>
  <si>
    <t>Nassella tenuissima Mexican Feather Grass 1 gal. Container</t>
  </si>
  <si>
    <t>69911-101</t>
  </si>
  <si>
    <t>Panicum virgatum Shenandoah Switch Grass 1 gal. Container</t>
  </si>
  <si>
    <t>77186-103</t>
  </si>
  <si>
    <t>Paeonia lactiflora Karl Rosenfield Peony 3 gal. Container</t>
  </si>
  <si>
    <t>72220-102</t>
  </si>
  <si>
    <t>Rudbeckia sullivantii Goldsturm Black-Eyed Susan 2 gal. Container</t>
  </si>
  <si>
    <t>83414-101</t>
  </si>
  <si>
    <t>Allium hybrid Millenium Ornamental Onion 1 gal. Container</t>
  </si>
  <si>
    <t>91363-PF4</t>
  </si>
  <si>
    <t>Phlox x Cloudburst Proven Winners Phlox True 1 gal. (3.79 L) Container</t>
  </si>
  <si>
    <t>60754-101</t>
  </si>
  <si>
    <t>Alchemilla mollis Lady's Mantle 1 gal. Container</t>
  </si>
  <si>
    <t>66553-102</t>
  </si>
  <si>
    <t>Hemerocallis x Stella de Oro Daylily 2 gal. Container</t>
  </si>
  <si>
    <t>81705-102</t>
  </si>
  <si>
    <t>Echinacea purpurea PowWow Wild Berry Coneflower 2 gal. Container</t>
  </si>
  <si>
    <t>72395-101</t>
  </si>
  <si>
    <t>Salvia x sylvestris May Night Wood Sage 1 gal. Container</t>
  </si>
  <si>
    <t>64236-101</t>
  </si>
  <si>
    <t>Chrysanthemum Rubellum Group Hillside Sheffield Pink Hardy Chrysanthemum 1 gal. Container</t>
  </si>
  <si>
    <t>85146-103</t>
  </si>
  <si>
    <t>Hibiscus x Summerific Perfect Storm Proven Winners Rose Mallow True 3 gal. (11.36 L) Container</t>
  </si>
  <si>
    <t>73876-SP4</t>
  </si>
  <si>
    <t>Verbena bonariensis Tall Brazilian Vervain SP4 Container</t>
  </si>
  <si>
    <t>61786-101</t>
  </si>
  <si>
    <t>Astilbe x japonica Deutschland Astilbe 1 gal. Container</t>
  </si>
  <si>
    <t>61615-101</t>
  </si>
  <si>
    <t>Asparagus densiflorus Sprengeri Asparagus Fern 1 gal. Container</t>
  </si>
  <si>
    <t>68351-102</t>
  </si>
  <si>
    <t>Leucanthemum x superbum Becky Shasta Daisy 2 gal. Container</t>
  </si>
  <si>
    <t>61760-101</t>
  </si>
  <si>
    <t>Astilbe x arendsii Rheinland Astilbe 1 gal. Container</t>
  </si>
  <si>
    <t>70930-101</t>
  </si>
  <si>
    <t>Polygonatum odoratum var. pluriflorum Variegatum Variegated Solomon's Seal 1 gal. Container</t>
  </si>
  <si>
    <t>85073-102</t>
  </si>
  <si>
    <t>Astilbe chinensis Vision In White Chinese Astilbe 2 gal. Container</t>
  </si>
  <si>
    <t>70155-102</t>
  </si>
  <si>
    <t>Salvia (Perovskia) yangii (atriplicifolia) Little Spire Russian Sage 2 gal. Container</t>
  </si>
  <si>
    <t>70104-101</t>
  </si>
  <si>
    <t>Penstemon digitalis Husker Red Foxglove Beardtongue 1 gal. Container</t>
  </si>
  <si>
    <t>69405-101</t>
  </si>
  <si>
    <t>Nepeta racemosa Blue Wonder Catmint 1 gal. Container</t>
  </si>
  <si>
    <t>72393-101</t>
  </si>
  <si>
    <t>Salvia nemorosa East Friesland Woodland Sage 1 gal. Container</t>
  </si>
  <si>
    <t>79803-101</t>
  </si>
  <si>
    <t>X Heucherella Sweet Tea Foamy Bells 1 gal. Container</t>
  </si>
  <si>
    <t>90564-101</t>
  </si>
  <si>
    <t>Salvia nemorosa Rose Marvel Woodland Sage 1 gal. Container</t>
  </si>
  <si>
    <t>HOLI</t>
  </si>
  <si>
    <t>ZV-1206-55</t>
  </si>
  <si>
    <t>Holiday Floral #100 Poly Plush Velvet Christmas Bow 6 Loop Deep Red 17 in. W 42 in. Tails Each ZV-1206-55</t>
  </si>
  <si>
    <t>KURT LEE PRODUCTS</t>
  </si>
  <si>
    <t>ZV-1006-55</t>
  </si>
  <si>
    <t>Holiday Floral #110 Poly Plush Velvet Christmas Bow 6 Loop Deep Red 12 in. W 24 in. Tails Each ZV-1006-55</t>
  </si>
  <si>
    <t>XMSCNSG90018</t>
  </si>
  <si>
    <t>Holiday Naturals Sugar Pine Cones 10 in. -14 in. 18 Units Case</t>
  </si>
  <si>
    <t>76013-125PFO</t>
  </si>
  <si>
    <t>Thuja Green Giant Portfolio Arborvitae 25-30 gal. Container</t>
  </si>
  <si>
    <t>60253-424PFO</t>
  </si>
  <si>
    <t>Acer palmatum Sangokaku Portfolio Coral Bark Japanese Maple 24 in. Box</t>
  </si>
  <si>
    <t>81590-STK105PFO</t>
  </si>
  <si>
    <t>Clematis Westerplatte Portfolio Clematis Staked 5 gal. Container</t>
  </si>
  <si>
    <t>87251-PF4PFO</t>
  </si>
  <si>
    <t>Dianthus x barbatus interspecific Rockin Red Portfolio Pinks True 1 gal. Container</t>
  </si>
  <si>
    <t>62403-230</t>
  </si>
  <si>
    <t>Buxus microphylla Winter Gem Littleleaf Boxwood 30 in. Height Ball and Burlap</t>
  </si>
  <si>
    <t>70596-110</t>
  </si>
  <si>
    <t>Picea laxa (glauca) Conica Dwarf Alberta White Spruce 10 gal. Container</t>
  </si>
  <si>
    <t>63837-103</t>
  </si>
  <si>
    <t>Cotoneaster dammeri Coral Beauty Bearberry Cotoneaster 3 gal. Container</t>
  </si>
  <si>
    <t>65989-103</t>
  </si>
  <si>
    <t>Hamamelis virginiana Common Witch Hazel 3 gal. Container</t>
  </si>
  <si>
    <t>67406-103</t>
  </si>
  <si>
    <t>Ilex x meserveae Blue Prince Blue Holly 3 gal. Container</t>
  </si>
  <si>
    <t>62403-224</t>
  </si>
  <si>
    <t>Buxus microphylla Winter Gem Littleleaf Boxwood 24 in. Height Ball and Burlap</t>
  </si>
  <si>
    <t>65065-105</t>
  </si>
  <si>
    <t>Euonymus japonicus Aureomarginatus Japanese Euonymus 5 gal. Container</t>
  </si>
  <si>
    <t>77836-248</t>
  </si>
  <si>
    <t>Ilex x meserveae Blue Maid Blue Holly 48 in. Height Ball and Burlap</t>
  </si>
  <si>
    <t>82303-105</t>
  </si>
  <si>
    <t>Hydrangea paniculata Bobo Proven Winners Panicle Hydrangea 5 gal. (14.88 L) Container</t>
  </si>
  <si>
    <t>82482-103</t>
  </si>
  <si>
    <t>Buxus sinica var. insularis Franklin's Gem Korean Boxwood 3 gal. Container</t>
  </si>
  <si>
    <t>74056-305</t>
  </si>
  <si>
    <t>Viburnum plicatum var. tomentosum Shasta Doublefile Viburnum 5 ft. Height Ball and Burlap</t>
  </si>
  <si>
    <t>67850-103</t>
  </si>
  <si>
    <t>Juniperus x pfitzeriana Sea Green Juniper 3 gal. Container</t>
  </si>
  <si>
    <t>81121-103</t>
  </si>
  <si>
    <t>Syringa x pubescens Bloomerang Purpink Proven Winners Lilac True 3 gal. (11.36 L) Container</t>
  </si>
  <si>
    <t>67163-103</t>
  </si>
  <si>
    <t>Hydrangea macrophylla Nikko Blue Big Leaf Hydrangea 3 gal. Container</t>
  </si>
  <si>
    <t>84679-103</t>
  </si>
  <si>
    <t>Spiraea japonica Double Play Red Proven Winners Japanese Spirea True 3 gal. (11.36 L) Container</t>
  </si>
  <si>
    <t>72969-103</t>
  </si>
  <si>
    <t>Spiraea nipponica Snowmound Spirea 3 gal. Container</t>
  </si>
  <si>
    <t>66790-305</t>
  </si>
  <si>
    <t>Hibiscus syriacus Diana Rose of Sharon 5 ft. Height Ball and Burlap</t>
  </si>
  <si>
    <t>70628-120</t>
  </si>
  <si>
    <t>Picea pungens Glauca Globosa Blue Spruce 20 gal. Container</t>
  </si>
  <si>
    <t>72959-103</t>
  </si>
  <si>
    <t>Spiraea japonica Magic Carpet Japanese Spirea 3 gal. Container</t>
  </si>
  <si>
    <t>67839-103</t>
  </si>
  <si>
    <t>Juniperus x pfitzeriana Old Gold Pfitzer Juniper 3 gal. Container</t>
  </si>
  <si>
    <t>91622-103</t>
  </si>
  <si>
    <t>Itea virginica Fizzy Mizzy Proven Winners Sweetspire True 3 gal. (11.36 L) Container</t>
  </si>
  <si>
    <t>71846-103</t>
  </si>
  <si>
    <t>Rhus aromatica Gro-Low Sumac 3 gal. Container</t>
  </si>
  <si>
    <t>82490-107</t>
  </si>
  <si>
    <t>Hydrangea macrophylla Bloomstruck Endless Summer Big Leaf Hydrangea 7 gal. Container</t>
  </si>
  <si>
    <t>67364-103</t>
  </si>
  <si>
    <t>Ilex crenata Green Lustre Japanese Holly 3 gal. Container</t>
  </si>
  <si>
    <t>76866-102</t>
  </si>
  <si>
    <t>Rosa x Pink Drift Rose True 2 gal. (7.57 L) Container</t>
  </si>
  <si>
    <t>79390-102</t>
  </si>
  <si>
    <t>Rosa x Red Drift Rose True 2 gal. (7.57 L) Container</t>
  </si>
  <si>
    <t>77897-103</t>
  </si>
  <si>
    <t>Juniperus sabina var. davurica Expansa Parson's Juniper 3 gal. Container</t>
  </si>
  <si>
    <t>85667-103</t>
  </si>
  <si>
    <t>Aronia melanocarpa Low Scape Mound Proven Winners Chokeberry True 3 gal. (11.36 L) Container</t>
  </si>
  <si>
    <t>67380-105</t>
  </si>
  <si>
    <t>Ilex crenata Sky Pencil Japanese Holly 5 gal. Container</t>
  </si>
  <si>
    <t>63854-102</t>
  </si>
  <si>
    <t>Cotoneaster salicifolius Repens Willowleaf Cotoneaster 2 gal. Container</t>
  </si>
  <si>
    <t>73267-224</t>
  </si>
  <si>
    <t>Taxus x media Densiformis Anglojap Yew 24 in. Height Ball and Burlap</t>
  </si>
  <si>
    <t>67264-103</t>
  </si>
  <si>
    <t>Hypericum x Hidcote St. John's Wort 3 gal. Container</t>
  </si>
  <si>
    <t>65070-ESP115</t>
  </si>
  <si>
    <t>Euonymus kiautschovicus Manhattan Spreading Euonymus Espalier 15 gal. Container</t>
  </si>
  <si>
    <t>69770-115</t>
  </si>
  <si>
    <t>Osmanthus heterophyllus Gulftide False Holly 15 gal. Container</t>
  </si>
  <si>
    <t>90837-103</t>
  </si>
  <si>
    <t>Lagerstroemia indica Center Stage Red Proven Winners Crape Mrytle True 3 gal. (11.36 L) Container</t>
  </si>
  <si>
    <t>71774-105</t>
  </si>
  <si>
    <t>Rhododendron x Delaware Valley White Azalea 5 gal. Container</t>
  </si>
  <si>
    <t>67380-103</t>
  </si>
  <si>
    <t>Ilex crenata Sky Pencil Japanese Holly 3 gal. Container</t>
  </si>
  <si>
    <t>63082-110</t>
  </si>
  <si>
    <t>Cephalotaxus harringtonia Prostrata Japanese Plum Yew 10 gal. Container</t>
  </si>
  <si>
    <t>78586-105</t>
  </si>
  <si>
    <t>Pinus mugo var. pumilio Dwarf Mountain Pine 5 gal. Container</t>
  </si>
  <si>
    <t>78538-105</t>
  </si>
  <si>
    <t>Physocarpus opulifolius Summer Wine Proven Winners Ninebark 5 gal. Container</t>
  </si>
  <si>
    <t>77836-103</t>
  </si>
  <si>
    <t>Ilex x meserveae Blue Maid Blue Holly 3 gal. Container</t>
  </si>
  <si>
    <t>67191-STD306</t>
  </si>
  <si>
    <t>Hydrangea paniculata Color Choice Limelight Proven Winners Panicle Hydrangea Tree Form Standard 6 ft. Height Ball and Burlap</t>
  </si>
  <si>
    <t>77805-105</t>
  </si>
  <si>
    <t>Ilex crenata Hoogendorn Japanese Holly 5 gal. Container</t>
  </si>
  <si>
    <t>73273-105</t>
  </si>
  <si>
    <t>Taxus x media Hicksii Anglojap Yew 5 gal. Container</t>
  </si>
  <si>
    <t>70596-103</t>
  </si>
  <si>
    <t>Picea laxa (glauca) Conica Dwarf Alberta White Spruce 3 gal. Container</t>
  </si>
  <si>
    <t>76339-103</t>
  </si>
  <si>
    <t>Rhododendron x Pleasant White Azalea 3 gal. Container</t>
  </si>
  <si>
    <t>73989-103</t>
  </si>
  <si>
    <t>Viburnum carlesii Koreanspice Viburnum 3 gal. Container</t>
  </si>
  <si>
    <t>62403-110</t>
  </si>
  <si>
    <t>Buxus microphylla Winter Gem Littleleaf Boxwood 10 gal. Container</t>
  </si>
  <si>
    <t>73269-224</t>
  </si>
  <si>
    <t>Taxus x media Hatfieldii Anglojap Yew 24 in. Height Ball and Burlap</t>
  </si>
  <si>
    <t>70569-103</t>
  </si>
  <si>
    <t>Picea abies Nidiformis Bird's Nest Spruce 3 gal. Container</t>
  </si>
  <si>
    <t>67367-105</t>
  </si>
  <si>
    <t>Ilex crenata Helleri Japanese Holly 5 gal. Container</t>
  </si>
  <si>
    <t>73267-218</t>
  </si>
  <si>
    <t>Taxus x media Densiformis Anglojap Yew 18 in. Height Ball and Burlap</t>
  </si>
  <si>
    <t>78961-STD107</t>
  </si>
  <si>
    <t>Hydrangea paniculata Color Choice Pinky Winky Proven Winners Panicle Hydrangea Tree Form Standard 7 gal. (24.32 L) Container</t>
  </si>
  <si>
    <t>76343-103</t>
  </si>
  <si>
    <t>Rhododendron x Autumn Twist Encore Azalea True 3 gal. (11.36 L) Container</t>
  </si>
  <si>
    <t>72177-103</t>
  </si>
  <si>
    <t>Rosa rugosa Japanese Rose 3 gal. Container</t>
  </si>
  <si>
    <t>92654-103</t>
  </si>
  <si>
    <t>Hydrangea x Fairytrail Bride Proven Winners Cascade Hydrangea True 3 gal. (11.36 L) Container</t>
  </si>
  <si>
    <t>75285-020</t>
  </si>
  <si>
    <t>Styrax japonicus Pink Chimes Japanese Snowbell 2 in. Caliper Ball and Burlap</t>
  </si>
  <si>
    <t>76248-306</t>
  </si>
  <si>
    <t>Cedrus atlantica Horstmann Blue Atlas Cedar 6 ft. Height Ball and Burlap</t>
  </si>
  <si>
    <t>63684-020</t>
  </si>
  <si>
    <t>Cornus florida Flowering Dogwood 2 in. Caliper Ball and Burlap</t>
  </si>
  <si>
    <t>63107-020</t>
  </si>
  <si>
    <t>Cercis canadensis Eastern Redbud 2 in. Caliper Ball and Burlap</t>
  </si>
  <si>
    <t>63707-020</t>
  </si>
  <si>
    <t>Cornus x rutgersensis Stellar Stellar Pink Flowering Dogwood 2 in. Caliper Ball and Burlap</t>
  </si>
  <si>
    <t>70623-306</t>
  </si>
  <si>
    <t>Picea pungens Bakeri Blue Spruce 6 ft. Height Ball and Burlap</t>
  </si>
  <si>
    <t>84331-110</t>
  </si>
  <si>
    <t>Picea pungens Baby Blue Blue Spruce 10 gal. Container</t>
  </si>
  <si>
    <t>76405-115</t>
  </si>
  <si>
    <t>Prunus x subhirtella Snow Fountains Weeping Higan Cherry 15 gal. Container</t>
  </si>
  <si>
    <t>73397-110-5FT</t>
  </si>
  <si>
    <t>Thuja occidentalis Emerald Arborvitae 5 ft. Height 10 gal. Container</t>
  </si>
  <si>
    <t>63985-306</t>
  </si>
  <si>
    <t>Cupressocyparis leylandii Leyland Cypress 6 ft. Height Ball and Burlap</t>
  </si>
  <si>
    <t>68514-030</t>
  </si>
  <si>
    <t>Liriodendron tulipifera Tulip Tree 3 in. Caliper Ball and Burlap</t>
  </si>
  <si>
    <t>63699-020</t>
  </si>
  <si>
    <t>Cornus kousa Kousa Dogwood 2 in. Caliper Ball and Burlap</t>
  </si>
  <si>
    <t>63107-035</t>
  </si>
  <si>
    <t>Cercis canadensis Eastern Redbud 3.5 in. Caliper Ball and Burlap</t>
  </si>
  <si>
    <t>73788-020</t>
  </si>
  <si>
    <t>Ulmus americana Princeton American Elm 2 in. Caliper Ball and Burlap</t>
  </si>
  <si>
    <t>70641-307</t>
  </si>
  <si>
    <t>Picea pungens Blue Spruce 7 ft. Height Ball and Burlap</t>
  </si>
  <si>
    <t>73397-107</t>
  </si>
  <si>
    <t>Thuja occidentalis Emerald Arborvitae 7 gal. Container</t>
  </si>
  <si>
    <t>73397-115-6FT</t>
  </si>
  <si>
    <t>Thuja occidentalis Emerald Arborvitae 6 ft. Height 15 gal. Container</t>
  </si>
  <si>
    <t>76578-305</t>
  </si>
  <si>
    <t>Pinus nigra Oregon Green Austrian Pine 5 ft. Height Ball and Burlap</t>
  </si>
  <si>
    <t>68790-125</t>
  </si>
  <si>
    <t>Magnolia grandiflora Little Gem Southern Magnolia 25-30 gal. Container</t>
  </si>
  <si>
    <t>63985-110</t>
  </si>
  <si>
    <t>Cupressocyparis leylandii Leyland Cypress 10 gal. Container</t>
  </si>
  <si>
    <t>63985-115</t>
  </si>
  <si>
    <t>Cupressocyparis leylandii Leyland Cypress 15 gal. Container</t>
  </si>
  <si>
    <t>60200-045</t>
  </si>
  <si>
    <t>Acer x freemanii Autumn Blaze Freeman Maple 4.5 in. Caliper Ball and Burlap</t>
  </si>
  <si>
    <t>60197-020</t>
  </si>
  <si>
    <t>Acer x freemanii Armstrong Freeman Maple 2 in. Ball and Burlap</t>
  </si>
  <si>
    <t>70765-305</t>
  </si>
  <si>
    <t>Pinus strobus Eastern White Pine 5 ft. Height Ball and Burlap</t>
  </si>
  <si>
    <t>62155-MS310</t>
  </si>
  <si>
    <t>Betula utilis var. jacquemontii Himalayan Birch Tree Form Multi Stem 10 ft. Height Ball and Burlap</t>
  </si>
  <si>
    <t>60338-020</t>
  </si>
  <si>
    <t>Acer saccharum Legacy Sugar Maple 2 in. Caliper Ball and Burlap</t>
  </si>
  <si>
    <t>71220-120</t>
  </si>
  <si>
    <t>Prunus Kanzan (Kwanzan) Japanese Flowering Cherry 20 gal. Container</t>
  </si>
  <si>
    <t>71379-030</t>
  </si>
  <si>
    <t>Quercus alba White Oak 3 in. Caliper Ball and Burlap</t>
  </si>
  <si>
    <t>68841-305</t>
  </si>
  <si>
    <t>Magnolia stellata Royal Star Star Magnolia 5 ft. Height Ball and Burlap</t>
  </si>
  <si>
    <t>71383-030</t>
  </si>
  <si>
    <t>Quercus bicolor Swamp White Oak 3 in. Caliper Ball and Burlap</t>
  </si>
  <si>
    <t>62133-115</t>
  </si>
  <si>
    <t>Betula nigra Heritage River Birch 15 gal. Container</t>
  </si>
  <si>
    <t>71383-025</t>
  </si>
  <si>
    <t>Quercus bicolor Swamp White Oak 2.5 in. Caliper Ball and Burlap</t>
  </si>
  <si>
    <t>71439-025</t>
  </si>
  <si>
    <t>Quercus palustris Pin Oak 2.5 in. Caliper Ball and Burlap</t>
  </si>
  <si>
    <t>63107-MS310</t>
  </si>
  <si>
    <t>Cercis canadensis Eastern Redbud Tree Form Multi Stem 10 ft. Height Ball and Burlap</t>
  </si>
  <si>
    <t>60310-030</t>
  </si>
  <si>
    <t>Acer rubrum Red Sunset Red Maple 3 in. Caliper Ball and Burlap</t>
  </si>
  <si>
    <t>63991-115</t>
  </si>
  <si>
    <t>Hesperocyparis arizonica Carolina Sapphire Arizona Cypress 15 gal. Container</t>
  </si>
  <si>
    <t>85621-020</t>
  </si>
  <si>
    <t>Magnolia x brooklynensis Judy Zuk Magnolia 2 in. Caliper Ball and Burlap</t>
  </si>
  <si>
    <t>94087-115</t>
  </si>
  <si>
    <t>Prunus x Pink Cascade Weeping Cherry 15 gal. Container</t>
  </si>
  <si>
    <t>62133-MS314</t>
  </si>
  <si>
    <t>Betula nigra Heritage River Birch Tree Form Multi Stem 14 ft. Height Ball and Burlap</t>
  </si>
  <si>
    <t>63707-307</t>
  </si>
  <si>
    <t>Cornus x rutgersensis Stellar Stellar Pink Flowering Dogwood 7 ft. Height Ball and Burlap</t>
  </si>
  <si>
    <t>70480-0014</t>
  </si>
  <si>
    <t>Phoenix roebelenii Pygmy Date Palm 14 in. Container</t>
  </si>
  <si>
    <t>71230-025</t>
  </si>
  <si>
    <t>Prunus subhirtella Pendula Weeping Cherry 2.5 in. Caliper Ball and Burlap</t>
  </si>
  <si>
    <t>63707-025</t>
  </si>
  <si>
    <t>Cornus x rutgersensis Stellar Stellar Pink Flowering Dogwood 2.5 in. Caliper Ball and Burlap</t>
  </si>
  <si>
    <t>63951-310</t>
  </si>
  <si>
    <t>Cryptomeria japonica Yoshino Japanese Cedar 10 ft. Height Ball and Burlap</t>
  </si>
  <si>
    <t>67325-308</t>
  </si>
  <si>
    <t>Ilex x Nellie R. Stevens Holly 8 ft. Height Ball and Burlap</t>
  </si>
  <si>
    <t>84475-0014</t>
  </si>
  <si>
    <t>Aglaonema x Chinese Evergreen 14 in. Container</t>
  </si>
  <si>
    <t>70349-101</t>
  </si>
  <si>
    <t>Philodendron x Moon Light Philodendron 1 gal. Container</t>
  </si>
  <si>
    <t>70319-INT006</t>
  </si>
  <si>
    <t>Phalaenopsis x Moth Orchid Interior Plant 6 in. Container</t>
  </si>
  <si>
    <t>74248-STK103</t>
  </si>
  <si>
    <t>Wisteria frutescens Amethyst Falls American Wisteria Staked 3 gal. Container</t>
  </si>
  <si>
    <t>82245-105</t>
  </si>
  <si>
    <t>Cenchrus (Pennisetum) alopecuroides Red Head Fountain Grass 5 gal. Container</t>
  </si>
  <si>
    <t>77324-103</t>
  </si>
  <si>
    <t>Leymus arenarius Blue Dune Lyme Grass 3 gal. Container</t>
  </si>
  <si>
    <t>85960-101</t>
  </si>
  <si>
    <t>Panicum virgatum Cape Breeze Switch Grass 1 gal. Container</t>
  </si>
  <si>
    <t>76593-105</t>
  </si>
  <si>
    <t>Miscanthus sinensis Yakushima Dwarf Maidengrass 5 gal. Container</t>
  </si>
  <si>
    <t>74248-STK105</t>
  </si>
  <si>
    <t>Wisteria frutescens Amethyst Falls American Wisteria Staked 5 gal. Container</t>
  </si>
  <si>
    <t>91024-102</t>
  </si>
  <si>
    <t>Cortaderia selloana Ivory Feathers Monrovia Dwarf Pampas Grass True 2 gal. (7.57 L) Container</t>
  </si>
  <si>
    <t>60705-RCF24</t>
  </si>
  <si>
    <t>Ajuga reptans Burgundy Glow Bugleweed 24 Count Rooted Cutting Flat</t>
  </si>
  <si>
    <t>68715-SP4</t>
  </si>
  <si>
    <t>Lysimachia nummularia Aurea Creeping Jenny SP4 Container</t>
  </si>
  <si>
    <t>75000-103</t>
  </si>
  <si>
    <t>Muhlenbergia capillaris Pink Muhly Grass 3 gal. Container</t>
  </si>
  <si>
    <t>70069-103</t>
  </si>
  <si>
    <t>Cenchrus (Pennisetum) alopecuroides Moudry Fountain Grass 3 gal. Container</t>
  </si>
  <si>
    <t>73885-101</t>
  </si>
  <si>
    <t>Verbena hastata Vervain 1 gal. Container</t>
  </si>
  <si>
    <t>67064-101</t>
  </si>
  <si>
    <t>Hosta sieboldiana Frances Williams Plantain Lily 1 gal. Container</t>
  </si>
  <si>
    <t>60412-101</t>
  </si>
  <si>
    <t>Achillea millefolium Yarrow 1 gal. Container</t>
  </si>
  <si>
    <t>85226-101</t>
  </si>
  <si>
    <t>Anemone hupehensis Fantasy Pochahontas Japanese Anemone 1 gal. Container</t>
  </si>
  <si>
    <t>79011-102</t>
  </si>
  <si>
    <t>Heuchera x Caramel Proven Winners Coral Bells 2 gal. Container</t>
  </si>
  <si>
    <t>68070-101</t>
  </si>
  <si>
    <t>Kniphofia uvaria Flamenco Mixture Red Hot Poker 1 gal. Container</t>
  </si>
  <si>
    <t>61690-102</t>
  </si>
  <si>
    <t>Aster novae-angliae Purple Dome New England Aster 2 gal. Container</t>
  </si>
  <si>
    <t>65627-102</t>
  </si>
  <si>
    <t>Geranium hybrid Rozanne Cranesbilll 2 gal. Container</t>
  </si>
  <si>
    <t>85061-101</t>
  </si>
  <si>
    <t>Sedum x Rock 'N Round Pure Joy Proven Winners Stonecrop 1 gal. Container</t>
  </si>
  <si>
    <t>61773-101</t>
  </si>
  <si>
    <t>Astilbe chinensis Pumila Chinese Astilbe 1 gal. Container</t>
  </si>
  <si>
    <t>68409-101</t>
  </si>
  <si>
    <t>Liatris spicata Gayfeather 1 gal. Container</t>
  </si>
  <si>
    <t>67010-101</t>
  </si>
  <si>
    <t>Hosta Sum and Substance Plantain Lily 1 gal. Container</t>
  </si>
  <si>
    <t>61084-101</t>
  </si>
  <si>
    <t>Anemone x hybrida Honorine Jobert Japanese Anemone 1 gal. Container</t>
  </si>
  <si>
    <t>65076-102</t>
  </si>
  <si>
    <t>Eutrochium (Eupatorium) dubium Little Joe Coastal Plain Joe-Pye Weed 2 gal. Container</t>
  </si>
  <si>
    <t>61108-101</t>
  </si>
  <si>
    <t>Anemone tomentosa Robustissima Japanese Anemone 1 gal. Container</t>
  </si>
  <si>
    <t>68408-101</t>
  </si>
  <si>
    <t>Liatris spicata Kobold Blazing Star 1 gal. Container</t>
  </si>
  <si>
    <t>63623-101</t>
  </si>
  <si>
    <t>Coreopsis grandiflora Early Sunrise Tickseed 1 gal. Container</t>
  </si>
  <si>
    <t>66652-102</t>
  </si>
  <si>
    <t>Heuchera x Plum Pudding Coral Bells 2 gal. Container</t>
  </si>
  <si>
    <t>72393-102</t>
  </si>
  <si>
    <t>Salvia nemorosa East Friesland Woodland Sage 2 gal. Container</t>
  </si>
  <si>
    <t>68274-101</t>
  </si>
  <si>
    <t>Lavandula x intermedia Provence Blue Lavandin 1 gal. Container</t>
  </si>
  <si>
    <t>61549-101</t>
  </si>
  <si>
    <t>Artemisia stelleriana Silver Brocade Wormwood 1 gal. Container</t>
  </si>
  <si>
    <t>79930-101</t>
  </si>
  <si>
    <t>Liatris microcephala Smallhead Blazing Star 1 gal. Container</t>
  </si>
  <si>
    <t>61948-101</t>
  </si>
  <si>
    <t>Baptisia australis False Indigo 1 gal. Container</t>
  </si>
  <si>
    <t>68273-101</t>
  </si>
  <si>
    <t>Lavandula x intermedia Grosso Lavender 1 gal. Container</t>
  </si>
  <si>
    <t>90977-107PFO</t>
  </si>
  <si>
    <t>Hydrangea macrophylla Painted Sky Portfolio Big Leaf Hydrangea 7 gal. Container</t>
  </si>
  <si>
    <t>68018-103</t>
  </si>
  <si>
    <t>Kalmia latifolia Carousel Mountain Laurel 3 gal. Container</t>
  </si>
  <si>
    <t>77487-105</t>
  </si>
  <si>
    <t>Euonymus japonicus Chollipo Japanese Euonymus 5 gal. Container</t>
  </si>
  <si>
    <t>78793-102</t>
  </si>
  <si>
    <t>Rosa x Flower Carpet White Rose 2 gal. Container</t>
  </si>
  <si>
    <t>77488-103</t>
  </si>
  <si>
    <t>Euonymus japonicus Green Spire Japanese Euonymus 3 gal. Container</t>
  </si>
  <si>
    <t>73371-102</t>
  </si>
  <si>
    <t>Thuja occidentalis Hetz Midget American Arborvitae 2 gal. Container</t>
  </si>
  <si>
    <t>73269-218</t>
  </si>
  <si>
    <t>Taxus x media Hatfieldii Anglojap Yew 18 in. Height Ball and Burlap</t>
  </si>
  <si>
    <t>67952-101</t>
  </si>
  <si>
    <t>Juniperus squamata Blue Star Singleseed Juniper 1 gal. Container</t>
  </si>
  <si>
    <t>63207-102</t>
  </si>
  <si>
    <t>Chamaecyparis pisifera Golden Mop Sawara Cypress 2 gal. Container</t>
  </si>
  <si>
    <t>63198-120</t>
  </si>
  <si>
    <t>Chamaecyparis obtusa Verdoni Hinoki Falsecypress 20 gal. Container</t>
  </si>
  <si>
    <t>69286-102</t>
  </si>
  <si>
    <t>Nandina domestica Gulf Stream Heavenly Bamboo 2 gal. Container</t>
  </si>
  <si>
    <t>67206-105</t>
  </si>
  <si>
    <t>Hydrangea quercifolia Alice Oakleaf Hydrangea 5 gal. Container</t>
  </si>
  <si>
    <t>71058-103</t>
  </si>
  <si>
    <t>Dasiphora (Potentilla) fruticosa Goldfinger Shrubby Cinquefoil 3 gal. Container</t>
  </si>
  <si>
    <t>78927-218</t>
  </si>
  <si>
    <t>Taxus x media Green Wave Anglojap Yew 18 in. Height Ball and Burlap</t>
  </si>
  <si>
    <t>79391-103</t>
  </si>
  <si>
    <t>Rosa x Coral Drift Rose True 3 gal. (11.36 L) Container</t>
  </si>
  <si>
    <t>62399-SP115</t>
  </si>
  <si>
    <t>Buxus x Green Mountain Boxwood Spiral 15 gal. Container</t>
  </si>
  <si>
    <t>74061-103</t>
  </si>
  <si>
    <t>Viburnum prunifolium Blackhaw Viburnum 3 gal. Container</t>
  </si>
  <si>
    <t>63207-107</t>
  </si>
  <si>
    <t>Chamaecyparis pisifera Golden Mop Sawara Cypress 7 gal. Container</t>
  </si>
  <si>
    <t>67397-107</t>
  </si>
  <si>
    <t>Ilex glabra Compacta Inkberry Holly 7 gal. Container</t>
  </si>
  <si>
    <t>63082-103</t>
  </si>
  <si>
    <t>Cephalotaxus harringtonia Prostrata Japanese Plum Yew 3 gal. Container</t>
  </si>
  <si>
    <t>70596-101</t>
  </si>
  <si>
    <t>Picea laxa (glauca) Conica Dwarf Alberta White Spruce 1 gal. Container</t>
  </si>
  <si>
    <t>61507-103</t>
  </si>
  <si>
    <t>Aronia arbutifolia Brilliantissima Brilliant Red Chokeberry 3 gal. Container</t>
  </si>
  <si>
    <t>76393-102</t>
  </si>
  <si>
    <t>Chamaecyparis pisifera filifera Golden Charm Japanese Falsecypress 2 gal. Container</t>
  </si>
  <si>
    <t>73246-248</t>
  </si>
  <si>
    <t>Taxus baccata Stricta Fastigiata English Yew 48 in. Height Ball and Burlap</t>
  </si>
  <si>
    <t>69770-305</t>
  </si>
  <si>
    <t>Osmanthus heterophyllus Gulftide False Holly 5 ft. Height Ball and Burlap</t>
  </si>
  <si>
    <t>70628-106</t>
  </si>
  <si>
    <t>Picea pungens Glauca Globosa Blue Spruce 6 gal. Container</t>
  </si>
  <si>
    <t>65036-224</t>
  </si>
  <si>
    <t>Euonymus alatus Compactus Dwarf Burning Bush 24 in. Height Ball and Burlap</t>
  </si>
  <si>
    <t>81361-103</t>
  </si>
  <si>
    <t>Hydrangea quercifolia Ruby Slippers Oakleaf Hydrangea 3 gal. Container</t>
  </si>
  <si>
    <t>62399-PY115-36IN</t>
  </si>
  <si>
    <t>Buxus x Green Mountain Boxwood Pyramidal 36 in. Height 15 gal. Container</t>
  </si>
  <si>
    <t>82875-SP105PREM</t>
  </si>
  <si>
    <t>Ilex x Emerald Colonnade Monrovia Holly Spiral Premium 5 gal. Container</t>
  </si>
  <si>
    <t>67897-103</t>
  </si>
  <si>
    <t>Juniperus horizontalis Plumosa Andorra Juniper 3 gal. Container</t>
  </si>
  <si>
    <t>70637-110</t>
  </si>
  <si>
    <t>Picea pungens Montgomery Blue Spruce 10 gal. Container</t>
  </si>
  <si>
    <t>67191-STD120</t>
  </si>
  <si>
    <t>Hydrangea paniculata Color Choice Limelight Proven Winners Panicle Hydrangea Tree Form Standard 20 gal. Container</t>
  </si>
  <si>
    <t>84396-224</t>
  </si>
  <si>
    <t>Taxus x media Angelica Anglojap Yew 24 in. Height Ball and Burlap</t>
  </si>
  <si>
    <t>62376-103</t>
  </si>
  <si>
    <t>Buddleia x weyeriana Honeycomb Butterfly Bush 3 gal. Container</t>
  </si>
  <si>
    <t>63732-103</t>
  </si>
  <si>
    <t>Cornus sericea Red Twig Dogwood 3 gal. Container</t>
  </si>
  <si>
    <t>72519-101</t>
  </si>
  <si>
    <t>Sarcococca hookeriana var. humilis Sweet Box 1 gal. Container</t>
  </si>
  <si>
    <t>67332-115PREM</t>
  </si>
  <si>
    <t>Ilex aquifolium Argentea Marginata English Holly Premium 15 gal. Container</t>
  </si>
  <si>
    <t>70628-105</t>
  </si>
  <si>
    <t>Picea pungens Glauca Globosa Blue Spruce 5 gal. Container</t>
  </si>
  <si>
    <t>72154-103</t>
  </si>
  <si>
    <t>Rosa carolina Pasture Rose 3 gal. Container</t>
  </si>
  <si>
    <t>84270-105</t>
  </si>
  <si>
    <t>Hydrangea macrophylla Teller Blue Lacecap Hydrangea 5 gal. Container</t>
  </si>
  <si>
    <t>69770-107</t>
  </si>
  <si>
    <t>Osmanthus heterophyllus Gulftide False Holly 7 gal. Container</t>
  </si>
  <si>
    <t>62428-GB230</t>
  </si>
  <si>
    <t>Buxus sempervirens Boxwood Globe 30 in. Ball and Burlap</t>
  </si>
  <si>
    <t>63207-105</t>
  </si>
  <si>
    <t>Chamaecyparis pisifera Golden Mop Sawara Cypress 5 gal. Container</t>
  </si>
  <si>
    <t>61878-105</t>
  </si>
  <si>
    <t>Aucuba japonica Mr. Goldstrike Spotted Laurel 5 gal. Container</t>
  </si>
  <si>
    <t>73273-236</t>
  </si>
  <si>
    <t>Taxus x media Hicksii Yew 36 in. Height Ball and Burlap</t>
  </si>
  <si>
    <t>77857-103</t>
  </si>
  <si>
    <t>Ilex x Cherry Bomb Holly 3 gal. Container</t>
  </si>
  <si>
    <t>69769-107</t>
  </si>
  <si>
    <t>Osmanthus heterophyllus Goshiki False Holly 7 gal. Container</t>
  </si>
  <si>
    <t>67952-STD105</t>
  </si>
  <si>
    <t>Juniperus squamata Blue Star Singleseed Juniper Tree Form Standard 5 gal. Container</t>
  </si>
  <si>
    <t>73269-230</t>
  </si>
  <si>
    <t>Taxus x media Hatfieldii Anglojap Yew 30 in. Height Ball and Burlap</t>
  </si>
  <si>
    <t>71192-103</t>
  </si>
  <si>
    <t>Prunus laurocerasus Otto Luyken English Laurel 3 gal. Container</t>
  </si>
  <si>
    <t>70596-SP110</t>
  </si>
  <si>
    <t>Picea laxa (glauca) Conica Dwarf Alberta White Spruce Spiral 10 gal. Container</t>
  </si>
  <si>
    <t>76064-236</t>
  </si>
  <si>
    <t>Buxus sempervirens Variegata Variegated Boxwood 36 in. Height Ball and Burlap</t>
  </si>
  <si>
    <t>90116-102</t>
  </si>
  <si>
    <t>Lagerstroemia indica Bellini Grape Crape Myrtle 2 gal. Container</t>
  </si>
  <si>
    <t>65048-102</t>
  </si>
  <si>
    <t>Euonymus fortunei Emerald 'n Gold Wintercreeper 2 gal. Container</t>
  </si>
  <si>
    <t>77488-105PREM</t>
  </si>
  <si>
    <t>Euonymus japonicus Green Spire Japanese Euonymus Premium 5 gal. Container</t>
  </si>
  <si>
    <t>61879-105</t>
  </si>
  <si>
    <t>Aucuba japonica Picturata Spotted Laurel 5 gal. Container</t>
  </si>
  <si>
    <t>70596-SP105</t>
  </si>
  <si>
    <t>Picea laxa (glauca) Conica Dwarf Alberta White Spruce Spiral 5 gal. Container</t>
  </si>
  <si>
    <t>67402-107</t>
  </si>
  <si>
    <t>Ilex glabra Shamrock Inkberry Holly 7 gal. Container</t>
  </si>
  <si>
    <t>67407-103</t>
  </si>
  <si>
    <t>Ilex x meserveae Blue Princess Blue Holly 3 gal. Container</t>
  </si>
  <si>
    <t>71192-105</t>
  </si>
  <si>
    <t>Prunus laurocerasus Otto Luyken English Laurel 5 gal. Container</t>
  </si>
  <si>
    <t>82482-102</t>
  </si>
  <si>
    <t>Buxus sinica var. insularis Franklin's Gem Korean Boxwood 2 gal. Container</t>
  </si>
  <si>
    <t>80832-STD110</t>
  </si>
  <si>
    <t>Hydrangea paniculata Vanilla Strawberry First Editions Panicle Hydrangea Tree Form Standard 10 gal. Container</t>
  </si>
  <si>
    <t>74052-305</t>
  </si>
  <si>
    <t>Viburnum plicatum var. tomentosum Mariesii Doublefile Viburnum 5 ft. Height Ball and Burlap</t>
  </si>
  <si>
    <t>77488-105</t>
  </si>
  <si>
    <t>Euonymus japonicus Green Spire Japanese Euonymus 5 gal. Container</t>
  </si>
  <si>
    <t>65070-ESP110</t>
  </si>
  <si>
    <t>Euonymus kiautschovicus Manhattan Spreading Euonymus Espalier 10 gal. Container</t>
  </si>
  <si>
    <t>77835-110</t>
  </si>
  <si>
    <t>Ilex x meserveae Blue Girl Blue Holly 10 gal. Container</t>
  </si>
  <si>
    <t>82058-102</t>
  </si>
  <si>
    <t>Rosa x Popcorn Drift Rose True 2 gal. (7.57 L) Container</t>
  </si>
  <si>
    <t>78753-STD103</t>
  </si>
  <si>
    <t>Rosa x Sunblaze Red Bloomables Miniature Rose Tree Form Standard True 3 gal. (11.36 L) Container</t>
  </si>
  <si>
    <t>78038-102</t>
  </si>
  <si>
    <t>Skimmia japonica Female Skimmia 2 gal. Container</t>
  </si>
  <si>
    <t>71192-107</t>
  </si>
  <si>
    <t>Prunus laurocerasus Otto Luyken English Laurel 7 gal. Container</t>
  </si>
  <si>
    <t>63206-102</t>
  </si>
  <si>
    <t>Chamaecyparis pisifera Gold Thread Thread Cypress 2 gal. Container</t>
  </si>
  <si>
    <t>81452-103</t>
  </si>
  <si>
    <t>Spiraea x Double Play Big Bang Proven Winners Spirea True 3 gal. (11.36 L) Container</t>
  </si>
  <si>
    <t>76867-103</t>
  </si>
  <si>
    <t>Rosa x Peach Drift Rose True 3 gal. (11.36 L) Container</t>
  </si>
  <si>
    <t>76829-103</t>
  </si>
  <si>
    <t>Hydrangea macrophylla Twist-n-Shout Endless Summer Lacecap Hydrangea True 3 gal. (11.36 L) Container</t>
  </si>
  <si>
    <t>70655-110</t>
  </si>
  <si>
    <t>Pieris japonica Mountain Fire Japanese Andromeda 10 gal. Container</t>
  </si>
  <si>
    <t>73831-101</t>
  </si>
  <si>
    <t>Vaccinium angustifolium Lowbush Blueberry 1 gal. Container</t>
  </si>
  <si>
    <t>77800-107</t>
  </si>
  <si>
    <t>Ilex crenata Chesapeake Japanese Holly 7 gal. Container</t>
  </si>
  <si>
    <t>73163-105</t>
  </si>
  <si>
    <t>Syringa vulgaris Sensation Lilac 5 gal. Container</t>
  </si>
  <si>
    <t>77488-102</t>
  </si>
  <si>
    <t>Euonymus japonicus Green Spire Japanese Euonymus 2 gal. Container</t>
  </si>
  <si>
    <t>67446-105</t>
  </si>
  <si>
    <t>Ilex verticillata Red Sprite Winterberry Holly 5 gal. Container</t>
  </si>
  <si>
    <t>78538-103</t>
  </si>
  <si>
    <t>Physocarpus opulifolius Summer Wine Proven Winners Ninebark 3 gal. Container</t>
  </si>
  <si>
    <t>76333-103</t>
  </si>
  <si>
    <t>Rhododendron x Johanna Azalea 3 gal. Container</t>
  </si>
  <si>
    <t>76298-103</t>
  </si>
  <si>
    <t>Rhododendron x Autumn Amethyst Encore Azalea True 3 gal. (11.36 L) Container</t>
  </si>
  <si>
    <t>72519-102</t>
  </si>
  <si>
    <t>Sarcococca hookeriana var. humilis Sweet Box 2 gal. Container</t>
  </si>
  <si>
    <t>65068-105</t>
  </si>
  <si>
    <t>Euonymus japonicus Silver King Japanese Euonymus 5 gal. Container</t>
  </si>
  <si>
    <t>91894-110</t>
  </si>
  <si>
    <t>Prunus laurocerasus Volcano English Laurel 10 gal. Container</t>
  </si>
  <si>
    <t>84396-218</t>
  </si>
  <si>
    <t>Taxus x media Angelica Anglojap Yew 18 in. Height Ball and Burlap</t>
  </si>
  <si>
    <t>65338-107</t>
  </si>
  <si>
    <t>Forsythia x intermedia Lynwood Variety Border Forsythia 7 gal. Container</t>
  </si>
  <si>
    <t>65068-102</t>
  </si>
  <si>
    <t>Euonymus japonicus Silver King Japanese Euonymus 2 gal. Container</t>
  </si>
  <si>
    <t>69770-103</t>
  </si>
  <si>
    <t>Osmanthus heterophyllus Gulftide False Holly 3 gal. Container</t>
  </si>
  <si>
    <t>62528-103</t>
  </si>
  <si>
    <t>Callicarpa dichotoma Issai Purple Pride Beautyberry 3 gal. Container</t>
  </si>
  <si>
    <t>71439-030</t>
  </si>
  <si>
    <t>Quercus palustris Pin Oak 3 in. Caliper Ball and Burlap</t>
  </si>
  <si>
    <t>70779-305</t>
  </si>
  <si>
    <t>Pinus thunbergii Japanese Black Pine 5 ft. Height Ball and Burlap</t>
  </si>
  <si>
    <t>68117-115</t>
  </si>
  <si>
    <t>Lagerstroemia indica x fauriei Natchez Crape Myrtle 15 gal. Container</t>
  </si>
  <si>
    <t>67947-110</t>
  </si>
  <si>
    <t>Juniperus scopulorum Wichita Blue Rocky Mountain Juniper 10 gal. Container</t>
  </si>
  <si>
    <t>71442-025</t>
  </si>
  <si>
    <t>Quercus phellos Willow Oak 2.5 in. Caliper Ball and Burlap</t>
  </si>
  <si>
    <t>71376-025</t>
  </si>
  <si>
    <t>Quercus acutissima Sawtooth Oak 2.5 in. Caliper Ball and Burlap</t>
  </si>
  <si>
    <t>68113-306</t>
  </si>
  <si>
    <t>Lagerstroemia indica x fauriei Hopi Crape Myrtle 6 ft. Height Ball and Burlap</t>
  </si>
  <si>
    <t>67856-306</t>
  </si>
  <si>
    <t>Juniperus chinensis Torulosa Hollywood Juniper 6 ft. Height Ball and Burlap</t>
  </si>
  <si>
    <t>63951-115</t>
  </si>
  <si>
    <t>Cryptomeria japonica Yoshino Japanese Cedar 15 gal. Container</t>
  </si>
  <si>
    <t>63103-0175</t>
  </si>
  <si>
    <t>Cercis canadensis Forest Pansy Eastern Redbud 1.75 in. Caliper Ball and Burlap</t>
  </si>
  <si>
    <t>68125-307</t>
  </si>
  <si>
    <t>Lagerstroemia indica x fauriei Tuscarora Crape Myrtle 7 ft. Height Ball and Burlap</t>
  </si>
  <si>
    <t>63951-308</t>
  </si>
  <si>
    <t>Cryptomeria japonica Yoshino Japanese Cedar 8 ft. Height Ball and Burlap</t>
  </si>
  <si>
    <t>62817-030</t>
  </si>
  <si>
    <t>Carpinus betulus European Hornbeam 3 in. Caliper Ball and Burlap</t>
  </si>
  <si>
    <t>Joseph Marando Nurseries, Inc.</t>
  </si>
  <si>
    <t>74322-120</t>
  </si>
  <si>
    <t>Zelkova serrata Green Vase Japanese Zelkova 20 gal. Container</t>
  </si>
  <si>
    <t>62818-120</t>
  </si>
  <si>
    <t>Carpinus caroliniana American Hornbeam 20 gal. Container</t>
  </si>
  <si>
    <t>73359-305</t>
  </si>
  <si>
    <t>Thuja occidentalis Elegantissima Arborvitae 5 ft. Height Ball and Burlap</t>
  </si>
  <si>
    <t>76386-230</t>
  </si>
  <si>
    <t>Chamaecyparis obtusa Confucius Hinoki Cypress 30 in. Height Ball and Burlap</t>
  </si>
  <si>
    <t>79979-030</t>
  </si>
  <si>
    <t>Quercus robur Fastigiata English Oak 3 in. Caliper Ball and Burlap</t>
  </si>
  <si>
    <t>82406-020</t>
  </si>
  <si>
    <t>Acer truncatum x platanoides Crimson Sunset Maple 2 in. Caliper Ball and Burlap</t>
  </si>
  <si>
    <t>68161-310</t>
  </si>
  <si>
    <t>Lagerstroemia indica Red Rocket Crape Myrtle 10 ft. Height Ball and Burlap</t>
  </si>
  <si>
    <t>77919-310</t>
  </si>
  <si>
    <t>Juniperus virginiana Taylor Eastern Red Cedar 10 ft. Height Ball and Burlap</t>
  </si>
  <si>
    <t>75942-248</t>
  </si>
  <si>
    <t>Acer palmatum subsp. matsumurae Tamukeyama Japanese Laceleaf Maple 48 in. Height Ball and Burlap</t>
  </si>
  <si>
    <t>68117-308</t>
  </si>
  <si>
    <t>Lagerstroemia indica x fauriei Natchez Crape Myrtle 8 ft. Height Ball and Burlap</t>
  </si>
  <si>
    <t>71174-125</t>
  </si>
  <si>
    <t>Prunus cerasifera Thundercloud Cherry Plum 25-30 gal. Container</t>
  </si>
  <si>
    <t>75942-115-W30IN</t>
  </si>
  <si>
    <t>Acer palmatum subsp. matsumurae Tamukeyama Japanese Laceleaf Maple 30 in. Width 15 gal. Container</t>
  </si>
  <si>
    <t>63187-312</t>
  </si>
  <si>
    <t>Chamaecyparis obtusa Nana Aurea Dwarf Golden Hinoki Cypress 12 ft. Height Ball and Burlap</t>
  </si>
  <si>
    <t>TURPIN NURSERY INC.</t>
  </si>
  <si>
    <t>68780-110PREM</t>
  </si>
  <si>
    <t>Magnolia grandiflora Bracken's Brown Beauty Southern Magnolia Premium 10 gal. Container</t>
  </si>
  <si>
    <t>67427-306</t>
  </si>
  <si>
    <t>Ilex opaca Satyr Hill American Holly 6 ft. Height Ball and Burlap</t>
  </si>
  <si>
    <t>71215-030</t>
  </si>
  <si>
    <t>Prunus sargentii Columnaris Columnar Sargent Cherry 3 in. Caliper Ball and Burlap</t>
  </si>
  <si>
    <t>74939-030</t>
  </si>
  <si>
    <t>Liquidambar styraciflua Slender Silhouette Sweetgum 3 in. Caliper Ball and Burlap</t>
  </si>
  <si>
    <t>60269-115</t>
  </si>
  <si>
    <t>Acer palmatum Bloodgood Japanese Maple 15 gal. Container</t>
  </si>
  <si>
    <t>68125-125</t>
  </si>
  <si>
    <t>Lagerstroemia indica x fauriei Tuscarora Crape Myrtle 25-30 gal. Container</t>
  </si>
  <si>
    <t>67325-120</t>
  </si>
  <si>
    <t>Ilex x Nellie R. Stevens Holly 20 gal. Container</t>
  </si>
  <si>
    <t>63107-MS306</t>
  </si>
  <si>
    <t>Cercis canadensis Eastern Redbud Tree Form Multi Stem 6 ft. Height Ball and Burlap</t>
  </si>
  <si>
    <t>62132-115</t>
  </si>
  <si>
    <t>Betula nigra Dura Heat River Birch 15 gal. Container</t>
  </si>
  <si>
    <t>79566-115</t>
  </si>
  <si>
    <t>Cryptomeria japonica Radicans Japanese Cedar 15 gal. Container</t>
  </si>
  <si>
    <t>80521-115</t>
  </si>
  <si>
    <t>Nyssa sylvatica Wildfire Black Tupelo 15 gal. Container</t>
  </si>
  <si>
    <t>77919-312</t>
  </si>
  <si>
    <t>Juniperus virginiana Taylor Eastern Red Cedar 12 ft. Height Ball and Burlap</t>
  </si>
  <si>
    <t>90762-115</t>
  </si>
  <si>
    <t>Lagerstroemia x Thunderstruck Rumblin Red Garden Debut Crape Myrtle 15 gal. Container</t>
  </si>
  <si>
    <t>89845-W824</t>
  </si>
  <si>
    <t>Acer palmatum subsp. matsumurae Emerald Lace Japanese Laceleaf Maple 24 in. Width Ball and Burlap</t>
  </si>
  <si>
    <t>67325-310</t>
  </si>
  <si>
    <t>Ilex x Nellie R. Stevens Holly 10 ft. Height Ball and Burlap</t>
  </si>
  <si>
    <t>68128-115</t>
  </si>
  <si>
    <t>Lagerstroemia indica x fauriei Zuni Crape Myrtle 15 gal. Container</t>
  </si>
  <si>
    <t>67325-306</t>
  </si>
  <si>
    <t>Ilex x Nellie R. Stevens Holly 6 ft. Height Ball and Burlap</t>
  </si>
  <si>
    <t>68509-020</t>
  </si>
  <si>
    <t>Liquidambar styraciflua American Sweetgum 2 in. Ball and Burlap</t>
  </si>
  <si>
    <t>68790-115</t>
  </si>
  <si>
    <t>Magnolia grandiflora Little Gem Southern Magnolia 15 gal. Container</t>
  </si>
  <si>
    <t>75653-110</t>
  </si>
  <si>
    <t>Juniperus chinensis Blue Point Chinese Juniper 10 gal. Container</t>
  </si>
  <si>
    <t>74326-125</t>
  </si>
  <si>
    <t>Zelkova serrata Village Green Japanese Zelkova 25-30 gal. Container</t>
  </si>
  <si>
    <t>77855-115</t>
  </si>
  <si>
    <t>Ilex x Acadiana Red Holly 15 gal. Container</t>
  </si>
  <si>
    <t>77882-107</t>
  </si>
  <si>
    <t>Juniperus chinensis Hetz Columnaris Chinese Juniper 7 gal. Container</t>
  </si>
  <si>
    <t>63707-308</t>
  </si>
  <si>
    <t>Cornus x rutgersensis Stellar Stellar Pink Flowering Dogwood 8 ft. Height Ball and Burlap</t>
  </si>
  <si>
    <t>60994-306</t>
  </si>
  <si>
    <t>Amelanchier canadensis Shadblow Serviceberry 6 ft. Height Ball and Burlap</t>
  </si>
  <si>
    <t>62818-025</t>
  </si>
  <si>
    <t>Carpinus caroliniana American Hornbeam 2.5 in. Caliper Ball and Burlap</t>
  </si>
  <si>
    <t>71174-020</t>
  </si>
  <si>
    <t>Prunus cerasifera Thundercloud Cherry Plum 2 in. Ball and Burlap</t>
  </si>
  <si>
    <t>71454-020</t>
  </si>
  <si>
    <t>Quercus rubra Red Oak 2 in. Caliper Ball and Burlap</t>
  </si>
  <si>
    <t>73391-308</t>
  </si>
  <si>
    <t>Thuja occidentalis Pyramidalis Arborvitae 8 ft. Height Ball and Burlap</t>
  </si>
  <si>
    <t>73513-025</t>
  </si>
  <si>
    <t>Tilia americana Redmond American Linden 2.5 in. Caliper Ball and Burlap</t>
  </si>
  <si>
    <t>78067-020</t>
  </si>
  <si>
    <t>Zelkova serrata Musashino Japanese Zelkova 2 in. Caliper Ball and Burlap</t>
  </si>
  <si>
    <t>76017-305</t>
  </si>
  <si>
    <t>Thuja occidentalis Yellow Ribbon American Arborvitae 5 ft. Height Ball and Burlap</t>
  </si>
  <si>
    <t>68125-310</t>
  </si>
  <si>
    <t>Lagerstroemia indica x fauriei Tuscarora Crape Myrtle 10 ft. Height Ball and Burlap</t>
  </si>
  <si>
    <t>75653-125</t>
  </si>
  <si>
    <t>Juniperus chinensis Blue Point Chinese Juniper 25-30 gal. Container</t>
  </si>
  <si>
    <t>62979-308</t>
  </si>
  <si>
    <t>Cedrus atlantica Glauca Blue Atlas Cedar 8 ft. Height Ball and Burlap</t>
  </si>
  <si>
    <t>86200-306</t>
  </si>
  <si>
    <t>Picea orientalis Skagit Oriental Spruce 6 ft. Height Ball and Burlap</t>
  </si>
  <si>
    <t>84331-248</t>
  </si>
  <si>
    <t>Picea pungens Baby Blue Blue Spruce 48 in. Height Ball and Burlap</t>
  </si>
  <si>
    <t>67963-306</t>
  </si>
  <si>
    <t>Juniperus virginiana Hillspire Eastern Red Cedar 6 ft. Height Ball and Burlap</t>
  </si>
  <si>
    <t>77339-310</t>
  </si>
  <si>
    <t>Cupressocyparis leylandii Emerald Isle Monrovia Leyland Cypress 10 ft. Height Ball and Burlap</t>
  </si>
  <si>
    <t>60253-120-7FT</t>
  </si>
  <si>
    <t>Acer palmatum Sangokaku Coral Bark Japanese Maple 7 ft. Height 20 gal. Container</t>
  </si>
  <si>
    <t>67847-306</t>
  </si>
  <si>
    <t>Juniperus chinensis Robusta Green Chinese Juniper 6 ft. Height Ball and Burlap</t>
  </si>
  <si>
    <t>67956-308</t>
  </si>
  <si>
    <t>Juniperus virginiana Emerald Sentinel Eastern Red Cedar 8 ft. Height Ball and Burlap</t>
  </si>
  <si>
    <t>63178-307</t>
  </si>
  <si>
    <t>Chamaecyparis obtusa Crippsii Golden Hinoki Cypress 7 ft. Height Ball and Burlap</t>
  </si>
  <si>
    <t>68116-308</t>
  </si>
  <si>
    <t>Lagerstroemia indica x fauriei Muskogee Crape Myrtle 8 ft. Height Ball and Burlap</t>
  </si>
  <si>
    <t>76013-103</t>
  </si>
  <si>
    <t>Thuja Green Giant Arborvitae 3 gal. Container</t>
  </si>
  <si>
    <t>67856-115PREM</t>
  </si>
  <si>
    <t>Juniperus chinensis Torulosa Hollywood Juniper Premium 15 gal. Container</t>
  </si>
  <si>
    <t>70619-106</t>
  </si>
  <si>
    <t>Picea orientalis Skylands Oriental Spruce 6 gal. Container</t>
  </si>
  <si>
    <t>71454-045</t>
  </si>
  <si>
    <t>Quercus rubra Red Oak 4.5 in. Caliper Ball and Burlap</t>
  </si>
  <si>
    <t>67408-110</t>
  </si>
  <si>
    <t>Ilex x aquipernyi Dragon Lady Holly 10 gal. Container</t>
  </si>
  <si>
    <t>68881-020</t>
  </si>
  <si>
    <t>Malus x Callaway Crabapple 2 in. Caliper Ball and Burlap</t>
  </si>
  <si>
    <t>62133-MS308</t>
  </si>
  <si>
    <t>Betula nigra Heritage River Birch Tree Form Multi Stem 8 ft. Height Ball and Burlap</t>
  </si>
  <si>
    <t>60269-306</t>
  </si>
  <si>
    <t>Acer palmatum Bloodgood Japanese Maple 6 ft. Height Ball and Burlap</t>
  </si>
  <si>
    <t>60207-025</t>
  </si>
  <si>
    <t>Acer griseum Paperbark Maple 2.5 in. Caliper Ball and Burlap</t>
  </si>
  <si>
    <t>68125-115</t>
  </si>
  <si>
    <t>Lagerstroemia indica x fauriei Tuscarora Crape Myrtle 15 gal. Container</t>
  </si>
  <si>
    <t>62155-115</t>
  </si>
  <si>
    <t>Betula utilis var. jacquemontii Himalayan Birch 15 gal. Container</t>
  </si>
  <si>
    <t>63699-307</t>
  </si>
  <si>
    <t>Cornus kousa Kousa Dogwood 7 ft. Height Ball and Burlap</t>
  </si>
  <si>
    <t>60994-308</t>
  </si>
  <si>
    <t>Amelanchier canadensis Shadblow Serviceberry 8 ft. Height Ball and Burlap</t>
  </si>
  <si>
    <t>76017-306</t>
  </si>
  <si>
    <t>Thuja occidentalis Yellow Ribbon American Arborvitae 6 ft. Height Ball and Burlap</t>
  </si>
  <si>
    <t>76408-025</t>
  </si>
  <si>
    <t>Prunus virginiana Canada Red Chokecherry 2.5 in. Caliper Ball and Burlap</t>
  </si>
  <si>
    <t>62133-MS310</t>
  </si>
  <si>
    <t>Betula nigra Heritage River Birch Tree Form Multi Stem 10 ft. Height Ball and Burlap</t>
  </si>
  <si>
    <t>77548-020</t>
  </si>
  <si>
    <t>Malus domestica Red Delicious Semi-Dwarf Apple 2 in. Caliper Ball and Burlap</t>
  </si>
  <si>
    <t>73359-306</t>
  </si>
  <si>
    <t>Thuja occidentalis Elegantissima Arborvitae 6 ft. Height Ball and Burlap</t>
  </si>
  <si>
    <t>70765-307</t>
  </si>
  <si>
    <t>Pinus strobus Eastern White Pine 7 ft. Height Ball and Burlap</t>
  </si>
  <si>
    <t>68116-125</t>
  </si>
  <si>
    <t>Lagerstroemia indica x fauriei Muskogee Crape Myrtle 25-30 gal. Container</t>
  </si>
  <si>
    <t>79773-020</t>
  </si>
  <si>
    <t>Acer rubrum Redpointe Red Maple 2 in. Caliper Ball and Burlap</t>
  </si>
  <si>
    <t>75974-035</t>
  </si>
  <si>
    <t>Acer rubrum Sun Valley Red Maple 3.5 in. Caliper Ball and Burlap</t>
  </si>
  <si>
    <t>70523-105</t>
  </si>
  <si>
    <t>Phyllostachys bissetii Lewis Bamboo 5 gal. Container</t>
  </si>
  <si>
    <t>76752-105</t>
  </si>
  <si>
    <t>Fargesia rufa Hardy Bamboo 5 gal. Container</t>
  </si>
  <si>
    <t>84706-101</t>
  </si>
  <si>
    <t>Carex oshimensis EverColor Everest Variegated Sedge 1 gal. Container</t>
  </si>
  <si>
    <t>69169-107</t>
  </si>
  <si>
    <t>Miscanthus sinensis Morning Light Maidengrass 7 gal. Container</t>
  </si>
  <si>
    <t>68526-101</t>
  </si>
  <si>
    <t>Liriope spicata Creeping Lilyturf 1 gal. Container</t>
  </si>
  <si>
    <t>ECO WHOLESALE NURSERY</t>
  </si>
  <si>
    <t>68515-RCF18</t>
  </si>
  <si>
    <t>Liriope muscari Big Blue Lilyturf 18 Count Rooted Cutting Flat</t>
  </si>
  <si>
    <t>76613-101</t>
  </si>
  <si>
    <t>Achillea millefolium Strawberry Seduction Yarrow 1 gal. Container</t>
  </si>
  <si>
    <t>60401-101</t>
  </si>
  <si>
    <t>Achillea millefolium Paprika Yarrow 1 gal. Container</t>
  </si>
  <si>
    <t>82312-101</t>
  </si>
  <si>
    <t>Echinacea x Sombrero Poco Hot Coral Coneflower 1 gal. Container</t>
  </si>
  <si>
    <t>81704-102</t>
  </si>
  <si>
    <t>Echinacea purpurea PowWow White Coneflower 2 gal. Container</t>
  </si>
  <si>
    <t>67397-105</t>
  </si>
  <si>
    <t>Ilex glabra Compacta Inkberry Holly 5 gal. Container</t>
  </si>
  <si>
    <t>67382-107PREM</t>
  </si>
  <si>
    <t>Ilex crenata Steeds Japanese Holly Premium 7 gal. Container</t>
  </si>
  <si>
    <t>62403-218</t>
  </si>
  <si>
    <t>Buxus microphylla Winter Gem Littleleaf Boxwood 18 in. Height Ball and Burlap</t>
  </si>
  <si>
    <t>67332-105PREM</t>
  </si>
  <si>
    <t>Ilex aquifolium Argentea Marginata English Holly Premium 5 gal. Container</t>
  </si>
  <si>
    <t>70637-120</t>
  </si>
  <si>
    <t>Picea pungens Montgomery Blue Spruce 20 gal. Container</t>
  </si>
  <si>
    <t>62399-106</t>
  </si>
  <si>
    <t>Buxus x Green Mountain Boxwood 6 gal. Container</t>
  </si>
  <si>
    <t>61510-103</t>
  </si>
  <si>
    <t>Aronia melanocarpa Iroquois Beauty Black Chokeberry 3 gal. Container</t>
  </si>
  <si>
    <t>65036-103</t>
  </si>
  <si>
    <t>Euonymus alatus Compactus Dwarf Burning Bush 3 gal. Container</t>
  </si>
  <si>
    <t>67780-105</t>
  </si>
  <si>
    <t>Itea virginica Henry's Garnet Sweetspire 5 gal. Container</t>
  </si>
  <si>
    <t>72964-103</t>
  </si>
  <si>
    <t>Spiraea japonica Shirobana Spirea 3 gal. Container</t>
  </si>
  <si>
    <t>67206-103</t>
  </si>
  <si>
    <t>Hydrangea quercifolia Alice Oakleaf Hydrangea 3 gal. Container</t>
  </si>
  <si>
    <t>62399-PY110-30IN</t>
  </si>
  <si>
    <t>Buxus x Green Mountain Boxwood Pyramidal 30 in. Height 10 gal. Container</t>
  </si>
  <si>
    <t>80095-102</t>
  </si>
  <si>
    <t>Rosa x Sweet Drift Rose True 2 gal. (7.57 L) Container</t>
  </si>
  <si>
    <t>62400-236</t>
  </si>
  <si>
    <t>Buxus x Green Velvet Boxwood 36 in. Height Ball and Burlap</t>
  </si>
  <si>
    <t>62428-110</t>
  </si>
  <si>
    <t>Buxus sempervirens Boxwood 10 gal. Container</t>
  </si>
  <si>
    <t>63080-115</t>
  </si>
  <si>
    <t>Cephalotaxus harringtonia Fastigiata Japanese Plum Yew 15 gal. Container</t>
  </si>
  <si>
    <t>78879-103</t>
  </si>
  <si>
    <t>Juniperus chinensis Angelica Blue Chinese Juniper 3 gal. Container</t>
  </si>
  <si>
    <t>75927-103</t>
  </si>
  <si>
    <t>Abelia x grandiflora Rose Creek Glossy Abelia 3 gal. Container</t>
  </si>
  <si>
    <t>79764-110</t>
  </si>
  <si>
    <t>Ilex crenata Excelsa Schwoebel Japanese Holly 10 gal. Container</t>
  </si>
  <si>
    <t>77919-115</t>
  </si>
  <si>
    <t>Juniperus virginiana Taylor Eastern Red Cedar 15 gal. Container</t>
  </si>
  <si>
    <t>67856-107PREM</t>
  </si>
  <si>
    <t>Juniperus chinensis Torulosa Hollywood Juniper Premium 7 gal. Container</t>
  </si>
  <si>
    <t>74326-030</t>
  </si>
  <si>
    <t>Zelkova serrata Village Green Japanese Zelkova 3 in. Caliper Ball and Burlap</t>
  </si>
  <si>
    <t>63178-115</t>
  </si>
  <si>
    <t>Chamaecyparis obtusa Crippsii Golden Hinoki Cypress 15 gal. Container</t>
  </si>
  <si>
    <t>70756-305</t>
  </si>
  <si>
    <t>Pinus strobus Fastigiata Eastern White Pine 5 ft. Height Ball and Burlap</t>
  </si>
  <si>
    <t>63178-105</t>
  </si>
  <si>
    <t>Chamaecyparis obtusa Crippsii Golden Hinoki Cypress 5 gal. Container</t>
  </si>
  <si>
    <t>68113-305</t>
  </si>
  <si>
    <t>Lagerstroemia indica x fauriei Hopi Crape Myrtle 5 ft. Height Ball and Burlap</t>
  </si>
  <si>
    <t>70558-308</t>
  </si>
  <si>
    <t>Picea abies Cupressina Norway Spruce 8 ft. Height Ball and Burlap</t>
  </si>
  <si>
    <t>67856-115</t>
  </si>
  <si>
    <t>Juniperus chinensis Torulosa Hollywood Juniper 15 gal. Container</t>
  </si>
  <si>
    <t>68122-310</t>
  </si>
  <si>
    <t>Lagerstroemia hybrid Sioux Crape Myrtle 10 ft. Height Ball and Burlap</t>
  </si>
  <si>
    <t>77888-PM105</t>
  </si>
  <si>
    <t>Juniperus chinensis Hetzii Glauca Chinese Juniper Pom Pom 5 gal. Container</t>
  </si>
  <si>
    <t>82891-308</t>
  </si>
  <si>
    <t>Callitropsis (Chamaecyparis) nootkatensis Aurea Alaskan Cedar 8 ft. Height Ball and Burlap</t>
  </si>
  <si>
    <t>73138-030</t>
  </si>
  <si>
    <t>Syringa reticulata Ivory Silk Japanese Tree Lilac 3 in. Caliper Ball and Burlap</t>
  </si>
  <si>
    <t>70765-309</t>
  </si>
  <si>
    <t>Pinus strobus Eastern White Pine 9 ft. Height Ball and Burlap</t>
  </si>
  <si>
    <t>68144-310</t>
  </si>
  <si>
    <t>Lagerstroemia indica Dynamite Crape Myrtle 10 ft. Height Ball and Burlap</t>
  </si>
  <si>
    <t>62818-115</t>
  </si>
  <si>
    <t>Carpinus caroliniana American Hornbeam 15 gal. Container</t>
  </si>
  <si>
    <t>68849-308</t>
  </si>
  <si>
    <t>Magnolia virginiana Sweet Bay Magnolia 8 ft. Height Ball and Burlap</t>
  </si>
  <si>
    <t>Concat</t>
  </si>
  <si>
    <t>02-02</t>
  </si>
  <si>
    <t>Column1</t>
  </si>
  <si>
    <t>Column2</t>
  </si>
  <si>
    <t>Projection Nov/Dec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</si>
</sst>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5">
    <xf numFmtId="0" fontId="0" fillId="0" borderId="0" xfId="0"/>
    <xf numFmtId="22" fontId="0" fillId="0" borderId="0" xfId="0" applyNumberFormat="1"/>
    <xf numFmtId="44" fontId="0" fillId="0" borderId="0" xfId="2" applyFont="1"/>
    <xf numFmtId="164" fontId="0" fillId="0" borderId="0" xfId="1" applyNumberFormat="1" applyFont="1"/>
    <xf numFmtId="0" fontId="3" fillId="3" borderId="0" xfId="0" applyFont="1" applyFill="1"/>
    <xf numFmtId="44" fontId="3" fillId="3" borderId="0" xfId="2" applyFont="1" applyFill="1"/>
    <xf numFmtId="0" fontId="2" fillId="2" borderId="0" xfId="3"/>
    <xf numFmtId="49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3" applyAlignment="1">
      <alignment horizontal="center"/>
    </xf>
    <xf numFmtId="164" fontId="3" fillId="3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44" fontId="3" fillId="3" borderId="3" xfId="2" applyFont="1" applyFill="1" applyBorder="1"/>
    <xf numFmtId="164" fontId="3" fillId="3" borderId="3" xfId="1" applyNumberFormat="1" applyFont="1" applyFill="1" applyBorder="1"/>
    <xf numFmtId="49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2" applyFont="1" applyBorder="1"/>
    <xf numFmtId="164" fontId="0" fillId="0" borderId="1" xfId="1" applyNumberFormat="1" applyFont="1" applyBorder="1"/>
    <xf numFmtId="22" fontId="0" fillId="0" borderId="1" xfId="0" applyNumberFormat="1" applyBorder="1"/>
    <xf numFmtId="0" fontId="0" fillId="0" borderId="6" xfId="0" applyBorder="1"/>
    <xf numFmtId="0" fontId="2" fillId="2" borderId="1" xfId="3" applyBorder="1"/>
    <xf numFmtId="4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44" fontId="0" fillId="0" borderId="8" xfId="2" applyFont="1" applyBorder="1"/>
    <xf numFmtId="164" fontId="0" fillId="0" borderId="8" xfId="1" applyNumberFormat="1" applyFont="1" applyBorder="1"/>
    <xf numFmtId="22" fontId="0" fillId="0" borderId="8" xfId="0" applyNumberFormat="1" applyBorder="1"/>
    <xf numFmtId="0" fontId="0" fillId="0" borderId="9" xfId="0" applyBorder="1"/>
    <xf numFmtId="44" fontId="0" fillId="0" borderId="1" xfId="2" applyFont="1" applyBorder="1" applyAlignment="1">
      <alignment horizontal="center"/>
    </xf>
    <xf numFmtId="44" fontId="0" fillId="0" borderId="0" xfId="2" applyFont="1" applyAlignment="1">
      <alignment horizontal="center"/>
    </xf>
    <xf numFmtId="44" fontId="3" fillId="4" borderId="3" xfId="2" applyFont="1" applyFill="1" applyBorder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/>
    <xf numFmtId="14" fontId="3" fillId="3" borderId="3" xfId="1" applyNumberFormat="1" applyFont="1" applyFill="1" applyBorder="1"/>
    <xf numFmtId="164" fontId="0" fillId="0" borderId="1" xfId="1" applyNumberFormat="1" applyFont="1" applyFill="1" applyBorder="1"/>
    <xf numFmtId="164" fontId="0" fillId="0" borderId="1" xfId="0" applyNumberFormat="1" applyFill="1" applyBorder="1" applyAlignment="1">
      <alignment horizontal="center"/>
    </xf>
    <xf numFmtId="164" fontId="0" fillId="0" borderId="0" xfId="1" applyNumberFormat="1" applyFont="1" applyFill="1"/>
    <xf numFmtId="0" fontId="0" fillId="0" borderId="0" xfId="0" applyFill="1" applyAlignment="1">
      <alignment horizontal="center"/>
    </xf>
  </cellXfs>
  <cellStyles count="4">
    <cellStyle name="Comma" xfId="1" builtinId="3"/>
    <cellStyle name="Currency" xfId="2" builtinId="4"/>
    <cellStyle name="Neutral" xfId="3" builtinId="28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927E2A-754D-4AFB-A2AA-CA711D7D5978}" name="Table2" displayName="Table2" ref="A1:P2196" totalsRowShown="0" headerRowDxfId="20" headerRowBorderDxfId="18" tableBorderDxfId="19" totalsRowBorderDxfId="17">
  <autoFilter ref="A1:P2196" xr:uid="{082C071A-0893-4CA4-8D32-EA8202A094D9}"/>
  <sortState xmlns:xlrd2="http://schemas.microsoft.com/office/spreadsheetml/2017/richdata2" ref="A2:P2196">
    <sortCondition ref="F1:F2196"/>
  </sortState>
  <tableColumns count="16">
    <tableColumn id="1" xr3:uid="{C04419FD-B225-4B48-A5E0-25A0A675342E}" name="AreaNumber" dataDxfId="16"/>
    <tableColumn id="2" xr3:uid="{74971BB3-C6BA-4D2F-89AC-34C5EB3FA6BC}" name="BranchNumber" dataDxfId="15"/>
    <tableColumn id="3" xr3:uid="{DF14A8A1-5DD1-49A5-AF43-B42E92A1BE05}" name="Line" dataDxfId="14"/>
    <tableColumn id="4" xr3:uid="{90F1277D-B7A3-4447-8C00-6D26E2A47C24}" name="ItemNumber" dataDxfId="13"/>
    <tableColumn id="5" xr3:uid="{B2C548FA-0F0E-4C9F-9F1F-4B55FAC93B6B}" name="Concat" dataDxfId="12">
      <calculatedColumnFormula>CONCATENATE(B2,D2)</calculatedColumnFormula>
    </tableColumn>
    <tableColumn id="6" xr3:uid="{768A73FF-3E5A-4A4D-8DB0-632268D7435C}" name="Description" dataDxfId="11"/>
    <tableColumn id="7" xr3:uid="{990F37A9-86E9-42F9-97A7-21CA9B12AC98}" name="Rank" dataDxfId="10"/>
    <tableColumn id="8" xr3:uid="{D91D552C-4A52-4578-8258-02B8C8D6F264}" name="RepCost" dataDxfId="9" dataCellStyle="Currency"/>
    <tableColumn id="9" xr3:uid="{0680031A-3FBE-44F3-8D66-10E6FDED82E4}" name="OnHandQty" dataDxfId="8" dataCellStyle="Comma"/>
    <tableColumn id="11" xr3:uid="{44CFA50C-26ED-4195-BB67-CCE00D98BC72}" name="Column1" dataDxfId="7" dataCellStyle="Comma"/>
    <tableColumn id="12" xr3:uid="{A2E14779-7A21-4A8D-8C80-E18BD89845D8}" name="Column2" dataDxfId="6" dataCellStyle="Comma"/>
    <tableColumn id="14" xr3:uid="{8C72BF6E-C453-443F-9630-A4A2AF5F0986}" name="Projection Nov/Dec" dataDxfId="5" dataCellStyle="Comma">
      <calculatedColumnFormula>Table2[[#This Row],[Column1]]+Table2[[#This Row],[Column2]]</calculatedColumnFormula>
    </tableColumn>
    <tableColumn id="15" xr3:uid="{91129DE5-29EA-46C6-9376-876311FEACBD}" name="OverStock" dataDxfId="4">
      <calculatedColumnFormula>Table2[[#This Row],[OnHandQty]]-Table2[[#This Row],[Projection Nov/Dec]]</calculatedColumnFormula>
    </tableColumn>
    <tableColumn id="16" xr3:uid="{2C6C7879-A36D-4C21-A4C3-29E4BFD255B3}" name="OverStock$" dataDxfId="3" dataCellStyle="Currency">
      <calculatedColumnFormula>Table2[[#This Row],[OverStock]]*Table2[[#This Row],[RepCost]]</calculatedColumnFormula>
    </tableColumn>
    <tableColumn id="17" xr3:uid="{2E6C78A7-7F76-4028-AD4C-624AD58BFE3B}" name="LastRecv" dataDxfId="2"/>
    <tableColumn id="18" xr3:uid="{2742116B-869F-4E08-B47E-78063C3CC0DF}" name="LastVendor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14FE6-F048-479D-9B35-0170C87BB3A5}" name="Table1" displayName="Table1" ref="A1:N3244" totalsRowShown="0" headerRowDxfId="29">
  <autoFilter ref="A1:N3244" xr:uid="{09BDB056-F14E-4EED-94CB-E3DFBB2E46CD}"/>
  <sortState xmlns:xlrd2="http://schemas.microsoft.com/office/spreadsheetml/2017/richdata2" ref="A2:N3244">
    <sortCondition descending="1" ref="H1:H3244"/>
  </sortState>
  <tableColumns count="14">
    <tableColumn id="1" xr3:uid="{BBD5B19E-D186-498F-B5BF-D743CEFBA210}" name="AreaNumber" dataDxfId="28"/>
    <tableColumn id="2" xr3:uid="{887F5BD2-9D02-4E90-ADE6-7B31BA2058F2}" name="BranchNumber" dataDxfId="27"/>
    <tableColumn id="3" xr3:uid="{A30A9E4D-1003-49AA-96DE-7AF70C757F82}" name="Line" dataDxfId="26"/>
    <tableColumn id="4" xr3:uid="{A91E9DFF-22A4-4A54-A098-449BFDB16122}" name="ItemNumber"/>
    <tableColumn id="6" xr3:uid="{55E9BF61-7CF7-4FB6-8551-BEC19BF0BC1A}" name="Description"/>
    <tableColumn id="7" xr3:uid="{EE8C973F-1770-46C2-9086-57301F12AA94}" name="Rank" dataDxfId="25"/>
    <tableColumn id="8" xr3:uid="{09724CFB-0216-495A-BC95-D983C6DB231A}" name="RepCost"/>
    <tableColumn id="9" xr3:uid="{01D49961-7C6C-49EB-8EDA-20D79E9E0F06}" name="OnHandQty" dataDxfId="24"/>
    <tableColumn id="10" xr3:uid="{8DF6C6C1-475B-4850-8D07-FEA35E290BF2}" name="PriorYearSales" dataDxfId="23"/>
    <tableColumn id="11" xr3:uid="{7A2385A9-1393-4FF2-B684-6EA6A1806296}" name="SalesVsPriorYear" dataDxfId="22"/>
    <tableColumn id="12" xr3:uid="{F227EC0A-454C-40A4-A44A-EFD8708180E9}" name="OverStock" dataDxfId="21"/>
    <tableColumn id="13" xr3:uid="{95CE598B-3ED4-42B6-A29B-01DDA1EBCF86}" name="OverStock$"/>
    <tableColumn id="14" xr3:uid="{713C645E-A30F-4D38-A72B-DF5C10D20DCD}" name="LastRecv"/>
    <tableColumn id="15" xr3:uid="{D9DA205F-F7FA-4F3D-A7CA-5A97EC218F5B}" name="LastVendo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071A-0893-4CA4-8D32-EA8202A094D9}">
  <dimension ref="A1:P2196"/>
  <sheetViews>
    <sheetView tabSelected="1" workbookViewId="0">
      <selection activeCell="L1" sqref="L1:M1"/>
    </sheetView>
  </sheetViews>
  <sheetFormatPr defaultRowHeight="15" x14ac:dyDescent="0.25"/>
  <cols>
    <col min="1" max="1" width="14.42578125" style="9" bestFit="1" customWidth="1"/>
    <col min="2" max="2" width="15.7109375" style="10" customWidth="1"/>
    <col min="3" max="3" width="6.85546875" bestFit="1" customWidth="1"/>
    <col min="4" max="4" width="19" bestFit="1" customWidth="1"/>
    <col min="5" max="5" width="19" customWidth="1"/>
    <col min="6" max="6" width="66" customWidth="1"/>
    <col min="7" max="7" width="7.7109375" bestFit="1" customWidth="1"/>
    <col min="8" max="8" width="11.7109375" style="2" customWidth="1"/>
    <col min="9" max="9" width="14.7109375" style="3" customWidth="1"/>
    <col min="10" max="11" width="16" style="3" customWidth="1"/>
    <col min="12" max="12" width="22.5703125" style="43" bestFit="1" customWidth="1"/>
    <col min="13" max="13" width="20.5703125" style="44" customWidth="1"/>
    <col min="14" max="14" width="21.42578125" style="36" customWidth="1"/>
    <col min="15" max="15" width="28.5703125" customWidth="1"/>
    <col min="16" max="16" width="46" bestFit="1" customWidth="1"/>
  </cols>
  <sheetData>
    <row r="1" spans="1:16" x14ac:dyDescent="0.25">
      <c r="A1" s="15" t="s">
        <v>0</v>
      </c>
      <c r="B1" s="16" t="s">
        <v>1</v>
      </c>
      <c r="C1" s="17" t="s">
        <v>2</v>
      </c>
      <c r="D1" s="17" t="s">
        <v>3</v>
      </c>
      <c r="E1" s="17" t="s">
        <v>5210</v>
      </c>
      <c r="F1" s="17" t="s">
        <v>4</v>
      </c>
      <c r="G1" s="17" t="s">
        <v>5</v>
      </c>
      <c r="H1" s="18" t="s">
        <v>6</v>
      </c>
      <c r="I1" s="19" t="s">
        <v>7</v>
      </c>
      <c r="J1" s="40" t="s">
        <v>5212</v>
      </c>
      <c r="K1" s="40" t="s">
        <v>5213</v>
      </c>
      <c r="L1" s="19" t="s">
        <v>5214</v>
      </c>
      <c r="M1" s="16" t="s">
        <v>8</v>
      </c>
      <c r="N1" s="37" t="s">
        <v>9</v>
      </c>
      <c r="O1" s="38" t="s">
        <v>10</v>
      </c>
      <c r="P1" s="39" t="s">
        <v>11</v>
      </c>
    </row>
    <row r="2" spans="1:16" x14ac:dyDescent="0.25">
      <c r="A2" s="20" t="s">
        <v>5211</v>
      </c>
      <c r="B2" s="21">
        <v>714</v>
      </c>
      <c r="C2" s="22" t="s">
        <v>143</v>
      </c>
      <c r="D2" s="22" t="s">
        <v>2393</v>
      </c>
      <c r="E2" s="22" t="str">
        <f>CONCATENATE(B2,D2)</f>
        <v>71460000-103</v>
      </c>
      <c r="F2" s="22" t="s">
        <v>2394</v>
      </c>
      <c r="G2" s="22" t="s">
        <v>15</v>
      </c>
      <c r="H2" s="23">
        <v>14.5754</v>
      </c>
      <c r="I2" s="24">
        <v>1</v>
      </c>
      <c r="J2" s="24">
        <v>0</v>
      </c>
      <c r="K2" s="24">
        <v>0</v>
      </c>
      <c r="L2" s="41">
        <f>Table2[[#This Row],[Column1]]+Table2[[#This Row],[Column2]]</f>
        <v>0</v>
      </c>
      <c r="M2" s="42">
        <f>Table2[[#This Row],[OnHandQty]]-Table2[[#This Row],[Projection Nov/Dec]]</f>
        <v>1</v>
      </c>
      <c r="N2" s="35">
        <f>Table2[[#This Row],[OverStock]]*Table2[[#This Row],[RepCost]]</f>
        <v>14.5754</v>
      </c>
      <c r="O2" s="25">
        <v>46136.695833333331</v>
      </c>
      <c r="P2" s="26" t="s">
        <v>216</v>
      </c>
    </row>
    <row r="3" spans="1:16" x14ac:dyDescent="0.25">
      <c r="A3" s="20" t="s">
        <v>5211</v>
      </c>
      <c r="B3" s="21">
        <v>714</v>
      </c>
      <c r="C3" s="22" t="s">
        <v>143</v>
      </c>
      <c r="D3" s="22" t="s">
        <v>2359</v>
      </c>
      <c r="E3" s="22" t="str">
        <f>CONCATENATE(B3,D3)</f>
        <v>71475927-101</v>
      </c>
      <c r="F3" s="22" t="s">
        <v>2360</v>
      </c>
      <c r="G3" s="22" t="s">
        <v>19</v>
      </c>
      <c r="H3" s="23">
        <v>4.0247000000000002</v>
      </c>
      <c r="I3" s="24">
        <v>58</v>
      </c>
      <c r="J3" s="24">
        <v>0</v>
      </c>
      <c r="K3" s="24">
        <v>0</v>
      </c>
      <c r="L3" s="41">
        <f>Table2[[#This Row],[Column1]]+Table2[[#This Row],[Column2]]</f>
        <v>0</v>
      </c>
      <c r="M3" s="42">
        <f>Table2[[#This Row],[OnHandQty]]-Table2[[#This Row],[Projection Nov/Dec]]</f>
        <v>58</v>
      </c>
      <c r="N3" s="35">
        <f>Table2[[#This Row],[OverStock]]*Table2[[#This Row],[RepCost]]</f>
        <v>233.43260000000001</v>
      </c>
      <c r="O3" s="25">
        <v>46213.45</v>
      </c>
      <c r="P3" s="26" t="s">
        <v>1877</v>
      </c>
    </row>
    <row r="4" spans="1:16" x14ac:dyDescent="0.25">
      <c r="A4" s="20" t="s">
        <v>5211</v>
      </c>
      <c r="B4" s="21">
        <v>714</v>
      </c>
      <c r="C4" s="22" t="s">
        <v>323</v>
      </c>
      <c r="D4" s="22" t="s">
        <v>3340</v>
      </c>
      <c r="E4" s="22" t="str">
        <f>CONCATENATE(B4,D4)</f>
        <v>71460033-312</v>
      </c>
      <c r="F4" s="22" t="s">
        <v>3341</v>
      </c>
      <c r="G4" s="22" t="s">
        <v>19</v>
      </c>
      <c r="H4" s="23">
        <v>692.87429999999995</v>
      </c>
      <c r="I4" s="24">
        <v>4</v>
      </c>
      <c r="J4" s="24">
        <v>0</v>
      </c>
      <c r="K4" s="24">
        <v>0</v>
      </c>
      <c r="L4" s="41">
        <f>Table2[[#This Row],[Column1]]+Table2[[#This Row],[Column2]]</f>
        <v>0</v>
      </c>
      <c r="M4" s="42">
        <f>Table2[[#This Row],[OnHandQty]]-Table2[[#This Row],[Projection Nov/Dec]]</f>
        <v>4</v>
      </c>
      <c r="N4" s="35">
        <f>Table2[[#This Row],[OverStock]]*Table2[[#This Row],[RepCost]]</f>
        <v>2771.4971999999998</v>
      </c>
      <c r="O4" s="25">
        <v>46134.488194444442</v>
      </c>
      <c r="P4" s="26" t="s">
        <v>3342</v>
      </c>
    </row>
    <row r="5" spans="1:16" x14ac:dyDescent="0.25">
      <c r="A5" s="20" t="s">
        <v>5211</v>
      </c>
      <c r="B5" s="21">
        <v>636</v>
      </c>
      <c r="C5" s="22" t="s">
        <v>323</v>
      </c>
      <c r="D5" s="22" t="s">
        <v>1517</v>
      </c>
      <c r="E5" s="22" t="str">
        <f>CONCATENATE(B5,D5)</f>
        <v>63696683-307</v>
      </c>
      <c r="F5" s="22" t="s">
        <v>1518</v>
      </c>
      <c r="G5" s="22" t="s">
        <v>29</v>
      </c>
      <c r="H5" s="23">
        <v>245.66460000000001</v>
      </c>
      <c r="I5" s="24">
        <v>2</v>
      </c>
      <c r="J5" s="24">
        <v>0</v>
      </c>
      <c r="K5" s="24">
        <v>0</v>
      </c>
      <c r="L5" s="41">
        <f>Table2[[#This Row],[Column1]]+Table2[[#This Row],[Column2]]</f>
        <v>0</v>
      </c>
      <c r="M5" s="42">
        <f>Table2[[#This Row],[OnHandQty]]-Table2[[#This Row],[Projection Nov/Dec]]</f>
        <v>2</v>
      </c>
      <c r="N5" s="35">
        <f>Table2[[#This Row],[OverStock]]*Table2[[#This Row],[RepCost]]</f>
        <v>491.32920000000001</v>
      </c>
      <c r="O5" s="25">
        <v>46169.423611111109</v>
      </c>
      <c r="P5" s="26" t="s">
        <v>890</v>
      </c>
    </row>
    <row r="6" spans="1:16" x14ac:dyDescent="0.25">
      <c r="A6" s="20" t="s">
        <v>5211</v>
      </c>
      <c r="B6" s="21">
        <v>714</v>
      </c>
      <c r="C6" s="22" t="s">
        <v>323</v>
      </c>
      <c r="D6" s="22" t="s">
        <v>1624</v>
      </c>
      <c r="E6" s="22" t="str">
        <f>CONCATENATE(B6,D6)</f>
        <v>71460207-020</v>
      </c>
      <c r="F6" s="22" t="s">
        <v>1625</v>
      </c>
      <c r="G6" s="22" t="s">
        <v>29</v>
      </c>
      <c r="H6" s="23">
        <v>274.83980000000003</v>
      </c>
      <c r="I6" s="24">
        <v>1</v>
      </c>
      <c r="J6" s="24">
        <v>0</v>
      </c>
      <c r="K6" s="24">
        <v>0</v>
      </c>
      <c r="L6" s="41">
        <f>Table2[[#This Row],[Column1]]+Table2[[#This Row],[Column2]]</f>
        <v>0</v>
      </c>
      <c r="M6" s="42">
        <f>Table2[[#This Row],[OnHandQty]]-Table2[[#This Row],[Projection Nov/Dec]]</f>
        <v>1</v>
      </c>
      <c r="N6" s="35">
        <f>Table2[[#This Row],[OverStock]]*Table2[[#This Row],[RepCost]]</f>
        <v>274.83980000000003</v>
      </c>
      <c r="O6" s="25">
        <v>45406.48541666667</v>
      </c>
      <c r="P6" s="26" t="s">
        <v>3361</v>
      </c>
    </row>
    <row r="7" spans="1:16" x14ac:dyDescent="0.25">
      <c r="A7" s="20" t="s">
        <v>5211</v>
      </c>
      <c r="B7" s="21">
        <v>636</v>
      </c>
      <c r="C7" s="22" t="s">
        <v>323</v>
      </c>
      <c r="D7" s="22" t="s">
        <v>1624</v>
      </c>
      <c r="E7" s="22" t="str">
        <f>CONCATENATE(B7,D7)</f>
        <v>63660207-020</v>
      </c>
      <c r="F7" s="22" t="s">
        <v>1625</v>
      </c>
      <c r="G7" s="22" t="s">
        <v>29</v>
      </c>
      <c r="H7" s="23">
        <v>230.7313</v>
      </c>
      <c r="I7" s="24">
        <v>4</v>
      </c>
      <c r="J7" s="24">
        <v>0</v>
      </c>
      <c r="K7" s="24">
        <v>0</v>
      </c>
      <c r="L7" s="41">
        <f>Table2[[#This Row],[Column1]]+Table2[[#This Row],[Column2]]</f>
        <v>0</v>
      </c>
      <c r="M7" s="42">
        <f>Table2[[#This Row],[OnHandQty]]-Table2[[#This Row],[Projection Nov/Dec]]</f>
        <v>4</v>
      </c>
      <c r="N7" s="35">
        <f>Table2[[#This Row],[OverStock]]*Table2[[#This Row],[RepCost]]</f>
        <v>922.92520000000002</v>
      </c>
      <c r="O7" s="25">
        <v>45838.500694444447</v>
      </c>
      <c r="P7" s="26" t="s">
        <v>890</v>
      </c>
    </row>
    <row r="8" spans="1:16" x14ac:dyDescent="0.25">
      <c r="A8" s="20" t="s">
        <v>5211</v>
      </c>
      <c r="B8" s="21">
        <v>636</v>
      </c>
      <c r="C8" s="22" t="s">
        <v>323</v>
      </c>
      <c r="D8" s="22" t="s">
        <v>1318</v>
      </c>
      <c r="E8" s="22" t="str">
        <f>CONCATENATE(B8,D8)</f>
        <v>63660207-125</v>
      </c>
      <c r="F8" s="22" t="s">
        <v>1319</v>
      </c>
      <c r="G8" s="22" t="s">
        <v>35</v>
      </c>
      <c r="H8" s="23">
        <v>178.17529999999999</v>
      </c>
      <c r="I8" s="24">
        <v>2</v>
      </c>
      <c r="J8" s="24">
        <v>0</v>
      </c>
      <c r="K8" s="24">
        <v>1</v>
      </c>
      <c r="L8" s="41">
        <f>Table2[[#This Row],[Column1]]+Table2[[#This Row],[Column2]]</f>
        <v>1</v>
      </c>
      <c r="M8" s="42">
        <f>Table2[[#This Row],[OnHandQty]]-Table2[[#This Row],[Projection Nov/Dec]]</f>
        <v>1</v>
      </c>
      <c r="N8" s="35">
        <f>Table2[[#This Row],[OverStock]]*Table2[[#This Row],[RepCost]]</f>
        <v>178.17529999999999</v>
      </c>
      <c r="O8" s="25">
        <v>45721.288888888892</v>
      </c>
      <c r="P8" s="26" t="s">
        <v>137</v>
      </c>
    </row>
    <row r="9" spans="1:16" x14ac:dyDescent="0.25">
      <c r="A9" s="20" t="s">
        <v>5211</v>
      </c>
      <c r="B9" s="21">
        <v>714</v>
      </c>
      <c r="C9" s="22" t="s">
        <v>323</v>
      </c>
      <c r="D9" s="22" t="s">
        <v>3504</v>
      </c>
      <c r="E9" s="22" t="str">
        <f>CONCATENATE(B9,D9)</f>
        <v>71460207-030</v>
      </c>
      <c r="F9" s="27" t="s">
        <v>3505</v>
      </c>
      <c r="G9" s="27" t="s">
        <v>58</v>
      </c>
      <c r="H9" s="23">
        <v>547.86</v>
      </c>
      <c r="I9" s="24">
        <v>1</v>
      </c>
      <c r="J9" s="24">
        <v>0</v>
      </c>
      <c r="K9" s="24">
        <v>0</v>
      </c>
      <c r="L9" s="41">
        <f>Table2[[#This Row],[Column1]]+Table2[[#This Row],[Column2]]</f>
        <v>0</v>
      </c>
      <c r="M9" s="42">
        <f>Table2[[#This Row],[OnHandQty]]-Table2[[#This Row],[Projection Nov/Dec]]</f>
        <v>1</v>
      </c>
      <c r="N9" s="35">
        <f>Table2[[#This Row],[OverStock]]*Table2[[#This Row],[RepCost]]</f>
        <v>547.86</v>
      </c>
      <c r="O9" s="25">
        <v>43077.925000000003</v>
      </c>
      <c r="P9" s="26" t="s">
        <v>2650</v>
      </c>
    </row>
    <row r="10" spans="1:16" x14ac:dyDescent="0.25">
      <c r="A10" s="20" t="s">
        <v>5211</v>
      </c>
      <c r="B10" s="21">
        <v>714</v>
      </c>
      <c r="C10" s="22" t="s">
        <v>323</v>
      </c>
      <c r="D10" s="22" t="s">
        <v>3174</v>
      </c>
      <c r="E10" s="22" t="str">
        <f>CONCATENATE(B10,D10)</f>
        <v>71460207-307</v>
      </c>
      <c r="F10" s="22" t="s">
        <v>3175</v>
      </c>
      <c r="G10" s="22" t="s">
        <v>29</v>
      </c>
      <c r="H10" s="23">
        <v>127.1905</v>
      </c>
      <c r="I10" s="24">
        <v>5</v>
      </c>
      <c r="J10" s="24">
        <v>0</v>
      </c>
      <c r="K10" s="24">
        <v>0</v>
      </c>
      <c r="L10" s="41">
        <f>Table2[[#This Row],[Column1]]+Table2[[#This Row],[Column2]]</f>
        <v>0</v>
      </c>
      <c r="M10" s="42">
        <f>Table2[[#This Row],[OnHandQty]]-Table2[[#This Row],[Projection Nov/Dec]]</f>
        <v>5</v>
      </c>
      <c r="N10" s="35">
        <f>Table2[[#This Row],[OverStock]]*Table2[[#This Row],[RepCost]]</f>
        <v>635.95249999999999</v>
      </c>
      <c r="O10" s="25">
        <v>45427.51458333333</v>
      </c>
      <c r="P10" s="26" t="s">
        <v>137</v>
      </c>
    </row>
    <row r="11" spans="1:16" x14ac:dyDescent="0.25">
      <c r="A11" s="20" t="s">
        <v>5211</v>
      </c>
      <c r="B11" s="21">
        <v>714</v>
      </c>
      <c r="C11" s="22" t="s">
        <v>323</v>
      </c>
      <c r="D11" s="22" t="s">
        <v>392</v>
      </c>
      <c r="E11" s="22" t="str">
        <f>CONCATENATE(B11,D11)</f>
        <v>71460207-MS306</v>
      </c>
      <c r="F11" s="22" t="s">
        <v>393</v>
      </c>
      <c r="G11" s="22" t="s">
        <v>19</v>
      </c>
      <c r="H11" s="23">
        <v>223.017</v>
      </c>
      <c r="I11" s="24">
        <v>1</v>
      </c>
      <c r="J11" s="24">
        <v>0</v>
      </c>
      <c r="K11" s="24">
        <v>0</v>
      </c>
      <c r="L11" s="41">
        <f>Table2[[#This Row],[Column1]]+Table2[[#This Row],[Column2]]</f>
        <v>0</v>
      </c>
      <c r="M11" s="42">
        <f>Table2[[#This Row],[OnHandQty]]-Table2[[#This Row],[Projection Nov/Dec]]</f>
        <v>1</v>
      </c>
      <c r="N11" s="35">
        <f>Table2[[#This Row],[OverStock]]*Table2[[#This Row],[RepCost]]</f>
        <v>223.017</v>
      </c>
      <c r="O11" s="25">
        <v>46104.46597222222</v>
      </c>
      <c r="P11" s="26" t="s">
        <v>137</v>
      </c>
    </row>
    <row r="12" spans="1:16" x14ac:dyDescent="0.25">
      <c r="A12" s="20" t="s">
        <v>5211</v>
      </c>
      <c r="B12" s="21">
        <v>636</v>
      </c>
      <c r="C12" s="22" t="s">
        <v>323</v>
      </c>
      <c r="D12" s="22" t="s">
        <v>392</v>
      </c>
      <c r="E12" s="22" t="str">
        <f>CONCATENATE(B12,D12)</f>
        <v>63660207-MS306</v>
      </c>
      <c r="F12" s="22" t="s">
        <v>393</v>
      </c>
      <c r="G12" s="22" t="s">
        <v>29</v>
      </c>
      <c r="H12" s="23">
        <v>232.73580000000001</v>
      </c>
      <c r="I12" s="24">
        <v>5</v>
      </c>
      <c r="J12" s="24">
        <v>0</v>
      </c>
      <c r="K12" s="24">
        <v>0</v>
      </c>
      <c r="L12" s="41">
        <f>Table2[[#This Row],[Column1]]+Table2[[#This Row],[Column2]]</f>
        <v>0</v>
      </c>
      <c r="M12" s="42">
        <f>Table2[[#This Row],[OnHandQty]]-Table2[[#This Row],[Projection Nov/Dec]]</f>
        <v>5</v>
      </c>
      <c r="N12" s="35">
        <f>Table2[[#This Row],[OverStock]]*Table2[[#This Row],[RepCost]]</f>
        <v>1163.6790000000001</v>
      </c>
      <c r="O12" s="25">
        <v>46112.343055555553</v>
      </c>
      <c r="P12" s="26" t="s">
        <v>137</v>
      </c>
    </row>
    <row r="13" spans="1:16" x14ac:dyDescent="0.25">
      <c r="A13" s="20" t="s">
        <v>5211</v>
      </c>
      <c r="B13" s="21">
        <v>634</v>
      </c>
      <c r="C13" s="22" t="s">
        <v>323</v>
      </c>
      <c r="D13" s="22" t="s">
        <v>392</v>
      </c>
      <c r="E13" s="22" t="str">
        <f>CONCATENATE(B13,D13)</f>
        <v>63460207-MS306</v>
      </c>
      <c r="F13" s="22" t="s">
        <v>393</v>
      </c>
      <c r="G13" s="22" t="s">
        <v>29</v>
      </c>
      <c r="H13" s="23">
        <v>231.19749999999999</v>
      </c>
      <c r="I13" s="24">
        <v>5</v>
      </c>
      <c r="J13" s="24">
        <v>0</v>
      </c>
      <c r="K13" s="24">
        <v>0</v>
      </c>
      <c r="L13" s="41">
        <f>Table2[[#This Row],[Column1]]+Table2[[#This Row],[Column2]]</f>
        <v>0</v>
      </c>
      <c r="M13" s="42">
        <f>Table2[[#This Row],[OnHandQty]]-Table2[[#This Row],[Projection Nov/Dec]]</f>
        <v>5</v>
      </c>
      <c r="N13" s="35">
        <f>Table2[[#This Row],[OverStock]]*Table2[[#This Row],[RepCost]]</f>
        <v>1155.9875</v>
      </c>
      <c r="O13" s="25">
        <v>46154.572222222225</v>
      </c>
      <c r="P13" s="26" t="s">
        <v>137</v>
      </c>
    </row>
    <row r="14" spans="1:16" x14ac:dyDescent="0.25">
      <c r="A14" s="20" t="s">
        <v>5211</v>
      </c>
      <c r="B14" s="21">
        <v>634</v>
      </c>
      <c r="C14" s="22" t="s">
        <v>323</v>
      </c>
      <c r="D14" s="22" t="s">
        <v>341</v>
      </c>
      <c r="E14" s="22" t="str">
        <f>CONCATENATE(B14,D14)</f>
        <v>63460207-MS307</v>
      </c>
      <c r="F14" s="22" t="s">
        <v>342</v>
      </c>
      <c r="G14" s="22" t="s">
        <v>29</v>
      </c>
      <c r="H14" s="23">
        <v>292.77339999999998</v>
      </c>
      <c r="I14" s="24">
        <v>1</v>
      </c>
      <c r="J14" s="24">
        <v>0</v>
      </c>
      <c r="K14" s="24">
        <v>0</v>
      </c>
      <c r="L14" s="41">
        <f>Table2[[#This Row],[Column1]]+Table2[[#This Row],[Column2]]</f>
        <v>0</v>
      </c>
      <c r="M14" s="42">
        <f>Table2[[#This Row],[OnHandQty]]-Table2[[#This Row],[Projection Nov/Dec]]</f>
        <v>1</v>
      </c>
      <c r="N14" s="35">
        <f>Table2[[#This Row],[OverStock]]*Table2[[#This Row],[RepCost]]</f>
        <v>292.77339999999998</v>
      </c>
      <c r="O14" s="25">
        <v>46113.665277777778</v>
      </c>
      <c r="P14" s="26" t="s">
        <v>137</v>
      </c>
    </row>
    <row r="15" spans="1:16" x14ac:dyDescent="0.25">
      <c r="A15" s="20" t="s">
        <v>5211</v>
      </c>
      <c r="B15" s="21">
        <v>636</v>
      </c>
      <c r="C15" s="22" t="s">
        <v>323</v>
      </c>
      <c r="D15" s="22" t="s">
        <v>1476</v>
      </c>
      <c r="E15" s="22" t="str">
        <f>CONCATENATE(B15,D15)</f>
        <v>63660207-MS308</v>
      </c>
      <c r="F15" s="22" t="s">
        <v>1477</v>
      </c>
      <c r="G15" s="22" t="s">
        <v>29</v>
      </c>
      <c r="H15" s="23">
        <v>359.20490000000001</v>
      </c>
      <c r="I15" s="24">
        <v>2</v>
      </c>
      <c r="J15" s="24">
        <v>0</v>
      </c>
      <c r="K15" s="24">
        <v>0</v>
      </c>
      <c r="L15" s="41">
        <f>Table2[[#This Row],[Column1]]+Table2[[#This Row],[Column2]]</f>
        <v>0</v>
      </c>
      <c r="M15" s="42">
        <f>Table2[[#This Row],[OnHandQty]]-Table2[[#This Row],[Projection Nov/Dec]]</f>
        <v>2</v>
      </c>
      <c r="N15" s="35">
        <f>Table2[[#This Row],[OverStock]]*Table2[[#This Row],[RepCost]]</f>
        <v>718.40980000000002</v>
      </c>
      <c r="O15" s="25">
        <v>46104.520833333336</v>
      </c>
      <c r="P15" s="26" t="s">
        <v>137</v>
      </c>
    </row>
    <row r="16" spans="1:16" x14ac:dyDescent="0.25">
      <c r="A16" s="20" t="s">
        <v>5211</v>
      </c>
      <c r="B16" s="21">
        <v>714</v>
      </c>
      <c r="C16" s="22" t="s">
        <v>323</v>
      </c>
      <c r="D16" s="22" t="s">
        <v>3472</v>
      </c>
      <c r="E16" s="22" t="str">
        <f>CONCATENATE(B16,D16)</f>
        <v>71460210-248</v>
      </c>
      <c r="F16" s="22" t="s">
        <v>3473</v>
      </c>
      <c r="G16" s="22" t="s">
        <v>29</v>
      </c>
      <c r="H16" s="23">
        <v>125.4723</v>
      </c>
      <c r="I16" s="24">
        <v>5</v>
      </c>
      <c r="J16" s="24">
        <v>0</v>
      </c>
      <c r="K16" s="24">
        <v>0</v>
      </c>
      <c r="L16" s="41">
        <f>Table2[[#This Row],[Column1]]+Table2[[#This Row],[Column2]]</f>
        <v>0</v>
      </c>
      <c r="M16" s="42">
        <f>Table2[[#This Row],[OnHandQty]]-Table2[[#This Row],[Projection Nov/Dec]]</f>
        <v>5</v>
      </c>
      <c r="N16" s="35">
        <f>Table2[[#This Row],[OverStock]]*Table2[[#This Row],[RepCost]]</f>
        <v>627.36149999999998</v>
      </c>
      <c r="O16" s="25">
        <v>46083.444444444445</v>
      </c>
      <c r="P16" s="26" t="s">
        <v>137</v>
      </c>
    </row>
    <row r="17" spans="1:16" x14ac:dyDescent="0.25">
      <c r="A17" s="20" t="s">
        <v>5211</v>
      </c>
      <c r="B17" s="21">
        <v>718</v>
      </c>
      <c r="C17" s="22" t="s">
        <v>323</v>
      </c>
      <c r="D17" s="22" t="s">
        <v>3472</v>
      </c>
      <c r="E17" s="22" t="str">
        <f>CONCATENATE(B17,D17)</f>
        <v>71860210-248</v>
      </c>
      <c r="F17" s="22" t="s">
        <v>3473</v>
      </c>
      <c r="G17" s="22" t="s">
        <v>29</v>
      </c>
      <c r="H17" s="23">
        <v>128.6002</v>
      </c>
      <c r="I17" s="24">
        <v>3</v>
      </c>
      <c r="J17" s="24">
        <v>0</v>
      </c>
      <c r="K17" s="24">
        <v>0</v>
      </c>
      <c r="L17" s="41">
        <f>Table2[[#This Row],[Column1]]+Table2[[#This Row],[Column2]]</f>
        <v>0</v>
      </c>
      <c r="M17" s="42">
        <f>Table2[[#This Row],[OnHandQty]]-Table2[[#This Row],[Projection Nov/Dec]]</f>
        <v>3</v>
      </c>
      <c r="N17" s="35">
        <f>Table2[[#This Row],[OverStock]]*Table2[[#This Row],[RepCost]]</f>
        <v>385.80060000000003</v>
      </c>
      <c r="O17" s="25">
        <v>46084.40347222222</v>
      </c>
      <c r="P17" s="26" t="s">
        <v>137</v>
      </c>
    </row>
    <row r="18" spans="1:16" x14ac:dyDescent="0.25">
      <c r="A18" s="20" t="s">
        <v>5211</v>
      </c>
      <c r="B18" s="21">
        <v>636</v>
      </c>
      <c r="C18" s="22" t="s">
        <v>323</v>
      </c>
      <c r="D18" s="22" t="s">
        <v>1570</v>
      </c>
      <c r="E18" s="22" t="str">
        <f>CONCATENATE(B18,D18)</f>
        <v>63692004-224</v>
      </c>
      <c r="F18" s="22" t="s">
        <v>1571</v>
      </c>
      <c r="G18" s="22" t="s">
        <v>29</v>
      </c>
      <c r="H18" s="23">
        <v>188.8871</v>
      </c>
      <c r="I18" s="24">
        <v>2</v>
      </c>
      <c r="J18" s="24">
        <v>0</v>
      </c>
      <c r="K18" s="24">
        <v>0</v>
      </c>
      <c r="L18" s="41">
        <f>Table2[[#This Row],[Column1]]+Table2[[#This Row],[Column2]]</f>
        <v>0</v>
      </c>
      <c r="M18" s="42">
        <f>Table2[[#This Row],[OnHandQty]]-Table2[[#This Row],[Projection Nov/Dec]]</f>
        <v>2</v>
      </c>
      <c r="N18" s="35">
        <f>Table2[[#This Row],[OverStock]]*Table2[[#This Row],[RepCost]]</f>
        <v>377.77420000000001</v>
      </c>
      <c r="O18" s="25">
        <v>46112.343055555553</v>
      </c>
      <c r="P18" s="26" t="s">
        <v>137</v>
      </c>
    </row>
    <row r="19" spans="1:16" x14ac:dyDescent="0.25">
      <c r="A19" s="20" t="s">
        <v>5211</v>
      </c>
      <c r="B19" s="21">
        <v>636</v>
      </c>
      <c r="C19" s="22" t="s">
        <v>323</v>
      </c>
      <c r="D19" s="22" t="s">
        <v>1444</v>
      </c>
      <c r="E19" s="22" t="str">
        <f>CONCATENATE(B19,D19)</f>
        <v>63694140-115</v>
      </c>
      <c r="F19" s="22" t="s">
        <v>1445</v>
      </c>
      <c r="G19" s="22" t="s">
        <v>29</v>
      </c>
      <c r="H19" s="23">
        <v>314.58879999999999</v>
      </c>
      <c r="I19" s="24">
        <v>4</v>
      </c>
      <c r="J19" s="24">
        <v>0</v>
      </c>
      <c r="K19" s="24">
        <v>0</v>
      </c>
      <c r="L19" s="41">
        <f>Table2[[#This Row],[Column1]]+Table2[[#This Row],[Column2]]</f>
        <v>0</v>
      </c>
      <c r="M19" s="42">
        <f>Table2[[#This Row],[OnHandQty]]-Table2[[#This Row],[Projection Nov/Dec]]</f>
        <v>4</v>
      </c>
      <c r="N19" s="35">
        <f>Table2[[#This Row],[OverStock]]*Table2[[#This Row],[RepCost]]</f>
        <v>1258.3552</v>
      </c>
      <c r="O19" s="25">
        <v>46140.29583333333</v>
      </c>
      <c r="P19" s="26" t="s">
        <v>501</v>
      </c>
    </row>
    <row r="20" spans="1:16" x14ac:dyDescent="0.25">
      <c r="A20" s="20" t="s">
        <v>5211</v>
      </c>
      <c r="B20" s="21">
        <v>636</v>
      </c>
      <c r="C20" s="22" t="s">
        <v>323</v>
      </c>
      <c r="D20" s="22" t="s">
        <v>1519</v>
      </c>
      <c r="E20" s="22" t="str">
        <f>CONCATENATE(B20,D20)</f>
        <v>63675964-115</v>
      </c>
      <c r="F20" s="22" t="s">
        <v>1520</v>
      </c>
      <c r="G20" s="22" t="s">
        <v>29</v>
      </c>
      <c r="H20" s="23">
        <v>321.14269999999999</v>
      </c>
      <c r="I20" s="24">
        <v>3</v>
      </c>
      <c r="J20" s="24">
        <v>0</v>
      </c>
      <c r="K20" s="24">
        <v>0</v>
      </c>
      <c r="L20" s="41">
        <f>Table2[[#This Row],[Column1]]+Table2[[#This Row],[Column2]]</f>
        <v>0</v>
      </c>
      <c r="M20" s="42">
        <f>Table2[[#This Row],[OnHandQty]]-Table2[[#This Row],[Projection Nov/Dec]]</f>
        <v>3</v>
      </c>
      <c r="N20" s="35">
        <f>Table2[[#This Row],[OverStock]]*Table2[[#This Row],[RepCost]]</f>
        <v>963.42809999999997</v>
      </c>
      <c r="O20" s="25">
        <v>46140.29583333333</v>
      </c>
      <c r="P20" s="26" t="s">
        <v>501</v>
      </c>
    </row>
    <row r="21" spans="1:16" x14ac:dyDescent="0.25">
      <c r="A21" s="20" t="s">
        <v>5211</v>
      </c>
      <c r="B21" s="21">
        <v>714</v>
      </c>
      <c r="C21" s="22" t="s">
        <v>323</v>
      </c>
      <c r="D21" s="22" t="s">
        <v>3482</v>
      </c>
      <c r="E21" s="22" t="str">
        <f>CONCATENATE(B21,D21)</f>
        <v>71460269-110</v>
      </c>
      <c r="F21" s="22" t="s">
        <v>3483</v>
      </c>
      <c r="G21" s="22" t="s">
        <v>19</v>
      </c>
      <c r="H21" s="23">
        <v>170.80099999999999</v>
      </c>
      <c r="I21" s="24">
        <v>11</v>
      </c>
      <c r="J21" s="24">
        <v>0</v>
      </c>
      <c r="K21" s="24">
        <v>3</v>
      </c>
      <c r="L21" s="41">
        <f>Table2[[#This Row],[Column1]]+Table2[[#This Row],[Column2]]</f>
        <v>3</v>
      </c>
      <c r="M21" s="42">
        <f>Table2[[#This Row],[OnHandQty]]-Table2[[#This Row],[Projection Nov/Dec]]</f>
        <v>8</v>
      </c>
      <c r="N21" s="35">
        <f>Table2[[#This Row],[OverStock]]*Table2[[#This Row],[RepCost]]</f>
        <v>1366.4079999999999</v>
      </c>
      <c r="O21" s="25">
        <v>46112.315972222219</v>
      </c>
      <c r="P21" s="26" t="s">
        <v>36</v>
      </c>
    </row>
    <row r="22" spans="1:16" x14ac:dyDescent="0.25">
      <c r="A22" s="20" t="s">
        <v>5211</v>
      </c>
      <c r="B22" s="21">
        <v>636</v>
      </c>
      <c r="C22" s="22" t="s">
        <v>323</v>
      </c>
      <c r="D22" s="22" t="s">
        <v>1225</v>
      </c>
      <c r="E22" s="22" t="str">
        <f>CONCATENATE(B22,D22)</f>
        <v>63660269-020</v>
      </c>
      <c r="F22" s="22" t="s">
        <v>1226</v>
      </c>
      <c r="G22" s="22" t="s">
        <v>23</v>
      </c>
      <c r="H22" s="23">
        <v>263.33699999999999</v>
      </c>
      <c r="I22" s="24">
        <v>5</v>
      </c>
      <c r="J22" s="24">
        <v>0</v>
      </c>
      <c r="K22" s="24">
        <v>0</v>
      </c>
      <c r="L22" s="41">
        <f>Table2[[#This Row],[Column1]]+Table2[[#This Row],[Column2]]</f>
        <v>0</v>
      </c>
      <c r="M22" s="42">
        <f>Table2[[#This Row],[OnHandQty]]-Table2[[#This Row],[Projection Nov/Dec]]</f>
        <v>5</v>
      </c>
      <c r="N22" s="35">
        <f>Table2[[#This Row],[OverStock]]*Table2[[#This Row],[RepCost]]</f>
        <v>1316.6849999999999</v>
      </c>
      <c r="O22" s="25">
        <v>46119.725694444445</v>
      </c>
      <c r="P22" s="26" t="s">
        <v>165</v>
      </c>
    </row>
    <row r="23" spans="1:16" x14ac:dyDescent="0.25">
      <c r="A23" s="20" t="s">
        <v>5211</v>
      </c>
      <c r="B23" s="21">
        <v>636</v>
      </c>
      <c r="C23" s="22" t="s">
        <v>323</v>
      </c>
      <c r="D23" s="22" t="s">
        <v>1550</v>
      </c>
      <c r="E23" s="22" t="str">
        <f>CONCATENATE(B23,D23)</f>
        <v>63660269-025</v>
      </c>
      <c r="F23" s="22" t="s">
        <v>1551</v>
      </c>
      <c r="G23" s="22" t="s">
        <v>158</v>
      </c>
      <c r="H23" s="23">
        <v>301.84199999999998</v>
      </c>
      <c r="I23" s="24">
        <v>3</v>
      </c>
      <c r="J23" s="24">
        <v>0</v>
      </c>
      <c r="K23" s="24">
        <v>1</v>
      </c>
      <c r="L23" s="41">
        <f>Table2[[#This Row],[Column1]]+Table2[[#This Row],[Column2]]</f>
        <v>1</v>
      </c>
      <c r="M23" s="42">
        <f>Table2[[#This Row],[OnHandQty]]-Table2[[#This Row],[Projection Nov/Dec]]</f>
        <v>2</v>
      </c>
      <c r="N23" s="35">
        <f>Table2[[#This Row],[OverStock]]*Table2[[#This Row],[RepCost]]</f>
        <v>603.68399999999997</v>
      </c>
      <c r="O23" s="25">
        <v>46119.725694444445</v>
      </c>
      <c r="P23" s="26" t="s">
        <v>165</v>
      </c>
    </row>
    <row r="24" spans="1:16" x14ac:dyDescent="0.25">
      <c r="A24" s="20" t="s">
        <v>5211</v>
      </c>
      <c r="B24" s="21">
        <v>636</v>
      </c>
      <c r="C24" s="22" t="s">
        <v>323</v>
      </c>
      <c r="D24" s="22" t="s">
        <v>493</v>
      </c>
      <c r="E24" s="22" t="str">
        <f>CONCATENATE(B24,D24)</f>
        <v>63660269-125</v>
      </c>
      <c r="F24" s="27" t="s">
        <v>494</v>
      </c>
      <c r="G24" s="27" t="s">
        <v>58</v>
      </c>
      <c r="H24" s="23">
        <v>252.8657</v>
      </c>
      <c r="I24" s="24">
        <v>4</v>
      </c>
      <c r="J24" s="24">
        <v>0</v>
      </c>
      <c r="K24" s="24">
        <v>0</v>
      </c>
      <c r="L24" s="41">
        <f>Table2[[#This Row],[Column1]]+Table2[[#This Row],[Column2]]</f>
        <v>0</v>
      </c>
      <c r="M24" s="42">
        <f>Table2[[#This Row],[OnHandQty]]-Table2[[#This Row],[Projection Nov/Dec]]</f>
        <v>4</v>
      </c>
      <c r="N24" s="35">
        <f>Table2[[#This Row],[OverStock]]*Table2[[#This Row],[RepCost]]</f>
        <v>1011.4628</v>
      </c>
      <c r="O24" s="25">
        <v>46094.407638888886</v>
      </c>
      <c r="P24" s="26" t="s">
        <v>354</v>
      </c>
    </row>
    <row r="25" spans="1:16" x14ac:dyDescent="0.25">
      <c r="A25" s="20" t="s">
        <v>5211</v>
      </c>
      <c r="B25" s="21">
        <v>634</v>
      </c>
      <c r="C25" s="22" t="s">
        <v>323</v>
      </c>
      <c r="D25" s="22" t="s">
        <v>493</v>
      </c>
      <c r="E25" s="22" t="str">
        <f>CONCATENATE(B25,D25)</f>
        <v>63460269-125</v>
      </c>
      <c r="F25" s="22" t="s">
        <v>494</v>
      </c>
      <c r="G25" s="22" t="s">
        <v>29</v>
      </c>
      <c r="H25" s="23">
        <v>214.84710000000001</v>
      </c>
      <c r="I25" s="24">
        <v>4</v>
      </c>
      <c r="J25" s="24">
        <v>0</v>
      </c>
      <c r="K25" s="24">
        <v>0</v>
      </c>
      <c r="L25" s="41">
        <f>Table2[[#This Row],[Column1]]+Table2[[#This Row],[Column2]]</f>
        <v>0</v>
      </c>
      <c r="M25" s="42">
        <f>Table2[[#This Row],[OnHandQty]]-Table2[[#This Row],[Projection Nov/Dec]]</f>
        <v>4</v>
      </c>
      <c r="N25" s="35">
        <f>Table2[[#This Row],[OverStock]]*Table2[[#This Row],[RepCost]]</f>
        <v>859.38840000000005</v>
      </c>
      <c r="O25" s="25">
        <v>46094.541666666664</v>
      </c>
      <c r="P25" s="26" t="s">
        <v>354</v>
      </c>
    </row>
    <row r="26" spans="1:16" x14ac:dyDescent="0.25">
      <c r="A26" s="20" t="s">
        <v>5211</v>
      </c>
      <c r="B26" s="21">
        <v>714</v>
      </c>
      <c r="C26" s="22" t="s">
        <v>323</v>
      </c>
      <c r="D26" s="22" t="s">
        <v>493</v>
      </c>
      <c r="E26" s="22" t="str">
        <f>CONCATENATE(B26,D26)</f>
        <v>71460269-125</v>
      </c>
      <c r="F26" s="22" t="s">
        <v>494</v>
      </c>
      <c r="G26" s="22" t="s">
        <v>158</v>
      </c>
      <c r="H26" s="23">
        <v>290.74259999999998</v>
      </c>
      <c r="I26" s="24">
        <v>1</v>
      </c>
      <c r="J26" s="24">
        <v>0</v>
      </c>
      <c r="K26" s="24">
        <v>0</v>
      </c>
      <c r="L26" s="41">
        <f>Table2[[#This Row],[Column1]]+Table2[[#This Row],[Column2]]</f>
        <v>0</v>
      </c>
      <c r="M26" s="42">
        <f>Table2[[#This Row],[OnHandQty]]-Table2[[#This Row],[Projection Nov/Dec]]</f>
        <v>1</v>
      </c>
      <c r="N26" s="35">
        <f>Table2[[#This Row],[OverStock]]*Table2[[#This Row],[RepCost]]</f>
        <v>290.74259999999998</v>
      </c>
      <c r="O26" s="25">
        <v>46111.46597222222</v>
      </c>
      <c r="P26" s="26" t="s">
        <v>2358</v>
      </c>
    </row>
    <row r="27" spans="1:16" x14ac:dyDescent="0.25">
      <c r="A27" s="20" t="s">
        <v>5211</v>
      </c>
      <c r="B27" s="21">
        <v>636</v>
      </c>
      <c r="C27" s="22" t="s">
        <v>323</v>
      </c>
      <c r="D27" s="22" t="s">
        <v>1648</v>
      </c>
      <c r="E27" s="22" t="str">
        <f>CONCATENATE(B27,D27)</f>
        <v>63660269-135</v>
      </c>
      <c r="F27" s="22" t="s">
        <v>1649</v>
      </c>
      <c r="G27" s="22" t="s">
        <v>29</v>
      </c>
      <c r="H27" s="23">
        <v>386.55650000000003</v>
      </c>
      <c r="I27" s="24">
        <v>3</v>
      </c>
      <c r="J27" s="24">
        <v>0</v>
      </c>
      <c r="K27" s="24">
        <v>0</v>
      </c>
      <c r="L27" s="41">
        <f>Table2[[#This Row],[Column1]]+Table2[[#This Row],[Column2]]</f>
        <v>0</v>
      </c>
      <c r="M27" s="42">
        <f>Table2[[#This Row],[OnHandQty]]-Table2[[#This Row],[Projection Nov/Dec]]</f>
        <v>3</v>
      </c>
      <c r="N27" s="35">
        <f>Table2[[#This Row],[OverStock]]*Table2[[#This Row],[RepCost]]</f>
        <v>1159.6695</v>
      </c>
      <c r="O27" s="25">
        <v>46140.540972222225</v>
      </c>
      <c r="P27" s="26" t="s">
        <v>885</v>
      </c>
    </row>
    <row r="28" spans="1:16" x14ac:dyDescent="0.25">
      <c r="A28" s="20" t="s">
        <v>5211</v>
      </c>
      <c r="B28" s="21">
        <v>714</v>
      </c>
      <c r="C28" s="22" t="s">
        <v>323</v>
      </c>
      <c r="D28" s="22" t="s">
        <v>2896</v>
      </c>
      <c r="E28" s="22" t="str">
        <f>CONCATENATE(B28,D28)</f>
        <v>71460269-248</v>
      </c>
      <c r="F28" s="22" t="s">
        <v>2897</v>
      </c>
      <c r="G28" s="22" t="s">
        <v>29</v>
      </c>
      <c r="H28" s="23">
        <v>116.25700000000001</v>
      </c>
      <c r="I28" s="24">
        <v>3</v>
      </c>
      <c r="J28" s="24">
        <v>0</v>
      </c>
      <c r="K28" s="24">
        <v>0</v>
      </c>
      <c r="L28" s="41">
        <f>Table2[[#This Row],[Column1]]+Table2[[#This Row],[Column2]]</f>
        <v>0</v>
      </c>
      <c r="M28" s="42">
        <f>Table2[[#This Row],[OnHandQty]]-Table2[[#This Row],[Projection Nov/Dec]]</f>
        <v>3</v>
      </c>
      <c r="N28" s="35">
        <f>Table2[[#This Row],[OverStock]]*Table2[[#This Row],[RepCost]]</f>
        <v>348.77100000000002</v>
      </c>
      <c r="O28" s="25">
        <v>45392.625</v>
      </c>
      <c r="P28" s="26" t="s">
        <v>2898</v>
      </c>
    </row>
    <row r="29" spans="1:16" x14ac:dyDescent="0.25">
      <c r="A29" s="20" t="s">
        <v>5211</v>
      </c>
      <c r="B29" s="21">
        <v>714</v>
      </c>
      <c r="C29" s="22" t="s">
        <v>323</v>
      </c>
      <c r="D29" s="22" t="s">
        <v>3129</v>
      </c>
      <c r="E29" s="22" t="str">
        <f>CONCATENATE(B29,D29)</f>
        <v>71460269-110-5FT</v>
      </c>
      <c r="F29" s="22" t="s">
        <v>3130</v>
      </c>
      <c r="G29" s="22" t="s">
        <v>23</v>
      </c>
      <c r="H29" s="23">
        <v>145.43639999999999</v>
      </c>
      <c r="I29" s="24">
        <v>3</v>
      </c>
      <c r="J29" s="24">
        <v>0</v>
      </c>
      <c r="K29" s="24">
        <v>0</v>
      </c>
      <c r="L29" s="41">
        <f>Table2[[#This Row],[Column1]]+Table2[[#This Row],[Column2]]</f>
        <v>0</v>
      </c>
      <c r="M29" s="42">
        <f>Table2[[#This Row],[OnHandQty]]-Table2[[#This Row],[Projection Nov/Dec]]</f>
        <v>3</v>
      </c>
      <c r="N29" s="35">
        <f>Table2[[#This Row],[OverStock]]*Table2[[#This Row],[RepCost]]</f>
        <v>436.30919999999998</v>
      </c>
      <c r="O29" s="25">
        <v>46189.521527777775</v>
      </c>
      <c r="P29" s="26" t="s">
        <v>261</v>
      </c>
    </row>
    <row r="30" spans="1:16" x14ac:dyDescent="0.25">
      <c r="A30" s="20" t="s">
        <v>5211</v>
      </c>
      <c r="B30" s="21">
        <v>636</v>
      </c>
      <c r="C30" s="22" t="s">
        <v>323</v>
      </c>
      <c r="D30" s="22" t="s">
        <v>1294</v>
      </c>
      <c r="E30" s="22" t="str">
        <f>CONCATENATE(B30,D30)</f>
        <v>63660269-115-6FT</v>
      </c>
      <c r="F30" s="22" t="s">
        <v>1295</v>
      </c>
      <c r="G30" s="22" t="s">
        <v>23</v>
      </c>
      <c r="H30" s="23">
        <v>183.6354</v>
      </c>
      <c r="I30" s="24">
        <v>12</v>
      </c>
      <c r="J30" s="24">
        <v>1</v>
      </c>
      <c r="K30" s="24">
        <v>0</v>
      </c>
      <c r="L30" s="41">
        <f>Table2[[#This Row],[Column1]]+Table2[[#This Row],[Column2]]</f>
        <v>1</v>
      </c>
      <c r="M30" s="42">
        <f>Table2[[#This Row],[OnHandQty]]-Table2[[#This Row],[Projection Nov/Dec]]</f>
        <v>11</v>
      </c>
      <c r="N30" s="35">
        <f>Table2[[#This Row],[OverStock]]*Table2[[#This Row],[RepCost]]</f>
        <v>2019.9893999999999</v>
      </c>
      <c r="O30" s="25">
        <v>46112.343055555553</v>
      </c>
      <c r="P30" s="26" t="s">
        <v>137</v>
      </c>
    </row>
    <row r="31" spans="1:16" x14ac:dyDescent="0.25">
      <c r="A31" s="20" t="s">
        <v>5211</v>
      </c>
      <c r="B31" s="21">
        <v>714</v>
      </c>
      <c r="C31" s="22" t="s">
        <v>323</v>
      </c>
      <c r="D31" s="22" t="s">
        <v>3292</v>
      </c>
      <c r="E31" s="22" t="str">
        <f>CONCATENATE(B31,D31)</f>
        <v>71460269-307</v>
      </c>
      <c r="F31" s="22" t="s">
        <v>3293</v>
      </c>
      <c r="G31" s="22" t="s">
        <v>29</v>
      </c>
      <c r="H31" s="23">
        <v>296.69569999999999</v>
      </c>
      <c r="I31" s="24">
        <v>3</v>
      </c>
      <c r="J31" s="24">
        <v>0</v>
      </c>
      <c r="K31" s="24">
        <v>0</v>
      </c>
      <c r="L31" s="41">
        <f>Table2[[#This Row],[Column1]]+Table2[[#This Row],[Column2]]</f>
        <v>0</v>
      </c>
      <c r="M31" s="42">
        <f>Table2[[#This Row],[OnHandQty]]-Table2[[#This Row],[Projection Nov/Dec]]</f>
        <v>3</v>
      </c>
      <c r="N31" s="35">
        <f>Table2[[#This Row],[OverStock]]*Table2[[#This Row],[RepCost]]</f>
        <v>890.08709999999996</v>
      </c>
      <c r="O31" s="25">
        <v>46153.668749999997</v>
      </c>
      <c r="P31" s="26" t="s">
        <v>2271</v>
      </c>
    </row>
    <row r="32" spans="1:16" x14ac:dyDescent="0.25">
      <c r="A32" s="20" t="s">
        <v>5211</v>
      </c>
      <c r="B32" s="21">
        <v>714</v>
      </c>
      <c r="C32" s="22" t="s">
        <v>323</v>
      </c>
      <c r="D32" s="22" t="s">
        <v>3117</v>
      </c>
      <c r="E32" s="22" t="str">
        <f>CONCATENATE(B32,D32)</f>
        <v>71460269-110-8FT</v>
      </c>
      <c r="F32" s="22" t="s">
        <v>3118</v>
      </c>
      <c r="G32" s="22" t="s">
        <v>29</v>
      </c>
      <c r="H32" s="23">
        <v>204.97030000000001</v>
      </c>
      <c r="I32" s="24">
        <v>3</v>
      </c>
      <c r="J32" s="24">
        <v>0</v>
      </c>
      <c r="K32" s="24">
        <v>0</v>
      </c>
      <c r="L32" s="41">
        <f>Table2[[#This Row],[Column1]]+Table2[[#This Row],[Column2]]</f>
        <v>0</v>
      </c>
      <c r="M32" s="42">
        <f>Table2[[#This Row],[OnHandQty]]-Table2[[#This Row],[Projection Nov/Dec]]</f>
        <v>3</v>
      </c>
      <c r="N32" s="35">
        <f>Table2[[#This Row],[OverStock]]*Table2[[#This Row],[RepCost]]</f>
        <v>614.91090000000008</v>
      </c>
      <c r="O32" s="25">
        <v>45428.386805555558</v>
      </c>
      <c r="P32" s="26" t="s">
        <v>1535</v>
      </c>
    </row>
    <row r="33" spans="1:16" x14ac:dyDescent="0.25">
      <c r="A33" s="20" t="s">
        <v>5211</v>
      </c>
      <c r="B33" s="21">
        <v>714</v>
      </c>
      <c r="C33" s="22" t="s">
        <v>323</v>
      </c>
      <c r="D33" s="22" t="s">
        <v>2822</v>
      </c>
      <c r="E33" s="22" t="str">
        <f>CONCATENATE(B33,D33)</f>
        <v>71460269-308</v>
      </c>
      <c r="F33" s="22" t="s">
        <v>2823</v>
      </c>
      <c r="G33" s="22" t="s">
        <v>29</v>
      </c>
      <c r="H33" s="23">
        <v>320.79160000000002</v>
      </c>
      <c r="I33" s="24">
        <v>1</v>
      </c>
      <c r="J33" s="24">
        <v>0</v>
      </c>
      <c r="K33" s="24">
        <v>0</v>
      </c>
      <c r="L33" s="41">
        <f>Table2[[#This Row],[Column1]]+Table2[[#This Row],[Column2]]</f>
        <v>0</v>
      </c>
      <c r="M33" s="42">
        <f>Table2[[#This Row],[OnHandQty]]-Table2[[#This Row],[Projection Nov/Dec]]</f>
        <v>1</v>
      </c>
      <c r="N33" s="35">
        <f>Table2[[#This Row],[OverStock]]*Table2[[#This Row],[RepCost]]</f>
        <v>320.79160000000002</v>
      </c>
      <c r="O33" s="25">
        <v>46153.668749999997</v>
      </c>
      <c r="P33" s="26" t="s">
        <v>2271</v>
      </c>
    </row>
    <row r="34" spans="1:16" x14ac:dyDescent="0.25">
      <c r="A34" s="20" t="s">
        <v>5211</v>
      </c>
      <c r="B34" s="21">
        <v>714</v>
      </c>
      <c r="C34" s="22" t="s">
        <v>323</v>
      </c>
      <c r="D34" s="22" t="s">
        <v>2854</v>
      </c>
      <c r="E34" s="22" t="str">
        <f>CONCATENATE(B34,D34)</f>
        <v>71460269-ESP5X5FT420</v>
      </c>
      <c r="F34" s="27" t="s">
        <v>2855</v>
      </c>
      <c r="G34" s="27" t="s">
        <v>58</v>
      </c>
      <c r="H34" s="23">
        <v>429.84500000000003</v>
      </c>
      <c r="I34" s="24">
        <v>1</v>
      </c>
      <c r="J34" s="24">
        <v>0</v>
      </c>
      <c r="K34" s="24">
        <v>0</v>
      </c>
      <c r="L34" s="41">
        <f>Table2[[#This Row],[Column1]]+Table2[[#This Row],[Column2]]</f>
        <v>0</v>
      </c>
      <c r="M34" s="42">
        <f>Table2[[#This Row],[OnHandQty]]-Table2[[#This Row],[Projection Nov/Dec]]</f>
        <v>1</v>
      </c>
      <c r="N34" s="35">
        <f>Table2[[#This Row],[OverStock]]*Table2[[#This Row],[RepCost]]</f>
        <v>429.84500000000003</v>
      </c>
      <c r="O34" s="25">
        <v>44649.951388888891</v>
      </c>
      <c r="P34" s="26" t="s">
        <v>885</v>
      </c>
    </row>
    <row r="35" spans="1:16" x14ac:dyDescent="0.25">
      <c r="A35" s="20" t="s">
        <v>5211</v>
      </c>
      <c r="B35" s="21">
        <v>714</v>
      </c>
      <c r="C35" s="22" t="s">
        <v>323</v>
      </c>
      <c r="D35" s="22" t="s">
        <v>2993</v>
      </c>
      <c r="E35" s="22" t="str">
        <f>CONCATENATE(B35,D35)</f>
        <v>71460269-305SPC</v>
      </c>
      <c r="F35" s="27" t="s">
        <v>2994</v>
      </c>
      <c r="G35" s="27" t="s">
        <v>58</v>
      </c>
      <c r="H35" s="23">
        <v>250.6806</v>
      </c>
      <c r="I35" s="24">
        <v>2</v>
      </c>
      <c r="J35" s="24">
        <v>0</v>
      </c>
      <c r="K35" s="24">
        <v>0</v>
      </c>
      <c r="L35" s="41">
        <f>Table2[[#This Row],[Column1]]+Table2[[#This Row],[Column2]]</f>
        <v>0</v>
      </c>
      <c r="M35" s="42">
        <f>Table2[[#This Row],[OnHandQty]]-Table2[[#This Row],[Projection Nov/Dec]]</f>
        <v>2</v>
      </c>
      <c r="N35" s="35">
        <f>Table2[[#This Row],[OverStock]]*Table2[[#This Row],[RepCost]]</f>
        <v>501.3612</v>
      </c>
      <c r="O35" s="25">
        <v>44674.905555555553</v>
      </c>
      <c r="P35" s="26" t="s">
        <v>137</v>
      </c>
    </row>
    <row r="36" spans="1:16" x14ac:dyDescent="0.25">
      <c r="A36" s="20" t="s">
        <v>5211</v>
      </c>
      <c r="B36" s="21">
        <v>634</v>
      </c>
      <c r="C36" s="22" t="s">
        <v>126</v>
      </c>
      <c r="D36" s="22" t="s">
        <v>141</v>
      </c>
      <c r="E36" s="22" t="str">
        <f>CONCATENATE(B36,D36)</f>
        <v>63460269-424PFO</v>
      </c>
      <c r="F36" s="22" t="s">
        <v>142</v>
      </c>
      <c r="G36" s="22" t="s">
        <v>29</v>
      </c>
      <c r="H36" s="23">
        <v>498.5607</v>
      </c>
      <c r="I36" s="24">
        <v>1</v>
      </c>
      <c r="J36" s="24">
        <v>0</v>
      </c>
      <c r="K36" s="24">
        <v>0</v>
      </c>
      <c r="L36" s="41">
        <f>Table2[[#This Row],[Column1]]+Table2[[#This Row],[Column2]]</f>
        <v>0</v>
      </c>
      <c r="M36" s="42">
        <f>Table2[[#This Row],[OnHandQty]]-Table2[[#This Row],[Projection Nov/Dec]]</f>
        <v>1</v>
      </c>
      <c r="N36" s="35">
        <f>Table2[[#This Row],[OverStock]]*Table2[[#This Row],[RepCost]]</f>
        <v>498.5607</v>
      </c>
      <c r="O36" s="25">
        <v>46099.42083333333</v>
      </c>
      <c r="P36" s="26" t="s">
        <v>137</v>
      </c>
    </row>
    <row r="37" spans="1:16" x14ac:dyDescent="0.25">
      <c r="A37" s="20" t="s">
        <v>5211</v>
      </c>
      <c r="B37" s="21">
        <v>714</v>
      </c>
      <c r="C37" s="22" t="s">
        <v>323</v>
      </c>
      <c r="D37" s="22" t="s">
        <v>2848</v>
      </c>
      <c r="E37" s="22" t="str">
        <f>CONCATENATE(B37,D37)</f>
        <v>71475946-110</v>
      </c>
      <c r="F37" s="22" t="s">
        <v>2849</v>
      </c>
      <c r="G37" s="22" t="s">
        <v>29</v>
      </c>
      <c r="H37" s="23">
        <v>205.48679999999999</v>
      </c>
      <c r="I37" s="24">
        <v>6</v>
      </c>
      <c r="J37" s="24">
        <v>2</v>
      </c>
      <c r="K37" s="24">
        <v>0</v>
      </c>
      <c r="L37" s="41">
        <f>Table2[[#This Row],[Column1]]+Table2[[#This Row],[Column2]]</f>
        <v>2</v>
      </c>
      <c r="M37" s="42">
        <f>Table2[[#This Row],[OnHandQty]]-Table2[[#This Row],[Projection Nov/Dec]]</f>
        <v>4</v>
      </c>
      <c r="N37" s="35">
        <f>Table2[[#This Row],[OverStock]]*Table2[[#This Row],[RepCost]]</f>
        <v>821.94719999999995</v>
      </c>
      <c r="O37" s="25">
        <v>46112.315972222219</v>
      </c>
      <c r="P37" s="26" t="s">
        <v>36</v>
      </c>
    </row>
    <row r="38" spans="1:16" x14ac:dyDescent="0.25">
      <c r="A38" s="20" t="s">
        <v>5211</v>
      </c>
      <c r="B38" s="21">
        <v>714</v>
      </c>
      <c r="C38" s="22" t="s">
        <v>323</v>
      </c>
      <c r="D38" s="22" t="s">
        <v>3243</v>
      </c>
      <c r="E38" s="22" t="str">
        <f>CONCATENATE(B38,D38)</f>
        <v>71475946-248</v>
      </c>
      <c r="F38" s="22" t="s">
        <v>3244</v>
      </c>
      <c r="G38" s="22" t="s">
        <v>29</v>
      </c>
      <c r="H38" s="23">
        <v>129.26900000000001</v>
      </c>
      <c r="I38" s="24">
        <v>3</v>
      </c>
      <c r="J38" s="24">
        <v>0</v>
      </c>
      <c r="K38" s="24">
        <v>0</v>
      </c>
      <c r="L38" s="41">
        <f>Table2[[#This Row],[Column1]]+Table2[[#This Row],[Column2]]</f>
        <v>0</v>
      </c>
      <c r="M38" s="42">
        <f>Table2[[#This Row],[OnHandQty]]-Table2[[#This Row],[Projection Nov/Dec]]</f>
        <v>3</v>
      </c>
      <c r="N38" s="35">
        <f>Table2[[#This Row],[OverStock]]*Table2[[#This Row],[RepCost]]</f>
        <v>387.80700000000002</v>
      </c>
      <c r="O38" s="25">
        <v>45392.625</v>
      </c>
      <c r="P38" s="26" t="s">
        <v>2898</v>
      </c>
    </row>
    <row r="39" spans="1:16" x14ac:dyDescent="0.25">
      <c r="A39" s="20" t="s">
        <v>5211</v>
      </c>
      <c r="B39" s="21">
        <v>714</v>
      </c>
      <c r="C39" s="22" t="s">
        <v>323</v>
      </c>
      <c r="D39" s="22" t="s">
        <v>3245</v>
      </c>
      <c r="E39" s="22" t="str">
        <f>CONCATENATE(B39,D39)</f>
        <v>71475946-305</v>
      </c>
      <c r="F39" s="22" t="s">
        <v>3246</v>
      </c>
      <c r="G39" s="22" t="s">
        <v>29</v>
      </c>
      <c r="H39" s="23">
        <v>140.53110000000001</v>
      </c>
      <c r="I39" s="24">
        <v>1</v>
      </c>
      <c r="J39" s="24">
        <v>0</v>
      </c>
      <c r="K39" s="24">
        <v>0</v>
      </c>
      <c r="L39" s="41">
        <f>Table2[[#This Row],[Column1]]+Table2[[#This Row],[Column2]]</f>
        <v>0</v>
      </c>
      <c r="M39" s="42">
        <f>Table2[[#This Row],[OnHandQty]]-Table2[[#This Row],[Projection Nov/Dec]]</f>
        <v>1</v>
      </c>
      <c r="N39" s="35">
        <f>Table2[[#This Row],[OverStock]]*Table2[[#This Row],[RepCost]]</f>
        <v>140.53110000000001</v>
      </c>
      <c r="O39" s="25">
        <v>45138.829861111109</v>
      </c>
      <c r="P39" s="26" t="s">
        <v>137</v>
      </c>
    </row>
    <row r="40" spans="1:16" x14ac:dyDescent="0.25">
      <c r="A40" s="20" t="s">
        <v>5211</v>
      </c>
      <c r="B40" s="21">
        <v>714</v>
      </c>
      <c r="C40" s="22" t="s">
        <v>323</v>
      </c>
      <c r="D40" s="22" t="s">
        <v>3522</v>
      </c>
      <c r="E40" s="22" t="str">
        <f>CONCATENATE(B40,D40)</f>
        <v>71475946-306</v>
      </c>
      <c r="F40" s="22" t="s">
        <v>3523</v>
      </c>
      <c r="G40" s="22" t="s">
        <v>23</v>
      </c>
      <c r="H40" s="23">
        <v>138.91419999999999</v>
      </c>
      <c r="I40" s="24">
        <v>8</v>
      </c>
      <c r="J40" s="24">
        <v>1</v>
      </c>
      <c r="K40" s="24">
        <v>0</v>
      </c>
      <c r="L40" s="41">
        <f>Table2[[#This Row],[Column1]]+Table2[[#This Row],[Column2]]</f>
        <v>1</v>
      </c>
      <c r="M40" s="42">
        <f>Table2[[#This Row],[OnHandQty]]-Table2[[#This Row],[Projection Nov/Dec]]</f>
        <v>7</v>
      </c>
      <c r="N40" s="35">
        <f>Table2[[#This Row],[OverStock]]*Table2[[#This Row],[RepCost]]</f>
        <v>972.39940000000001</v>
      </c>
      <c r="O40" s="25">
        <v>45370.397222222222</v>
      </c>
      <c r="P40" s="26" t="s">
        <v>363</v>
      </c>
    </row>
    <row r="41" spans="1:16" x14ac:dyDescent="0.25">
      <c r="A41" s="20" t="s">
        <v>5211</v>
      </c>
      <c r="B41" s="21">
        <v>714</v>
      </c>
      <c r="C41" s="22" t="s">
        <v>323</v>
      </c>
      <c r="D41" s="22" t="s">
        <v>3411</v>
      </c>
      <c r="E41" s="22" t="str">
        <f>CONCATENATE(B41,D41)</f>
        <v>71490276-SPC</v>
      </c>
      <c r="F41" s="22" t="s">
        <v>3412</v>
      </c>
      <c r="G41" s="22" t="s">
        <v>19</v>
      </c>
      <c r="H41" s="23">
        <v>712.68460000000005</v>
      </c>
      <c r="I41" s="24">
        <v>1</v>
      </c>
      <c r="J41" s="24">
        <v>0</v>
      </c>
      <c r="K41" s="24">
        <v>0</v>
      </c>
      <c r="L41" s="41">
        <f>Table2[[#This Row],[Column1]]+Table2[[#This Row],[Column2]]</f>
        <v>0</v>
      </c>
      <c r="M41" s="42">
        <f>Table2[[#This Row],[OnHandQty]]-Table2[[#This Row],[Projection Nov/Dec]]</f>
        <v>1</v>
      </c>
      <c r="N41" s="35">
        <f>Table2[[#This Row],[OverStock]]*Table2[[#This Row],[RepCost]]</f>
        <v>712.68460000000005</v>
      </c>
      <c r="O41" s="25">
        <v>46104.46597222222</v>
      </c>
      <c r="P41" s="26" t="s">
        <v>137</v>
      </c>
    </row>
    <row r="42" spans="1:16" x14ac:dyDescent="0.25">
      <c r="A42" s="20" t="s">
        <v>5211</v>
      </c>
      <c r="B42" s="21">
        <v>636</v>
      </c>
      <c r="C42" s="22" t="s">
        <v>323</v>
      </c>
      <c r="D42" s="22" t="s">
        <v>1604</v>
      </c>
      <c r="E42" s="22" t="str">
        <f>CONCATENATE(B42,D42)</f>
        <v>63660260-105</v>
      </c>
      <c r="F42" s="22" t="s">
        <v>1605</v>
      </c>
      <c r="G42" s="22" t="s">
        <v>29</v>
      </c>
      <c r="H42" s="23">
        <v>20.5017</v>
      </c>
      <c r="I42" s="24">
        <v>8</v>
      </c>
      <c r="J42" s="24">
        <v>0</v>
      </c>
      <c r="K42" s="24">
        <v>0</v>
      </c>
      <c r="L42" s="41">
        <f>Table2[[#This Row],[Column1]]+Table2[[#This Row],[Column2]]</f>
        <v>0</v>
      </c>
      <c r="M42" s="42">
        <f>Table2[[#This Row],[OnHandQty]]-Table2[[#This Row],[Projection Nov/Dec]]</f>
        <v>8</v>
      </c>
      <c r="N42" s="35">
        <f>Table2[[#This Row],[OverStock]]*Table2[[#This Row],[RepCost]]</f>
        <v>164.0136</v>
      </c>
      <c r="O42" s="25">
        <v>46162.611805555556</v>
      </c>
      <c r="P42" s="26" t="s">
        <v>562</v>
      </c>
    </row>
    <row r="43" spans="1:16" x14ac:dyDescent="0.25">
      <c r="A43" s="20" t="s">
        <v>5211</v>
      </c>
      <c r="B43" s="21">
        <v>714</v>
      </c>
      <c r="C43" s="22" t="s">
        <v>323</v>
      </c>
      <c r="D43" s="22" t="s">
        <v>3184</v>
      </c>
      <c r="E43" s="22" t="str">
        <f>CONCATENATE(B43,D43)</f>
        <v>71460260-306</v>
      </c>
      <c r="F43" s="22" t="s">
        <v>3185</v>
      </c>
      <c r="G43" s="22" t="s">
        <v>29</v>
      </c>
      <c r="H43" s="23">
        <v>145.99709999999999</v>
      </c>
      <c r="I43" s="24">
        <v>2</v>
      </c>
      <c r="J43" s="24">
        <v>0</v>
      </c>
      <c r="K43" s="24">
        <v>0</v>
      </c>
      <c r="L43" s="41">
        <f>Table2[[#This Row],[Column1]]+Table2[[#This Row],[Column2]]</f>
        <v>0</v>
      </c>
      <c r="M43" s="42">
        <f>Table2[[#This Row],[OnHandQty]]-Table2[[#This Row],[Projection Nov/Dec]]</f>
        <v>2</v>
      </c>
      <c r="N43" s="35">
        <f>Table2[[#This Row],[OverStock]]*Table2[[#This Row],[RepCost]]</f>
        <v>291.99419999999998</v>
      </c>
      <c r="O43" s="25">
        <v>46083.444444444445</v>
      </c>
      <c r="P43" s="26" t="s">
        <v>137</v>
      </c>
    </row>
    <row r="44" spans="1:16" x14ac:dyDescent="0.25">
      <c r="A44" s="20" t="s">
        <v>5211</v>
      </c>
      <c r="B44" s="21">
        <v>714</v>
      </c>
      <c r="C44" s="22" t="s">
        <v>323</v>
      </c>
      <c r="D44" s="22" t="s">
        <v>2935</v>
      </c>
      <c r="E44" s="22" t="str">
        <f>CONCATENATE(B44,D44)</f>
        <v>71460260-115.307</v>
      </c>
      <c r="F44" s="22" t="s">
        <v>2936</v>
      </c>
      <c r="G44" s="22" t="s">
        <v>29</v>
      </c>
      <c r="H44" s="23">
        <v>91.452200000000005</v>
      </c>
      <c r="I44" s="24">
        <v>2</v>
      </c>
      <c r="J44" s="24">
        <v>0</v>
      </c>
      <c r="K44" s="24">
        <v>0</v>
      </c>
      <c r="L44" s="41">
        <f>Table2[[#This Row],[Column1]]+Table2[[#This Row],[Column2]]</f>
        <v>0</v>
      </c>
      <c r="M44" s="42">
        <f>Table2[[#This Row],[OnHandQty]]-Table2[[#This Row],[Projection Nov/Dec]]</f>
        <v>2</v>
      </c>
      <c r="N44" s="35">
        <f>Table2[[#This Row],[OverStock]]*Table2[[#This Row],[RepCost]]</f>
        <v>182.90440000000001</v>
      </c>
      <c r="O44" s="25">
        <v>46098.381249999999</v>
      </c>
      <c r="P44" s="26" t="s">
        <v>885</v>
      </c>
    </row>
    <row r="45" spans="1:16" x14ac:dyDescent="0.25">
      <c r="A45" s="20" t="s">
        <v>5211</v>
      </c>
      <c r="B45" s="21">
        <v>718</v>
      </c>
      <c r="C45" s="22" t="s">
        <v>323</v>
      </c>
      <c r="D45" s="22" t="s">
        <v>2935</v>
      </c>
      <c r="E45" s="22" t="str">
        <f>CONCATENATE(B45,D45)</f>
        <v>71860260-115.307</v>
      </c>
      <c r="F45" s="22" t="s">
        <v>2936</v>
      </c>
      <c r="G45" s="22" t="s">
        <v>29</v>
      </c>
      <c r="H45" s="23">
        <v>96.8001</v>
      </c>
      <c r="I45" s="24">
        <v>3</v>
      </c>
      <c r="J45" s="24">
        <v>0</v>
      </c>
      <c r="K45" s="24">
        <v>0</v>
      </c>
      <c r="L45" s="41">
        <f>Table2[[#This Row],[Column1]]+Table2[[#This Row],[Column2]]</f>
        <v>0</v>
      </c>
      <c r="M45" s="42">
        <f>Table2[[#This Row],[OnHandQty]]-Table2[[#This Row],[Projection Nov/Dec]]</f>
        <v>3</v>
      </c>
      <c r="N45" s="35">
        <f>Table2[[#This Row],[OverStock]]*Table2[[#This Row],[RepCost]]</f>
        <v>290.40030000000002</v>
      </c>
      <c r="O45" s="25">
        <v>46139.576388888891</v>
      </c>
      <c r="P45" s="26" t="s">
        <v>885</v>
      </c>
    </row>
    <row r="46" spans="1:16" x14ac:dyDescent="0.25">
      <c r="A46" s="20" t="s">
        <v>5211</v>
      </c>
      <c r="B46" s="21">
        <v>718</v>
      </c>
      <c r="C46" s="22" t="s">
        <v>323</v>
      </c>
      <c r="D46" s="22" t="s">
        <v>3968</v>
      </c>
      <c r="E46" s="22" t="str">
        <f>CONCATENATE(B46,D46)</f>
        <v>71860260-MS110</v>
      </c>
      <c r="F46" s="22" t="s">
        <v>3969</v>
      </c>
      <c r="G46" s="22" t="s">
        <v>19</v>
      </c>
      <c r="H46" s="23">
        <v>139.4889</v>
      </c>
      <c r="I46" s="24">
        <v>2</v>
      </c>
      <c r="J46" s="24">
        <v>0</v>
      </c>
      <c r="K46" s="24">
        <v>0</v>
      </c>
      <c r="L46" s="41">
        <f>Table2[[#This Row],[Column1]]+Table2[[#This Row],[Column2]]</f>
        <v>0</v>
      </c>
      <c r="M46" s="42">
        <f>Table2[[#This Row],[OnHandQty]]-Table2[[#This Row],[Projection Nov/Dec]]</f>
        <v>2</v>
      </c>
      <c r="N46" s="35">
        <f>Table2[[#This Row],[OverStock]]*Table2[[#This Row],[RepCost]]</f>
        <v>278.9778</v>
      </c>
      <c r="O46" s="25">
        <v>46172.410416666666</v>
      </c>
      <c r="P46" s="26" t="s">
        <v>2358</v>
      </c>
    </row>
    <row r="47" spans="1:16" x14ac:dyDescent="0.25">
      <c r="A47" s="20" t="s">
        <v>5211</v>
      </c>
      <c r="B47" s="21">
        <v>634</v>
      </c>
      <c r="C47" s="22" t="s">
        <v>323</v>
      </c>
      <c r="D47" s="22" t="s">
        <v>386</v>
      </c>
      <c r="E47" s="22" t="str">
        <f>CONCATENATE(B47,D47)</f>
        <v>63479889-242</v>
      </c>
      <c r="F47" s="22" t="s">
        <v>387</v>
      </c>
      <c r="G47" s="22" t="s">
        <v>29</v>
      </c>
      <c r="H47" s="23">
        <v>214.70050000000001</v>
      </c>
      <c r="I47" s="24">
        <v>2</v>
      </c>
      <c r="J47" s="24">
        <v>0</v>
      </c>
      <c r="K47" s="24">
        <v>0</v>
      </c>
      <c r="L47" s="41">
        <f>Table2[[#This Row],[Column1]]+Table2[[#This Row],[Column2]]</f>
        <v>0</v>
      </c>
      <c r="M47" s="42">
        <f>Table2[[#This Row],[OnHandQty]]-Table2[[#This Row],[Projection Nov/Dec]]</f>
        <v>2</v>
      </c>
      <c r="N47" s="35">
        <f>Table2[[#This Row],[OverStock]]*Table2[[#This Row],[RepCost]]</f>
        <v>429.40100000000001</v>
      </c>
      <c r="O47" s="25">
        <v>46113.665277777778</v>
      </c>
      <c r="P47" s="26" t="s">
        <v>137</v>
      </c>
    </row>
    <row r="48" spans="1:16" x14ac:dyDescent="0.25">
      <c r="A48" s="20" t="s">
        <v>5211</v>
      </c>
      <c r="B48" s="21">
        <v>636</v>
      </c>
      <c r="C48" s="22" t="s">
        <v>323</v>
      </c>
      <c r="D48" s="22" t="s">
        <v>1646</v>
      </c>
      <c r="E48" s="22" t="str">
        <f>CONCATENATE(B48,D48)</f>
        <v>63679889-248</v>
      </c>
      <c r="F48" s="22" t="s">
        <v>1647</v>
      </c>
      <c r="G48" s="22" t="s">
        <v>19</v>
      </c>
      <c r="H48" s="23">
        <v>263.41699999999997</v>
      </c>
      <c r="I48" s="24">
        <v>1</v>
      </c>
      <c r="J48" s="24">
        <v>0</v>
      </c>
      <c r="K48" s="24">
        <v>0</v>
      </c>
      <c r="L48" s="41">
        <f>Table2[[#This Row],[Column1]]+Table2[[#This Row],[Column2]]</f>
        <v>0</v>
      </c>
      <c r="M48" s="42">
        <f>Table2[[#This Row],[OnHandQty]]-Table2[[#This Row],[Projection Nov/Dec]]</f>
        <v>1</v>
      </c>
      <c r="N48" s="35">
        <f>Table2[[#This Row],[OverStock]]*Table2[[#This Row],[RepCost]]</f>
        <v>263.41699999999997</v>
      </c>
      <c r="O48" s="25">
        <v>46104.520833333336</v>
      </c>
      <c r="P48" s="26" t="s">
        <v>137</v>
      </c>
    </row>
    <row r="49" spans="1:16" x14ac:dyDescent="0.25">
      <c r="A49" s="20" t="s">
        <v>5211</v>
      </c>
      <c r="B49" s="21">
        <v>636</v>
      </c>
      <c r="C49" s="22" t="s">
        <v>323</v>
      </c>
      <c r="D49" s="22" t="s">
        <v>1454</v>
      </c>
      <c r="E49" s="22" t="str">
        <f>CONCATENATE(B49,D49)</f>
        <v>63696837-305</v>
      </c>
      <c r="F49" s="22" t="s">
        <v>1455</v>
      </c>
      <c r="G49" s="22" t="s">
        <v>29</v>
      </c>
      <c r="H49" s="23">
        <v>197.40899999999999</v>
      </c>
      <c r="I49" s="24">
        <v>5</v>
      </c>
      <c r="J49" s="24">
        <v>0</v>
      </c>
      <c r="K49" s="24">
        <v>0</v>
      </c>
      <c r="L49" s="41">
        <f>Table2[[#This Row],[Column1]]+Table2[[#This Row],[Column2]]</f>
        <v>0</v>
      </c>
      <c r="M49" s="42">
        <f>Table2[[#This Row],[OnHandQty]]-Table2[[#This Row],[Projection Nov/Dec]]</f>
        <v>5</v>
      </c>
      <c r="N49" s="35">
        <f>Table2[[#This Row],[OverStock]]*Table2[[#This Row],[RepCost]]</f>
        <v>987.04499999999996</v>
      </c>
      <c r="O49" s="25">
        <v>46169.423611111109</v>
      </c>
      <c r="P49" s="26" t="s">
        <v>890</v>
      </c>
    </row>
    <row r="50" spans="1:16" x14ac:dyDescent="0.25">
      <c r="A50" s="20" t="s">
        <v>5211</v>
      </c>
      <c r="B50" s="21">
        <v>714</v>
      </c>
      <c r="C50" s="22" t="s">
        <v>323</v>
      </c>
      <c r="D50" s="22" t="s">
        <v>3103</v>
      </c>
      <c r="E50" s="22" t="str">
        <f>CONCATENATE(B50,D50)</f>
        <v>71483108-SPC</v>
      </c>
      <c r="F50" s="22" t="s">
        <v>3104</v>
      </c>
      <c r="G50" s="22" t="s">
        <v>29</v>
      </c>
      <c r="H50" s="23">
        <v>4654.2668000000003</v>
      </c>
      <c r="I50" s="24">
        <v>1</v>
      </c>
      <c r="J50" s="24">
        <v>0</v>
      </c>
      <c r="K50" s="24">
        <v>0</v>
      </c>
      <c r="L50" s="41">
        <f>Table2[[#This Row],[Column1]]+Table2[[#This Row],[Column2]]</f>
        <v>0</v>
      </c>
      <c r="M50" s="42">
        <f>Table2[[#This Row],[OnHandQty]]-Table2[[#This Row],[Projection Nov/Dec]]</f>
        <v>1</v>
      </c>
      <c r="N50" s="35">
        <f>Table2[[#This Row],[OverStock]]*Table2[[#This Row],[RepCost]]</f>
        <v>4654.2668000000003</v>
      </c>
      <c r="O50" s="25">
        <v>46104.46597222222</v>
      </c>
      <c r="P50" s="26" t="s">
        <v>137</v>
      </c>
    </row>
    <row r="51" spans="1:16" x14ac:dyDescent="0.25">
      <c r="A51" s="20" t="s">
        <v>5211</v>
      </c>
      <c r="B51" s="21">
        <v>714</v>
      </c>
      <c r="C51" s="22" t="s">
        <v>323</v>
      </c>
      <c r="D51" s="22" t="s">
        <v>2963</v>
      </c>
      <c r="E51" s="22" t="str">
        <f>CONCATENATE(B51,D51)</f>
        <v>71475955-115</v>
      </c>
      <c r="F51" s="22" t="s">
        <v>2964</v>
      </c>
      <c r="G51" s="22" t="s">
        <v>29</v>
      </c>
      <c r="H51" s="23">
        <v>368.43279999999999</v>
      </c>
      <c r="I51" s="24">
        <v>3</v>
      </c>
      <c r="J51" s="24">
        <v>0</v>
      </c>
      <c r="K51" s="24">
        <v>0</v>
      </c>
      <c r="L51" s="41">
        <f>Table2[[#This Row],[Column1]]+Table2[[#This Row],[Column2]]</f>
        <v>0</v>
      </c>
      <c r="M51" s="42">
        <f>Table2[[#This Row],[OnHandQty]]-Table2[[#This Row],[Projection Nov/Dec]]</f>
        <v>3</v>
      </c>
      <c r="N51" s="35">
        <f>Table2[[#This Row],[OverStock]]*Table2[[#This Row],[RepCost]]</f>
        <v>1105.2983999999999</v>
      </c>
      <c r="O51" s="25">
        <v>45776.645833333336</v>
      </c>
      <c r="P51" s="26" t="s">
        <v>501</v>
      </c>
    </row>
    <row r="52" spans="1:16" x14ac:dyDescent="0.25">
      <c r="A52" s="20" t="s">
        <v>5211</v>
      </c>
      <c r="B52" s="21">
        <v>636</v>
      </c>
      <c r="C52" s="22" t="s">
        <v>323</v>
      </c>
      <c r="D52" s="22" t="s">
        <v>1357</v>
      </c>
      <c r="E52" s="22" t="str">
        <f>CONCATENATE(B52,D52)</f>
        <v>63675944-120</v>
      </c>
      <c r="F52" s="22" t="s">
        <v>1358</v>
      </c>
      <c r="G52" s="22" t="s">
        <v>19</v>
      </c>
      <c r="H52" s="23">
        <v>230.0932</v>
      </c>
      <c r="I52" s="24">
        <v>1</v>
      </c>
      <c r="J52" s="24">
        <v>0</v>
      </c>
      <c r="K52" s="24">
        <v>0</v>
      </c>
      <c r="L52" s="41">
        <f>Table2[[#This Row],[Column1]]+Table2[[#This Row],[Column2]]</f>
        <v>0</v>
      </c>
      <c r="M52" s="42">
        <f>Table2[[#This Row],[OnHandQty]]-Table2[[#This Row],[Projection Nov/Dec]]</f>
        <v>1</v>
      </c>
      <c r="N52" s="35">
        <f>Table2[[#This Row],[OverStock]]*Table2[[#This Row],[RepCost]]</f>
        <v>230.0932</v>
      </c>
      <c r="O52" s="25">
        <v>46140.540972222225</v>
      </c>
      <c r="P52" s="26" t="s">
        <v>885</v>
      </c>
    </row>
    <row r="53" spans="1:16" x14ac:dyDescent="0.25">
      <c r="A53" s="20" t="s">
        <v>5211</v>
      </c>
      <c r="B53" s="21">
        <v>714</v>
      </c>
      <c r="C53" s="22" t="s">
        <v>323</v>
      </c>
      <c r="D53" s="22" t="s">
        <v>3450</v>
      </c>
      <c r="E53" s="22" t="str">
        <f>CONCATENATE(B53,D53)</f>
        <v>71475944-115-W30IN</v>
      </c>
      <c r="F53" s="22" t="s">
        <v>3451</v>
      </c>
      <c r="G53" s="22" t="s">
        <v>29</v>
      </c>
      <c r="H53" s="23">
        <v>161.9716</v>
      </c>
      <c r="I53" s="24">
        <v>1</v>
      </c>
      <c r="J53" s="24">
        <v>0</v>
      </c>
      <c r="K53" s="24">
        <v>0</v>
      </c>
      <c r="L53" s="41">
        <f>Table2[[#This Row],[Column1]]+Table2[[#This Row],[Column2]]</f>
        <v>0</v>
      </c>
      <c r="M53" s="42">
        <f>Table2[[#This Row],[OnHandQty]]-Table2[[#This Row],[Projection Nov/Dec]]</f>
        <v>1</v>
      </c>
      <c r="N53" s="35">
        <f>Table2[[#This Row],[OverStock]]*Table2[[#This Row],[RepCost]]</f>
        <v>161.9716</v>
      </c>
      <c r="O53" s="25">
        <v>46083.444444444445</v>
      </c>
      <c r="P53" s="26" t="s">
        <v>137</v>
      </c>
    </row>
    <row r="54" spans="1:16" x14ac:dyDescent="0.25">
      <c r="A54" s="20" t="s">
        <v>5211</v>
      </c>
      <c r="B54" s="21">
        <v>634</v>
      </c>
      <c r="C54" s="22" t="s">
        <v>323</v>
      </c>
      <c r="D54" s="22" t="s">
        <v>372</v>
      </c>
      <c r="E54" s="22" t="str">
        <f>CONCATENATE(B54,D54)</f>
        <v>63475944-236</v>
      </c>
      <c r="F54" s="22" t="s">
        <v>373</v>
      </c>
      <c r="G54" s="22" t="s">
        <v>19</v>
      </c>
      <c r="H54" s="23">
        <v>262.59679999999997</v>
      </c>
      <c r="I54" s="24">
        <v>2</v>
      </c>
      <c r="J54" s="24">
        <v>0</v>
      </c>
      <c r="K54" s="24">
        <v>0</v>
      </c>
      <c r="L54" s="41">
        <f>Table2[[#This Row],[Column1]]+Table2[[#This Row],[Column2]]</f>
        <v>0</v>
      </c>
      <c r="M54" s="42">
        <f>Table2[[#This Row],[OnHandQty]]-Table2[[#This Row],[Projection Nov/Dec]]</f>
        <v>2</v>
      </c>
      <c r="N54" s="35">
        <f>Table2[[#This Row],[OverStock]]*Table2[[#This Row],[RepCost]]</f>
        <v>525.19359999999995</v>
      </c>
      <c r="O54" s="25">
        <v>46099.42083333333</v>
      </c>
      <c r="P54" s="26" t="s">
        <v>137</v>
      </c>
    </row>
    <row r="55" spans="1:16" x14ac:dyDescent="0.25">
      <c r="A55" s="20" t="s">
        <v>5211</v>
      </c>
      <c r="B55" s="21">
        <v>634</v>
      </c>
      <c r="C55" s="22" t="s">
        <v>323</v>
      </c>
      <c r="D55" s="22" t="s">
        <v>466</v>
      </c>
      <c r="E55" s="22" t="str">
        <f>CONCATENATE(B55,D55)</f>
        <v>63475944-242</v>
      </c>
      <c r="F55" s="22" t="s">
        <v>467</v>
      </c>
      <c r="G55" s="22" t="s">
        <v>29</v>
      </c>
      <c r="H55" s="23">
        <v>217.3475</v>
      </c>
      <c r="I55" s="24">
        <v>2</v>
      </c>
      <c r="J55" s="24">
        <v>0</v>
      </c>
      <c r="K55" s="24">
        <v>0</v>
      </c>
      <c r="L55" s="41">
        <f>Table2[[#This Row],[Column1]]+Table2[[#This Row],[Column2]]</f>
        <v>0</v>
      </c>
      <c r="M55" s="42">
        <f>Table2[[#This Row],[OnHandQty]]-Table2[[#This Row],[Projection Nov/Dec]]</f>
        <v>2</v>
      </c>
      <c r="N55" s="35">
        <f>Table2[[#This Row],[OverStock]]*Table2[[#This Row],[RepCost]]</f>
        <v>434.69499999999999</v>
      </c>
      <c r="O55" s="25">
        <v>46099.42083333333</v>
      </c>
      <c r="P55" s="26" t="s">
        <v>137</v>
      </c>
    </row>
    <row r="56" spans="1:16" x14ac:dyDescent="0.25">
      <c r="A56" s="20" t="s">
        <v>5211</v>
      </c>
      <c r="B56" s="21">
        <v>636</v>
      </c>
      <c r="C56" s="22" t="s">
        <v>323</v>
      </c>
      <c r="D56" s="22" t="s">
        <v>1652</v>
      </c>
      <c r="E56" s="22" t="str">
        <f>CONCATENATE(B56,D56)</f>
        <v>63675944-STDW848</v>
      </c>
      <c r="F56" s="22" t="s">
        <v>1653</v>
      </c>
      <c r="G56" s="22" t="s">
        <v>29</v>
      </c>
      <c r="H56" s="23">
        <v>447.22559999999999</v>
      </c>
      <c r="I56" s="24">
        <v>4</v>
      </c>
      <c r="J56" s="24">
        <v>0</v>
      </c>
      <c r="K56" s="24">
        <v>0</v>
      </c>
      <c r="L56" s="41">
        <f>Table2[[#This Row],[Column1]]+Table2[[#This Row],[Column2]]</f>
        <v>0</v>
      </c>
      <c r="M56" s="42">
        <f>Table2[[#This Row],[OnHandQty]]-Table2[[#This Row],[Projection Nov/Dec]]</f>
        <v>4</v>
      </c>
      <c r="N56" s="35">
        <f>Table2[[#This Row],[OverStock]]*Table2[[#This Row],[RepCost]]</f>
        <v>1788.9023999999999</v>
      </c>
      <c r="O56" s="25">
        <v>46107.522222222222</v>
      </c>
      <c r="P56" s="26" t="s">
        <v>178</v>
      </c>
    </row>
    <row r="57" spans="1:16" x14ac:dyDescent="0.25">
      <c r="A57" s="20" t="s">
        <v>5211</v>
      </c>
      <c r="B57" s="21">
        <v>714</v>
      </c>
      <c r="C57" s="22" t="s">
        <v>323</v>
      </c>
      <c r="D57" s="22" t="s">
        <v>1652</v>
      </c>
      <c r="E57" s="22" t="str">
        <f>CONCATENATE(B57,D57)</f>
        <v>71475944-STDW848</v>
      </c>
      <c r="F57" s="22" t="s">
        <v>1653</v>
      </c>
      <c r="G57" s="22" t="s">
        <v>29</v>
      </c>
      <c r="H57" s="23">
        <v>456.43329999999997</v>
      </c>
      <c r="I57" s="24">
        <v>1</v>
      </c>
      <c r="J57" s="24">
        <v>0</v>
      </c>
      <c r="K57" s="24">
        <v>0</v>
      </c>
      <c r="L57" s="41">
        <f>Table2[[#This Row],[Column1]]+Table2[[#This Row],[Column2]]</f>
        <v>0</v>
      </c>
      <c r="M57" s="42">
        <f>Table2[[#This Row],[OnHandQty]]-Table2[[#This Row],[Projection Nov/Dec]]</f>
        <v>1</v>
      </c>
      <c r="N57" s="35">
        <f>Table2[[#This Row],[OverStock]]*Table2[[#This Row],[RepCost]]</f>
        <v>456.43329999999997</v>
      </c>
      <c r="O57" s="25">
        <v>46126.711805555555</v>
      </c>
      <c r="P57" s="26" t="s">
        <v>178</v>
      </c>
    </row>
    <row r="58" spans="1:16" x14ac:dyDescent="0.25">
      <c r="A58" s="20" t="s">
        <v>5211</v>
      </c>
      <c r="B58" s="21">
        <v>714</v>
      </c>
      <c r="C58" s="22" t="s">
        <v>323</v>
      </c>
      <c r="D58" s="22" t="s">
        <v>2862</v>
      </c>
      <c r="E58" s="22" t="str">
        <f>CONCATENATE(B58,D58)</f>
        <v>71475951-305</v>
      </c>
      <c r="F58" s="22" t="s">
        <v>2863</v>
      </c>
      <c r="G58" s="22" t="s">
        <v>29</v>
      </c>
      <c r="H58" s="23">
        <v>265.03460000000001</v>
      </c>
      <c r="I58" s="24">
        <v>2</v>
      </c>
      <c r="J58" s="24">
        <v>0</v>
      </c>
      <c r="K58" s="24">
        <v>0</v>
      </c>
      <c r="L58" s="41">
        <f>Table2[[#This Row],[Column1]]+Table2[[#This Row],[Column2]]</f>
        <v>0</v>
      </c>
      <c r="M58" s="42">
        <f>Table2[[#This Row],[OnHandQty]]-Table2[[#This Row],[Projection Nov/Dec]]</f>
        <v>2</v>
      </c>
      <c r="N58" s="35">
        <f>Table2[[#This Row],[OverStock]]*Table2[[#This Row],[RepCost]]</f>
        <v>530.06920000000002</v>
      </c>
      <c r="O58" s="25">
        <v>46104.46597222222</v>
      </c>
      <c r="P58" s="26" t="s">
        <v>137</v>
      </c>
    </row>
    <row r="59" spans="1:16" x14ac:dyDescent="0.25">
      <c r="A59" s="20" t="s">
        <v>5211</v>
      </c>
      <c r="B59" s="21">
        <v>636</v>
      </c>
      <c r="C59" s="22" t="s">
        <v>323</v>
      </c>
      <c r="D59" s="22" t="s">
        <v>445</v>
      </c>
      <c r="E59" s="22" t="str">
        <f>CONCATENATE(B59,D59)</f>
        <v>63680810-020</v>
      </c>
      <c r="F59" s="22" t="s">
        <v>446</v>
      </c>
      <c r="G59" s="22" t="s">
        <v>29</v>
      </c>
      <c r="H59" s="23">
        <v>225.1018</v>
      </c>
      <c r="I59" s="24">
        <v>3</v>
      </c>
      <c r="J59" s="24">
        <v>0</v>
      </c>
      <c r="K59" s="24">
        <v>0</v>
      </c>
      <c r="L59" s="41">
        <f>Table2[[#This Row],[Column1]]+Table2[[#This Row],[Column2]]</f>
        <v>0</v>
      </c>
      <c r="M59" s="42">
        <f>Table2[[#This Row],[OnHandQty]]-Table2[[#This Row],[Projection Nov/Dec]]</f>
        <v>3</v>
      </c>
      <c r="N59" s="35">
        <f>Table2[[#This Row],[OverStock]]*Table2[[#This Row],[RepCost]]</f>
        <v>675.30539999999996</v>
      </c>
      <c r="O59" s="25">
        <v>46104.520833333336</v>
      </c>
      <c r="P59" s="26" t="s">
        <v>137</v>
      </c>
    </row>
    <row r="60" spans="1:16" x14ac:dyDescent="0.25">
      <c r="A60" s="20" t="s">
        <v>5211</v>
      </c>
      <c r="B60" s="21">
        <v>634</v>
      </c>
      <c r="C60" s="22" t="s">
        <v>323</v>
      </c>
      <c r="D60" s="22" t="s">
        <v>445</v>
      </c>
      <c r="E60" s="22" t="str">
        <f>CONCATENATE(B60,D60)</f>
        <v>63480810-020</v>
      </c>
      <c r="F60" s="22" t="s">
        <v>446</v>
      </c>
      <c r="G60" s="22" t="s">
        <v>29</v>
      </c>
      <c r="H60" s="23">
        <v>229.33920000000001</v>
      </c>
      <c r="I60" s="24">
        <v>1</v>
      </c>
      <c r="J60" s="24">
        <v>0</v>
      </c>
      <c r="K60" s="24">
        <v>0</v>
      </c>
      <c r="L60" s="41">
        <f>Table2[[#This Row],[Column1]]+Table2[[#This Row],[Column2]]</f>
        <v>0</v>
      </c>
      <c r="M60" s="42">
        <f>Table2[[#This Row],[OnHandQty]]-Table2[[#This Row],[Projection Nov/Dec]]</f>
        <v>1</v>
      </c>
      <c r="N60" s="35">
        <f>Table2[[#This Row],[OverStock]]*Table2[[#This Row],[RepCost]]</f>
        <v>229.33920000000001</v>
      </c>
      <c r="O60" s="25">
        <v>46113.665277777778</v>
      </c>
      <c r="P60" s="26" t="s">
        <v>137</v>
      </c>
    </row>
    <row r="61" spans="1:16" x14ac:dyDescent="0.25">
      <c r="A61" s="20" t="s">
        <v>5211</v>
      </c>
      <c r="B61" s="21">
        <v>636</v>
      </c>
      <c r="C61" s="22" t="s">
        <v>323</v>
      </c>
      <c r="D61" s="22" t="s">
        <v>1614</v>
      </c>
      <c r="E61" s="22" t="str">
        <f>CONCATENATE(B61,D61)</f>
        <v>63680810-030</v>
      </c>
      <c r="F61" s="22" t="s">
        <v>1615</v>
      </c>
      <c r="G61" s="22" t="s">
        <v>29</v>
      </c>
      <c r="H61" s="23">
        <v>335.25790000000001</v>
      </c>
      <c r="I61" s="24">
        <v>2</v>
      </c>
      <c r="J61" s="24">
        <v>0</v>
      </c>
      <c r="K61" s="24">
        <v>0</v>
      </c>
      <c r="L61" s="41">
        <f>Table2[[#This Row],[Column1]]+Table2[[#This Row],[Column2]]</f>
        <v>0</v>
      </c>
      <c r="M61" s="42">
        <f>Table2[[#This Row],[OnHandQty]]-Table2[[#This Row],[Projection Nov/Dec]]</f>
        <v>2</v>
      </c>
      <c r="N61" s="35">
        <f>Table2[[#This Row],[OverStock]]*Table2[[#This Row],[RepCost]]</f>
        <v>670.51580000000001</v>
      </c>
      <c r="O61" s="25">
        <v>46104.520833333336</v>
      </c>
      <c r="P61" s="26" t="s">
        <v>137</v>
      </c>
    </row>
    <row r="62" spans="1:16" x14ac:dyDescent="0.25">
      <c r="A62" s="20" t="s">
        <v>5211</v>
      </c>
      <c r="B62" s="21">
        <v>636</v>
      </c>
      <c r="C62" s="22" t="s">
        <v>323</v>
      </c>
      <c r="D62" s="22" t="s">
        <v>1386</v>
      </c>
      <c r="E62" s="22" t="str">
        <f>CONCATENATE(B62,D62)</f>
        <v>63680810-305</v>
      </c>
      <c r="F62" s="22" t="s">
        <v>1387</v>
      </c>
      <c r="G62" s="22" t="s">
        <v>29</v>
      </c>
      <c r="H62" s="23">
        <v>168.16319999999999</v>
      </c>
      <c r="I62" s="24">
        <v>6</v>
      </c>
      <c r="J62" s="24">
        <v>0</v>
      </c>
      <c r="K62" s="24">
        <v>2</v>
      </c>
      <c r="L62" s="41">
        <f>Table2[[#This Row],[Column1]]+Table2[[#This Row],[Column2]]</f>
        <v>2</v>
      </c>
      <c r="M62" s="42">
        <f>Table2[[#This Row],[OnHandQty]]-Table2[[#This Row],[Projection Nov/Dec]]</f>
        <v>4</v>
      </c>
      <c r="N62" s="35">
        <f>Table2[[#This Row],[OverStock]]*Table2[[#This Row],[RepCost]]</f>
        <v>672.65279999999996</v>
      </c>
      <c r="O62" s="25">
        <v>46169.423611111109</v>
      </c>
      <c r="P62" s="26" t="s">
        <v>890</v>
      </c>
    </row>
    <row r="63" spans="1:16" x14ac:dyDescent="0.25">
      <c r="A63" s="20" t="s">
        <v>5211</v>
      </c>
      <c r="B63" s="21">
        <v>714</v>
      </c>
      <c r="C63" s="22" t="s">
        <v>323</v>
      </c>
      <c r="D63" s="22" t="s">
        <v>3053</v>
      </c>
      <c r="E63" s="22" t="str">
        <f>CONCATENATE(B63,D63)</f>
        <v>71460253-110</v>
      </c>
      <c r="F63" s="22" t="s">
        <v>3054</v>
      </c>
      <c r="G63" s="22" t="s">
        <v>158</v>
      </c>
      <c r="H63" s="23">
        <v>229.24600000000001</v>
      </c>
      <c r="I63" s="24">
        <v>4</v>
      </c>
      <c r="J63" s="24">
        <v>0</v>
      </c>
      <c r="K63" s="24">
        <v>0</v>
      </c>
      <c r="L63" s="41">
        <f>Table2[[#This Row],[Column1]]+Table2[[#This Row],[Column2]]</f>
        <v>0</v>
      </c>
      <c r="M63" s="42">
        <f>Table2[[#This Row],[OnHandQty]]-Table2[[#This Row],[Projection Nov/Dec]]</f>
        <v>4</v>
      </c>
      <c r="N63" s="35">
        <f>Table2[[#This Row],[OverStock]]*Table2[[#This Row],[RepCost]]</f>
        <v>916.98400000000004</v>
      </c>
      <c r="O63" s="25">
        <v>46224.477083333331</v>
      </c>
      <c r="P63" s="26" t="s">
        <v>36</v>
      </c>
    </row>
    <row r="64" spans="1:16" x14ac:dyDescent="0.25">
      <c r="A64" s="20" t="s">
        <v>5211</v>
      </c>
      <c r="B64" s="21">
        <v>714</v>
      </c>
      <c r="C64" s="22" t="s">
        <v>323</v>
      </c>
      <c r="D64" s="22" t="s">
        <v>2892</v>
      </c>
      <c r="E64" s="22" t="str">
        <f>CONCATENATE(B64,D64)</f>
        <v>71460253-025</v>
      </c>
      <c r="F64" s="27" t="s">
        <v>2893</v>
      </c>
      <c r="G64" s="27" t="s">
        <v>58</v>
      </c>
      <c r="H64" s="23">
        <v>422.38350000000003</v>
      </c>
      <c r="I64" s="24">
        <v>1</v>
      </c>
      <c r="J64" s="24">
        <v>0</v>
      </c>
      <c r="K64" s="24">
        <v>0</v>
      </c>
      <c r="L64" s="41">
        <f>Table2[[#This Row],[Column1]]+Table2[[#This Row],[Column2]]</f>
        <v>0</v>
      </c>
      <c r="M64" s="42">
        <f>Table2[[#This Row],[OnHandQty]]-Table2[[#This Row],[Projection Nov/Dec]]</f>
        <v>1</v>
      </c>
      <c r="N64" s="35">
        <f>Table2[[#This Row],[OverStock]]*Table2[[#This Row],[RepCost]]</f>
        <v>422.38350000000003</v>
      </c>
      <c r="O64" s="25">
        <v>45752.665277777778</v>
      </c>
      <c r="P64" s="26" t="s">
        <v>178</v>
      </c>
    </row>
    <row r="65" spans="1:16" x14ac:dyDescent="0.25">
      <c r="A65" s="20" t="s">
        <v>5211</v>
      </c>
      <c r="B65" s="21">
        <v>718</v>
      </c>
      <c r="C65" s="22" t="s">
        <v>323</v>
      </c>
      <c r="D65" s="22" t="s">
        <v>3921</v>
      </c>
      <c r="E65" s="22" t="str">
        <f>CONCATENATE(B65,D65)</f>
        <v>71860253-115-6FT</v>
      </c>
      <c r="F65" s="22" t="s">
        <v>3922</v>
      </c>
      <c r="G65" s="22" t="s">
        <v>158</v>
      </c>
      <c r="H65" s="23">
        <v>180.8109</v>
      </c>
      <c r="I65" s="24">
        <v>1</v>
      </c>
      <c r="J65" s="24">
        <v>0</v>
      </c>
      <c r="K65" s="24">
        <v>0</v>
      </c>
      <c r="L65" s="41">
        <f>Table2[[#This Row],[Column1]]+Table2[[#This Row],[Column2]]</f>
        <v>0</v>
      </c>
      <c r="M65" s="42">
        <f>Table2[[#This Row],[OnHandQty]]-Table2[[#This Row],[Projection Nov/Dec]]</f>
        <v>1</v>
      </c>
      <c r="N65" s="35">
        <f>Table2[[#This Row],[OverStock]]*Table2[[#This Row],[RepCost]]</f>
        <v>180.8109</v>
      </c>
      <c r="O65" s="25">
        <v>46084.40347222222</v>
      </c>
      <c r="P65" s="26" t="s">
        <v>137</v>
      </c>
    </row>
    <row r="66" spans="1:16" x14ac:dyDescent="0.25">
      <c r="A66" s="20" t="s">
        <v>5211</v>
      </c>
      <c r="B66" s="21">
        <v>636</v>
      </c>
      <c r="C66" s="22" t="s">
        <v>323</v>
      </c>
      <c r="D66" s="22" t="s">
        <v>1632</v>
      </c>
      <c r="E66" s="22" t="str">
        <f>CONCATENATE(B66,D66)</f>
        <v>63660253-120-8FT</v>
      </c>
      <c r="F66" s="22" t="s">
        <v>1633</v>
      </c>
      <c r="G66" s="22" t="s">
        <v>29</v>
      </c>
      <c r="H66" s="23">
        <v>370.92720000000003</v>
      </c>
      <c r="I66" s="24">
        <v>4</v>
      </c>
      <c r="J66" s="24">
        <v>0</v>
      </c>
      <c r="K66" s="24">
        <v>0</v>
      </c>
      <c r="L66" s="41">
        <f>Table2[[#This Row],[Column1]]+Table2[[#This Row],[Column2]]</f>
        <v>0</v>
      </c>
      <c r="M66" s="42">
        <f>Table2[[#This Row],[OnHandQty]]-Table2[[#This Row],[Projection Nov/Dec]]</f>
        <v>4</v>
      </c>
      <c r="N66" s="35">
        <f>Table2[[#This Row],[OverStock]]*Table2[[#This Row],[RepCost]]</f>
        <v>1483.7088000000001</v>
      </c>
      <c r="O66" s="25">
        <v>46142.609027777777</v>
      </c>
      <c r="P66" s="26" t="s">
        <v>137</v>
      </c>
    </row>
    <row r="67" spans="1:16" x14ac:dyDescent="0.25">
      <c r="A67" s="20" t="s">
        <v>5211</v>
      </c>
      <c r="B67" s="21">
        <v>714</v>
      </c>
      <c r="C67" s="22" t="s">
        <v>323</v>
      </c>
      <c r="D67" s="22" t="s">
        <v>3133</v>
      </c>
      <c r="E67" s="22" t="str">
        <f>CONCATENATE(B67,D67)</f>
        <v>71460253-125-8FT</v>
      </c>
      <c r="F67" s="22" t="s">
        <v>3134</v>
      </c>
      <c r="G67" s="22" t="s">
        <v>158</v>
      </c>
      <c r="H67" s="23">
        <v>335.34309999999999</v>
      </c>
      <c r="I67" s="24">
        <v>15</v>
      </c>
      <c r="J67" s="24">
        <v>0</v>
      </c>
      <c r="K67" s="24">
        <v>0</v>
      </c>
      <c r="L67" s="41">
        <f>Table2[[#This Row],[Column1]]+Table2[[#This Row],[Column2]]</f>
        <v>0</v>
      </c>
      <c r="M67" s="42">
        <f>Table2[[#This Row],[OnHandQty]]-Table2[[#This Row],[Projection Nov/Dec]]</f>
        <v>15</v>
      </c>
      <c r="N67" s="35">
        <f>Table2[[#This Row],[OverStock]]*Table2[[#This Row],[RepCost]]</f>
        <v>5030.1464999999998</v>
      </c>
      <c r="O67" s="25">
        <v>46083.444444444445</v>
      </c>
      <c r="P67" s="26" t="s">
        <v>137</v>
      </c>
    </row>
    <row r="68" spans="1:16" x14ac:dyDescent="0.25">
      <c r="A68" s="20" t="s">
        <v>5211</v>
      </c>
      <c r="B68" s="21">
        <v>718</v>
      </c>
      <c r="C68" s="22" t="s">
        <v>323</v>
      </c>
      <c r="D68" s="22" t="s">
        <v>3133</v>
      </c>
      <c r="E68" s="22" t="str">
        <f>CONCATENATE(B68,D68)</f>
        <v>71860253-125-8FT</v>
      </c>
      <c r="F68" s="22" t="s">
        <v>3134</v>
      </c>
      <c r="G68" s="22" t="s">
        <v>19</v>
      </c>
      <c r="H68" s="23">
        <v>354.70249999999999</v>
      </c>
      <c r="I68" s="24">
        <v>4</v>
      </c>
      <c r="J68" s="24">
        <v>0</v>
      </c>
      <c r="K68" s="24">
        <v>0</v>
      </c>
      <c r="L68" s="41">
        <f>Table2[[#This Row],[Column1]]+Table2[[#This Row],[Column2]]</f>
        <v>0</v>
      </c>
      <c r="M68" s="42">
        <f>Table2[[#This Row],[OnHandQty]]-Table2[[#This Row],[Projection Nov/Dec]]</f>
        <v>4</v>
      </c>
      <c r="N68" s="35">
        <f>Table2[[#This Row],[OverStock]]*Table2[[#This Row],[RepCost]]</f>
        <v>1418.81</v>
      </c>
      <c r="O68" s="25">
        <v>46104.570138888892</v>
      </c>
      <c r="P68" s="26" t="s">
        <v>137</v>
      </c>
    </row>
    <row r="69" spans="1:16" x14ac:dyDescent="0.25">
      <c r="A69" s="20" t="s">
        <v>5211</v>
      </c>
      <c r="B69" s="21">
        <v>714</v>
      </c>
      <c r="C69" s="22" t="s">
        <v>323</v>
      </c>
      <c r="D69" s="22" t="s">
        <v>3431</v>
      </c>
      <c r="E69" s="22" t="str">
        <f>CONCATENATE(B69,D69)</f>
        <v>71475956-115</v>
      </c>
      <c r="F69" s="22" t="s">
        <v>3432</v>
      </c>
      <c r="G69" s="22" t="s">
        <v>19</v>
      </c>
      <c r="H69" s="23">
        <v>298.94760000000002</v>
      </c>
      <c r="I69" s="24">
        <v>1</v>
      </c>
      <c r="J69" s="24">
        <v>0</v>
      </c>
      <c r="K69" s="24">
        <v>0</v>
      </c>
      <c r="L69" s="41">
        <f>Table2[[#This Row],[Column1]]+Table2[[#This Row],[Column2]]</f>
        <v>0</v>
      </c>
      <c r="M69" s="42">
        <f>Table2[[#This Row],[OnHandQty]]-Table2[[#This Row],[Projection Nov/Dec]]</f>
        <v>1</v>
      </c>
      <c r="N69" s="35">
        <f>Table2[[#This Row],[OverStock]]*Table2[[#This Row],[RepCost]]</f>
        <v>298.94760000000002</v>
      </c>
      <c r="O69" s="25">
        <v>45776.645833333336</v>
      </c>
      <c r="P69" s="26" t="s">
        <v>501</v>
      </c>
    </row>
    <row r="70" spans="1:16" x14ac:dyDescent="0.25">
      <c r="A70" s="20" t="s">
        <v>5211</v>
      </c>
      <c r="B70" s="21">
        <v>714</v>
      </c>
      <c r="C70" s="22" t="s">
        <v>323</v>
      </c>
      <c r="D70" s="22" t="s">
        <v>3172</v>
      </c>
      <c r="E70" s="22" t="str">
        <f>CONCATENATE(B70,D70)</f>
        <v>71460261-110</v>
      </c>
      <c r="F70" s="22" t="s">
        <v>3173</v>
      </c>
      <c r="G70" s="22" t="s">
        <v>158</v>
      </c>
      <c r="H70" s="23">
        <v>119.8045</v>
      </c>
      <c r="I70" s="24">
        <v>9</v>
      </c>
      <c r="J70" s="24">
        <v>0</v>
      </c>
      <c r="K70" s="24">
        <v>0</v>
      </c>
      <c r="L70" s="41">
        <f>Table2[[#This Row],[Column1]]+Table2[[#This Row],[Column2]]</f>
        <v>0</v>
      </c>
      <c r="M70" s="42">
        <f>Table2[[#This Row],[OnHandQty]]-Table2[[#This Row],[Projection Nov/Dec]]</f>
        <v>9</v>
      </c>
      <c r="N70" s="35">
        <f>Table2[[#This Row],[OverStock]]*Table2[[#This Row],[RepCost]]</f>
        <v>1078.2405000000001</v>
      </c>
      <c r="O70" s="25">
        <v>46195.554861111108</v>
      </c>
      <c r="P70" s="26" t="s">
        <v>310</v>
      </c>
    </row>
    <row r="71" spans="1:16" x14ac:dyDescent="0.25">
      <c r="A71" s="20" t="s">
        <v>5211</v>
      </c>
      <c r="B71" s="21">
        <v>714</v>
      </c>
      <c r="C71" s="22" t="s">
        <v>323</v>
      </c>
      <c r="D71" s="22" t="s">
        <v>2894</v>
      </c>
      <c r="E71" s="22" t="str">
        <f>CONCATENATE(B71,D71)</f>
        <v>71460261-115</v>
      </c>
      <c r="F71" s="27" t="s">
        <v>2895</v>
      </c>
      <c r="G71" s="27" t="s">
        <v>58</v>
      </c>
      <c r="H71" s="23">
        <v>195.6644</v>
      </c>
      <c r="I71" s="24">
        <v>1</v>
      </c>
      <c r="J71" s="24">
        <v>0</v>
      </c>
      <c r="K71" s="24">
        <v>0</v>
      </c>
      <c r="L71" s="41">
        <f>Table2[[#This Row],[Column1]]+Table2[[#This Row],[Column2]]</f>
        <v>0</v>
      </c>
      <c r="M71" s="42">
        <f>Table2[[#This Row],[OnHandQty]]-Table2[[#This Row],[Projection Nov/Dec]]</f>
        <v>1</v>
      </c>
      <c r="N71" s="35">
        <f>Table2[[#This Row],[OverStock]]*Table2[[#This Row],[RepCost]]</f>
        <v>195.6644</v>
      </c>
      <c r="O71" s="25">
        <v>45406.302083333336</v>
      </c>
      <c r="P71" s="26" t="s">
        <v>159</v>
      </c>
    </row>
    <row r="72" spans="1:16" x14ac:dyDescent="0.25">
      <c r="A72" s="20" t="s">
        <v>5211</v>
      </c>
      <c r="B72" s="21">
        <v>714</v>
      </c>
      <c r="C72" s="22" t="s">
        <v>323</v>
      </c>
      <c r="D72" s="22" t="s">
        <v>3016</v>
      </c>
      <c r="E72" s="22" t="str">
        <f>CONCATENATE(B72,D72)</f>
        <v>71460261-120</v>
      </c>
      <c r="F72" s="22" t="s">
        <v>3017</v>
      </c>
      <c r="G72" s="22" t="s">
        <v>29</v>
      </c>
      <c r="H72" s="23">
        <v>228.23330000000001</v>
      </c>
      <c r="I72" s="24">
        <v>15</v>
      </c>
      <c r="J72" s="24">
        <v>0</v>
      </c>
      <c r="K72" s="24">
        <v>0</v>
      </c>
      <c r="L72" s="41">
        <f>Table2[[#This Row],[Column1]]+Table2[[#This Row],[Column2]]</f>
        <v>0</v>
      </c>
      <c r="M72" s="42">
        <f>Table2[[#This Row],[OnHandQty]]-Table2[[#This Row],[Projection Nov/Dec]]</f>
        <v>15</v>
      </c>
      <c r="N72" s="35">
        <f>Table2[[#This Row],[OverStock]]*Table2[[#This Row],[RepCost]]</f>
        <v>3423.4995000000004</v>
      </c>
      <c r="O72" s="25">
        <v>46203.470138888886</v>
      </c>
      <c r="P72" s="26" t="s">
        <v>137</v>
      </c>
    </row>
    <row r="73" spans="1:16" x14ac:dyDescent="0.25">
      <c r="A73" s="20" t="s">
        <v>5211</v>
      </c>
      <c r="B73" s="21">
        <v>714</v>
      </c>
      <c r="C73" s="22" t="s">
        <v>323</v>
      </c>
      <c r="D73" s="22" t="s">
        <v>3407</v>
      </c>
      <c r="E73" s="22" t="str">
        <f>CONCATENATE(B73,D73)</f>
        <v>71460261-224</v>
      </c>
      <c r="F73" s="22" t="s">
        <v>3408</v>
      </c>
      <c r="G73" s="22" t="s">
        <v>23</v>
      </c>
      <c r="H73" s="23">
        <v>119.6156</v>
      </c>
      <c r="I73" s="24">
        <v>2</v>
      </c>
      <c r="J73" s="24">
        <v>0</v>
      </c>
      <c r="K73" s="24">
        <v>0</v>
      </c>
      <c r="L73" s="41">
        <f>Table2[[#This Row],[Column1]]+Table2[[#This Row],[Column2]]</f>
        <v>0</v>
      </c>
      <c r="M73" s="42">
        <f>Table2[[#This Row],[OnHandQty]]-Table2[[#This Row],[Projection Nov/Dec]]</f>
        <v>2</v>
      </c>
      <c r="N73" s="35">
        <f>Table2[[#This Row],[OverStock]]*Table2[[#This Row],[RepCost]]</f>
        <v>239.2312</v>
      </c>
      <c r="O73" s="25">
        <v>45749.506249999999</v>
      </c>
      <c r="P73" s="26" t="s">
        <v>137</v>
      </c>
    </row>
    <row r="74" spans="1:16" x14ac:dyDescent="0.25">
      <c r="A74" s="20" t="s">
        <v>5211</v>
      </c>
      <c r="B74" s="21">
        <v>714</v>
      </c>
      <c r="C74" s="22" t="s">
        <v>323</v>
      </c>
      <c r="D74" s="22" t="s">
        <v>3263</v>
      </c>
      <c r="E74" s="22" t="str">
        <f>CONCATENATE(B74,D74)</f>
        <v>71460261-125</v>
      </c>
      <c r="F74" s="27" t="s">
        <v>3264</v>
      </c>
      <c r="G74" s="27" t="s">
        <v>58</v>
      </c>
      <c r="H74" s="23">
        <v>339.99349999999998</v>
      </c>
      <c r="I74" s="24">
        <v>1</v>
      </c>
      <c r="J74" s="24">
        <v>0</v>
      </c>
      <c r="K74" s="24">
        <v>0</v>
      </c>
      <c r="L74" s="41">
        <f>Table2[[#This Row],[Column1]]+Table2[[#This Row],[Column2]]</f>
        <v>0</v>
      </c>
      <c r="M74" s="42">
        <f>Table2[[#This Row],[OnHandQty]]-Table2[[#This Row],[Projection Nov/Dec]]</f>
        <v>1</v>
      </c>
      <c r="N74" s="35">
        <f>Table2[[#This Row],[OverStock]]*Table2[[#This Row],[RepCost]]</f>
        <v>339.99349999999998</v>
      </c>
      <c r="O74" s="25">
        <v>44668.39166666667</v>
      </c>
      <c r="P74" s="26" t="s">
        <v>3265</v>
      </c>
    </row>
    <row r="75" spans="1:16" x14ac:dyDescent="0.25">
      <c r="A75" s="20" t="s">
        <v>5211</v>
      </c>
      <c r="B75" s="21">
        <v>714</v>
      </c>
      <c r="C75" s="22" t="s">
        <v>323</v>
      </c>
      <c r="D75" s="22" t="s">
        <v>2967</v>
      </c>
      <c r="E75" s="22" t="str">
        <f>CONCATENATE(B75,D75)</f>
        <v>71489845-W830</v>
      </c>
      <c r="F75" s="22" t="s">
        <v>2968</v>
      </c>
      <c r="G75" s="22" t="s">
        <v>29</v>
      </c>
      <c r="H75" s="23">
        <v>124.1481</v>
      </c>
      <c r="I75" s="24">
        <v>2</v>
      </c>
      <c r="J75" s="24">
        <v>1</v>
      </c>
      <c r="K75" s="24">
        <v>0</v>
      </c>
      <c r="L75" s="41">
        <f>Table2[[#This Row],[Column1]]+Table2[[#This Row],[Column2]]</f>
        <v>1</v>
      </c>
      <c r="M75" s="42">
        <f>Table2[[#This Row],[OnHandQty]]-Table2[[#This Row],[Projection Nov/Dec]]</f>
        <v>1</v>
      </c>
      <c r="N75" s="35">
        <f>Table2[[#This Row],[OverStock]]*Table2[[#This Row],[RepCost]]</f>
        <v>124.1481</v>
      </c>
      <c r="O75" s="25">
        <v>45370.393750000003</v>
      </c>
      <c r="P75" s="26" t="s">
        <v>2969</v>
      </c>
    </row>
    <row r="76" spans="1:16" x14ac:dyDescent="0.25">
      <c r="A76" s="20" t="s">
        <v>5211</v>
      </c>
      <c r="B76" s="21">
        <v>714</v>
      </c>
      <c r="C76" s="22" t="s">
        <v>323</v>
      </c>
      <c r="D76" s="22" t="s">
        <v>3413</v>
      </c>
      <c r="E76" s="22" t="str">
        <f>CONCATENATE(B76,D76)</f>
        <v>71489845-SPC</v>
      </c>
      <c r="F76" s="22" t="s">
        <v>3414</v>
      </c>
      <c r="G76" s="22" t="s">
        <v>29</v>
      </c>
      <c r="H76" s="23">
        <v>3684.6279</v>
      </c>
      <c r="I76" s="24">
        <v>1</v>
      </c>
      <c r="J76" s="24">
        <v>0</v>
      </c>
      <c r="K76" s="24">
        <v>0</v>
      </c>
      <c r="L76" s="41">
        <f>Table2[[#This Row],[Column1]]+Table2[[#This Row],[Column2]]</f>
        <v>0</v>
      </c>
      <c r="M76" s="42">
        <f>Table2[[#This Row],[OnHandQty]]-Table2[[#This Row],[Projection Nov/Dec]]</f>
        <v>1</v>
      </c>
      <c r="N76" s="35">
        <f>Table2[[#This Row],[OverStock]]*Table2[[#This Row],[RepCost]]</f>
        <v>3684.6279</v>
      </c>
      <c r="O76" s="25">
        <v>46104.46597222222</v>
      </c>
      <c r="P76" s="26" t="s">
        <v>137</v>
      </c>
    </row>
    <row r="77" spans="1:16" x14ac:dyDescent="0.25">
      <c r="A77" s="20" t="s">
        <v>5211</v>
      </c>
      <c r="B77" s="21">
        <v>718</v>
      </c>
      <c r="C77" s="22" t="s">
        <v>323</v>
      </c>
      <c r="D77" s="22" t="s">
        <v>3261</v>
      </c>
      <c r="E77" s="22" t="str">
        <f>CONCATENATE(B77,D77)</f>
        <v>71875941-115</v>
      </c>
      <c r="F77" s="27" t="s">
        <v>3262</v>
      </c>
      <c r="G77" s="27" t="s">
        <v>58</v>
      </c>
      <c r="H77" s="23">
        <v>193.03700000000001</v>
      </c>
      <c r="I77" s="24">
        <v>2</v>
      </c>
      <c r="J77" s="24">
        <v>0</v>
      </c>
      <c r="K77" s="24">
        <v>0</v>
      </c>
      <c r="L77" s="41">
        <f>Table2[[#This Row],[Column1]]+Table2[[#This Row],[Column2]]</f>
        <v>0</v>
      </c>
      <c r="M77" s="42">
        <f>Table2[[#This Row],[OnHandQty]]-Table2[[#This Row],[Projection Nov/Dec]]</f>
        <v>2</v>
      </c>
      <c r="N77" s="35">
        <f>Table2[[#This Row],[OverStock]]*Table2[[#This Row],[RepCost]]</f>
        <v>386.07400000000001</v>
      </c>
      <c r="O77" s="25">
        <v>45010.344444444447</v>
      </c>
      <c r="P77" s="26" t="s">
        <v>2868</v>
      </c>
    </row>
    <row r="78" spans="1:16" x14ac:dyDescent="0.25">
      <c r="A78" s="20" t="s">
        <v>5211</v>
      </c>
      <c r="B78" s="21">
        <v>714</v>
      </c>
      <c r="C78" s="22" t="s">
        <v>323</v>
      </c>
      <c r="D78" s="22" t="s">
        <v>3261</v>
      </c>
      <c r="E78" s="22" t="str">
        <f>CONCATENATE(B78,D78)</f>
        <v>71475941-115</v>
      </c>
      <c r="F78" s="22" t="s">
        <v>3262</v>
      </c>
      <c r="G78" s="22" t="s">
        <v>29</v>
      </c>
      <c r="H78" s="23">
        <v>211.83029999999999</v>
      </c>
      <c r="I78" s="24">
        <v>2</v>
      </c>
      <c r="J78" s="24">
        <v>0</v>
      </c>
      <c r="K78" s="24">
        <v>0</v>
      </c>
      <c r="L78" s="41">
        <f>Table2[[#This Row],[Column1]]+Table2[[#This Row],[Column2]]</f>
        <v>0</v>
      </c>
      <c r="M78" s="42">
        <f>Table2[[#This Row],[OnHandQty]]-Table2[[#This Row],[Projection Nov/Dec]]</f>
        <v>2</v>
      </c>
      <c r="N78" s="35">
        <f>Table2[[#This Row],[OverStock]]*Table2[[#This Row],[RepCost]]</f>
        <v>423.66059999999999</v>
      </c>
      <c r="O78" s="25">
        <v>45040.643055555556</v>
      </c>
      <c r="P78" s="26" t="s">
        <v>2868</v>
      </c>
    </row>
    <row r="79" spans="1:16" x14ac:dyDescent="0.25">
      <c r="A79" s="20" t="s">
        <v>5211</v>
      </c>
      <c r="B79" s="21">
        <v>718</v>
      </c>
      <c r="C79" s="22" t="s">
        <v>323</v>
      </c>
      <c r="D79" s="22" t="s">
        <v>3841</v>
      </c>
      <c r="E79" s="22" t="str">
        <f>CONCATENATE(B79,D79)</f>
        <v>71875941-195SPC</v>
      </c>
      <c r="F79" s="22" t="s">
        <v>3842</v>
      </c>
      <c r="G79" s="22" t="s">
        <v>29</v>
      </c>
      <c r="H79" s="23">
        <v>1158.9147</v>
      </c>
      <c r="I79" s="24">
        <v>1</v>
      </c>
      <c r="J79" s="24">
        <v>0</v>
      </c>
      <c r="K79" s="24">
        <v>0</v>
      </c>
      <c r="L79" s="41">
        <f>Table2[[#This Row],[Column1]]+Table2[[#This Row],[Column2]]</f>
        <v>0</v>
      </c>
      <c r="M79" s="42">
        <f>Table2[[#This Row],[OnHandQty]]-Table2[[#This Row],[Projection Nov/Dec]]</f>
        <v>1</v>
      </c>
      <c r="N79" s="35">
        <f>Table2[[#This Row],[OverStock]]*Table2[[#This Row],[RepCost]]</f>
        <v>1158.9147</v>
      </c>
      <c r="O79" s="25">
        <v>46147.688194444447</v>
      </c>
      <c r="P79" s="26" t="s">
        <v>2066</v>
      </c>
    </row>
    <row r="80" spans="1:16" x14ac:dyDescent="0.25">
      <c r="A80" s="20" t="s">
        <v>5211</v>
      </c>
      <c r="B80" s="21">
        <v>714</v>
      </c>
      <c r="C80" s="22" t="s">
        <v>323</v>
      </c>
      <c r="D80" s="22" t="s">
        <v>3389</v>
      </c>
      <c r="E80" s="22" t="str">
        <f>CONCATENATE(B80,D80)</f>
        <v>71475945-230</v>
      </c>
      <c r="F80" s="22" t="s">
        <v>3390</v>
      </c>
      <c r="G80" s="22" t="s">
        <v>29</v>
      </c>
      <c r="H80" s="23">
        <v>123.93770000000001</v>
      </c>
      <c r="I80" s="24">
        <v>1</v>
      </c>
      <c r="J80" s="24">
        <v>0</v>
      </c>
      <c r="K80" s="24">
        <v>0</v>
      </c>
      <c r="L80" s="41">
        <f>Table2[[#This Row],[Column1]]+Table2[[#This Row],[Column2]]</f>
        <v>0</v>
      </c>
      <c r="M80" s="42">
        <f>Table2[[#This Row],[OnHandQty]]-Table2[[#This Row],[Projection Nov/Dec]]</f>
        <v>1</v>
      </c>
      <c r="N80" s="35">
        <f>Table2[[#This Row],[OverStock]]*Table2[[#This Row],[RepCost]]</f>
        <v>123.93770000000001</v>
      </c>
      <c r="O80" s="25">
        <v>45370.397222222222</v>
      </c>
      <c r="P80" s="26" t="s">
        <v>363</v>
      </c>
    </row>
    <row r="81" spans="1:16" x14ac:dyDescent="0.25">
      <c r="A81" s="20" t="s">
        <v>5211</v>
      </c>
      <c r="B81" s="21">
        <v>714</v>
      </c>
      <c r="C81" s="22" t="s">
        <v>323</v>
      </c>
      <c r="D81" s="22" t="s">
        <v>3454</v>
      </c>
      <c r="E81" s="22" t="str">
        <f>CONCATENATE(B81,D81)</f>
        <v>71475945-110-W48IN</v>
      </c>
      <c r="F81" s="22" t="s">
        <v>3455</v>
      </c>
      <c r="G81" s="22" t="s">
        <v>29</v>
      </c>
      <c r="H81" s="23">
        <v>196</v>
      </c>
      <c r="I81" s="24">
        <v>1</v>
      </c>
      <c r="J81" s="24">
        <v>0</v>
      </c>
      <c r="K81" s="24">
        <v>0</v>
      </c>
      <c r="L81" s="41">
        <f>Table2[[#This Row],[Column1]]+Table2[[#This Row],[Column2]]</f>
        <v>0</v>
      </c>
      <c r="M81" s="42">
        <f>Table2[[#This Row],[OnHandQty]]-Table2[[#This Row],[Projection Nov/Dec]]</f>
        <v>1</v>
      </c>
      <c r="N81" s="35">
        <f>Table2[[#This Row],[OverStock]]*Table2[[#This Row],[RepCost]]</f>
        <v>196</v>
      </c>
      <c r="O81" s="25">
        <v>46139.672222222223</v>
      </c>
      <c r="P81" s="26" t="s">
        <v>1535</v>
      </c>
    </row>
    <row r="82" spans="1:16" x14ac:dyDescent="0.25">
      <c r="A82" s="20" t="s">
        <v>5211</v>
      </c>
      <c r="B82" s="21">
        <v>714</v>
      </c>
      <c r="C82" s="22" t="s">
        <v>323</v>
      </c>
      <c r="D82" s="22" t="s">
        <v>3508</v>
      </c>
      <c r="E82" s="22" t="str">
        <f>CONCATENATE(B82,D82)</f>
        <v>71460252-110</v>
      </c>
      <c r="F82" s="22" t="s">
        <v>3509</v>
      </c>
      <c r="G82" s="22" t="s">
        <v>29</v>
      </c>
      <c r="H82" s="23">
        <v>150.73840000000001</v>
      </c>
      <c r="I82" s="24">
        <v>2</v>
      </c>
      <c r="J82" s="24">
        <v>0</v>
      </c>
      <c r="K82" s="24">
        <v>0</v>
      </c>
      <c r="L82" s="41">
        <f>Table2[[#This Row],[Column1]]+Table2[[#This Row],[Column2]]</f>
        <v>0</v>
      </c>
      <c r="M82" s="42">
        <f>Table2[[#This Row],[OnHandQty]]-Table2[[#This Row],[Projection Nov/Dec]]</f>
        <v>2</v>
      </c>
      <c r="N82" s="35">
        <f>Table2[[#This Row],[OverStock]]*Table2[[#This Row],[RepCost]]</f>
        <v>301.47680000000003</v>
      </c>
      <c r="O82" s="25">
        <v>44984.370138888888</v>
      </c>
      <c r="P82" s="26" t="s">
        <v>354</v>
      </c>
    </row>
    <row r="83" spans="1:16" x14ac:dyDescent="0.25">
      <c r="A83" s="20" t="s">
        <v>5211</v>
      </c>
      <c r="B83" s="21">
        <v>714</v>
      </c>
      <c r="C83" s="22" t="s">
        <v>323</v>
      </c>
      <c r="D83" s="22" t="s">
        <v>2943</v>
      </c>
      <c r="E83" s="22" t="str">
        <f>CONCATENATE(B83,D83)</f>
        <v>71460255-020</v>
      </c>
      <c r="F83" s="22" t="s">
        <v>2944</v>
      </c>
      <c r="G83" s="22" t="s">
        <v>29</v>
      </c>
      <c r="H83" s="23">
        <v>338.81830000000002</v>
      </c>
      <c r="I83" s="24">
        <v>2</v>
      </c>
      <c r="J83" s="24">
        <v>0</v>
      </c>
      <c r="K83" s="24">
        <v>0</v>
      </c>
      <c r="L83" s="41">
        <f>Table2[[#This Row],[Column1]]+Table2[[#This Row],[Column2]]</f>
        <v>0</v>
      </c>
      <c r="M83" s="42">
        <f>Table2[[#This Row],[OnHandQty]]-Table2[[#This Row],[Projection Nov/Dec]]</f>
        <v>2</v>
      </c>
      <c r="N83" s="35">
        <f>Table2[[#This Row],[OverStock]]*Table2[[#This Row],[RepCost]]</f>
        <v>677.63660000000004</v>
      </c>
      <c r="O83" s="25">
        <v>45394.436805555553</v>
      </c>
      <c r="P83" s="26" t="s">
        <v>178</v>
      </c>
    </row>
    <row r="84" spans="1:16" x14ac:dyDescent="0.25">
      <c r="A84" s="20" t="s">
        <v>5211</v>
      </c>
      <c r="B84" s="21">
        <v>714</v>
      </c>
      <c r="C84" s="22" t="s">
        <v>323</v>
      </c>
      <c r="D84" s="22" t="s">
        <v>1634</v>
      </c>
      <c r="E84" s="22" t="str">
        <f>CONCATENATE(B84,D84)</f>
        <v>71475942-125-1.75IN</v>
      </c>
      <c r="F84" s="22" t="s">
        <v>1635</v>
      </c>
      <c r="G84" s="22" t="s">
        <v>19</v>
      </c>
      <c r="H84" s="23">
        <v>266.65069999999997</v>
      </c>
      <c r="I84" s="24">
        <v>1</v>
      </c>
      <c r="J84" s="24">
        <v>0</v>
      </c>
      <c r="K84" s="24">
        <v>0</v>
      </c>
      <c r="L84" s="41">
        <f>Table2[[#This Row],[Column1]]+Table2[[#This Row],[Column2]]</f>
        <v>0</v>
      </c>
      <c r="M84" s="42">
        <f>Table2[[#This Row],[OnHandQty]]-Table2[[#This Row],[Projection Nov/Dec]]</f>
        <v>1</v>
      </c>
      <c r="N84" s="35">
        <f>Table2[[#This Row],[OverStock]]*Table2[[#This Row],[RepCost]]</f>
        <v>266.65069999999997</v>
      </c>
      <c r="O84" s="25">
        <v>46104.46597222222</v>
      </c>
      <c r="P84" s="26" t="s">
        <v>137</v>
      </c>
    </row>
    <row r="85" spans="1:16" x14ac:dyDescent="0.25">
      <c r="A85" s="20" t="s">
        <v>5211</v>
      </c>
      <c r="B85" s="21">
        <v>636</v>
      </c>
      <c r="C85" s="22" t="s">
        <v>323</v>
      </c>
      <c r="D85" s="22" t="s">
        <v>1634</v>
      </c>
      <c r="E85" s="22" t="str">
        <f>CONCATENATE(B85,D85)</f>
        <v>63675942-125-1.75IN</v>
      </c>
      <c r="F85" s="22" t="s">
        <v>1635</v>
      </c>
      <c r="G85" s="22" t="s">
        <v>29</v>
      </c>
      <c r="H85" s="23">
        <v>278.27109999999999</v>
      </c>
      <c r="I85" s="24">
        <v>3</v>
      </c>
      <c r="J85" s="24">
        <v>0</v>
      </c>
      <c r="K85" s="24">
        <v>0</v>
      </c>
      <c r="L85" s="41">
        <f>Table2[[#This Row],[Column1]]+Table2[[#This Row],[Column2]]</f>
        <v>0</v>
      </c>
      <c r="M85" s="42">
        <f>Table2[[#This Row],[OnHandQty]]-Table2[[#This Row],[Projection Nov/Dec]]</f>
        <v>3</v>
      </c>
      <c r="N85" s="35">
        <f>Table2[[#This Row],[OverStock]]*Table2[[#This Row],[RepCost]]</f>
        <v>834.81330000000003</v>
      </c>
      <c r="O85" s="25">
        <v>46112.343055555553</v>
      </c>
      <c r="P85" s="26" t="s">
        <v>137</v>
      </c>
    </row>
    <row r="86" spans="1:16" x14ac:dyDescent="0.25">
      <c r="A86" s="20" t="s">
        <v>5211</v>
      </c>
      <c r="B86" s="21">
        <v>714</v>
      </c>
      <c r="C86" s="22" t="s">
        <v>323</v>
      </c>
      <c r="D86" s="22" t="s">
        <v>3278</v>
      </c>
      <c r="E86" s="22" t="str">
        <f>CONCATENATE(B86,D86)</f>
        <v>71475942-110-W24IN</v>
      </c>
      <c r="F86" s="22" t="s">
        <v>3279</v>
      </c>
      <c r="G86" s="22" t="s">
        <v>23</v>
      </c>
      <c r="H86" s="23">
        <v>117.102</v>
      </c>
      <c r="I86" s="24">
        <v>2</v>
      </c>
      <c r="J86" s="24">
        <v>0</v>
      </c>
      <c r="K86" s="24">
        <v>0</v>
      </c>
      <c r="L86" s="41">
        <f>Table2[[#This Row],[Column1]]+Table2[[#This Row],[Column2]]</f>
        <v>0</v>
      </c>
      <c r="M86" s="42">
        <f>Table2[[#This Row],[OnHandQty]]-Table2[[#This Row],[Projection Nov/Dec]]</f>
        <v>2</v>
      </c>
      <c r="N86" s="35">
        <f>Table2[[#This Row],[OverStock]]*Table2[[#This Row],[RepCost]]</f>
        <v>234.20400000000001</v>
      </c>
      <c r="O86" s="25">
        <v>45394.806250000001</v>
      </c>
      <c r="P86" s="26" t="s">
        <v>885</v>
      </c>
    </row>
    <row r="87" spans="1:16" x14ac:dyDescent="0.25">
      <c r="A87" s="20" t="s">
        <v>5211</v>
      </c>
      <c r="B87" s="21">
        <v>636</v>
      </c>
      <c r="C87" s="22" t="s">
        <v>323</v>
      </c>
      <c r="D87" s="22" t="s">
        <v>1344</v>
      </c>
      <c r="E87" s="22" t="str">
        <f>CONCATENATE(B87,D87)</f>
        <v>63675942-107-W24IN</v>
      </c>
      <c r="F87" s="22" t="s">
        <v>1345</v>
      </c>
      <c r="G87" s="22" t="s">
        <v>23</v>
      </c>
      <c r="H87" s="23">
        <v>123.2379</v>
      </c>
      <c r="I87" s="24">
        <v>7</v>
      </c>
      <c r="J87" s="24">
        <v>0</v>
      </c>
      <c r="K87" s="24">
        <v>0</v>
      </c>
      <c r="L87" s="41">
        <f>Table2[[#This Row],[Column1]]+Table2[[#This Row],[Column2]]</f>
        <v>0</v>
      </c>
      <c r="M87" s="42">
        <f>Table2[[#This Row],[OnHandQty]]-Table2[[#This Row],[Projection Nov/Dec]]</f>
        <v>7</v>
      </c>
      <c r="N87" s="35">
        <f>Table2[[#This Row],[OverStock]]*Table2[[#This Row],[RepCost]]</f>
        <v>862.6653</v>
      </c>
      <c r="O87" s="25">
        <v>46140.295138888891</v>
      </c>
      <c r="P87" s="26" t="s">
        <v>137</v>
      </c>
    </row>
    <row r="88" spans="1:16" x14ac:dyDescent="0.25">
      <c r="A88" s="20" t="s">
        <v>5211</v>
      </c>
      <c r="B88" s="21">
        <v>714</v>
      </c>
      <c r="C88" s="22" t="s">
        <v>323</v>
      </c>
      <c r="D88" s="22" t="s">
        <v>1344</v>
      </c>
      <c r="E88" s="22" t="str">
        <f>CONCATENATE(B88,D88)</f>
        <v>71475942-107-W24IN</v>
      </c>
      <c r="F88" s="22" t="s">
        <v>1345</v>
      </c>
      <c r="G88" s="22" t="s">
        <v>23</v>
      </c>
      <c r="H88" s="23">
        <v>133.8775</v>
      </c>
      <c r="I88" s="24">
        <v>10</v>
      </c>
      <c r="J88" s="24">
        <v>0</v>
      </c>
      <c r="K88" s="24">
        <v>0</v>
      </c>
      <c r="L88" s="41">
        <f>Table2[[#This Row],[Column1]]+Table2[[#This Row],[Column2]]</f>
        <v>0</v>
      </c>
      <c r="M88" s="42">
        <f>Table2[[#This Row],[OnHandQty]]-Table2[[#This Row],[Projection Nov/Dec]]</f>
        <v>10</v>
      </c>
      <c r="N88" s="35">
        <f>Table2[[#This Row],[OverStock]]*Table2[[#This Row],[RepCost]]</f>
        <v>1338.7750000000001</v>
      </c>
      <c r="O88" s="25">
        <v>46147.435416666667</v>
      </c>
      <c r="P88" s="26" t="s">
        <v>137</v>
      </c>
    </row>
    <row r="89" spans="1:16" x14ac:dyDescent="0.25">
      <c r="A89" s="20" t="s">
        <v>5211</v>
      </c>
      <c r="B89" s="21">
        <v>714</v>
      </c>
      <c r="C89" s="22" t="s">
        <v>323</v>
      </c>
      <c r="D89" s="22" t="s">
        <v>3405</v>
      </c>
      <c r="E89" s="22" t="str">
        <f>CONCATENATE(B89,D89)</f>
        <v>71475942-125</v>
      </c>
      <c r="F89" s="22" t="s">
        <v>3406</v>
      </c>
      <c r="G89" s="22" t="s">
        <v>29</v>
      </c>
      <c r="H89" s="23">
        <v>301.0403</v>
      </c>
      <c r="I89" s="24">
        <v>4</v>
      </c>
      <c r="J89" s="24">
        <v>0</v>
      </c>
      <c r="K89" s="24">
        <v>0</v>
      </c>
      <c r="L89" s="41">
        <f>Table2[[#This Row],[Column1]]+Table2[[#This Row],[Column2]]</f>
        <v>0</v>
      </c>
      <c r="M89" s="42">
        <f>Table2[[#This Row],[OnHandQty]]-Table2[[#This Row],[Projection Nov/Dec]]</f>
        <v>4</v>
      </c>
      <c r="N89" s="35">
        <f>Table2[[#This Row],[OverStock]]*Table2[[#This Row],[RepCost]]</f>
        <v>1204.1612</v>
      </c>
      <c r="O89" s="25">
        <v>46157.633333333331</v>
      </c>
      <c r="P89" s="26" t="s">
        <v>159</v>
      </c>
    </row>
    <row r="90" spans="1:16" x14ac:dyDescent="0.25">
      <c r="A90" s="20" t="s">
        <v>5211</v>
      </c>
      <c r="B90" s="21">
        <v>714</v>
      </c>
      <c r="C90" s="22" t="s">
        <v>323</v>
      </c>
      <c r="D90" s="22" t="s">
        <v>3433</v>
      </c>
      <c r="E90" s="22" t="str">
        <f>CONCATENATE(B90,D90)</f>
        <v>71475942-230</v>
      </c>
      <c r="F90" s="22" t="s">
        <v>3434</v>
      </c>
      <c r="G90" s="22" t="s">
        <v>23</v>
      </c>
      <c r="H90" s="23">
        <v>151.86269999999999</v>
      </c>
      <c r="I90" s="24">
        <v>4</v>
      </c>
      <c r="J90" s="24">
        <v>0</v>
      </c>
      <c r="K90" s="24">
        <v>0</v>
      </c>
      <c r="L90" s="41">
        <f>Table2[[#This Row],[Column1]]+Table2[[#This Row],[Column2]]</f>
        <v>0</v>
      </c>
      <c r="M90" s="42">
        <f>Table2[[#This Row],[OnHandQty]]-Table2[[#This Row],[Projection Nov/Dec]]</f>
        <v>4</v>
      </c>
      <c r="N90" s="35">
        <f>Table2[[#This Row],[OverStock]]*Table2[[#This Row],[RepCost]]</f>
        <v>607.45079999999996</v>
      </c>
      <c r="O90" s="25">
        <v>45749.493750000001</v>
      </c>
      <c r="P90" s="26" t="s">
        <v>2358</v>
      </c>
    </row>
    <row r="91" spans="1:16" x14ac:dyDescent="0.25">
      <c r="A91" s="20" t="s">
        <v>5211</v>
      </c>
      <c r="B91" s="21">
        <v>714</v>
      </c>
      <c r="C91" s="22" t="s">
        <v>323</v>
      </c>
      <c r="D91" s="22" t="s">
        <v>3282</v>
      </c>
      <c r="E91" s="22" t="str">
        <f>CONCATENATE(B91,D91)</f>
        <v>71475942-236</v>
      </c>
      <c r="F91" s="22" t="s">
        <v>3283</v>
      </c>
      <c r="G91" s="22" t="s">
        <v>23</v>
      </c>
      <c r="H91" s="23">
        <v>258.68979999999999</v>
      </c>
      <c r="I91" s="24">
        <v>9</v>
      </c>
      <c r="J91" s="24">
        <v>0</v>
      </c>
      <c r="K91" s="24">
        <v>0</v>
      </c>
      <c r="L91" s="41">
        <f>Table2[[#This Row],[Column1]]+Table2[[#This Row],[Column2]]</f>
        <v>0</v>
      </c>
      <c r="M91" s="42">
        <f>Table2[[#This Row],[OnHandQty]]-Table2[[#This Row],[Projection Nov/Dec]]</f>
        <v>9</v>
      </c>
      <c r="N91" s="35">
        <f>Table2[[#This Row],[OverStock]]*Table2[[#This Row],[RepCost]]</f>
        <v>2328.2082</v>
      </c>
      <c r="O91" s="25">
        <v>45406.614583333336</v>
      </c>
      <c r="P91" s="26" t="s">
        <v>137</v>
      </c>
    </row>
    <row r="92" spans="1:16" x14ac:dyDescent="0.25">
      <c r="A92" s="20" t="s">
        <v>5211</v>
      </c>
      <c r="B92" s="21">
        <v>634</v>
      </c>
      <c r="C92" s="22" t="s">
        <v>323</v>
      </c>
      <c r="D92" s="22" t="s">
        <v>398</v>
      </c>
      <c r="E92" s="22" t="str">
        <f>CONCATENATE(B92,D92)</f>
        <v>63475942-120-W36IN</v>
      </c>
      <c r="F92" s="22" t="s">
        <v>399</v>
      </c>
      <c r="G92" s="22" t="s">
        <v>158</v>
      </c>
      <c r="H92" s="23">
        <v>162.03219999999999</v>
      </c>
      <c r="I92" s="24">
        <v>2</v>
      </c>
      <c r="J92" s="24">
        <v>0</v>
      </c>
      <c r="K92" s="24">
        <v>0</v>
      </c>
      <c r="L92" s="41">
        <f>Table2[[#This Row],[Column1]]+Table2[[#This Row],[Column2]]</f>
        <v>0</v>
      </c>
      <c r="M92" s="42">
        <f>Table2[[#This Row],[OnHandQty]]-Table2[[#This Row],[Projection Nov/Dec]]</f>
        <v>2</v>
      </c>
      <c r="N92" s="35">
        <f>Table2[[#This Row],[OverStock]]*Table2[[#This Row],[RepCost]]</f>
        <v>324.06439999999998</v>
      </c>
      <c r="O92" s="25">
        <v>46099.42083333333</v>
      </c>
      <c r="P92" s="26" t="s">
        <v>137</v>
      </c>
    </row>
    <row r="93" spans="1:16" x14ac:dyDescent="0.25">
      <c r="A93" s="20" t="s">
        <v>5211</v>
      </c>
      <c r="B93" s="21">
        <v>636</v>
      </c>
      <c r="C93" s="22" t="s">
        <v>323</v>
      </c>
      <c r="D93" s="22" t="s">
        <v>398</v>
      </c>
      <c r="E93" s="22" t="str">
        <f>CONCATENATE(B93,D93)</f>
        <v>63675942-120-W36IN</v>
      </c>
      <c r="F93" s="22" t="s">
        <v>399</v>
      </c>
      <c r="G93" s="22" t="s">
        <v>23</v>
      </c>
      <c r="H93" s="23">
        <v>168.0992</v>
      </c>
      <c r="I93" s="24">
        <v>3</v>
      </c>
      <c r="J93" s="24">
        <v>0</v>
      </c>
      <c r="K93" s="24">
        <v>0</v>
      </c>
      <c r="L93" s="41">
        <f>Table2[[#This Row],[Column1]]+Table2[[#This Row],[Column2]]</f>
        <v>0</v>
      </c>
      <c r="M93" s="42">
        <f>Table2[[#This Row],[OnHandQty]]-Table2[[#This Row],[Projection Nov/Dec]]</f>
        <v>3</v>
      </c>
      <c r="N93" s="35">
        <f>Table2[[#This Row],[OverStock]]*Table2[[#This Row],[RepCost]]</f>
        <v>504.29759999999999</v>
      </c>
      <c r="O93" s="25">
        <v>46142.609027777777</v>
      </c>
      <c r="P93" s="26" t="s">
        <v>137</v>
      </c>
    </row>
    <row r="94" spans="1:16" x14ac:dyDescent="0.25">
      <c r="A94" s="20" t="s">
        <v>5211</v>
      </c>
      <c r="B94" s="21">
        <v>636</v>
      </c>
      <c r="C94" s="22" t="s">
        <v>323</v>
      </c>
      <c r="D94" s="22" t="s">
        <v>1678</v>
      </c>
      <c r="E94" s="22" t="str">
        <f>CONCATENATE(B94,D94)</f>
        <v>63675942-125-W48IN</v>
      </c>
      <c r="F94" s="22" t="s">
        <v>1679</v>
      </c>
      <c r="G94" s="22" t="s">
        <v>23</v>
      </c>
      <c r="H94" s="23">
        <v>222.76429999999999</v>
      </c>
      <c r="I94" s="24">
        <v>4</v>
      </c>
      <c r="J94" s="24">
        <v>0</v>
      </c>
      <c r="K94" s="24">
        <v>0</v>
      </c>
      <c r="L94" s="41">
        <f>Table2[[#This Row],[Column1]]+Table2[[#This Row],[Column2]]</f>
        <v>0</v>
      </c>
      <c r="M94" s="42">
        <f>Table2[[#This Row],[OnHandQty]]-Table2[[#This Row],[Projection Nov/Dec]]</f>
        <v>4</v>
      </c>
      <c r="N94" s="35">
        <f>Table2[[#This Row],[OverStock]]*Table2[[#This Row],[RepCost]]</f>
        <v>891.05719999999997</v>
      </c>
      <c r="O94" s="25">
        <v>46083.459722222222</v>
      </c>
      <c r="P94" s="26" t="s">
        <v>137</v>
      </c>
    </row>
    <row r="95" spans="1:16" x14ac:dyDescent="0.25">
      <c r="A95" s="20" t="s">
        <v>5211</v>
      </c>
      <c r="B95" s="21">
        <v>636</v>
      </c>
      <c r="C95" s="22" t="s">
        <v>323</v>
      </c>
      <c r="D95" s="22" t="s">
        <v>1674</v>
      </c>
      <c r="E95" s="22" t="str">
        <f>CONCATENATE(B95,D95)</f>
        <v>63675942-125-W54IN</v>
      </c>
      <c r="F95" s="22" t="s">
        <v>1675</v>
      </c>
      <c r="G95" s="22" t="s">
        <v>19</v>
      </c>
      <c r="H95" s="23">
        <v>259.89170000000001</v>
      </c>
      <c r="I95" s="24">
        <v>1</v>
      </c>
      <c r="J95" s="24">
        <v>0</v>
      </c>
      <c r="K95" s="24">
        <v>0</v>
      </c>
      <c r="L95" s="41">
        <f>Table2[[#This Row],[Column1]]+Table2[[#This Row],[Column2]]</f>
        <v>0</v>
      </c>
      <c r="M95" s="42">
        <f>Table2[[#This Row],[OnHandQty]]-Table2[[#This Row],[Projection Nov/Dec]]</f>
        <v>1</v>
      </c>
      <c r="N95" s="35">
        <f>Table2[[#This Row],[OverStock]]*Table2[[#This Row],[RepCost]]</f>
        <v>259.89170000000001</v>
      </c>
      <c r="O95" s="25">
        <v>46083.459722222222</v>
      </c>
      <c r="P95" s="26" t="s">
        <v>137</v>
      </c>
    </row>
    <row r="96" spans="1:16" x14ac:dyDescent="0.25">
      <c r="A96" s="20" t="s">
        <v>5211</v>
      </c>
      <c r="B96" s="21">
        <v>718</v>
      </c>
      <c r="C96" s="22" t="s">
        <v>323</v>
      </c>
      <c r="D96" s="22" t="s">
        <v>1674</v>
      </c>
      <c r="E96" s="22" t="str">
        <f>CONCATENATE(B96,D96)</f>
        <v>71875942-125-W54IN</v>
      </c>
      <c r="F96" s="22" t="s">
        <v>1675</v>
      </c>
      <c r="G96" s="22" t="s">
        <v>23</v>
      </c>
      <c r="H96" s="23">
        <v>270.24459999999999</v>
      </c>
      <c r="I96" s="24">
        <v>1</v>
      </c>
      <c r="J96" s="24">
        <v>0</v>
      </c>
      <c r="K96" s="24">
        <v>0</v>
      </c>
      <c r="L96" s="41">
        <f>Table2[[#This Row],[Column1]]+Table2[[#This Row],[Column2]]</f>
        <v>0</v>
      </c>
      <c r="M96" s="42">
        <f>Table2[[#This Row],[OnHandQty]]-Table2[[#This Row],[Projection Nov/Dec]]</f>
        <v>1</v>
      </c>
      <c r="N96" s="35">
        <f>Table2[[#This Row],[OverStock]]*Table2[[#This Row],[RepCost]]</f>
        <v>270.24459999999999</v>
      </c>
      <c r="O96" s="25">
        <v>46104.570138888892</v>
      </c>
      <c r="P96" s="26" t="s">
        <v>137</v>
      </c>
    </row>
    <row r="97" spans="1:16" x14ac:dyDescent="0.25">
      <c r="A97" s="20" t="s">
        <v>5211</v>
      </c>
      <c r="B97" s="21">
        <v>714</v>
      </c>
      <c r="C97" s="22" t="s">
        <v>323</v>
      </c>
      <c r="D97" s="22" t="s">
        <v>1674</v>
      </c>
      <c r="E97" s="22" t="str">
        <f>CONCATENATE(B97,D97)</f>
        <v>71475942-125-W54IN</v>
      </c>
      <c r="F97" s="22" t="s">
        <v>1675</v>
      </c>
      <c r="G97" s="22" t="s">
        <v>29</v>
      </c>
      <c r="H97" s="23">
        <v>283.67700000000002</v>
      </c>
      <c r="I97" s="24">
        <v>2</v>
      </c>
      <c r="J97" s="24">
        <v>0</v>
      </c>
      <c r="K97" s="24">
        <v>0</v>
      </c>
      <c r="L97" s="41">
        <f>Table2[[#This Row],[Column1]]+Table2[[#This Row],[Column2]]</f>
        <v>0</v>
      </c>
      <c r="M97" s="42">
        <f>Table2[[#This Row],[OnHandQty]]-Table2[[#This Row],[Projection Nov/Dec]]</f>
        <v>2</v>
      </c>
      <c r="N97" s="35">
        <f>Table2[[#This Row],[OverStock]]*Table2[[#This Row],[RepCost]]</f>
        <v>567.35400000000004</v>
      </c>
      <c r="O97" s="25">
        <v>46119.573611111111</v>
      </c>
      <c r="P97" s="26" t="s">
        <v>137</v>
      </c>
    </row>
    <row r="98" spans="1:16" x14ac:dyDescent="0.25">
      <c r="A98" s="20" t="s">
        <v>5211</v>
      </c>
      <c r="B98" s="21">
        <v>714</v>
      </c>
      <c r="C98" s="22" t="s">
        <v>323</v>
      </c>
      <c r="D98" s="22" t="s">
        <v>3207</v>
      </c>
      <c r="E98" s="22" t="str">
        <f>CONCATENATE(B98,D98)</f>
        <v>71475942-145-W54IN</v>
      </c>
      <c r="F98" s="22" t="s">
        <v>3208</v>
      </c>
      <c r="G98" s="22" t="s">
        <v>19</v>
      </c>
      <c r="H98" s="23">
        <v>338.43490000000003</v>
      </c>
      <c r="I98" s="24">
        <v>1</v>
      </c>
      <c r="J98" s="24">
        <v>0</v>
      </c>
      <c r="K98" s="24">
        <v>0</v>
      </c>
      <c r="L98" s="41">
        <f>Table2[[#This Row],[Column1]]+Table2[[#This Row],[Column2]]</f>
        <v>0</v>
      </c>
      <c r="M98" s="42">
        <f>Table2[[#This Row],[OnHandQty]]-Table2[[#This Row],[Projection Nov/Dec]]</f>
        <v>1</v>
      </c>
      <c r="N98" s="35">
        <f>Table2[[#This Row],[OverStock]]*Table2[[#This Row],[RepCost]]</f>
        <v>338.43490000000003</v>
      </c>
      <c r="O98" s="25">
        <v>46147.435416666667</v>
      </c>
      <c r="P98" s="26" t="s">
        <v>137</v>
      </c>
    </row>
    <row r="99" spans="1:16" x14ac:dyDescent="0.25">
      <c r="A99" s="20" t="s">
        <v>5211</v>
      </c>
      <c r="B99" s="21">
        <v>636</v>
      </c>
      <c r="C99" s="22" t="s">
        <v>323</v>
      </c>
      <c r="D99" s="22" t="s">
        <v>1450</v>
      </c>
      <c r="E99" s="22" t="str">
        <f>CONCATENATE(B99,D99)</f>
        <v>63675942-145-W60IN</v>
      </c>
      <c r="F99" s="22" t="s">
        <v>1451</v>
      </c>
      <c r="G99" s="22" t="s">
        <v>29</v>
      </c>
      <c r="H99" s="23">
        <v>309.39479999999998</v>
      </c>
      <c r="I99" s="24">
        <v>2</v>
      </c>
      <c r="J99" s="24">
        <v>0</v>
      </c>
      <c r="K99" s="24">
        <v>0</v>
      </c>
      <c r="L99" s="41">
        <f>Table2[[#This Row],[Column1]]+Table2[[#This Row],[Column2]]</f>
        <v>0</v>
      </c>
      <c r="M99" s="42">
        <f>Table2[[#This Row],[OnHandQty]]-Table2[[#This Row],[Projection Nov/Dec]]</f>
        <v>2</v>
      </c>
      <c r="N99" s="35">
        <f>Table2[[#This Row],[OverStock]]*Table2[[#This Row],[RepCost]]</f>
        <v>618.78959999999995</v>
      </c>
      <c r="O99" s="25">
        <v>46083.459722222222</v>
      </c>
      <c r="P99" s="26" t="s">
        <v>137</v>
      </c>
    </row>
    <row r="100" spans="1:16" x14ac:dyDescent="0.25">
      <c r="A100" s="20" t="s">
        <v>5211</v>
      </c>
      <c r="B100" s="21">
        <v>718</v>
      </c>
      <c r="C100" s="22" t="s">
        <v>323</v>
      </c>
      <c r="D100" s="22" t="s">
        <v>3923</v>
      </c>
      <c r="E100" s="22" t="str">
        <f>CONCATENATE(B100,D100)</f>
        <v>71875942-JRSPC</v>
      </c>
      <c r="F100" s="27" t="s">
        <v>3924</v>
      </c>
      <c r="G100" s="27" t="s">
        <v>58</v>
      </c>
      <c r="H100" s="23">
        <v>1842.6353999999999</v>
      </c>
      <c r="I100" s="24">
        <v>1</v>
      </c>
      <c r="J100" s="24">
        <v>0</v>
      </c>
      <c r="K100" s="24">
        <v>0</v>
      </c>
      <c r="L100" s="41">
        <f>Table2[[#This Row],[Column1]]+Table2[[#This Row],[Column2]]</f>
        <v>0</v>
      </c>
      <c r="M100" s="42">
        <f>Table2[[#This Row],[OnHandQty]]-Table2[[#This Row],[Projection Nov/Dec]]</f>
        <v>1</v>
      </c>
      <c r="N100" s="35">
        <f>Table2[[#This Row],[OverStock]]*Table2[[#This Row],[RepCost]]</f>
        <v>1842.6353999999999</v>
      </c>
      <c r="O100" s="25">
        <v>45768.57708333333</v>
      </c>
      <c r="P100" s="26" t="s">
        <v>137</v>
      </c>
    </row>
    <row r="101" spans="1:16" x14ac:dyDescent="0.25">
      <c r="A101" s="20" t="s">
        <v>5211</v>
      </c>
      <c r="B101" s="21">
        <v>714</v>
      </c>
      <c r="C101" s="22" t="s">
        <v>323</v>
      </c>
      <c r="D101" s="22" t="s">
        <v>3444</v>
      </c>
      <c r="E101" s="22" t="str">
        <f>CONCATENATE(B101,D101)</f>
        <v>71475942-JRSPC1</v>
      </c>
      <c r="F101" s="22" t="s">
        <v>3445</v>
      </c>
      <c r="G101" s="22" t="s">
        <v>19</v>
      </c>
      <c r="H101" s="23">
        <v>326.42140000000001</v>
      </c>
      <c r="I101" s="24">
        <v>1</v>
      </c>
      <c r="J101" s="24">
        <v>0</v>
      </c>
      <c r="K101" s="24">
        <v>0</v>
      </c>
      <c r="L101" s="41">
        <f>Table2[[#This Row],[Column1]]+Table2[[#This Row],[Column2]]</f>
        <v>0</v>
      </c>
      <c r="M101" s="42">
        <f>Table2[[#This Row],[OnHandQty]]-Table2[[#This Row],[Projection Nov/Dec]]</f>
        <v>1</v>
      </c>
      <c r="N101" s="35">
        <f>Table2[[#This Row],[OverStock]]*Table2[[#This Row],[RepCost]]</f>
        <v>326.42140000000001</v>
      </c>
      <c r="O101" s="25">
        <v>45356.538194444445</v>
      </c>
      <c r="P101" s="26" t="s">
        <v>137</v>
      </c>
    </row>
    <row r="102" spans="1:16" x14ac:dyDescent="0.25">
      <c r="A102" s="20" t="s">
        <v>5211</v>
      </c>
      <c r="B102" s="21">
        <v>636</v>
      </c>
      <c r="C102" s="22" t="s">
        <v>323</v>
      </c>
      <c r="D102" s="22" t="s">
        <v>1713</v>
      </c>
      <c r="E102" s="22" t="str">
        <f>CONCATENATE(B102,D102)</f>
        <v>63675942-248SPC</v>
      </c>
      <c r="F102" s="22" t="s">
        <v>1714</v>
      </c>
      <c r="G102" s="22" t="s">
        <v>29</v>
      </c>
      <c r="H102" s="23">
        <v>522.26239999999996</v>
      </c>
      <c r="I102" s="24">
        <v>2</v>
      </c>
      <c r="J102" s="24">
        <v>0</v>
      </c>
      <c r="K102" s="24">
        <v>0</v>
      </c>
      <c r="L102" s="41">
        <f>Table2[[#This Row],[Column1]]+Table2[[#This Row],[Column2]]</f>
        <v>0</v>
      </c>
      <c r="M102" s="42">
        <f>Table2[[#This Row],[OnHandQty]]-Table2[[#This Row],[Projection Nov/Dec]]</f>
        <v>2</v>
      </c>
      <c r="N102" s="35">
        <f>Table2[[#This Row],[OverStock]]*Table2[[#This Row],[RepCost]]</f>
        <v>1044.5247999999999</v>
      </c>
      <c r="O102" s="25">
        <v>46114.394444444442</v>
      </c>
      <c r="P102" s="26" t="s">
        <v>486</v>
      </c>
    </row>
    <row r="103" spans="1:16" x14ac:dyDescent="0.25">
      <c r="A103" s="20" t="s">
        <v>5211</v>
      </c>
      <c r="B103" s="21">
        <v>714</v>
      </c>
      <c r="C103" s="22" t="s">
        <v>323</v>
      </c>
      <c r="D103" s="22" t="s">
        <v>3107</v>
      </c>
      <c r="E103" s="22" t="str">
        <f>CONCATENATE(B103,D103)</f>
        <v>71475942-STDW806</v>
      </c>
      <c r="F103" s="22" t="s">
        <v>3108</v>
      </c>
      <c r="G103" s="22" t="s">
        <v>19</v>
      </c>
      <c r="H103" s="23">
        <v>578.14890000000003</v>
      </c>
      <c r="I103" s="24">
        <v>1</v>
      </c>
      <c r="J103" s="24">
        <v>0</v>
      </c>
      <c r="K103" s="24">
        <v>0</v>
      </c>
      <c r="L103" s="41">
        <f>Table2[[#This Row],[Column1]]+Table2[[#This Row],[Column2]]</f>
        <v>0</v>
      </c>
      <c r="M103" s="42">
        <f>Table2[[#This Row],[OnHandQty]]-Table2[[#This Row],[Projection Nov/Dec]]</f>
        <v>1</v>
      </c>
      <c r="N103" s="35">
        <f>Table2[[#This Row],[OverStock]]*Table2[[#This Row],[RepCost]]</f>
        <v>578.14890000000003</v>
      </c>
      <c r="O103" s="25">
        <v>46126.711805555555</v>
      </c>
      <c r="P103" s="26" t="s">
        <v>178</v>
      </c>
    </row>
    <row r="104" spans="1:16" x14ac:dyDescent="0.25">
      <c r="A104" s="20" t="s">
        <v>5211</v>
      </c>
      <c r="B104" s="21">
        <v>714</v>
      </c>
      <c r="C104" s="22" t="s">
        <v>126</v>
      </c>
      <c r="D104" s="22" t="s">
        <v>135</v>
      </c>
      <c r="E104" s="22" t="str">
        <f>CONCATENATE(B104,D104)</f>
        <v>71475942-424PFO</v>
      </c>
      <c r="F104" s="22" t="s">
        <v>136</v>
      </c>
      <c r="G104" s="22" t="s">
        <v>455</v>
      </c>
      <c r="H104" s="23">
        <v>489.36380000000003</v>
      </c>
      <c r="I104" s="24">
        <v>2</v>
      </c>
      <c r="J104" s="24">
        <v>0</v>
      </c>
      <c r="K104" s="24">
        <v>0</v>
      </c>
      <c r="L104" s="41">
        <f>Table2[[#This Row],[Column1]]+Table2[[#This Row],[Column2]]</f>
        <v>0</v>
      </c>
      <c r="M104" s="42">
        <f>Table2[[#This Row],[OnHandQty]]-Table2[[#This Row],[Projection Nov/Dec]]</f>
        <v>2</v>
      </c>
      <c r="N104" s="35">
        <f>Table2[[#This Row],[OverStock]]*Table2[[#This Row],[RepCost]]</f>
        <v>978.72760000000005</v>
      </c>
      <c r="O104" s="25">
        <v>45835.557638888888</v>
      </c>
      <c r="P104" s="26" t="s">
        <v>137</v>
      </c>
    </row>
    <row r="105" spans="1:16" x14ac:dyDescent="0.25">
      <c r="A105" s="20" t="s">
        <v>5211</v>
      </c>
      <c r="B105" s="21">
        <v>636</v>
      </c>
      <c r="C105" s="22" t="s">
        <v>126</v>
      </c>
      <c r="D105" s="22" t="s">
        <v>135</v>
      </c>
      <c r="E105" s="22" t="str">
        <f>CONCATENATE(B105,D105)</f>
        <v>63675942-424PFO</v>
      </c>
      <c r="F105" s="22" t="s">
        <v>136</v>
      </c>
      <c r="G105" s="22" t="s">
        <v>19</v>
      </c>
      <c r="H105" s="23">
        <v>495.0317</v>
      </c>
      <c r="I105" s="24">
        <v>2</v>
      </c>
      <c r="J105" s="24">
        <v>0</v>
      </c>
      <c r="K105" s="24">
        <v>0</v>
      </c>
      <c r="L105" s="41">
        <f>Table2[[#This Row],[Column1]]+Table2[[#This Row],[Column2]]</f>
        <v>0</v>
      </c>
      <c r="M105" s="42">
        <f>Table2[[#This Row],[OnHandQty]]-Table2[[#This Row],[Projection Nov/Dec]]</f>
        <v>2</v>
      </c>
      <c r="N105" s="35">
        <f>Table2[[#This Row],[OverStock]]*Table2[[#This Row],[RepCost]]</f>
        <v>990.0634</v>
      </c>
      <c r="O105" s="25">
        <v>46083.459722222222</v>
      </c>
      <c r="P105" s="26" t="s">
        <v>137</v>
      </c>
    </row>
    <row r="106" spans="1:16" x14ac:dyDescent="0.25">
      <c r="A106" s="20" t="s">
        <v>5211</v>
      </c>
      <c r="B106" s="21">
        <v>718</v>
      </c>
      <c r="C106" s="22" t="s">
        <v>126</v>
      </c>
      <c r="D106" s="22" t="s">
        <v>135</v>
      </c>
      <c r="E106" s="22" t="str">
        <f>CONCATENATE(B106,D106)</f>
        <v>71875942-424PFO</v>
      </c>
      <c r="F106" s="22" t="s">
        <v>136</v>
      </c>
      <c r="G106" s="22" t="s">
        <v>158</v>
      </c>
      <c r="H106" s="23">
        <v>511.25830000000002</v>
      </c>
      <c r="I106" s="24">
        <v>1</v>
      </c>
      <c r="J106" s="24">
        <v>0</v>
      </c>
      <c r="K106" s="24">
        <v>0</v>
      </c>
      <c r="L106" s="41">
        <f>Table2[[#This Row],[Column1]]+Table2[[#This Row],[Column2]]</f>
        <v>0</v>
      </c>
      <c r="M106" s="42">
        <f>Table2[[#This Row],[OnHandQty]]-Table2[[#This Row],[Projection Nov/Dec]]</f>
        <v>1</v>
      </c>
      <c r="N106" s="35">
        <f>Table2[[#This Row],[OverStock]]*Table2[[#This Row],[RepCost]]</f>
        <v>511.25830000000002</v>
      </c>
      <c r="O106" s="25">
        <v>46084.40347222222</v>
      </c>
      <c r="P106" s="26" t="s">
        <v>137</v>
      </c>
    </row>
    <row r="107" spans="1:16" x14ac:dyDescent="0.25">
      <c r="A107" s="20" t="s">
        <v>5211</v>
      </c>
      <c r="B107" s="21">
        <v>634</v>
      </c>
      <c r="C107" s="22" t="s">
        <v>126</v>
      </c>
      <c r="D107" s="22" t="s">
        <v>135</v>
      </c>
      <c r="E107" s="22" t="str">
        <f>CONCATENATE(B107,D107)</f>
        <v>63475942-424PFO</v>
      </c>
      <c r="F107" s="22" t="s">
        <v>136</v>
      </c>
      <c r="G107" s="22" t="s">
        <v>29</v>
      </c>
      <c r="H107" s="23">
        <v>498.5607</v>
      </c>
      <c r="I107" s="24">
        <v>1</v>
      </c>
      <c r="J107" s="24">
        <v>0</v>
      </c>
      <c r="K107" s="24">
        <v>0</v>
      </c>
      <c r="L107" s="41">
        <f>Table2[[#This Row],[Column1]]+Table2[[#This Row],[Column2]]</f>
        <v>0</v>
      </c>
      <c r="M107" s="42">
        <f>Table2[[#This Row],[OnHandQty]]-Table2[[#This Row],[Projection Nov/Dec]]</f>
        <v>1</v>
      </c>
      <c r="N107" s="35">
        <f>Table2[[#This Row],[OverStock]]*Table2[[#This Row],[RepCost]]</f>
        <v>498.5607</v>
      </c>
      <c r="O107" s="25">
        <v>46099.42083333333</v>
      </c>
      <c r="P107" s="26" t="s">
        <v>137</v>
      </c>
    </row>
    <row r="108" spans="1:16" x14ac:dyDescent="0.25">
      <c r="A108" s="20" t="s">
        <v>5211</v>
      </c>
      <c r="B108" s="21">
        <v>714</v>
      </c>
      <c r="C108" s="22" t="s">
        <v>323</v>
      </c>
      <c r="D108" s="22" t="s">
        <v>2866</v>
      </c>
      <c r="E108" s="22" t="str">
        <f>CONCATENATE(B108,D108)</f>
        <v>71475943-115</v>
      </c>
      <c r="F108" s="27" t="s">
        <v>2867</v>
      </c>
      <c r="G108" s="27" t="s">
        <v>58</v>
      </c>
      <c r="H108" s="23">
        <v>190.0651</v>
      </c>
      <c r="I108" s="24">
        <v>1</v>
      </c>
      <c r="J108" s="24">
        <v>0</v>
      </c>
      <c r="K108" s="24">
        <v>0</v>
      </c>
      <c r="L108" s="41">
        <f>Table2[[#This Row],[Column1]]+Table2[[#This Row],[Column2]]</f>
        <v>0</v>
      </c>
      <c r="M108" s="42">
        <f>Table2[[#This Row],[OnHandQty]]-Table2[[#This Row],[Projection Nov/Dec]]</f>
        <v>1</v>
      </c>
      <c r="N108" s="35">
        <f>Table2[[#This Row],[OverStock]]*Table2[[#This Row],[RepCost]]</f>
        <v>190.0651</v>
      </c>
      <c r="O108" s="25">
        <v>45040.643055555556</v>
      </c>
      <c r="P108" s="26" t="s">
        <v>2868</v>
      </c>
    </row>
    <row r="109" spans="1:16" x14ac:dyDescent="0.25">
      <c r="A109" s="20" t="s">
        <v>5211</v>
      </c>
      <c r="B109" s="21">
        <v>714</v>
      </c>
      <c r="C109" s="22" t="s">
        <v>323</v>
      </c>
      <c r="D109" s="22" t="s">
        <v>3395</v>
      </c>
      <c r="E109" s="22" t="str">
        <f>CONCATENATE(B109,D109)</f>
        <v>71475943-416</v>
      </c>
      <c r="F109" s="27" t="s">
        <v>3396</v>
      </c>
      <c r="G109" s="27" t="s">
        <v>58</v>
      </c>
      <c r="H109" s="23">
        <v>151.66739999999999</v>
      </c>
      <c r="I109" s="24">
        <v>2</v>
      </c>
      <c r="J109" s="24">
        <v>0</v>
      </c>
      <c r="K109" s="24">
        <v>0</v>
      </c>
      <c r="L109" s="41">
        <f>Table2[[#This Row],[Column1]]+Table2[[#This Row],[Column2]]</f>
        <v>0</v>
      </c>
      <c r="M109" s="42">
        <f>Table2[[#This Row],[OnHandQty]]-Table2[[#This Row],[Projection Nov/Dec]]</f>
        <v>2</v>
      </c>
      <c r="N109" s="35">
        <f>Table2[[#This Row],[OverStock]]*Table2[[#This Row],[RepCost]]</f>
        <v>303.33479999999997</v>
      </c>
      <c r="O109" s="25">
        <v>44292.519444444442</v>
      </c>
      <c r="P109" s="26" t="s">
        <v>363</v>
      </c>
    </row>
    <row r="110" spans="1:16" x14ac:dyDescent="0.25">
      <c r="A110" s="20" t="s">
        <v>5211</v>
      </c>
      <c r="B110" s="21">
        <v>714</v>
      </c>
      <c r="C110" s="22" t="s">
        <v>323</v>
      </c>
      <c r="D110" s="22" t="s">
        <v>3229</v>
      </c>
      <c r="E110" s="22" t="str">
        <f>CONCATENATE(B110,D110)</f>
        <v>71475943-224</v>
      </c>
      <c r="F110" s="27" t="s">
        <v>3230</v>
      </c>
      <c r="G110" s="27" t="s">
        <v>58</v>
      </c>
      <c r="H110" s="23">
        <v>105.92449999999999</v>
      </c>
      <c r="I110" s="24">
        <v>2</v>
      </c>
      <c r="J110" s="24">
        <v>0</v>
      </c>
      <c r="K110" s="24">
        <v>0</v>
      </c>
      <c r="L110" s="41">
        <f>Table2[[#This Row],[Column1]]+Table2[[#This Row],[Column2]]</f>
        <v>0</v>
      </c>
      <c r="M110" s="42">
        <f>Table2[[#This Row],[OnHandQty]]-Table2[[#This Row],[Projection Nov/Dec]]</f>
        <v>2</v>
      </c>
      <c r="N110" s="35">
        <f>Table2[[#This Row],[OverStock]]*Table2[[#This Row],[RepCost]]</f>
        <v>211.84899999999999</v>
      </c>
      <c r="O110" s="25">
        <v>45370.393750000003</v>
      </c>
      <c r="P110" s="26" t="s">
        <v>2969</v>
      </c>
    </row>
    <row r="111" spans="1:16" x14ac:dyDescent="0.25">
      <c r="A111" s="20" t="s">
        <v>5211</v>
      </c>
      <c r="B111" s="21">
        <v>714</v>
      </c>
      <c r="C111" s="22" t="s">
        <v>323</v>
      </c>
      <c r="D111" s="22" t="s">
        <v>3067</v>
      </c>
      <c r="E111" s="22" t="str">
        <f>CONCATENATE(B111,D111)</f>
        <v>71475943-125</v>
      </c>
      <c r="F111" s="22" t="s">
        <v>3068</v>
      </c>
      <c r="G111" s="22" t="s">
        <v>23</v>
      </c>
      <c r="H111" s="23">
        <v>288.82690000000002</v>
      </c>
      <c r="I111" s="24">
        <v>5</v>
      </c>
      <c r="J111" s="24">
        <v>1</v>
      </c>
      <c r="K111" s="24">
        <v>0</v>
      </c>
      <c r="L111" s="41">
        <f>Table2[[#This Row],[Column1]]+Table2[[#This Row],[Column2]]</f>
        <v>1</v>
      </c>
      <c r="M111" s="42">
        <f>Table2[[#This Row],[OnHandQty]]-Table2[[#This Row],[Projection Nov/Dec]]</f>
        <v>4</v>
      </c>
      <c r="N111" s="35">
        <f>Table2[[#This Row],[OverStock]]*Table2[[#This Row],[RepCost]]</f>
        <v>1155.3076000000001</v>
      </c>
      <c r="O111" s="25">
        <v>45040.643055555556</v>
      </c>
      <c r="P111" s="26" t="s">
        <v>2868</v>
      </c>
    </row>
    <row r="112" spans="1:16" x14ac:dyDescent="0.25">
      <c r="A112" s="20" t="s">
        <v>5211</v>
      </c>
      <c r="B112" s="21">
        <v>714</v>
      </c>
      <c r="C112" s="22" t="s">
        <v>323</v>
      </c>
      <c r="D112" s="22" t="s">
        <v>2991</v>
      </c>
      <c r="E112" s="22" t="str">
        <f>CONCATENATE(B112,D112)</f>
        <v>71475943-230</v>
      </c>
      <c r="F112" s="22" t="s">
        <v>2992</v>
      </c>
      <c r="G112" s="22" t="s">
        <v>29</v>
      </c>
      <c r="H112" s="23">
        <v>129.3981</v>
      </c>
      <c r="I112" s="24">
        <v>3</v>
      </c>
      <c r="J112" s="24">
        <v>0</v>
      </c>
      <c r="K112" s="24">
        <v>0</v>
      </c>
      <c r="L112" s="41">
        <f>Table2[[#This Row],[Column1]]+Table2[[#This Row],[Column2]]</f>
        <v>0</v>
      </c>
      <c r="M112" s="42">
        <f>Table2[[#This Row],[OnHandQty]]-Table2[[#This Row],[Projection Nov/Dec]]</f>
        <v>3</v>
      </c>
      <c r="N112" s="35">
        <f>Table2[[#This Row],[OverStock]]*Table2[[#This Row],[RepCost]]</f>
        <v>388.1943</v>
      </c>
      <c r="O112" s="25">
        <v>45138.829861111109</v>
      </c>
      <c r="P112" s="26" t="s">
        <v>137</v>
      </c>
    </row>
    <row r="113" spans="1:16" x14ac:dyDescent="0.25">
      <c r="A113" s="20" t="s">
        <v>5211</v>
      </c>
      <c r="B113" s="21">
        <v>714</v>
      </c>
      <c r="C113" s="22" t="s">
        <v>323</v>
      </c>
      <c r="D113" s="22" t="s">
        <v>472</v>
      </c>
      <c r="E113" s="22" t="str">
        <f>CONCATENATE(B113,D113)</f>
        <v>71475943-236</v>
      </c>
      <c r="F113" s="22" t="s">
        <v>473</v>
      </c>
      <c r="G113" s="22" t="s">
        <v>29</v>
      </c>
      <c r="H113" s="23">
        <v>141.44319999999999</v>
      </c>
      <c r="I113" s="24">
        <v>2</v>
      </c>
      <c r="J113" s="24">
        <v>0</v>
      </c>
      <c r="K113" s="24">
        <v>0</v>
      </c>
      <c r="L113" s="41">
        <f>Table2[[#This Row],[Column1]]+Table2[[#This Row],[Column2]]</f>
        <v>0</v>
      </c>
      <c r="M113" s="42">
        <f>Table2[[#This Row],[OnHandQty]]-Table2[[#This Row],[Projection Nov/Dec]]</f>
        <v>2</v>
      </c>
      <c r="N113" s="35">
        <f>Table2[[#This Row],[OverStock]]*Table2[[#This Row],[RepCost]]</f>
        <v>282.88639999999998</v>
      </c>
      <c r="O113" s="25">
        <v>45370.397222222222</v>
      </c>
      <c r="P113" s="26" t="s">
        <v>363</v>
      </c>
    </row>
    <row r="114" spans="1:16" x14ac:dyDescent="0.25">
      <c r="A114" s="20" t="s">
        <v>5211</v>
      </c>
      <c r="B114" s="21">
        <v>634</v>
      </c>
      <c r="C114" s="22" t="s">
        <v>323</v>
      </c>
      <c r="D114" s="22" t="s">
        <v>472</v>
      </c>
      <c r="E114" s="22" t="str">
        <f>CONCATENATE(B114,D114)</f>
        <v>63475943-236</v>
      </c>
      <c r="F114" s="22" t="s">
        <v>473</v>
      </c>
      <c r="G114" s="22" t="s">
        <v>23</v>
      </c>
      <c r="H114" s="23">
        <v>184.28899999999999</v>
      </c>
      <c r="I114" s="24">
        <v>1</v>
      </c>
      <c r="J114" s="24">
        <v>0</v>
      </c>
      <c r="K114" s="24">
        <v>0</v>
      </c>
      <c r="L114" s="41">
        <f>Table2[[#This Row],[Column1]]+Table2[[#This Row],[Column2]]</f>
        <v>0</v>
      </c>
      <c r="M114" s="42">
        <f>Table2[[#This Row],[OnHandQty]]-Table2[[#This Row],[Projection Nov/Dec]]</f>
        <v>1</v>
      </c>
      <c r="N114" s="35">
        <f>Table2[[#This Row],[OverStock]]*Table2[[#This Row],[RepCost]]</f>
        <v>184.28899999999999</v>
      </c>
      <c r="O114" s="25">
        <v>46154.556944444441</v>
      </c>
      <c r="P114" s="26" t="s">
        <v>137</v>
      </c>
    </row>
    <row r="115" spans="1:16" x14ac:dyDescent="0.25">
      <c r="A115" s="20" t="s">
        <v>5211</v>
      </c>
      <c r="B115" s="21">
        <v>636</v>
      </c>
      <c r="C115" s="22" t="s">
        <v>323</v>
      </c>
      <c r="D115" s="22" t="s">
        <v>472</v>
      </c>
      <c r="E115" s="22" t="str">
        <f>CONCATENATE(B115,D115)</f>
        <v>63675943-236</v>
      </c>
      <c r="F115" s="22" t="s">
        <v>473</v>
      </c>
      <c r="G115" s="22" t="s">
        <v>19</v>
      </c>
      <c r="H115" s="23">
        <v>199.51320000000001</v>
      </c>
      <c r="I115" s="24">
        <v>1</v>
      </c>
      <c r="J115" s="24">
        <v>0</v>
      </c>
      <c r="K115" s="24">
        <v>0</v>
      </c>
      <c r="L115" s="41">
        <f>Table2[[#This Row],[Column1]]+Table2[[#This Row],[Column2]]</f>
        <v>0</v>
      </c>
      <c r="M115" s="42">
        <f>Table2[[#This Row],[OnHandQty]]-Table2[[#This Row],[Projection Nov/Dec]]</f>
        <v>1</v>
      </c>
      <c r="N115" s="35">
        <f>Table2[[#This Row],[OverStock]]*Table2[[#This Row],[RepCost]]</f>
        <v>199.51320000000001</v>
      </c>
      <c r="O115" s="25">
        <v>46170.59097222222</v>
      </c>
      <c r="P115" s="26" t="s">
        <v>137</v>
      </c>
    </row>
    <row r="116" spans="1:16" x14ac:dyDescent="0.25">
      <c r="A116" s="20" t="s">
        <v>5211</v>
      </c>
      <c r="B116" s="21">
        <v>714</v>
      </c>
      <c r="C116" s="22" t="s">
        <v>323</v>
      </c>
      <c r="D116" s="22" t="s">
        <v>3502</v>
      </c>
      <c r="E116" s="22" t="str">
        <f>CONCATENATE(B116,D116)</f>
        <v>71475943-248</v>
      </c>
      <c r="F116" s="27" t="s">
        <v>3503</v>
      </c>
      <c r="G116" s="27" t="s">
        <v>58</v>
      </c>
      <c r="H116" s="23">
        <v>224.49930000000001</v>
      </c>
      <c r="I116" s="24">
        <v>4</v>
      </c>
      <c r="J116" s="24">
        <v>0</v>
      </c>
      <c r="K116" s="24">
        <v>0</v>
      </c>
      <c r="L116" s="41">
        <f>Table2[[#This Row],[Column1]]+Table2[[#This Row],[Column2]]</f>
        <v>0</v>
      </c>
      <c r="M116" s="42">
        <f>Table2[[#This Row],[OnHandQty]]-Table2[[#This Row],[Projection Nov/Dec]]</f>
        <v>4</v>
      </c>
      <c r="N116" s="35">
        <f>Table2[[#This Row],[OverStock]]*Table2[[#This Row],[RepCost]]</f>
        <v>897.99720000000002</v>
      </c>
      <c r="O116" s="25">
        <v>45370.397222222222</v>
      </c>
      <c r="P116" s="26" t="s">
        <v>363</v>
      </c>
    </row>
    <row r="117" spans="1:16" x14ac:dyDescent="0.25">
      <c r="A117" s="20" t="s">
        <v>5211</v>
      </c>
      <c r="B117" s="21">
        <v>636</v>
      </c>
      <c r="C117" s="22" t="s">
        <v>323</v>
      </c>
      <c r="D117" s="22" t="s">
        <v>1717</v>
      </c>
      <c r="E117" s="22" t="str">
        <f>CONCATENATE(B117,D117)</f>
        <v>63675943-254</v>
      </c>
      <c r="F117" s="22" t="s">
        <v>1718</v>
      </c>
      <c r="G117" s="22" t="s">
        <v>19</v>
      </c>
      <c r="H117" s="23">
        <v>333.27249999999998</v>
      </c>
      <c r="I117" s="24">
        <v>2</v>
      </c>
      <c r="J117" s="24">
        <v>0</v>
      </c>
      <c r="K117" s="24">
        <v>0</v>
      </c>
      <c r="L117" s="41">
        <f>Table2[[#This Row],[Column1]]+Table2[[#This Row],[Column2]]</f>
        <v>0</v>
      </c>
      <c r="M117" s="42">
        <f>Table2[[#This Row],[OnHandQty]]-Table2[[#This Row],[Projection Nov/Dec]]</f>
        <v>2</v>
      </c>
      <c r="N117" s="35">
        <f>Table2[[#This Row],[OverStock]]*Table2[[#This Row],[RepCost]]</f>
        <v>666.54499999999996</v>
      </c>
      <c r="O117" s="25">
        <v>46100.392361111109</v>
      </c>
      <c r="P117" s="26" t="s">
        <v>137</v>
      </c>
    </row>
    <row r="118" spans="1:16" x14ac:dyDescent="0.25">
      <c r="A118" s="20" t="s">
        <v>5211</v>
      </c>
      <c r="B118" s="21">
        <v>714</v>
      </c>
      <c r="C118" s="22" t="s">
        <v>323</v>
      </c>
      <c r="D118" s="22" t="s">
        <v>3125</v>
      </c>
      <c r="E118" s="22" t="str">
        <f>CONCATENATE(B118,D118)</f>
        <v>71460267-230</v>
      </c>
      <c r="F118" s="22" t="s">
        <v>3126</v>
      </c>
      <c r="G118" s="22" t="s">
        <v>35</v>
      </c>
      <c r="H118" s="23">
        <v>124.1481</v>
      </c>
      <c r="I118" s="24">
        <v>2</v>
      </c>
      <c r="J118" s="24">
        <v>0</v>
      </c>
      <c r="K118" s="24">
        <v>0</v>
      </c>
      <c r="L118" s="41">
        <f>Table2[[#This Row],[Column1]]+Table2[[#This Row],[Column2]]</f>
        <v>0</v>
      </c>
      <c r="M118" s="42">
        <f>Table2[[#This Row],[OnHandQty]]-Table2[[#This Row],[Projection Nov/Dec]]</f>
        <v>2</v>
      </c>
      <c r="N118" s="35">
        <f>Table2[[#This Row],[OverStock]]*Table2[[#This Row],[RepCost]]</f>
        <v>248.2962</v>
      </c>
      <c r="O118" s="25">
        <v>45370.393750000003</v>
      </c>
      <c r="P118" s="26" t="s">
        <v>2969</v>
      </c>
    </row>
    <row r="119" spans="1:16" x14ac:dyDescent="0.25">
      <c r="A119" s="20" t="s">
        <v>5211</v>
      </c>
      <c r="B119" s="21">
        <v>714</v>
      </c>
      <c r="C119" s="22" t="s">
        <v>323</v>
      </c>
      <c r="D119" s="22" t="s">
        <v>3186</v>
      </c>
      <c r="E119" s="22" t="str">
        <f>CONCATENATE(B119,D119)</f>
        <v>71460267-105</v>
      </c>
      <c r="F119" s="22" t="s">
        <v>3187</v>
      </c>
      <c r="G119" s="22" t="s">
        <v>35</v>
      </c>
      <c r="H119" s="23">
        <v>100.85129999999999</v>
      </c>
      <c r="I119" s="24">
        <v>9</v>
      </c>
      <c r="J119" s="24">
        <v>0</v>
      </c>
      <c r="K119" s="24">
        <v>0</v>
      </c>
      <c r="L119" s="41">
        <f>Table2[[#This Row],[Column1]]+Table2[[#This Row],[Column2]]</f>
        <v>0</v>
      </c>
      <c r="M119" s="42">
        <f>Table2[[#This Row],[OnHandQty]]-Table2[[#This Row],[Projection Nov/Dec]]</f>
        <v>9</v>
      </c>
      <c r="N119" s="35">
        <f>Table2[[#This Row],[OverStock]]*Table2[[#This Row],[RepCost]]</f>
        <v>907.6617</v>
      </c>
      <c r="O119" s="25">
        <v>46112.315972222219</v>
      </c>
      <c r="P119" s="26" t="s">
        <v>36</v>
      </c>
    </row>
    <row r="120" spans="1:16" x14ac:dyDescent="0.25">
      <c r="A120" s="20" t="s">
        <v>5211</v>
      </c>
      <c r="B120" s="21">
        <v>714</v>
      </c>
      <c r="C120" s="22" t="s">
        <v>323</v>
      </c>
      <c r="D120" s="22" t="s">
        <v>3286</v>
      </c>
      <c r="E120" s="22" t="str">
        <f>CONCATENATE(B120,D120)</f>
        <v>71493117-305</v>
      </c>
      <c r="F120" s="27" t="s">
        <v>3287</v>
      </c>
      <c r="G120" s="27" t="s">
        <v>58</v>
      </c>
      <c r="H120" s="23">
        <v>248.01499999999999</v>
      </c>
      <c r="I120" s="24">
        <v>1</v>
      </c>
      <c r="J120" s="24">
        <v>0</v>
      </c>
      <c r="K120" s="24">
        <v>0</v>
      </c>
      <c r="L120" s="41">
        <f>Table2[[#This Row],[Column1]]+Table2[[#This Row],[Column2]]</f>
        <v>0</v>
      </c>
      <c r="M120" s="42">
        <f>Table2[[#This Row],[OnHandQty]]-Table2[[#This Row],[Projection Nov/Dec]]</f>
        <v>1</v>
      </c>
      <c r="N120" s="35">
        <f>Table2[[#This Row],[OverStock]]*Table2[[#This Row],[RepCost]]</f>
        <v>248.01499999999999</v>
      </c>
      <c r="O120" s="25">
        <v>45356.538194444445</v>
      </c>
      <c r="P120" s="26" t="s">
        <v>137</v>
      </c>
    </row>
    <row r="121" spans="1:16" x14ac:dyDescent="0.25">
      <c r="A121" s="20" t="s">
        <v>5211</v>
      </c>
      <c r="B121" s="21">
        <v>636</v>
      </c>
      <c r="C121" s="22" t="s">
        <v>323</v>
      </c>
      <c r="D121" s="22" t="s">
        <v>1488</v>
      </c>
      <c r="E121" s="22" t="str">
        <f>CONCATENATE(B121,D121)</f>
        <v>63675960-020</v>
      </c>
      <c r="F121" s="22" t="s">
        <v>1489</v>
      </c>
      <c r="G121" s="22" t="s">
        <v>29</v>
      </c>
      <c r="H121" s="23">
        <v>365.57229999999998</v>
      </c>
      <c r="I121" s="24">
        <v>1</v>
      </c>
      <c r="J121" s="24">
        <v>0</v>
      </c>
      <c r="K121" s="24">
        <v>0</v>
      </c>
      <c r="L121" s="41">
        <f>Table2[[#This Row],[Column1]]+Table2[[#This Row],[Column2]]</f>
        <v>0</v>
      </c>
      <c r="M121" s="42">
        <f>Table2[[#This Row],[OnHandQty]]-Table2[[#This Row],[Projection Nov/Dec]]</f>
        <v>1</v>
      </c>
      <c r="N121" s="35">
        <f>Table2[[#This Row],[OverStock]]*Table2[[#This Row],[RepCost]]</f>
        <v>365.57229999999998</v>
      </c>
      <c r="O121" s="25">
        <v>46169.423611111109</v>
      </c>
      <c r="P121" s="26" t="s">
        <v>890</v>
      </c>
    </row>
    <row r="122" spans="1:16" x14ac:dyDescent="0.25">
      <c r="A122" s="20" t="s">
        <v>5211</v>
      </c>
      <c r="B122" s="21">
        <v>718</v>
      </c>
      <c r="C122" s="22" t="s">
        <v>323</v>
      </c>
      <c r="D122" s="22" t="s">
        <v>3885</v>
      </c>
      <c r="E122" s="22" t="str">
        <f>CONCATENATE(B122,D122)</f>
        <v>71875962-125-48IN</v>
      </c>
      <c r="F122" s="22" t="s">
        <v>3886</v>
      </c>
      <c r="G122" s="22" t="s">
        <v>29</v>
      </c>
      <c r="H122" s="23">
        <v>156.8837</v>
      </c>
      <c r="I122" s="24">
        <v>2</v>
      </c>
      <c r="J122" s="24">
        <v>0</v>
      </c>
      <c r="K122" s="24">
        <v>0</v>
      </c>
      <c r="L122" s="41">
        <f>Table2[[#This Row],[Column1]]+Table2[[#This Row],[Column2]]</f>
        <v>0</v>
      </c>
      <c r="M122" s="42">
        <f>Table2[[#This Row],[OnHandQty]]-Table2[[#This Row],[Projection Nov/Dec]]</f>
        <v>2</v>
      </c>
      <c r="N122" s="35">
        <f>Table2[[#This Row],[OverStock]]*Table2[[#This Row],[RepCost]]</f>
        <v>313.76740000000001</v>
      </c>
      <c r="O122" s="25">
        <v>46147.688194444447</v>
      </c>
      <c r="P122" s="26" t="s">
        <v>2066</v>
      </c>
    </row>
    <row r="123" spans="1:16" x14ac:dyDescent="0.25">
      <c r="A123" s="20" t="s">
        <v>5211</v>
      </c>
      <c r="B123" s="21">
        <v>714</v>
      </c>
      <c r="C123" s="22" t="s">
        <v>323</v>
      </c>
      <c r="D123" s="22" t="s">
        <v>3474</v>
      </c>
      <c r="E123" s="22" t="str">
        <f>CONCATENATE(B123,D123)</f>
        <v>71460289-025</v>
      </c>
      <c r="F123" s="22" t="s">
        <v>3475</v>
      </c>
      <c r="G123" s="22" t="s">
        <v>23</v>
      </c>
      <c r="H123" s="23">
        <v>75</v>
      </c>
      <c r="I123" s="24">
        <v>4</v>
      </c>
      <c r="J123" s="24">
        <v>1</v>
      </c>
      <c r="K123" s="24">
        <v>0</v>
      </c>
      <c r="L123" s="41">
        <f>Table2[[#This Row],[Column1]]+Table2[[#This Row],[Column2]]</f>
        <v>1</v>
      </c>
      <c r="M123" s="42">
        <f>Table2[[#This Row],[OnHandQty]]-Table2[[#This Row],[Projection Nov/Dec]]</f>
        <v>3</v>
      </c>
      <c r="N123" s="35">
        <f>Table2[[#This Row],[OverStock]]*Table2[[#This Row],[RepCost]]</f>
        <v>225</v>
      </c>
      <c r="O123" s="25">
        <v>45953.361111111109</v>
      </c>
      <c r="P123" s="26" t="s">
        <v>1224</v>
      </c>
    </row>
    <row r="124" spans="1:16" x14ac:dyDescent="0.25">
      <c r="A124" s="20" t="s">
        <v>5211</v>
      </c>
      <c r="B124" s="21">
        <v>714</v>
      </c>
      <c r="C124" s="22" t="s">
        <v>323</v>
      </c>
      <c r="D124" s="22" t="s">
        <v>2970</v>
      </c>
      <c r="E124" s="22" t="str">
        <f>CONCATENATE(B124,D124)</f>
        <v>71475970-110</v>
      </c>
      <c r="F124" s="22" t="s">
        <v>2971</v>
      </c>
      <c r="G124" s="22" t="s">
        <v>29</v>
      </c>
      <c r="H124" s="23">
        <v>90.407600000000002</v>
      </c>
      <c r="I124" s="24">
        <v>2</v>
      </c>
      <c r="J124" s="24">
        <v>0</v>
      </c>
      <c r="K124" s="24">
        <v>0</v>
      </c>
      <c r="L124" s="41">
        <f>Table2[[#This Row],[Column1]]+Table2[[#This Row],[Column2]]</f>
        <v>0</v>
      </c>
      <c r="M124" s="42">
        <f>Table2[[#This Row],[OnHandQty]]-Table2[[#This Row],[Projection Nov/Dec]]</f>
        <v>2</v>
      </c>
      <c r="N124" s="35">
        <f>Table2[[#This Row],[OverStock]]*Table2[[#This Row],[RepCost]]</f>
        <v>180.8152</v>
      </c>
      <c r="O124" s="25">
        <v>45434.533333333333</v>
      </c>
      <c r="P124" s="26" t="s">
        <v>2972</v>
      </c>
    </row>
    <row r="125" spans="1:16" x14ac:dyDescent="0.25">
      <c r="A125" s="20" t="s">
        <v>5211</v>
      </c>
      <c r="B125" s="21">
        <v>636</v>
      </c>
      <c r="C125" s="22" t="s">
        <v>323</v>
      </c>
      <c r="D125" s="22" t="s">
        <v>1622</v>
      </c>
      <c r="E125" s="22" t="str">
        <f>CONCATENATE(B125,D125)</f>
        <v>63660314-115</v>
      </c>
      <c r="F125" s="22" t="s">
        <v>1623</v>
      </c>
      <c r="G125" s="22" t="s">
        <v>19</v>
      </c>
      <c r="H125" s="23">
        <v>155.916</v>
      </c>
      <c r="I125" s="24">
        <v>6</v>
      </c>
      <c r="J125" s="24">
        <v>0</v>
      </c>
      <c r="K125" s="24">
        <v>0</v>
      </c>
      <c r="L125" s="41">
        <f>Table2[[#This Row],[Column1]]+Table2[[#This Row],[Column2]]</f>
        <v>0</v>
      </c>
      <c r="M125" s="42">
        <f>Table2[[#This Row],[OnHandQty]]-Table2[[#This Row],[Projection Nov/Dec]]</f>
        <v>6</v>
      </c>
      <c r="N125" s="35">
        <f>Table2[[#This Row],[OverStock]]*Table2[[#This Row],[RepCost]]</f>
        <v>935.49599999999998</v>
      </c>
      <c r="O125" s="25">
        <v>46120.481944444444</v>
      </c>
      <c r="P125" s="26" t="s">
        <v>159</v>
      </c>
    </row>
    <row r="126" spans="1:16" x14ac:dyDescent="0.25">
      <c r="A126" s="20" t="s">
        <v>5211</v>
      </c>
      <c r="B126" s="21">
        <v>636</v>
      </c>
      <c r="C126" s="22" t="s">
        <v>323</v>
      </c>
      <c r="D126" s="22" t="s">
        <v>1552</v>
      </c>
      <c r="E126" s="22" t="str">
        <f>CONCATENATE(B126,D126)</f>
        <v>63660314-040</v>
      </c>
      <c r="F126" s="22" t="s">
        <v>1553</v>
      </c>
      <c r="G126" s="22" t="s">
        <v>29</v>
      </c>
      <c r="H126" s="23">
        <v>318.91680000000002</v>
      </c>
      <c r="I126" s="24">
        <v>4</v>
      </c>
      <c r="J126" s="24">
        <v>0</v>
      </c>
      <c r="K126" s="24">
        <v>0</v>
      </c>
      <c r="L126" s="41">
        <f>Table2[[#This Row],[Column1]]+Table2[[#This Row],[Column2]]</f>
        <v>0</v>
      </c>
      <c r="M126" s="42">
        <f>Table2[[#This Row],[OnHandQty]]-Table2[[#This Row],[Projection Nov/Dec]]</f>
        <v>4</v>
      </c>
      <c r="N126" s="35">
        <f>Table2[[#This Row],[OverStock]]*Table2[[#This Row],[RepCost]]</f>
        <v>1275.6672000000001</v>
      </c>
      <c r="O126" s="25">
        <v>46098.375694444447</v>
      </c>
      <c r="P126" s="26" t="s">
        <v>1229</v>
      </c>
    </row>
    <row r="127" spans="1:16" x14ac:dyDescent="0.25">
      <c r="A127" s="20" t="s">
        <v>5211</v>
      </c>
      <c r="B127" s="21">
        <v>636</v>
      </c>
      <c r="C127" s="22" t="s">
        <v>323</v>
      </c>
      <c r="D127" s="22" t="s">
        <v>1227</v>
      </c>
      <c r="E127" s="22" t="str">
        <f>CONCATENATE(B127,D127)</f>
        <v>63660314-050</v>
      </c>
      <c r="F127" s="22" t="s">
        <v>1228</v>
      </c>
      <c r="G127" s="22" t="s">
        <v>455</v>
      </c>
      <c r="H127" s="23">
        <v>558.46270000000004</v>
      </c>
      <c r="I127" s="24">
        <v>2</v>
      </c>
      <c r="J127" s="24">
        <v>0</v>
      </c>
      <c r="K127" s="24">
        <v>0</v>
      </c>
      <c r="L127" s="41">
        <f>Table2[[#This Row],[Column1]]+Table2[[#This Row],[Column2]]</f>
        <v>0</v>
      </c>
      <c r="M127" s="42">
        <f>Table2[[#This Row],[OnHandQty]]-Table2[[#This Row],[Projection Nov/Dec]]</f>
        <v>2</v>
      </c>
      <c r="N127" s="35">
        <f>Table2[[#This Row],[OverStock]]*Table2[[#This Row],[RepCost]]</f>
        <v>1116.9254000000001</v>
      </c>
      <c r="O127" s="25">
        <v>46072.503472222219</v>
      </c>
      <c r="P127" s="26" t="s">
        <v>1229</v>
      </c>
    </row>
    <row r="128" spans="1:16" x14ac:dyDescent="0.25">
      <c r="A128" s="20" t="s">
        <v>5211</v>
      </c>
      <c r="B128" s="21">
        <v>714</v>
      </c>
      <c r="C128" s="22" t="s">
        <v>323</v>
      </c>
      <c r="D128" s="22" t="s">
        <v>3035</v>
      </c>
      <c r="E128" s="22" t="str">
        <f>CONCATENATE(B128,D128)</f>
        <v>71460318-102</v>
      </c>
      <c r="F128" s="22" t="s">
        <v>3036</v>
      </c>
      <c r="G128" s="22" t="s">
        <v>29</v>
      </c>
      <c r="H128" s="23">
        <v>16.273</v>
      </c>
      <c r="I128" s="24">
        <v>320</v>
      </c>
      <c r="J128" s="24">
        <v>0</v>
      </c>
      <c r="K128" s="24">
        <v>0</v>
      </c>
      <c r="L128" s="41">
        <f>Table2[[#This Row],[Column1]]+Table2[[#This Row],[Column2]]</f>
        <v>0</v>
      </c>
      <c r="M128" s="42">
        <f>Table2[[#This Row],[OnHandQty]]-Table2[[#This Row],[Projection Nov/Dec]]</f>
        <v>320</v>
      </c>
      <c r="N128" s="35">
        <f>Table2[[#This Row],[OverStock]]*Table2[[#This Row],[RepCost]]</f>
        <v>5207.3599999999997</v>
      </c>
      <c r="O128" s="25">
        <v>46149.571527777778</v>
      </c>
      <c r="P128" s="26" t="s">
        <v>2930</v>
      </c>
    </row>
    <row r="129" spans="1:16" x14ac:dyDescent="0.25">
      <c r="A129" s="20" t="s">
        <v>5211</v>
      </c>
      <c r="B129" s="21">
        <v>636</v>
      </c>
      <c r="C129" s="22" t="s">
        <v>323</v>
      </c>
      <c r="D129" s="22" t="s">
        <v>1427</v>
      </c>
      <c r="E129" s="22" t="str">
        <f>CONCATENATE(B129,D129)</f>
        <v>63660310-020</v>
      </c>
      <c r="F129" s="22" t="s">
        <v>1428</v>
      </c>
      <c r="G129" s="22" t="s">
        <v>23</v>
      </c>
      <c r="H129" s="23">
        <v>152.35679999999999</v>
      </c>
      <c r="I129" s="24">
        <v>16</v>
      </c>
      <c r="J129" s="24">
        <v>6</v>
      </c>
      <c r="K129" s="24">
        <v>0</v>
      </c>
      <c r="L129" s="41">
        <f>Table2[[#This Row],[Column1]]+Table2[[#This Row],[Column2]]</f>
        <v>6</v>
      </c>
      <c r="M129" s="42">
        <f>Table2[[#This Row],[OnHandQty]]-Table2[[#This Row],[Projection Nov/Dec]]</f>
        <v>10</v>
      </c>
      <c r="N129" s="35">
        <f>Table2[[#This Row],[OverStock]]*Table2[[#This Row],[RepCost]]</f>
        <v>1523.568</v>
      </c>
      <c r="O129" s="25">
        <v>46157.602083333331</v>
      </c>
      <c r="P129" s="26" t="s">
        <v>1224</v>
      </c>
    </row>
    <row r="130" spans="1:16" x14ac:dyDescent="0.25">
      <c r="A130" s="20" t="s">
        <v>5211</v>
      </c>
      <c r="B130" s="21">
        <v>636</v>
      </c>
      <c r="C130" s="22" t="s">
        <v>323</v>
      </c>
      <c r="D130" s="22" t="s">
        <v>1361</v>
      </c>
      <c r="E130" s="22" t="str">
        <f>CONCATENATE(B130,D130)</f>
        <v>63660310-025</v>
      </c>
      <c r="F130" s="22" t="s">
        <v>1362</v>
      </c>
      <c r="G130" s="22" t="s">
        <v>158</v>
      </c>
      <c r="H130" s="23">
        <v>184.61340000000001</v>
      </c>
      <c r="I130" s="24">
        <v>49</v>
      </c>
      <c r="J130" s="24">
        <v>0</v>
      </c>
      <c r="K130" s="24">
        <v>5</v>
      </c>
      <c r="L130" s="41">
        <f>Table2[[#This Row],[Column1]]+Table2[[#This Row],[Column2]]</f>
        <v>5</v>
      </c>
      <c r="M130" s="42">
        <f>Table2[[#This Row],[OnHandQty]]-Table2[[#This Row],[Projection Nov/Dec]]</f>
        <v>44</v>
      </c>
      <c r="N130" s="35">
        <f>Table2[[#This Row],[OverStock]]*Table2[[#This Row],[RepCost]]</f>
        <v>8122.9896000000008</v>
      </c>
      <c r="O130" s="25">
        <v>46157.602083333331</v>
      </c>
      <c r="P130" s="26" t="s">
        <v>1224</v>
      </c>
    </row>
    <row r="131" spans="1:16" x14ac:dyDescent="0.25">
      <c r="A131" s="20" t="s">
        <v>5211</v>
      </c>
      <c r="B131" s="21">
        <v>636</v>
      </c>
      <c r="C131" s="22" t="s">
        <v>323</v>
      </c>
      <c r="D131" s="22" t="s">
        <v>1332</v>
      </c>
      <c r="E131" s="22" t="str">
        <f>CONCATENATE(B131,D131)</f>
        <v>63660310-040</v>
      </c>
      <c r="F131" s="22" t="s">
        <v>1333</v>
      </c>
      <c r="G131" s="22" t="s">
        <v>19</v>
      </c>
      <c r="H131" s="23">
        <v>421.26440000000002</v>
      </c>
      <c r="I131" s="24">
        <v>5</v>
      </c>
      <c r="J131" s="24">
        <v>4</v>
      </c>
      <c r="K131" s="24">
        <v>0</v>
      </c>
      <c r="L131" s="41">
        <f>Table2[[#This Row],[Column1]]+Table2[[#This Row],[Column2]]</f>
        <v>4</v>
      </c>
      <c r="M131" s="42">
        <f>Table2[[#This Row],[OnHandQty]]-Table2[[#This Row],[Projection Nov/Dec]]</f>
        <v>1</v>
      </c>
      <c r="N131" s="35">
        <f>Table2[[#This Row],[OverStock]]*Table2[[#This Row],[RepCost]]</f>
        <v>421.26440000000002</v>
      </c>
      <c r="O131" s="25">
        <v>46127.468055555553</v>
      </c>
      <c r="P131" s="26" t="s">
        <v>1224</v>
      </c>
    </row>
    <row r="132" spans="1:16" x14ac:dyDescent="0.25">
      <c r="A132" s="20" t="s">
        <v>5211</v>
      </c>
      <c r="B132" s="21">
        <v>636</v>
      </c>
      <c r="C132" s="22" t="s">
        <v>323</v>
      </c>
      <c r="D132" s="22" t="s">
        <v>1515</v>
      </c>
      <c r="E132" s="22" t="str">
        <f>CONCATENATE(B132,D132)</f>
        <v>63660310-MS310</v>
      </c>
      <c r="F132" s="22" t="s">
        <v>1516</v>
      </c>
      <c r="G132" s="22" t="s">
        <v>29</v>
      </c>
      <c r="H132" s="23">
        <v>215.059</v>
      </c>
      <c r="I132" s="24">
        <v>3</v>
      </c>
      <c r="J132" s="24">
        <v>0</v>
      </c>
      <c r="K132" s="24">
        <v>0</v>
      </c>
      <c r="L132" s="41">
        <f>Table2[[#This Row],[Column1]]+Table2[[#This Row],[Column2]]</f>
        <v>0</v>
      </c>
      <c r="M132" s="42">
        <f>Table2[[#This Row],[OnHandQty]]-Table2[[#This Row],[Projection Nov/Dec]]</f>
        <v>3</v>
      </c>
      <c r="N132" s="35">
        <f>Table2[[#This Row],[OverStock]]*Table2[[#This Row],[RepCost]]</f>
        <v>645.17700000000002</v>
      </c>
      <c r="O132" s="25">
        <v>46127.468055555553</v>
      </c>
      <c r="P132" s="26" t="s">
        <v>1224</v>
      </c>
    </row>
    <row r="133" spans="1:16" x14ac:dyDescent="0.25">
      <c r="A133" s="20" t="s">
        <v>5211</v>
      </c>
      <c r="B133" s="21">
        <v>714</v>
      </c>
      <c r="C133" s="22" t="s">
        <v>323</v>
      </c>
      <c r="D133" s="22" t="s">
        <v>3045</v>
      </c>
      <c r="E133" s="22" t="str">
        <f>CONCATENATE(B133,D133)</f>
        <v>71479773-030</v>
      </c>
      <c r="F133" s="22" t="s">
        <v>3046</v>
      </c>
      <c r="G133" s="22" t="s">
        <v>19</v>
      </c>
      <c r="H133" s="23">
        <v>266.6694</v>
      </c>
      <c r="I133" s="24">
        <v>3</v>
      </c>
      <c r="J133" s="24">
        <v>0</v>
      </c>
      <c r="K133" s="24">
        <v>0</v>
      </c>
      <c r="L133" s="41">
        <f>Table2[[#This Row],[Column1]]+Table2[[#This Row],[Column2]]</f>
        <v>0</v>
      </c>
      <c r="M133" s="42">
        <f>Table2[[#This Row],[OnHandQty]]-Table2[[#This Row],[Projection Nov/Dec]]</f>
        <v>3</v>
      </c>
      <c r="N133" s="35">
        <f>Table2[[#This Row],[OverStock]]*Table2[[#This Row],[RepCost]]</f>
        <v>800.00819999999999</v>
      </c>
      <c r="O133" s="25">
        <v>46141.705555555556</v>
      </c>
      <c r="P133" s="26" t="s">
        <v>1224</v>
      </c>
    </row>
    <row r="134" spans="1:16" x14ac:dyDescent="0.25">
      <c r="A134" s="20" t="s">
        <v>5211</v>
      </c>
      <c r="B134" s="21">
        <v>636</v>
      </c>
      <c r="C134" s="22" t="s">
        <v>323</v>
      </c>
      <c r="D134" s="22" t="s">
        <v>1241</v>
      </c>
      <c r="E134" s="22" t="str">
        <f>CONCATENATE(B134,D134)</f>
        <v>63675976-025</v>
      </c>
      <c r="F134" s="22" t="s">
        <v>1242</v>
      </c>
      <c r="G134" s="22" t="s">
        <v>29</v>
      </c>
      <c r="H134" s="23">
        <v>197.85429999999999</v>
      </c>
      <c r="I134" s="24">
        <v>10</v>
      </c>
      <c r="J134" s="24">
        <v>0</v>
      </c>
      <c r="K134" s="24">
        <v>0</v>
      </c>
      <c r="L134" s="41">
        <f>Table2[[#This Row],[Column1]]+Table2[[#This Row],[Column2]]</f>
        <v>0</v>
      </c>
      <c r="M134" s="42">
        <f>Table2[[#This Row],[OnHandQty]]-Table2[[#This Row],[Projection Nov/Dec]]</f>
        <v>10</v>
      </c>
      <c r="N134" s="35">
        <f>Table2[[#This Row],[OverStock]]*Table2[[#This Row],[RepCost]]</f>
        <v>1978.5429999999999</v>
      </c>
      <c r="O134" s="25">
        <v>46127.468055555553</v>
      </c>
      <c r="P134" s="26" t="s">
        <v>1224</v>
      </c>
    </row>
    <row r="135" spans="1:16" x14ac:dyDescent="0.25">
      <c r="A135" s="20" t="s">
        <v>5211</v>
      </c>
      <c r="B135" s="21">
        <v>636</v>
      </c>
      <c r="C135" s="22" t="s">
        <v>323</v>
      </c>
      <c r="D135" s="22" t="s">
        <v>1423</v>
      </c>
      <c r="E135" s="22" t="str">
        <f>CONCATENATE(B135,D135)</f>
        <v>63675976-040</v>
      </c>
      <c r="F135" s="22" t="s">
        <v>1424</v>
      </c>
      <c r="G135" s="22" t="s">
        <v>29</v>
      </c>
      <c r="H135" s="23">
        <v>427.94119999999998</v>
      </c>
      <c r="I135" s="24">
        <v>3</v>
      </c>
      <c r="J135" s="24">
        <v>0</v>
      </c>
      <c r="K135" s="24">
        <v>0</v>
      </c>
      <c r="L135" s="41">
        <f>Table2[[#This Row],[Column1]]+Table2[[#This Row],[Column2]]</f>
        <v>0</v>
      </c>
      <c r="M135" s="42">
        <f>Table2[[#This Row],[OnHandQty]]-Table2[[#This Row],[Projection Nov/Dec]]</f>
        <v>3</v>
      </c>
      <c r="N135" s="35">
        <f>Table2[[#This Row],[OverStock]]*Table2[[#This Row],[RepCost]]</f>
        <v>1283.8235999999999</v>
      </c>
      <c r="O135" s="25">
        <v>46157.602083333331</v>
      </c>
      <c r="P135" s="26" t="s">
        <v>1224</v>
      </c>
    </row>
    <row r="136" spans="1:16" x14ac:dyDescent="0.25">
      <c r="A136" s="20" t="s">
        <v>5211</v>
      </c>
      <c r="B136" s="21">
        <v>714</v>
      </c>
      <c r="C136" s="22" t="s">
        <v>323</v>
      </c>
      <c r="D136" s="22" t="s">
        <v>2924</v>
      </c>
      <c r="E136" s="22" t="str">
        <f>CONCATENATE(B136,D136)</f>
        <v>71483117-025</v>
      </c>
      <c r="F136" s="22" t="s">
        <v>2925</v>
      </c>
      <c r="G136" s="22" t="s">
        <v>29</v>
      </c>
      <c r="H136" s="23">
        <v>187.67240000000001</v>
      </c>
      <c r="I136" s="24">
        <v>5</v>
      </c>
      <c r="J136" s="24">
        <v>0</v>
      </c>
      <c r="K136" s="24">
        <v>0</v>
      </c>
      <c r="L136" s="41">
        <f>Table2[[#This Row],[Column1]]+Table2[[#This Row],[Column2]]</f>
        <v>0</v>
      </c>
      <c r="M136" s="42">
        <f>Table2[[#This Row],[OnHandQty]]-Table2[[#This Row],[Projection Nov/Dec]]</f>
        <v>5</v>
      </c>
      <c r="N136" s="35">
        <f>Table2[[#This Row],[OverStock]]*Table2[[#This Row],[RepCost]]</f>
        <v>938.36200000000008</v>
      </c>
      <c r="O136" s="25">
        <v>46127.478472222225</v>
      </c>
      <c r="P136" s="26" t="s">
        <v>1224</v>
      </c>
    </row>
    <row r="137" spans="1:16" x14ac:dyDescent="0.25">
      <c r="A137" s="20" t="s">
        <v>5211</v>
      </c>
      <c r="B137" s="21">
        <v>636</v>
      </c>
      <c r="C137" s="22" t="s">
        <v>323</v>
      </c>
      <c r="D137" s="22" t="s">
        <v>1462</v>
      </c>
      <c r="E137" s="22" t="str">
        <f>CONCATENATE(B137,D137)</f>
        <v>63683117-030</v>
      </c>
      <c r="F137" s="22" t="s">
        <v>1463</v>
      </c>
      <c r="G137" s="22" t="s">
        <v>19</v>
      </c>
      <c r="H137" s="23">
        <v>323.39409999999998</v>
      </c>
      <c r="I137" s="24">
        <v>6</v>
      </c>
      <c r="J137" s="24">
        <v>0</v>
      </c>
      <c r="K137" s="24">
        <v>0</v>
      </c>
      <c r="L137" s="41">
        <f>Table2[[#This Row],[Column1]]+Table2[[#This Row],[Column2]]</f>
        <v>0</v>
      </c>
      <c r="M137" s="42">
        <f>Table2[[#This Row],[OnHandQty]]-Table2[[#This Row],[Projection Nov/Dec]]</f>
        <v>6</v>
      </c>
      <c r="N137" s="35">
        <f>Table2[[#This Row],[OverStock]]*Table2[[#This Row],[RepCost]]</f>
        <v>1940.3645999999999</v>
      </c>
      <c r="O137" s="25">
        <v>46072.503472222219</v>
      </c>
      <c r="P137" s="26" t="s">
        <v>1229</v>
      </c>
    </row>
    <row r="138" spans="1:16" x14ac:dyDescent="0.25">
      <c r="A138" s="20" t="s">
        <v>5211</v>
      </c>
      <c r="B138" s="21">
        <v>636</v>
      </c>
      <c r="C138" s="22" t="s">
        <v>323</v>
      </c>
      <c r="D138" s="22" t="s">
        <v>1650</v>
      </c>
      <c r="E138" s="22" t="str">
        <f>CONCATENATE(B138,D138)</f>
        <v>63660337-115</v>
      </c>
      <c r="F138" s="27" t="s">
        <v>1651</v>
      </c>
      <c r="G138" s="27" t="s">
        <v>58</v>
      </c>
      <c r="H138" s="23">
        <v>101.9098</v>
      </c>
      <c r="I138" s="24">
        <v>2</v>
      </c>
      <c r="J138" s="24">
        <v>0</v>
      </c>
      <c r="K138" s="24">
        <v>0</v>
      </c>
      <c r="L138" s="41">
        <f>Table2[[#This Row],[Column1]]+Table2[[#This Row],[Column2]]</f>
        <v>0</v>
      </c>
      <c r="M138" s="42">
        <f>Table2[[#This Row],[OnHandQty]]-Table2[[#This Row],[Projection Nov/Dec]]</f>
        <v>2</v>
      </c>
      <c r="N138" s="35">
        <f>Table2[[#This Row],[OverStock]]*Table2[[#This Row],[RepCost]]</f>
        <v>203.81960000000001</v>
      </c>
      <c r="O138" s="25">
        <v>45582.601388888892</v>
      </c>
      <c r="P138" s="26" t="s">
        <v>40</v>
      </c>
    </row>
    <row r="139" spans="1:16" x14ac:dyDescent="0.25">
      <c r="A139" s="20" t="s">
        <v>5211</v>
      </c>
      <c r="B139" s="21">
        <v>634</v>
      </c>
      <c r="C139" s="22" t="s">
        <v>323</v>
      </c>
      <c r="D139" s="22" t="s">
        <v>416</v>
      </c>
      <c r="E139" s="22" t="str">
        <f>CONCATENATE(B139,D139)</f>
        <v>63460337-020</v>
      </c>
      <c r="F139" s="22" t="s">
        <v>417</v>
      </c>
      <c r="G139" s="22" t="s">
        <v>29</v>
      </c>
      <c r="H139" s="23">
        <v>140.50880000000001</v>
      </c>
      <c r="I139" s="24">
        <v>10</v>
      </c>
      <c r="J139" s="24">
        <v>1</v>
      </c>
      <c r="K139" s="24">
        <v>0</v>
      </c>
      <c r="L139" s="41">
        <f>Table2[[#This Row],[Column1]]+Table2[[#This Row],[Column2]]</f>
        <v>1</v>
      </c>
      <c r="M139" s="42">
        <f>Table2[[#This Row],[OnHandQty]]-Table2[[#This Row],[Projection Nov/Dec]]</f>
        <v>9</v>
      </c>
      <c r="N139" s="35">
        <f>Table2[[#This Row],[OverStock]]*Table2[[#This Row],[RepCost]]</f>
        <v>1264.5792000000001</v>
      </c>
      <c r="O139" s="25">
        <v>46083.431250000001</v>
      </c>
      <c r="P139" s="26" t="s">
        <v>151</v>
      </c>
    </row>
    <row r="140" spans="1:16" x14ac:dyDescent="0.25">
      <c r="A140" s="20" t="s">
        <v>5211</v>
      </c>
      <c r="B140" s="21">
        <v>636</v>
      </c>
      <c r="C140" s="22" t="s">
        <v>323</v>
      </c>
      <c r="D140" s="22" t="s">
        <v>416</v>
      </c>
      <c r="E140" s="22" t="str">
        <f>CONCATENATE(B140,D140)</f>
        <v>63660337-020</v>
      </c>
      <c r="F140" s="22" t="s">
        <v>417</v>
      </c>
      <c r="G140" s="22" t="s">
        <v>23</v>
      </c>
      <c r="H140" s="23">
        <v>146.96950000000001</v>
      </c>
      <c r="I140" s="24">
        <v>26</v>
      </c>
      <c r="J140" s="24">
        <v>1</v>
      </c>
      <c r="K140" s="24">
        <v>0</v>
      </c>
      <c r="L140" s="41">
        <f>Table2[[#This Row],[Column1]]+Table2[[#This Row],[Column2]]</f>
        <v>1</v>
      </c>
      <c r="M140" s="42">
        <f>Table2[[#This Row],[OnHandQty]]-Table2[[#This Row],[Projection Nov/Dec]]</f>
        <v>25</v>
      </c>
      <c r="N140" s="35">
        <f>Table2[[#This Row],[OverStock]]*Table2[[#This Row],[RepCost]]</f>
        <v>3674.2375000000002</v>
      </c>
      <c r="O140" s="25">
        <v>46085.617361111108</v>
      </c>
      <c r="P140" s="26" t="s">
        <v>159</v>
      </c>
    </row>
    <row r="141" spans="1:16" x14ac:dyDescent="0.25">
      <c r="A141" s="20" t="s">
        <v>5211</v>
      </c>
      <c r="B141" s="21">
        <v>714</v>
      </c>
      <c r="C141" s="22" t="s">
        <v>323</v>
      </c>
      <c r="D141" s="22" t="s">
        <v>3188</v>
      </c>
      <c r="E141" s="22" t="str">
        <f>CONCATENATE(B141,D141)</f>
        <v>71460337-025</v>
      </c>
      <c r="F141" s="22" t="s">
        <v>3189</v>
      </c>
      <c r="G141" s="22" t="s">
        <v>23</v>
      </c>
      <c r="H141" s="23">
        <v>188.70060000000001</v>
      </c>
      <c r="I141" s="24">
        <v>23</v>
      </c>
      <c r="J141" s="24">
        <v>0</v>
      </c>
      <c r="K141" s="24">
        <v>2</v>
      </c>
      <c r="L141" s="41">
        <f>Table2[[#This Row],[Column1]]+Table2[[#This Row],[Column2]]</f>
        <v>2</v>
      </c>
      <c r="M141" s="42">
        <f>Table2[[#This Row],[OnHandQty]]-Table2[[#This Row],[Projection Nov/Dec]]</f>
        <v>21</v>
      </c>
      <c r="N141" s="35">
        <f>Table2[[#This Row],[OverStock]]*Table2[[#This Row],[RepCost]]</f>
        <v>3962.7126000000003</v>
      </c>
      <c r="O141" s="25">
        <v>46127.478472222225</v>
      </c>
      <c r="P141" s="26" t="s">
        <v>1224</v>
      </c>
    </row>
    <row r="142" spans="1:16" x14ac:dyDescent="0.25">
      <c r="A142" s="20" t="s">
        <v>5211</v>
      </c>
      <c r="B142" s="21">
        <v>634</v>
      </c>
      <c r="C142" s="22" t="s">
        <v>323</v>
      </c>
      <c r="D142" s="22" t="s">
        <v>424</v>
      </c>
      <c r="E142" s="22" t="str">
        <f>CONCATENATE(B142,D142)</f>
        <v>63460337-030</v>
      </c>
      <c r="F142" s="22" t="s">
        <v>425</v>
      </c>
      <c r="G142" s="22" t="s">
        <v>29</v>
      </c>
      <c r="H142" s="23">
        <v>305.96179999999998</v>
      </c>
      <c r="I142" s="24">
        <v>4</v>
      </c>
      <c r="J142" s="24">
        <v>0</v>
      </c>
      <c r="K142" s="24">
        <v>0</v>
      </c>
      <c r="L142" s="41">
        <f>Table2[[#This Row],[Column1]]+Table2[[#This Row],[Column2]]</f>
        <v>0</v>
      </c>
      <c r="M142" s="42">
        <f>Table2[[#This Row],[OnHandQty]]-Table2[[#This Row],[Projection Nov/Dec]]</f>
        <v>4</v>
      </c>
      <c r="N142" s="35">
        <f>Table2[[#This Row],[OverStock]]*Table2[[#This Row],[RepCost]]</f>
        <v>1223.8471999999999</v>
      </c>
      <c r="O142" s="25">
        <v>46080.504166666666</v>
      </c>
      <c r="P142" s="26" t="s">
        <v>151</v>
      </c>
    </row>
    <row r="143" spans="1:16" x14ac:dyDescent="0.25">
      <c r="A143" s="20" t="s">
        <v>5211</v>
      </c>
      <c r="B143" s="21">
        <v>636</v>
      </c>
      <c r="C143" s="22" t="s">
        <v>323</v>
      </c>
      <c r="D143" s="22" t="s">
        <v>1222</v>
      </c>
      <c r="E143" s="22" t="str">
        <f>CONCATENATE(B143,D143)</f>
        <v>63660337-040</v>
      </c>
      <c r="F143" s="22" t="s">
        <v>1223</v>
      </c>
      <c r="G143" s="22" t="s">
        <v>19</v>
      </c>
      <c r="H143" s="23">
        <v>420.08190000000002</v>
      </c>
      <c r="I143" s="24">
        <v>6</v>
      </c>
      <c r="J143" s="24">
        <v>0</v>
      </c>
      <c r="K143" s="24">
        <v>0</v>
      </c>
      <c r="L143" s="41">
        <f>Table2[[#This Row],[Column1]]+Table2[[#This Row],[Column2]]</f>
        <v>0</v>
      </c>
      <c r="M143" s="42">
        <f>Table2[[#This Row],[OnHandQty]]-Table2[[#This Row],[Projection Nov/Dec]]</f>
        <v>6</v>
      </c>
      <c r="N143" s="35">
        <f>Table2[[#This Row],[OverStock]]*Table2[[#This Row],[RepCost]]</f>
        <v>2520.4913999999999</v>
      </c>
      <c r="O143" s="25">
        <v>46127.468055555553</v>
      </c>
      <c r="P143" s="26" t="s">
        <v>1224</v>
      </c>
    </row>
    <row r="144" spans="1:16" x14ac:dyDescent="0.25">
      <c r="A144" s="20" t="s">
        <v>5211</v>
      </c>
      <c r="B144" s="21">
        <v>636</v>
      </c>
      <c r="C144" s="22" t="s">
        <v>323</v>
      </c>
      <c r="D144" s="22" t="s">
        <v>1616</v>
      </c>
      <c r="E144" s="22" t="str">
        <f>CONCATENATE(B144,D144)</f>
        <v>63660337-050</v>
      </c>
      <c r="F144" s="22" t="s">
        <v>1617</v>
      </c>
      <c r="G144" s="22" t="s">
        <v>29</v>
      </c>
      <c r="H144" s="23">
        <v>522.79240000000004</v>
      </c>
      <c r="I144" s="24">
        <v>3</v>
      </c>
      <c r="J144" s="24">
        <v>0</v>
      </c>
      <c r="K144" s="24">
        <v>0</v>
      </c>
      <c r="L144" s="41">
        <f>Table2[[#This Row],[Column1]]+Table2[[#This Row],[Column2]]</f>
        <v>0</v>
      </c>
      <c r="M144" s="42">
        <f>Table2[[#This Row],[OnHandQty]]-Table2[[#This Row],[Projection Nov/Dec]]</f>
        <v>3</v>
      </c>
      <c r="N144" s="35">
        <f>Table2[[#This Row],[OverStock]]*Table2[[#This Row],[RepCost]]</f>
        <v>1568.3772000000001</v>
      </c>
      <c r="O144" s="25">
        <v>46127.309027777781</v>
      </c>
      <c r="P144" s="26" t="s">
        <v>1224</v>
      </c>
    </row>
    <row r="145" spans="1:16" x14ac:dyDescent="0.25">
      <c r="A145" s="20" t="s">
        <v>5211</v>
      </c>
      <c r="B145" s="21">
        <v>634</v>
      </c>
      <c r="C145" s="22" t="s">
        <v>323</v>
      </c>
      <c r="D145" s="22" t="s">
        <v>426</v>
      </c>
      <c r="E145" s="22" t="str">
        <f>CONCATENATE(B145,D145)</f>
        <v>63460338-025</v>
      </c>
      <c r="F145" s="22" t="s">
        <v>427</v>
      </c>
      <c r="G145" s="22" t="s">
        <v>19</v>
      </c>
      <c r="H145" s="23">
        <v>214.58690000000001</v>
      </c>
      <c r="I145" s="24">
        <v>1</v>
      </c>
      <c r="J145" s="24">
        <v>0</v>
      </c>
      <c r="K145" s="24">
        <v>0</v>
      </c>
      <c r="L145" s="41">
        <f>Table2[[#This Row],[Column1]]+Table2[[#This Row],[Column2]]</f>
        <v>0</v>
      </c>
      <c r="M145" s="42">
        <f>Table2[[#This Row],[OnHandQty]]-Table2[[#This Row],[Projection Nov/Dec]]</f>
        <v>1</v>
      </c>
      <c r="N145" s="35">
        <f>Table2[[#This Row],[OverStock]]*Table2[[#This Row],[RepCost]]</f>
        <v>214.58690000000001</v>
      </c>
      <c r="O145" s="25">
        <v>45712.435416666667</v>
      </c>
      <c r="P145" s="26" t="s">
        <v>159</v>
      </c>
    </row>
    <row r="146" spans="1:16" x14ac:dyDescent="0.25">
      <c r="A146" s="20" t="s">
        <v>5211</v>
      </c>
      <c r="B146" s="21">
        <v>636</v>
      </c>
      <c r="C146" s="22" t="s">
        <v>323</v>
      </c>
      <c r="D146" s="22" t="s">
        <v>426</v>
      </c>
      <c r="E146" s="22" t="str">
        <f>CONCATENATE(B146,D146)</f>
        <v>63660338-025</v>
      </c>
      <c r="F146" s="27" t="s">
        <v>427</v>
      </c>
      <c r="G146" s="27" t="s">
        <v>58</v>
      </c>
      <c r="H146" s="23">
        <v>218.0103</v>
      </c>
      <c r="I146" s="24">
        <v>8</v>
      </c>
      <c r="J146" s="24">
        <v>0</v>
      </c>
      <c r="K146" s="24">
        <v>0</v>
      </c>
      <c r="L146" s="41">
        <f>Table2[[#This Row],[Column1]]+Table2[[#This Row],[Column2]]</f>
        <v>0</v>
      </c>
      <c r="M146" s="42">
        <f>Table2[[#This Row],[OnHandQty]]-Table2[[#This Row],[Projection Nov/Dec]]</f>
        <v>8</v>
      </c>
      <c r="N146" s="35">
        <f>Table2[[#This Row],[OverStock]]*Table2[[#This Row],[RepCost]]</f>
        <v>1744.0824</v>
      </c>
      <c r="O146" s="25">
        <v>46072.395138888889</v>
      </c>
      <c r="P146" s="26" t="s">
        <v>159</v>
      </c>
    </row>
    <row r="147" spans="1:16" x14ac:dyDescent="0.25">
      <c r="A147" s="20" t="s">
        <v>5211</v>
      </c>
      <c r="B147" s="21">
        <v>714</v>
      </c>
      <c r="C147" s="22" t="s">
        <v>323</v>
      </c>
      <c r="D147" s="22" t="s">
        <v>3123</v>
      </c>
      <c r="E147" s="22" t="str">
        <f>CONCATENATE(B147,D147)</f>
        <v>71475978-305</v>
      </c>
      <c r="F147" s="22" t="s">
        <v>3124</v>
      </c>
      <c r="G147" s="22" t="s">
        <v>35</v>
      </c>
      <c r="H147" s="23">
        <v>120.7312</v>
      </c>
      <c r="I147" s="24">
        <v>1</v>
      </c>
      <c r="J147" s="24">
        <v>0</v>
      </c>
      <c r="K147" s="24">
        <v>0</v>
      </c>
      <c r="L147" s="41">
        <f>Table2[[#This Row],[Column1]]+Table2[[#This Row],[Column2]]</f>
        <v>0</v>
      </c>
      <c r="M147" s="42">
        <f>Table2[[#This Row],[OnHandQty]]-Table2[[#This Row],[Projection Nov/Dec]]</f>
        <v>1</v>
      </c>
      <c r="N147" s="35">
        <f>Table2[[#This Row],[OverStock]]*Table2[[#This Row],[RepCost]]</f>
        <v>120.7312</v>
      </c>
      <c r="O147" s="25">
        <v>45370.393750000003</v>
      </c>
      <c r="P147" s="26" t="s">
        <v>2969</v>
      </c>
    </row>
    <row r="148" spans="1:16" x14ac:dyDescent="0.25">
      <c r="A148" s="20" t="s">
        <v>5211</v>
      </c>
      <c r="B148" s="21">
        <v>714</v>
      </c>
      <c r="C148" s="22" t="s">
        <v>323</v>
      </c>
      <c r="D148" s="22" t="s">
        <v>1373</v>
      </c>
      <c r="E148" s="22" t="str">
        <f>CONCATENATE(B148,D148)</f>
        <v>71475978-306</v>
      </c>
      <c r="F148" s="22" t="s">
        <v>1374</v>
      </c>
      <c r="G148" s="22" t="s">
        <v>29</v>
      </c>
      <c r="H148" s="23">
        <v>237.5615</v>
      </c>
      <c r="I148" s="24">
        <v>3</v>
      </c>
      <c r="J148" s="24">
        <v>0</v>
      </c>
      <c r="K148" s="24">
        <v>0</v>
      </c>
      <c r="L148" s="41">
        <f>Table2[[#This Row],[Column1]]+Table2[[#This Row],[Column2]]</f>
        <v>0</v>
      </c>
      <c r="M148" s="42">
        <f>Table2[[#This Row],[OnHandQty]]-Table2[[#This Row],[Projection Nov/Dec]]</f>
        <v>3</v>
      </c>
      <c r="N148" s="35">
        <f>Table2[[#This Row],[OverStock]]*Table2[[#This Row],[RepCost]]</f>
        <v>712.68449999999996</v>
      </c>
      <c r="O148" s="25">
        <v>46104.46597222222</v>
      </c>
      <c r="P148" s="26" t="s">
        <v>137</v>
      </c>
    </row>
    <row r="149" spans="1:16" x14ac:dyDescent="0.25">
      <c r="A149" s="20" t="s">
        <v>5211</v>
      </c>
      <c r="B149" s="21">
        <v>636</v>
      </c>
      <c r="C149" s="22" t="s">
        <v>323</v>
      </c>
      <c r="D149" s="22" t="s">
        <v>1373</v>
      </c>
      <c r="E149" s="22" t="str">
        <f>CONCATENATE(B149,D149)</f>
        <v>63675978-306</v>
      </c>
      <c r="F149" s="22" t="s">
        <v>1374</v>
      </c>
      <c r="G149" s="22" t="s">
        <v>29</v>
      </c>
      <c r="H149" s="23">
        <v>247.91419999999999</v>
      </c>
      <c r="I149" s="24">
        <v>1</v>
      </c>
      <c r="J149" s="24">
        <v>0</v>
      </c>
      <c r="K149" s="24">
        <v>0</v>
      </c>
      <c r="L149" s="41">
        <f>Table2[[#This Row],[Column1]]+Table2[[#This Row],[Column2]]</f>
        <v>0</v>
      </c>
      <c r="M149" s="42">
        <f>Table2[[#This Row],[OnHandQty]]-Table2[[#This Row],[Projection Nov/Dec]]</f>
        <v>1</v>
      </c>
      <c r="N149" s="35">
        <f>Table2[[#This Row],[OverStock]]*Table2[[#This Row],[RepCost]]</f>
        <v>247.91419999999999</v>
      </c>
      <c r="O149" s="25">
        <v>46112.343055555553</v>
      </c>
      <c r="P149" s="26" t="s">
        <v>137</v>
      </c>
    </row>
    <row r="150" spans="1:16" x14ac:dyDescent="0.25">
      <c r="A150" s="20" t="s">
        <v>5211</v>
      </c>
      <c r="B150" s="21">
        <v>718</v>
      </c>
      <c r="C150" s="22" t="s">
        <v>323</v>
      </c>
      <c r="D150" s="22" t="s">
        <v>3903</v>
      </c>
      <c r="E150" s="22" t="str">
        <f>CONCATENATE(B150,D150)</f>
        <v>71875978-110PREM</v>
      </c>
      <c r="F150" s="27" t="s">
        <v>3904</v>
      </c>
      <c r="G150" s="27" t="s">
        <v>58</v>
      </c>
      <c r="H150" s="23">
        <v>214.57429999999999</v>
      </c>
      <c r="I150" s="24">
        <v>2</v>
      </c>
      <c r="J150" s="24">
        <v>0</v>
      </c>
      <c r="K150" s="24">
        <v>0</v>
      </c>
      <c r="L150" s="41">
        <f>Table2[[#This Row],[Column1]]+Table2[[#This Row],[Column2]]</f>
        <v>0</v>
      </c>
      <c r="M150" s="42">
        <f>Table2[[#This Row],[OnHandQty]]-Table2[[#This Row],[Projection Nov/Dec]]</f>
        <v>2</v>
      </c>
      <c r="N150" s="35">
        <f>Table2[[#This Row],[OverStock]]*Table2[[#This Row],[RepCost]]</f>
        <v>429.14859999999999</v>
      </c>
      <c r="O150" s="25">
        <v>46112.350694444445</v>
      </c>
      <c r="P150" s="26" t="s">
        <v>36</v>
      </c>
    </row>
    <row r="151" spans="1:16" x14ac:dyDescent="0.25">
      <c r="A151" s="20" t="s">
        <v>5211</v>
      </c>
      <c r="B151" s="21">
        <v>714</v>
      </c>
      <c r="C151" s="22" t="s">
        <v>323</v>
      </c>
      <c r="D151" s="22" t="s">
        <v>1257</v>
      </c>
      <c r="E151" s="22" t="str">
        <f>CONCATENATE(B151,D151)</f>
        <v>71482761-248</v>
      </c>
      <c r="F151" s="22" t="s">
        <v>1258</v>
      </c>
      <c r="G151" s="22" t="s">
        <v>29</v>
      </c>
      <c r="H151" s="23">
        <v>169.68680000000001</v>
      </c>
      <c r="I151" s="24">
        <v>5</v>
      </c>
      <c r="J151" s="24">
        <v>0</v>
      </c>
      <c r="K151" s="24">
        <v>0</v>
      </c>
      <c r="L151" s="41">
        <f>Table2[[#This Row],[Column1]]+Table2[[#This Row],[Column2]]</f>
        <v>0</v>
      </c>
      <c r="M151" s="42">
        <f>Table2[[#This Row],[OnHandQty]]-Table2[[#This Row],[Projection Nov/Dec]]</f>
        <v>5</v>
      </c>
      <c r="N151" s="35">
        <f>Table2[[#This Row],[OverStock]]*Table2[[#This Row],[RepCost]]</f>
        <v>848.43399999999997</v>
      </c>
      <c r="O151" s="25">
        <v>46104.46597222222</v>
      </c>
      <c r="P151" s="26" t="s">
        <v>137</v>
      </c>
    </row>
    <row r="152" spans="1:16" x14ac:dyDescent="0.25">
      <c r="A152" s="20" t="s">
        <v>5211</v>
      </c>
      <c r="B152" s="21">
        <v>636</v>
      </c>
      <c r="C152" s="22" t="s">
        <v>323</v>
      </c>
      <c r="D152" s="22" t="s">
        <v>1257</v>
      </c>
      <c r="E152" s="22" t="str">
        <f>CONCATENATE(B152,D152)</f>
        <v>63682761-248</v>
      </c>
      <c r="F152" s="22" t="s">
        <v>1258</v>
      </c>
      <c r="G152" s="22" t="s">
        <v>19</v>
      </c>
      <c r="H152" s="23">
        <v>177.08160000000001</v>
      </c>
      <c r="I152" s="24">
        <v>2</v>
      </c>
      <c r="J152" s="24">
        <v>0</v>
      </c>
      <c r="K152" s="24">
        <v>0</v>
      </c>
      <c r="L152" s="41">
        <f>Table2[[#This Row],[Column1]]+Table2[[#This Row],[Column2]]</f>
        <v>0</v>
      </c>
      <c r="M152" s="42">
        <f>Table2[[#This Row],[OnHandQty]]-Table2[[#This Row],[Projection Nov/Dec]]</f>
        <v>2</v>
      </c>
      <c r="N152" s="35">
        <f>Table2[[#This Row],[OverStock]]*Table2[[#This Row],[RepCost]]</f>
        <v>354.16320000000002</v>
      </c>
      <c r="O152" s="25">
        <v>46112.343055555553</v>
      </c>
      <c r="P152" s="26" t="s">
        <v>137</v>
      </c>
    </row>
    <row r="153" spans="1:16" x14ac:dyDescent="0.25">
      <c r="A153" s="20" t="s">
        <v>5211</v>
      </c>
      <c r="B153" s="21">
        <v>636</v>
      </c>
      <c r="C153" s="22" t="s">
        <v>323</v>
      </c>
      <c r="D153" s="22" t="s">
        <v>1292</v>
      </c>
      <c r="E153" s="22" t="str">
        <f>CONCATENATE(B153,D153)</f>
        <v>63682761-306</v>
      </c>
      <c r="F153" s="22" t="s">
        <v>1293</v>
      </c>
      <c r="G153" s="22" t="s">
        <v>29</v>
      </c>
      <c r="H153" s="23">
        <v>333.27249999999998</v>
      </c>
      <c r="I153" s="24">
        <v>1</v>
      </c>
      <c r="J153" s="24">
        <v>0</v>
      </c>
      <c r="K153" s="24">
        <v>0</v>
      </c>
      <c r="L153" s="41">
        <f>Table2[[#This Row],[Column1]]+Table2[[#This Row],[Column2]]</f>
        <v>0</v>
      </c>
      <c r="M153" s="42">
        <f>Table2[[#This Row],[OnHandQty]]-Table2[[#This Row],[Projection Nov/Dec]]</f>
        <v>1</v>
      </c>
      <c r="N153" s="35">
        <f>Table2[[#This Row],[OverStock]]*Table2[[#This Row],[RepCost]]</f>
        <v>333.27249999999998</v>
      </c>
      <c r="O153" s="25">
        <v>46100.392361111109</v>
      </c>
      <c r="P153" s="26" t="s">
        <v>137</v>
      </c>
    </row>
    <row r="154" spans="1:16" x14ac:dyDescent="0.25">
      <c r="A154" s="20" t="s">
        <v>5211</v>
      </c>
      <c r="B154" s="21">
        <v>714</v>
      </c>
      <c r="C154" s="22" t="s">
        <v>323</v>
      </c>
      <c r="D154" s="22" t="s">
        <v>3241</v>
      </c>
      <c r="E154" s="22" t="str">
        <f>CONCATENATE(B154,D154)</f>
        <v>71460358-020</v>
      </c>
      <c r="F154" s="27" t="s">
        <v>3242</v>
      </c>
      <c r="G154" s="27" t="s">
        <v>58</v>
      </c>
      <c r="H154" s="23">
        <v>143.97989999999999</v>
      </c>
      <c r="I154" s="24">
        <v>3</v>
      </c>
      <c r="J154" s="24">
        <v>0</v>
      </c>
      <c r="K154" s="24">
        <v>0</v>
      </c>
      <c r="L154" s="41">
        <f>Table2[[#This Row],[Column1]]+Table2[[#This Row],[Column2]]</f>
        <v>0</v>
      </c>
      <c r="M154" s="42">
        <f>Table2[[#This Row],[OnHandQty]]-Table2[[#This Row],[Projection Nov/Dec]]</f>
        <v>3</v>
      </c>
      <c r="N154" s="35">
        <f>Table2[[#This Row],[OverStock]]*Table2[[#This Row],[RepCost]]</f>
        <v>431.93969999999996</v>
      </c>
      <c r="O154" s="25">
        <v>44984.4375</v>
      </c>
      <c r="P154" s="26" t="s">
        <v>159</v>
      </c>
    </row>
    <row r="155" spans="1:16" x14ac:dyDescent="0.25">
      <c r="A155" s="20" t="s">
        <v>5211</v>
      </c>
      <c r="B155" s="21">
        <v>714</v>
      </c>
      <c r="C155" s="22" t="s">
        <v>323</v>
      </c>
      <c r="D155" s="22" t="s">
        <v>3362</v>
      </c>
      <c r="E155" s="22" t="str">
        <f>CONCATENATE(B155,D155)</f>
        <v>71490358-025</v>
      </c>
      <c r="F155" s="22" t="s">
        <v>3363</v>
      </c>
      <c r="G155" s="22" t="s">
        <v>29</v>
      </c>
      <c r="H155" s="23">
        <v>75</v>
      </c>
      <c r="I155" s="24">
        <v>20</v>
      </c>
      <c r="J155" s="24">
        <v>0</v>
      </c>
      <c r="K155" s="24">
        <v>0</v>
      </c>
      <c r="L155" s="41">
        <f>Table2[[#This Row],[Column1]]+Table2[[#This Row],[Column2]]</f>
        <v>0</v>
      </c>
      <c r="M155" s="42">
        <f>Table2[[#This Row],[OnHandQty]]-Table2[[#This Row],[Projection Nov/Dec]]</f>
        <v>20</v>
      </c>
      <c r="N155" s="35">
        <f>Table2[[#This Row],[OverStock]]*Table2[[#This Row],[RepCost]]</f>
        <v>1500</v>
      </c>
      <c r="O155" s="25">
        <v>45959.618055555555</v>
      </c>
      <c r="P155" s="26" t="s">
        <v>1224</v>
      </c>
    </row>
    <row r="156" spans="1:16" x14ac:dyDescent="0.25">
      <c r="A156" s="20" t="s">
        <v>5211</v>
      </c>
      <c r="B156" s="21">
        <v>634</v>
      </c>
      <c r="C156" s="22" t="s">
        <v>323</v>
      </c>
      <c r="D156" s="22" t="s">
        <v>495</v>
      </c>
      <c r="E156" s="22" t="str">
        <f>CONCATENATE(B156,D156)</f>
        <v>63482406-030</v>
      </c>
      <c r="F156" s="22" t="s">
        <v>496</v>
      </c>
      <c r="G156" s="22" t="s">
        <v>158</v>
      </c>
      <c r="H156" s="23">
        <v>271.0172</v>
      </c>
      <c r="I156" s="24">
        <v>1</v>
      </c>
      <c r="J156" s="24">
        <v>0</v>
      </c>
      <c r="K156" s="24">
        <v>0</v>
      </c>
      <c r="L156" s="41">
        <f>Table2[[#This Row],[Column1]]+Table2[[#This Row],[Column2]]</f>
        <v>0</v>
      </c>
      <c r="M156" s="42">
        <f>Table2[[#This Row],[OnHandQty]]-Table2[[#This Row],[Projection Nov/Dec]]</f>
        <v>1</v>
      </c>
      <c r="N156" s="35">
        <f>Table2[[#This Row],[OverStock]]*Table2[[#This Row],[RepCost]]</f>
        <v>271.0172</v>
      </c>
      <c r="O156" s="25">
        <v>46094.540277777778</v>
      </c>
      <c r="P156" s="26" t="s">
        <v>159</v>
      </c>
    </row>
    <row r="157" spans="1:16" x14ac:dyDescent="0.25">
      <c r="A157" s="20" t="s">
        <v>5211</v>
      </c>
      <c r="B157" s="21">
        <v>636</v>
      </c>
      <c r="C157" s="22" t="s">
        <v>323</v>
      </c>
      <c r="D157" s="22" t="s">
        <v>1602</v>
      </c>
      <c r="E157" s="22" t="str">
        <f>CONCATENATE(B157,D157)</f>
        <v>63682406-040</v>
      </c>
      <c r="F157" s="22" t="s">
        <v>1603</v>
      </c>
      <c r="G157" s="22" t="s">
        <v>29</v>
      </c>
      <c r="H157" s="23">
        <v>404.76330000000002</v>
      </c>
      <c r="I157" s="24">
        <v>7</v>
      </c>
      <c r="J157" s="24">
        <v>0</v>
      </c>
      <c r="K157" s="24">
        <v>0</v>
      </c>
      <c r="L157" s="41">
        <f>Table2[[#This Row],[Column1]]+Table2[[#This Row],[Column2]]</f>
        <v>0</v>
      </c>
      <c r="M157" s="42">
        <f>Table2[[#This Row],[OnHandQty]]-Table2[[#This Row],[Projection Nov/Dec]]</f>
        <v>7</v>
      </c>
      <c r="N157" s="35">
        <f>Table2[[#This Row],[OverStock]]*Table2[[#This Row],[RepCost]]</f>
        <v>2833.3431</v>
      </c>
      <c r="O157" s="25">
        <v>46085.617361111108</v>
      </c>
      <c r="P157" s="26" t="s">
        <v>159</v>
      </c>
    </row>
    <row r="158" spans="1:16" x14ac:dyDescent="0.25">
      <c r="A158" s="20" t="s">
        <v>5211</v>
      </c>
      <c r="B158" s="21">
        <v>636</v>
      </c>
      <c r="C158" s="22" t="s">
        <v>323</v>
      </c>
      <c r="D158" s="22" t="s">
        <v>1359</v>
      </c>
      <c r="E158" s="22" t="str">
        <f>CONCATENATE(B158,D158)</f>
        <v>63682406-050</v>
      </c>
      <c r="F158" s="22" t="s">
        <v>1360</v>
      </c>
      <c r="G158" s="22" t="s">
        <v>19</v>
      </c>
      <c r="H158" s="23">
        <v>492.0881</v>
      </c>
      <c r="I158" s="24">
        <v>2</v>
      </c>
      <c r="J158" s="24">
        <v>0</v>
      </c>
      <c r="K158" s="24">
        <v>0</v>
      </c>
      <c r="L158" s="41">
        <f>Table2[[#This Row],[Column1]]+Table2[[#This Row],[Column2]]</f>
        <v>0</v>
      </c>
      <c r="M158" s="42">
        <f>Table2[[#This Row],[OnHandQty]]-Table2[[#This Row],[Projection Nov/Dec]]</f>
        <v>2</v>
      </c>
      <c r="N158" s="35">
        <f>Table2[[#This Row],[OverStock]]*Table2[[#This Row],[RepCost]]</f>
        <v>984.17619999999999</v>
      </c>
      <c r="O158" s="25">
        <v>46085.617361111108</v>
      </c>
      <c r="P158" s="26" t="s">
        <v>159</v>
      </c>
    </row>
    <row r="159" spans="1:16" x14ac:dyDescent="0.25">
      <c r="A159" s="20" t="s">
        <v>5211</v>
      </c>
      <c r="B159" s="21">
        <v>714</v>
      </c>
      <c r="C159" s="22" t="s">
        <v>323</v>
      </c>
      <c r="D159" s="22" t="s">
        <v>2989</v>
      </c>
      <c r="E159" s="22" t="str">
        <f>CONCATENATE(B159,D159)</f>
        <v>71460197-030</v>
      </c>
      <c r="F159" s="22" t="s">
        <v>2990</v>
      </c>
      <c r="G159" s="22" t="s">
        <v>19</v>
      </c>
      <c r="H159" s="23">
        <v>191.16329999999999</v>
      </c>
      <c r="I159" s="24">
        <v>25</v>
      </c>
      <c r="J159" s="24">
        <v>1</v>
      </c>
      <c r="K159" s="24">
        <v>0</v>
      </c>
      <c r="L159" s="41">
        <f>Table2[[#This Row],[Column1]]+Table2[[#This Row],[Column2]]</f>
        <v>1</v>
      </c>
      <c r="M159" s="42">
        <f>Table2[[#This Row],[OnHandQty]]-Table2[[#This Row],[Projection Nov/Dec]]</f>
        <v>24</v>
      </c>
      <c r="N159" s="35">
        <f>Table2[[#This Row],[OverStock]]*Table2[[#This Row],[RepCost]]</f>
        <v>4587.9192000000003</v>
      </c>
      <c r="O159" s="25">
        <v>46141.705555555556</v>
      </c>
      <c r="P159" s="26" t="s">
        <v>1224</v>
      </c>
    </row>
    <row r="160" spans="1:16" x14ac:dyDescent="0.25">
      <c r="A160" s="20" t="s">
        <v>5211</v>
      </c>
      <c r="B160" s="21">
        <v>636</v>
      </c>
      <c r="C160" s="22" t="s">
        <v>323</v>
      </c>
      <c r="D160" s="22" t="s">
        <v>1662</v>
      </c>
      <c r="E160" s="22" t="str">
        <f>CONCATENATE(B160,D160)</f>
        <v>63660197-035</v>
      </c>
      <c r="F160" s="22" t="s">
        <v>1663</v>
      </c>
      <c r="G160" s="22" t="s">
        <v>19</v>
      </c>
      <c r="H160" s="23">
        <v>342.51909999999998</v>
      </c>
      <c r="I160" s="24">
        <v>12</v>
      </c>
      <c r="J160" s="24">
        <v>0</v>
      </c>
      <c r="K160" s="24">
        <v>0</v>
      </c>
      <c r="L160" s="41">
        <f>Table2[[#This Row],[Column1]]+Table2[[#This Row],[Column2]]</f>
        <v>0</v>
      </c>
      <c r="M160" s="42">
        <f>Table2[[#This Row],[OnHandQty]]-Table2[[#This Row],[Projection Nov/Dec]]</f>
        <v>12</v>
      </c>
      <c r="N160" s="35">
        <f>Table2[[#This Row],[OverStock]]*Table2[[#This Row],[RepCost]]</f>
        <v>4110.2291999999998</v>
      </c>
      <c r="O160" s="25">
        <v>46127.309027777781</v>
      </c>
      <c r="P160" s="26" t="s">
        <v>1224</v>
      </c>
    </row>
    <row r="161" spans="1:16" x14ac:dyDescent="0.25">
      <c r="A161" s="20" t="s">
        <v>5211</v>
      </c>
      <c r="B161" s="21">
        <v>634</v>
      </c>
      <c r="C161" s="22" t="s">
        <v>323</v>
      </c>
      <c r="D161" s="22" t="s">
        <v>480</v>
      </c>
      <c r="E161" s="22" t="str">
        <f>CONCATENATE(B161,D161)</f>
        <v>63460200-020</v>
      </c>
      <c r="F161" s="22" t="s">
        <v>481</v>
      </c>
      <c r="G161" s="22" t="s">
        <v>29</v>
      </c>
      <c r="H161" s="23">
        <v>127.9633</v>
      </c>
      <c r="I161" s="24">
        <v>4</v>
      </c>
      <c r="J161" s="24">
        <v>0</v>
      </c>
      <c r="K161" s="24">
        <v>0</v>
      </c>
      <c r="L161" s="41">
        <f>Table2[[#This Row],[Column1]]+Table2[[#This Row],[Column2]]</f>
        <v>0</v>
      </c>
      <c r="M161" s="42">
        <f>Table2[[#This Row],[OnHandQty]]-Table2[[#This Row],[Projection Nov/Dec]]</f>
        <v>4</v>
      </c>
      <c r="N161" s="35">
        <f>Table2[[#This Row],[OverStock]]*Table2[[#This Row],[RepCost]]</f>
        <v>511.85320000000002</v>
      </c>
      <c r="O161" s="25">
        <v>46083.431250000001</v>
      </c>
      <c r="P161" s="26" t="s">
        <v>151</v>
      </c>
    </row>
    <row r="162" spans="1:16" x14ac:dyDescent="0.25">
      <c r="A162" s="20" t="s">
        <v>5211</v>
      </c>
      <c r="B162" s="21">
        <v>636</v>
      </c>
      <c r="C162" s="22" t="s">
        <v>323</v>
      </c>
      <c r="D162" s="22" t="s">
        <v>1392</v>
      </c>
      <c r="E162" s="22" t="str">
        <f>CONCATENATE(B162,D162)</f>
        <v>63660200-025</v>
      </c>
      <c r="F162" s="22" t="s">
        <v>1393</v>
      </c>
      <c r="G162" s="22" t="s">
        <v>29</v>
      </c>
      <c r="H162" s="23">
        <v>75</v>
      </c>
      <c r="I162" s="24">
        <v>10</v>
      </c>
      <c r="J162" s="24">
        <v>1</v>
      </c>
      <c r="K162" s="24">
        <v>0</v>
      </c>
      <c r="L162" s="41">
        <f>Table2[[#This Row],[Column1]]+Table2[[#This Row],[Column2]]</f>
        <v>1</v>
      </c>
      <c r="M162" s="42">
        <f>Table2[[#This Row],[OnHandQty]]-Table2[[#This Row],[Projection Nov/Dec]]</f>
        <v>9</v>
      </c>
      <c r="N162" s="35">
        <f>Table2[[#This Row],[OverStock]]*Table2[[#This Row],[RepCost]]</f>
        <v>675</v>
      </c>
      <c r="O162" s="25">
        <v>45951.508333333331</v>
      </c>
      <c r="P162" s="26" t="s">
        <v>1224</v>
      </c>
    </row>
    <row r="163" spans="1:16" x14ac:dyDescent="0.25">
      <c r="A163" s="20" t="s">
        <v>5211</v>
      </c>
      <c r="B163" s="21">
        <v>714</v>
      </c>
      <c r="C163" s="22" t="s">
        <v>323</v>
      </c>
      <c r="D163" s="22" t="s">
        <v>1392</v>
      </c>
      <c r="E163" s="22" t="str">
        <f>CONCATENATE(B163,D163)</f>
        <v>71460200-025</v>
      </c>
      <c r="F163" s="22" t="s">
        <v>1393</v>
      </c>
      <c r="G163" s="22" t="s">
        <v>23</v>
      </c>
      <c r="H163" s="23">
        <v>75</v>
      </c>
      <c r="I163" s="24">
        <v>3</v>
      </c>
      <c r="J163" s="24">
        <v>1</v>
      </c>
      <c r="K163" s="24">
        <v>0</v>
      </c>
      <c r="L163" s="41">
        <f>Table2[[#This Row],[Column1]]+Table2[[#This Row],[Column2]]</f>
        <v>1</v>
      </c>
      <c r="M163" s="42">
        <f>Table2[[#This Row],[OnHandQty]]-Table2[[#This Row],[Projection Nov/Dec]]</f>
        <v>2</v>
      </c>
      <c r="N163" s="35">
        <f>Table2[[#This Row],[OverStock]]*Table2[[#This Row],[RepCost]]</f>
        <v>150</v>
      </c>
      <c r="O163" s="25">
        <v>45953.361111111109</v>
      </c>
      <c r="P163" s="26" t="s">
        <v>1224</v>
      </c>
    </row>
    <row r="164" spans="1:16" x14ac:dyDescent="0.25">
      <c r="A164" s="20" t="s">
        <v>5211</v>
      </c>
      <c r="B164" s="21">
        <v>718</v>
      </c>
      <c r="C164" s="22" t="s">
        <v>323</v>
      </c>
      <c r="D164" s="22" t="s">
        <v>3895</v>
      </c>
      <c r="E164" s="22" t="str">
        <f>CONCATENATE(B164,D164)</f>
        <v>71860200-120</v>
      </c>
      <c r="F164" s="22" t="s">
        <v>3896</v>
      </c>
      <c r="G164" s="22" t="s">
        <v>29</v>
      </c>
      <c r="H164" s="23">
        <v>168.85669999999999</v>
      </c>
      <c r="I164" s="24">
        <v>1</v>
      </c>
      <c r="J164" s="24">
        <v>0</v>
      </c>
      <c r="K164" s="24">
        <v>0</v>
      </c>
      <c r="L164" s="41">
        <f>Table2[[#This Row],[Column1]]+Table2[[#This Row],[Column2]]</f>
        <v>0</v>
      </c>
      <c r="M164" s="42">
        <f>Table2[[#This Row],[OnHandQty]]-Table2[[#This Row],[Projection Nov/Dec]]</f>
        <v>1</v>
      </c>
      <c r="N164" s="35">
        <f>Table2[[#This Row],[OverStock]]*Table2[[#This Row],[RepCost]]</f>
        <v>168.85669999999999</v>
      </c>
      <c r="O164" s="25">
        <v>46224.686805555553</v>
      </c>
      <c r="P164" s="26" t="s">
        <v>2225</v>
      </c>
    </row>
    <row r="165" spans="1:16" x14ac:dyDescent="0.25">
      <c r="A165" s="20" t="s">
        <v>5211</v>
      </c>
      <c r="B165" s="21">
        <v>714</v>
      </c>
      <c r="C165" s="22" t="s">
        <v>323</v>
      </c>
      <c r="D165" s="22" t="s">
        <v>2941</v>
      </c>
      <c r="E165" s="22" t="str">
        <f>CONCATENATE(B165,D165)</f>
        <v>71493631-115</v>
      </c>
      <c r="F165" s="27" t="s">
        <v>2942</v>
      </c>
      <c r="G165" s="27" t="s">
        <v>58</v>
      </c>
      <c r="H165" s="23">
        <v>319.95479999999998</v>
      </c>
      <c r="I165" s="24">
        <v>1</v>
      </c>
      <c r="J165" s="24">
        <v>0</v>
      </c>
      <c r="K165" s="24">
        <v>0</v>
      </c>
      <c r="L165" s="41">
        <f>Table2[[#This Row],[Column1]]+Table2[[#This Row],[Column2]]</f>
        <v>0</v>
      </c>
      <c r="M165" s="42">
        <f>Table2[[#This Row],[OnHandQty]]-Table2[[#This Row],[Projection Nov/Dec]]</f>
        <v>1</v>
      </c>
      <c r="N165" s="35">
        <f>Table2[[#This Row],[OverStock]]*Table2[[#This Row],[RepCost]]</f>
        <v>319.95479999999998</v>
      </c>
      <c r="O165" s="25">
        <v>45776.645833333336</v>
      </c>
      <c r="P165" s="26" t="s">
        <v>501</v>
      </c>
    </row>
    <row r="166" spans="1:16" x14ac:dyDescent="0.25">
      <c r="A166" s="20" t="s">
        <v>5211</v>
      </c>
      <c r="B166" s="21">
        <v>636</v>
      </c>
      <c r="C166" s="22" t="s">
        <v>70</v>
      </c>
      <c r="D166" s="22" t="s">
        <v>808</v>
      </c>
      <c r="E166" s="22" t="str">
        <f>CONCATENATE(B166,D166)</f>
        <v>63682913-101PREM</v>
      </c>
      <c r="F166" s="22" t="s">
        <v>809</v>
      </c>
      <c r="G166" s="22" t="s">
        <v>39</v>
      </c>
      <c r="H166" s="23">
        <v>5.5449000000000002</v>
      </c>
      <c r="I166" s="24">
        <v>4</v>
      </c>
      <c r="J166" s="24">
        <v>0</v>
      </c>
      <c r="K166" s="24">
        <v>0</v>
      </c>
      <c r="L166" s="41">
        <f>Table2[[#This Row],[Column1]]+Table2[[#This Row],[Column2]]</f>
        <v>0</v>
      </c>
      <c r="M166" s="42">
        <f>Table2[[#This Row],[OnHandQty]]-Table2[[#This Row],[Projection Nov/Dec]]</f>
        <v>4</v>
      </c>
      <c r="N166" s="35">
        <f>Table2[[#This Row],[OverStock]]*Table2[[#This Row],[RepCost]]</f>
        <v>22.179600000000001</v>
      </c>
      <c r="O166" s="25">
        <v>46177.399305555555</v>
      </c>
      <c r="P166" s="26" t="s">
        <v>16</v>
      </c>
    </row>
    <row r="167" spans="1:16" x14ac:dyDescent="0.25">
      <c r="A167" s="20" t="s">
        <v>5211</v>
      </c>
      <c r="B167" s="21">
        <v>714</v>
      </c>
      <c r="C167" s="22" t="s">
        <v>126</v>
      </c>
      <c r="D167" s="22" t="s">
        <v>2201</v>
      </c>
      <c r="E167" s="22" t="str">
        <f>CONCATENATE(B167,D167)</f>
        <v>71490962-PF4PFO</v>
      </c>
      <c r="F167" s="22" t="s">
        <v>2202</v>
      </c>
      <c r="G167" s="22" t="s">
        <v>29</v>
      </c>
      <c r="H167" s="23">
        <v>6.2506000000000004</v>
      </c>
      <c r="I167" s="24">
        <v>18</v>
      </c>
      <c r="J167" s="24">
        <v>0</v>
      </c>
      <c r="K167" s="24">
        <v>0</v>
      </c>
      <c r="L167" s="41">
        <f>Table2[[#This Row],[Column1]]+Table2[[#This Row],[Column2]]</f>
        <v>0</v>
      </c>
      <c r="M167" s="42">
        <f>Table2[[#This Row],[OnHandQty]]-Table2[[#This Row],[Projection Nov/Dec]]</f>
        <v>18</v>
      </c>
      <c r="N167" s="35">
        <f>Table2[[#This Row],[OverStock]]*Table2[[#This Row],[RepCost]]</f>
        <v>112.5108</v>
      </c>
      <c r="O167" s="25">
        <v>46204.464583333334</v>
      </c>
      <c r="P167" s="26" t="s">
        <v>878</v>
      </c>
    </row>
    <row r="168" spans="1:16" x14ac:dyDescent="0.25">
      <c r="A168" s="20" t="s">
        <v>5211</v>
      </c>
      <c r="B168" s="21">
        <v>714</v>
      </c>
      <c r="C168" s="22" t="s">
        <v>70</v>
      </c>
      <c r="D168" s="22" t="s">
        <v>2133</v>
      </c>
      <c r="E168" s="22" t="str">
        <f>CONCATENATE(B168,D168)</f>
        <v>71485662-101</v>
      </c>
      <c r="F168" s="22" t="s">
        <v>2134</v>
      </c>
      <c r="G168" s="22" t="s">
        <v>39</v>
      </c>
      <c r="H168" s="23">
        <v>5.6712999999999996</v>
      </c>
      <c r="I168" s="24">
        <v>19</v>
      </c>
      <c r="J168" s="24">
        <v>3</v>
      </c>
      <c r="K168" s="24">
        <v>0</v>
      </c>
      <c r="L168" s="41">
        <f>Table2[[#This Row],[Column1]]+Table2[[#This Row],[Column2]]</f>
        <v>3</v>
      </c>
      <c r="M168" s="42">
        <f>Table2[[#This Row],[OnHandQty]]-Table2[[#This Row],[Projection Nov/Dec]]</f>
        <v>16</v>
      </c>
      <c r="N168" s="35">
        <f>Table2[[#This Row],[OverStock]]*Table2[[#This Row],[RepCost]]</f>
        <v>90.740799999999993</v>
      </c>
      <c r="O168" s="25">
        <v>46176.706944444442</v>
      </c>
      <c r="P168" s="26" t="s">
        <v>16</v>
      </c>
    </row>
    <row r="169" spans="1:16" x14ac:dyDescent="0.25">
      <c r="A169" s="20" t="s">
        <v>5211</v>
      </c>
      <c r="B169" s="21">
        <v>636</v>
      </c>
      <c r="C169" s="22" t="s">
        <v>70</v>
      </c>
      <c r="D169" s="22" t="s">
        <v>800</v>
      </c>
      <c r="E169" s="22" t="str">
        <f>CONCATENATE(B169,D169)</f>
        <v>63685662-102</v>
      </c>
      <c r="F169" s="22" t="s">
        <v>801</v>
      </c>
      <c r="G169" s="22" t="s">
        <v>39</v>
      </c>
      <c r="H169" s="23">
        <v>8.7299000000000007</v>
      </c>
      <c r="I169" s="24">
        <v>1</v>
      </c>
      <c r="J169" s="24">
        <v>0</v>
      </c>
      <c r="K169" s="24">
        <v>0</v>
      </c>
      <c r="L169" s="41">
        <f>Table2[[#This Row],[Column1]]+Table2[[#This Row],[Column2]]</f>
        <v>0</v>
      </c>
      <c r="M169" s="42">
        <f>Table2[[#This Row],[OnHandQty]]-Table2[[#This Row],[Projection Nov/Dec]]</f>
        <v>1</v>
      </c>
      <c r="N169" s="35">
        <f>Table2[[#This Row],[OverStock]]*Table2[[#This Row],[RepCost]]</f>
        <v>8.7299000000000007</v>
      </c>
      <c r="O169" s="25">
        <v>46178.285416666666</v>
      </c>
      <c r="P169" s="26" t="s">
        <v>522</v>
      </c>
    </row>
    <row r="170" spans="1:16" x14ac:dyDescent="0.25">
      <c r="A170" s="20" t="s">
        <v>5211</v>
      </c>
      <c r="B170" s="21">
        <v>636</v>
      </c>
      <c r="C170" s="22" t="s">
        <v>70</v>
      </c>
      <c r="D170" s="22" t="s">
        <v>835</v>
      </c>
      <c r="E170" s="22" t="str">
        <f>CONCATENATE(B170,D170)</f>
        <v>63684519-101</v>
      </c>
      <c r="F170" s="22" t="s">
        <v>836</v>
      </c>
      <c r="G170" s="22" t="s">
        <v>39</v>
      </c>
      <c r="H170" s="23">
        <v>5.5449000000000002</v>
      </c>
      <c r="I170" s="24">
        <v>12</v>
      </c>
      <c r="J170" s="24">
        <v>0</v>
      </c>
      <c r="K170" s="24">
        <v>0</v>
      </c>
      <c r="L170" s="41">
        <f>Table2[[#This Row],[Column1]]+Table2[[#This Row],[Column2]]</f>
        <v>0</v>
      </c>
      <c r="M170" s="42">
        <f>Table2[[#This Row],[OnHandQty]]-Table2[[#This Row],[Projection Nov/Dec]]</f>
        <v>12</v>
      </c>
      <c r="N170" s="35">
        <f>Table2[[#This Row],[OverStock]]*Table2[[#This Row],[RepCost]]</f>
        <v>66.538800000000009</v>
      </c>
      <c r="O170" s="25">
        <v>46177.399305555555</v>
      </c>
      <c r="P170" s="26" t="s">
        <v>16</v>
      </c>
    </row>
    <row r="171" spans="1:16" x14ac:dyDescent="0.25">
      <c r="A171" s="20" t="s">
        <v>5211</v>
      </c>
      <c r="B171" s="21">
        <v>636</v>
      </c>
      <c r="C171" s="22" t="s">
        <v>70</v>
      </c>
      <c r="D171" s="22" t="s">
        <v>567</v>
      </c>
      <c r="E171" s="22" t="str">
        <f>CONCATENATE(B171,D171)</f>
        <v>63660399-102</v>
      </c>
      <c r="F171" s="22" t="s">
        <v>568</v>
      </c>
      <c r="G171" s="22" t="s">
        <v>39</v>
      </c>
      <c r="H171" s="23">
        <v>8.7299000000000007</v>
      </c>
      <c r="I171" s="24">
        <v>4</v>
      </c>
      <c r="J171" s="24">
        <v>0</v>
      </c>
      <c r="K171" s="24">
        <v>0</v>
      </c>
      <c r="L171" s="41">
        <f>Table2[[#This Row],[Column1]]+Table2[[#This Row],[Column2]]</f>
        <v>0</v>
      </c>
      <c r="M171" s="42">
        <f>Table2[[#This Row],[OnHandQty]]-Table2[[#This Row],[Projection Nov/Dec]]</f>
        <v>4</v>
      </c>
      <c r="N171" s="35">
        <f>Table2[[#This Row],[OverStock]]*Table2[[#This Row],[RepCost]]</f>
        <v>34.919600000000003</v>
      </c>
      <c r="O171" s="25">
        <v>46178.285416666666</v>
      </c>
      <c r="P171" s="26" t="s">
        <v>522</v>
      </c>
    </row>
    <row r="172" spans="1:16" x14ac:dyDescent="0.25">
      <c r="A172" s="20" t="s">
        <v>5211</v>
      </c>
      <c r="B172" s="21">
        <v>714</v>
      </c>
      <c r="C172" s="22" t="s">
        <v>70</v>
      </c>
      <c r="D172" s="22" t="s">
        <v>567</v>
      </c>
      <c r="E172" s="22" t="str">
        <f>CONCATENATE(B172,D172)</f>
        <v>71460399-102</v>
      </c>
      <c r="F172" s="22" t="s">
        <v>568</v>
      </c>
      <c r="G172" s="22" t="s">
        <v>112</v>
      </c>
      <c r="H172" s="23">
        <v>7.7001999999999997</v>
      </c>
      <c r="I172" s="24">
        <v>8</v>
      </c>
      <c r="J172" s="24">
        <v>0</v>
      </c>
      <c r="K172" s="24">
        <v>0</v>
      </c>
      <c r="L172" s="41">
        <f>Table2[[#This Row],[Column1]]+Table2[[#This Row],[Column2]]</f>
        <v>0</v>
      </c>
      <c r="M172" s="42">
        <f>Table2[[#This Row],[OnHandQty]]-Table2[[#This Row],[Projection Nov/Dec]]</f>
        <v>8</v>
      </c>
      <c r="N172" s="35">
        <f>Table2[[#This Row],[OverStock]]*Table2[[#This Row],[RepCost]]</f>
        <v>61.601599999999998</v>
      </c>
      <c r="O172" s="25">
        <v>46239.595833333333</v>
      </c>
      <c r="P172" s="26" t="s">
        <v>40</v>
      </c>
    </row>
    <row r="173" spans="1:16" x14ac:dyDescent="0.25">
      <c r="A173" s="20" t="s">
        <v>5211</v>
      </c>
      <c r="B173" s="21">
        <v>636</v>
      </c>
      <c r="C173" s="22" t="s">
        <v>70</v>
      </c>
      <c r="D173" s="22" t="s">
        <v>646</v>
      </c>
      <c r="E173" s="22" t="str">
        <f>CONCATENATE(B173,D173)</f>
        <v>63660450-101</v>
      </c>
      <c r="F173" s="22" t="s">
        <v>647</v>
      </c>
      <c r="G173" s="22" t="s">
        <v>29</v>
      </c>
      <c r="H173" s="23">
        <v>6.7998000000000003</v>
      </c>
      <c r="I173" s="24">
        <v>1</v>
      </c>
      <c r="J173" s="24">
        <v>0</v>
      </c>
      <c r="K173" s="24">
        <v>0</v>
      </c>
      <c r="L173" s="41">
        <f>Table2[[#This Row],[Column1]]+Table2[[#This Row],[Column2]]</f>
        <v>0</v>
      </c>
      <c r="M173" s="42">
        <f>Table2[[#This Row],[OnHandQty]]-Table2[[#This Row],[Projection Nov/Dec]]</f>
        <v>1</v>
      </c>
      <c r="N173" s="35">
        <f>Table2[[#This Row],[OverStock]]*Table2[[#This Row],[RepCost]]</f>
        <v>6.7998000000000003</v>
      </c>
      <c r="O173" s="25">
        <v>46196.405555555553</v>
      </c>
      <c r="P173" s="26" t="s">
        <v>16</v>
      </c>
    </row>
    <row r="174" spans="1:16" x14ac:dyDescent="0.25">
      <c r="A174" s="20" t="s">
        <v>5211</v>
      </c>
      <c r="B174" s="21">
        <v>636</v>
      </c>
      <c r="C174" s="22" t="s">
        <v>70</v>
      </c>
      <c r="D174" s="22" t="s">
        <v>593</v>
      </c>
      <c r="E174" s="22" t="str">
        <f>CONCATENATE(B174,D174)</f>
        <v>63663305-101</v>
      </c>
      <c r="F174" s="22" t="s">
        <v>594</v>
      </c>
      <c r="G174" s="22" t="s">
        <v>39</v>
      </c>
      <c r="H174" s="23">
        <v>11.0754</v>
      </c>
      <c r="I174" s="24">
        <v>1</v>
      </c>
      <c r="J174" s="24">
        <v>0</v>
      </c>
      <c r="K174" s="24">
        <v>0</v>
      </c>
      <c r="L174" s="41">
        <f>Table2[[#This Row],[Column1]]+Table2[[#This Row],[Column2]]</f>
        <v>0</v>
      </c>
      <c r="M174" s="42">
        <f>Table2[[#This Row],[OnHandQty]]-Table2[[#This Row],[Projection Nov/Dec]]</f>
        <v>1</v>
      </c>
      <c r="N174" s="35">
        <f>Table2[[#This Row],[OverStock]]*Table2[[#This Row],[RepCost]]</f>
        <v>11.0754</v>
      </c>
      <c r="O174" s="25">
        <v>46183.40625</v>
      </c>
      <c r="P174" s="26" t="s">
        <v>40</v>
      </c>
    </row>
    <row r="175" spans="1:16" x14ac:dyDescent="0.25">
      <c r="A175" s="20" t="s">
        <v>5211</v>
      </c>
      <c r="B175" s="21">
        <v>634</v>
      </c>
      <c r="C175" s="22" t="s">
        <v>70</v>
      </c>
      <c r="D175" s="22" t="s">
        <v>100</v>
      </c>
      <c r="E175" s="22" t="str">
        <f>CONCATENATE(B175,D175)</f>
        <v>63463306-101</v>
      </c>
      <c r="F175" s="22" t="s">
        <v>101</v>
      </c>
      <c r="G175" s="22" t="s">
        <v>29</v>
      </c>
      <c r="H175" s="23">
        <v>11.2438</v>
      </c>
      <c r="I175" s="24">
        <v>6</v>
      </c>
      <c r="J175" s="24">
        <v>0</v>
      </c>
      <c r="K175" s="24">
        <v>0</v>
      </c>
      <c r="L175" s="41">
        <f>Table2[[#This Row],[Column1]]+Table2[[#This Row],[Column2]]</f>
        <v>0</v>
      </c>
      <c r="M175" s="42">
        <f>Table2[[#This Row],[OnHandQty]]-Table2[[#This Row],[Projection Nov/Dec]]</f>
        <v>6</v>
      </c>
      <c r="N175" s="35">
        <f>Table2[[#This Row],[OverStock]]*Table2[[#This Row],[RepCost]]</f>
        <v>67.462800000000001</v>
      </c>
      <c r="O175" s="25">
        <v>46134.53125</v>
      </c>
      <c r="P175" s="26" t="s">
        <v>40</v>
      </c>
    </row>
    <row r="176" spans="1:16" x14ac:dyDescent="0.25">
      <c r="A176" s="20" t="s">
        <v>5211</v>
      </c>
      <c r="B176" s="21">
        <v>636</v>
      </c>
      <c r="C176" s="22" t="s">
        <v>323</v>
      </c>
      <c r="D176" s="22" t="s">
        <v>1316</v>
      </c>
      <c r="E176" s="22" t="str">
        <f>CONCATENATE(B176,D176)</f>
        <v>63673844-0017</v>
      </c>
      <c r="F176" s="22" t="s">
        <v>1317</v>
      </c>
      <c r="G176" s="22" t="s">
        <v>43</v>
      </c>
      <c r="H176" s="23">
        <v>143.40809999999999</v>
      </c>
      <c r="I176" s="24">
        <v>1</v>
      </c>
      <c r="J176" s="24">
        <v>0</v>
      </c>
      <c r="K176" s="24">
        <v>0</v>
      </c>
      <c r="L176" s="41">
        <f>Table2[[#This Row],[Column1]]+Table2[[#This Row],[Column2]]</f>
        <v>0</v>
      </c>
      <c r="M176" s="42">
        <f>Table2[[#This Row],[OnHandQty]]-Table2[[#This Row],[Projection Nov/Dec]]</f>
        <v>1</v>
      </c>
      <c r="N176" s="35">
        <f>Table2[[#This Row],[OverStock]]*Table2[[#This Row],[RepCost]]</f>
        <v>143.40809999999999</v>
      </c>
      <c r="O176" s="25">
        <v>46143.668055555558</v>
      </c>
      <c r="P176" s="26" t="s">
        <v>942</v>
      </c>
    </row>
    <row r="177" spans="1:16" x14ac:dyDescent="0.25">
      <c r="A177" s="20" t="s">
        <v>5211</v>
      </c>
      <c r="B177" s="21">
        <v>636</v>
      </c>
      <c r="C177" s="22" t="s">
        <v>323</v>
      </c>
      <c r="D177" s="22" t="s">
        <v>1316</v>
      </c>
      <c r="E177" s="22" t="str">
        <f>CONCATENATE(B177,D177)</f>
        <v>63673844-0017</v>
      </c>
      <c r="F177" s="22" t="s">
        <v>1317</v>
      </c>
      <c r="G177" s="22" t="s">
        <v>43</v>
      </c>
      <c r="H177" s="23">
        <v>143.40809999999999</v>
      </c>
      <c r="I177" s="24">
        <v>1</v>
      </c>
      <c r="J177" s="24">
        <v>0</v>
      </c>
      <c r="K177" s="24">
        <v>0</v>
      </c>
      <c r="L177" s="41">
        <f>Table2[[#This Row],[Column1]]+Table2[[#This Row],[Column2]]</f>
        <v>0</v>
      </c>
      <c r="M177" s="42">
        <f>Table2[[#This Row],[OnHandQty]]-Table2[[#This Row],[Projection Nov/Dec]]</f>
        <v>1</v>
      </c>
      <c r="N177" s="35">
        <f>Table2[[#This Row],[OverStock]]*Table2[[#This Row],[RepCost]]</f>
        <v>143.40809999999999</v>
      </c>
      <c r="O177" s="25">
        <v>46143.668055555558</v>
      </c>
      <c r="P177" s="26" t="s">
        <v>942</v>
      </c>
    </row>
    <row r="178" spans="1:16" x14ac:dyDescent="0.25">
      <c r="A178" s="20" t="s">
        <v>5211</v>
      </c>
      <c r="B178" s="21">
        <v>714</v>
      </c>
      <c r="C178" s="22" t="s">
        <v>323</v>
      </c>
      <c r="D178" s="22" t="s">
        <v>3157</v>
      </c>
      <c r="E178" s="22" t="str">
        <f>CONCATENATE(B178,D178)</f>
        <v>71473844-MS115</v>
      </c>
      <c r="F178" s="22" t="s">
        <v>3158</v>
      </c>
      <c r="G178" s="22" t="s">
        <v>158</v>
      </c>
      <c r="H178" s="23">
        <v>91.880099999999999</v>
      </c>
      <c r="I178" s="24">
        <v>5</v>
      </c>
      <c r="J178" s="24">
        <v>0</v>
      </c>
      <c r="K178" s="24">
        <v>0</v>
      </c>
      <c r="L178" s="41">
        <f>Table2[[#This Row],[Column1]]+Table2[[#This Row],[Column2]]</f>
        <v>0</v>
      </c>
      <c r="M178" s="42">
        <f>Table2[[#This Row],[OnHandQty]]-Table2[[#This Row],[Projection Nov/Dec]]</f>
        <v>5</v>
      </c>
      <c r="N178" s="35">
        <f>Table2[[#This Row],[OverStock]]*Table2[[#This Row],[RepCost]]</f>
        <v>459.40049999999997</v>
      </c>
      <c r="O178" s="25">
        <v>46171.327777777777</v>
      </c>
      <c r="P178" s="26" t="s">
        <v>1841</v>
      </c>
    </row>
    <row r="179" spans="1:16" x14ac:dyDescent="0.25">
      <c r="A179" s="20" t="s">
        <v>5211</v>
      </c>
      <c r="B179" s="21">
        <v>714</v>
      </c>
      <c r="C179" s="22" t="s">
        <v>323</v>
      </c>
      <c r="D179" s="22" t="s">
        <v>3492</v>
      </c>
      <c r="E179" s="22" t="str">
        <f>CONCATENATE(B179,D179)</f>
        <v>71473844-MS125</v>
      </c>
      <c r="F179" s="22" t="s">
        <v>3493</v>
      </c>
      <c r="G179" s="22" t="s">
        <v>23</v>
      </c>
      <c r="H179" s="23">
        <v>145.9272</v>
      </c>
      <c r="I179" s="24">
        <v>1</v>
      </c>
      <c r="J179" s="24">
        <v>0</v>
      </c>
      <c r="K179" s="24">
        <v>0</v>
      </c>
      <c r="L179" s="41">
        <f>Table2[[#This Row],[Column1]]+Table2[[#This Row],[Column2]]</f>
        <v>0</v>
      </c>
      <c r="M179" s="42">
        <f>Table2[[#This Row],[OnHandQty]]-Table2[[#This Row],[Projection Nov/Dec]]</f>
        <v>1</v>
      </c>
      <c r="N179" s="35">
        <f>Table2[[#This Row],[OverStock]]*Table2[[#This Row],[RepCost]]</f>
        <v>145.9272</v>
      </c>
      <c r="O179" s="25">
        <v>46171.327777777777</v>
      </c>
      <c r="P179" s="26" t="s">
        <v>1841</v>
      </c>
    </row>
    <row r="180" spans="1:16" x14ac:dyDescent="0.25">
      <c r="A180" s="20" t="s">
        <v>5211</v>
      </c>
      <c r="B180" s="21">
        <v>718</v>
      </c>
      <c r="C180" s="22" t="s">
        <v>323</v>
      </c>
      <c r="D180" s="22" t="s">
        <v>3492</v>
      </c>
      <c r="E180" s="22" t="str">
        <f>CONCATENATE(B180,D180)</f>
        <v>71873844-MS125</v>
      </c>
      <c r="F180" s="22" t="s">
        <v>3493</v>
      </c>
      <c r="G180" s="22" t="s">
        <v>158</v>
      </c>
      <c r="H180" s="23">
        <v>195.93039999999999</v>
      </c>
      <c r="I180" s="24">
        <v>2</v>
      </c>
      <c r="J180" s="24">
        <v>0</v>
      </c>
      <c r="K180" s="24">
        <v>0</v>
      </c>
      <c r="L180" s="41">
        <f>Table2[[#This Row],[Column1]]+Table2[[#This Row],[Column2]]</f>
        <v>0</v>
      </c>
      <c r="M180" s="42">
        <f>Table2[[#This Row],[OnHandQty]]-Table2[[#This Row],[Projection Nov/Dec]]</f>
        <v>2</v>
      </c>
      <c r="N180" s="35">
        <f>Table2[[#This Row],[OverStock]]*Table2[[#This Row],[RepCost]]</f>
        <v>391.86079999999998</v>
      </c>
      <c r="O180" s="25">
        <v>46189.361805555556</v>
      </c>
      <c r="P180" s="26" t="s">
        <v>1825</v>
      </c>
    </row>
    <row r="181" spans="1:16" x14ac:dyDescent="0.25">
      <c r="A181" s="20" t="s">
        <v>5211</v>
      </c>
      <c r="B181" s="21">
        <v>714</v>
      </c>
      <c r="C181" s="22" t="s">
        <v>143</v>
      </c>
      <c r="D181" s="22" t="s">
        <v>2766</v>
      </c>
      <c r="E181" s="22" t="str">
        <f>CONCATENATE(B181,D181)</f>
        <v>71460534-110</v>
      </c>
      <c r="F181" s="27" t="s">
        <v>2767</v>
      </c>
      <c r="G181" s="27" t="s">
        <v>58</v>
      </c>
      <c r="H181" s="23">
        <v>118.2436</v>
      </c>
      <c r="I181" s="24">
        <v>22</v>
      </c>
      <c r="J181" s="24">
        <v>0</v>
      </c>
      <c r="K181" s="24">
        <v>0</v>
      </c>
      <c r="L181" s="41">
        <f>Table2[[#This Row],[Column1]]+Table2[[#This Row],[Column2]]</f>
        <v>0</v>
      </c>
      <c r="M181" s="42">
        <f>Table2[[#This Row],[OnHandQty]]-Table2[[#This Row],[Projection Nov/Dec]]</f>
        <v>22</v>
      </c>
      <c r="N181" s="35">
        <f>Table2[[#This Row],[OverStock]]*Table2[[#This Row],[RepCost]]</f>
        <v>2601.3591999999999</v>
      </c>
      <c r="O181" s="25">
        <v>46111.46597222222</v>
      </c>
      <c r="P181" s="26" t="s">
        <v>2358</v>
      </c>
    </row>
    <row r="182" spans="1:16" x14ac:dyDescent="0.25">
      <c r="A182" s="20" t="s">
        <v>5211</v>
      </c>
      <c r="B182" s="21">
        <v>714</v>
      </c>
      <c r="C182" s="22" t="s">
        <v>143</v>
      </c>
      <c r="D182" s="22" t="s">
        <v>2292</v>
      </c>
      <c r="E182" s="22" t="str">
        <f>CONCATENATE(B182,D182)</f>
        <v>71460534-115</v>
      </c>
      <c r="F182" s="27" t="s">
        <v>2293</v>
      </c>
      <c r="G182" s="27" t="s">
        <v>58</v>
      </c>
      <c r="H182" s="23">
        <v>137.32769999999999</v>
      </c>
      <c r="I182" s="24">
        <v>3</v>
      </c>
      <c r="J182" s="24">
        <v>0</v>
      </c>
      <c r="K182" s="24">
        <v>0</v>
      </c>
      <c r="L182" s="41">
        <f>Table2[[#This Row],[Column1]]+Table2[[#This Row],[Column2]]</f>
        <v>0</v>
      </c>
      <c r="M182" s="42">
        <f>Table2[[#This Row],[OnHandQty]]-Table2[[#This Row],[Projection Nov/Dec]]</f>
        <v>3</v>
      </c>
      <c r="N182" s="35">
        <f>Table2[[#This Row],[OverStock]]*Table2[[#This Row],[RepCost]]</f>
        <v>411.98309999999998</v>
      </c>
      <c r="O182" s="25">
        <v>45835.557638888888</v>
      </c>
      <c r="P182" s="26" t="s">
        <v>137</v>
      </c>
    </row>
    <row r="183" spans="1:16" x14ac:dyDescent="0.25">
      <c r="A183" s="20" t="s">
        <v>5211</v>
      </c>
      <c r="B183" s="21">
        <v>636</v>
      </c>
      <c r="C183" s="22" t="s">
        <v>323</v>
      </c>
      <c r="D183" s="22" t="s">
        <v>1608</v>
      </c>
      <c r="E183" s="22" t="str">
        <f>CONCATENATE(B183,D183)</f>
        <v>63660520-020</v>
      </c>
      <c r="F183" s="22" t="s">
        <v>1609</v>
      </c>
      <c r="G183" s="22" t="s">
        <v>29</v>
      </c>
      <c r="H183" s="23">
        <v>170.55119999999999</v>
      </c>
      <c r="I183" s="24">
        <v>1</v>
      </c>
      <c r="J183" s="24">
        <v>0</v>
      </c>
      <c r="K183" s="24">
        <v>0</v>
      </c>
      <c r="L183" s="41">
        <f>Table2[[#This Row],[Column1]]+Table2[[#This Row],[Column2]]</f>
        <v>0</v>
      </c>
      <c r="M183" s="42">
        <f>Table2[[#This Row],[OnHandQty]]-Table2[[#This Row],[Projection Nov/Dec]]</f>
        <v>1</v>
      </c>
      <c r="N183" s="35">
        <f>Table2[[#This Row],[OverStock]]*Table2[[#This Row],[RepCost]]</f>
        <v>170.55119999999999</v>
      </c>
      <c r="O183" s="25">
        <v>46114.612500000003</v>
      </c>
      <c r="P183" s="26" t="s">
        <v>330</v>
      </c>
    </row>
    <row r="184" spans="1:16" x14ac:dyDescent="0.25">
      <c r="A184" s="20" t="s">
        <v>5211</v>
      </c>
      <c r="B184" s="21">
        <v>714</v>
      </c>
      <c r="C184" s="22" t="s">
        <v>70</v>
      </c>
      <c r="D184" s="22" t="s">
        <v>2153</v>
      </c>
      <c r="E184" s="22" t="str">
        <f>CONCATENATE(B184,D184)</f>
        <v>71485664-SP4</v>
      </c>
      <c r="F184" s="22" t="s">
        <v>2154</v>
      </c>
      <c r="G184" s="22" t="s">
        <v>39</v>
      </c>
      <c r="H184" s="23">
        <v>3.8835999999999999</v>
      </c>
      <c r="I184" s="24">
        <v>52</v>
      </c>
      <c r="J184" s="24">
        <v>0</v>
      </c>
      <c r="K184" s="24">
        <v>0</v>
      </c>
      <c r="L184" s="41">
        <f>Table2[[#This Row],[Column1]]+Table2[[#This Row],[Column2]]</f>
        <v>0</v>
      </c>
      <c r="M184" s="42">
        <f>Table2[[#This Row],[OnHandQty]]-Table2[[#This Row],[Projection Nov/Dec]]</f>
        <v>52</v>
      </c>
      <c r="N184" s="35">
        <f>Table2[[#This Row],[OverStock]]*Table2[[#This Row],[RepCost]]</f>
        <v>201.94720000000001</v>
      </c>
      <c r="O184" s="25">
        <v>46197.400694444441</v>
      </c>
      <c r="P184" s="26" t="s">
        <v>506</v>
      </c>
    </row>
    <row r="185" spans="1:16" x14ac:dyDescent="0.25">
      <c r="A185" s="20" t="s">
        <v>5211</v>
      </c>
      <c r="B185" s="21">
        <v>634</v>
      </c>
      <c r="C185" s="22" t="s">
        <v>70</v>
      </c>
      <c r="D185" s="22" t="s">
        <v>71</v>
      </c>
      <c r="E185" s="22" t="str">
        <f>CONCATENATE(B185,D185)</f>
        <v>63485099-101</v>
      </c>
      <c r="F185" s="27" t="s">
        <v>72</v>
      </c>
      <c r="G185" s="27" t="s">
        <v>58</v>
      </c>
      <c r="H185" s="23">
        <v>5.8710000000000004</v>
      </c>
      <c r="I185" s="24">
        <v>4</v>
      </c>
      <c r="J185" s="24">
        <v>0</v>
      </c>
      <c r="K185" s="24">
        <v>0</v>
      </c>
      <c r="L185" s="41">
        <f>Table2[[#This Row],[Column1]]+Table2[[#This Row],[Column2]]</f>
        <v>0</v>
      </c>
      <c r="M185" s="42">
        <f>Table2[[#This Row],[OnHandQty]]-Table2[[#This Row],[Projection Nov/Dec]]</f>
        <v>4</v>
      </c>
      <c r="N185" s="35">
        <f>Table2[[#This Row],[OverStock]]*Table2[[#This Row],[RepCost]]</f>
        <v>23.484000000000002</v>
      </c>
      <c r="O185" s="25">
        <v>45863.606249999997</v>
      </c>
      <c r="P185" s="26" t="s">
        <v>16</v>
      </c>
    </row>
    <row r="186" spans="1:16" x14ac:dyDescent="0.25">
      <c r="A186" s="20" t="s">
        <v>5211</v>
      </c>
      <c r="B186" s="21">
        <v>634</v>
      </c>
      <c r="C186" s="22" t="s">
        <v>70</v>
      </c>
      <c r="D186" s="22" t="s">
        <v>95</v>
      </c>
      <c r="E186" s="22" t="str">
        <f>CONCATENATE(B186,D186)</f>
        <v>63460558-101</v>
      </c>
      <c r="F186" s="22" t="s">
        <v>96</v>
      </c>
      <c r="G186" s="22" t="s">
        <v>39</v>
      </c>
      <c r="H186" s="23">
        <v>6.0419999999999998</v>
      </c>
      <c r="I186" s="24">
        <v>5</v>
      </c>
      <c r="J186" s="24">
        <v>0</v>
      </c>
      <c r="K186" s="24">
        <v>0</v>
      </c>
      <c r="L186" s="41">
        <f>Table2[[#This Row],[Column1]]+Table2[[#This Row],[Column2]]</f>
        <v>0</v>
      </c>
      <c r="M186" s="42">
        <f>Table2[[#This Row],[OnHandQty]]-Table2[[#This Row],[Projection Nov/Dec]]</f>
        <v>5</v>
      </c>
      <c r="N186" s="35">
        <f>Table2[[#This Row],[OverStock]]*Table2[[#This Row],[RepCost]]</f>
        <v>30.21</v>
      </c>
      <c r="O186" s="25">
        <v>46113.434027777781</v>
      </c>
      <c r="P186" s="26" t="s">
        <v>16</v>
      </c>
    </row>
    <row r="187" spans="1:16" x14ac:dyDescent="0.25">
      <c r="A187" s="20" t="s">
        <v>5211</v>
      </c>
      <c r="B187" s="21">
        <v>718</v>
      </c>
      <c r="C187" s="22" t="s">
        <v>70</v>
      </c>
      <c r="D187" s="22" t="s">
        <v>1979</v>
      </c>
      <c r="E187" s="22" t="str">
        <f>CONCATENATE(B187,D187)</f>
        <v>71860558-102</v>
      </c>
      <c r="F187" s="22" t="s">
        <v>1980</v>
      </c>
      <c r="G187" s="22" t="s">
        <v>39</v>
      </c>
      <c r="H187" s="23">
        <v>6.4663000000000004</v>
      </c>
      <c r="I187" s="24">
        <v>14</v>
      </c>
      <c r="J187" s="24">
        <v>0</v>
      </c>
      <c r="K187" s="24">
        <v>0</v>
      </c>
      <c r="L187" s="41">
        <f>Table2[[#This Row],[Column1]]+Table2[[#This Row],[Column2]]</f>
        <v>0</v>
      </c>
      <c r="M187" s="42">
        <f>Table2[[#This Row],[OnHandQty]]-Table2[[#This Row],[Projection Nov/Dec]]</f>
        <v>14</v>
      </c>
      <c r="N187" s="35">
        <f>Table2[[#This Row],[OverStock]]*Table2[[#This Row],[RepCost]]</f>
        <v>90.528199999999998</v>
      </c>
      <c r="O187" s="25">
        <v>45790.552083333336</v>
      </c>
      <c r="P187" s="26" t="s">
        <v>26</v>
      </c>
    </row>
    <row r="188" spans="1:16" x14ac:dyDescent="0.25">
      <c r="A188" s="20" t="s">
        <v>5211</v>
      </c>
      <c r="B188" s="21">
        <v>636</v>
      </c>
      <c r="C188" s="22" t="s">
        <v>70</v>
      </c>
      <c r="D188" s="22" t="s">
        <v>841</v>
      </c>
      <c r="E188" s="22" t="str">
        <f>CONCATENATE(B188,D188)</f>
        <v>63685024-101</v>
      </c>
      <c r="F188" s="22" t="s">
        <v>842</v>
      </c>
      <c r="G188" s="22" t="s">
        <v>39</v>
      </c>
      <c r="H188" s="23">
        <v>5.5952000000000002</v>
      </c>
      <c r="I188" s="24">
        <v>3</v>
      </c>
      <c r="J188" s="24">
        <v>0</v>
      </c>
      <c r="K188" s="24">
        <v>0</v>
      </c>
      <c r="L188" s="41">
        <f>Table2[[#This Row],[Column1]]+Table2[[#This Row],[Column2]]</f>
        <v>0</v>
      </c>
      <c r="M188" s="42">
        <f>Table2[[#This Row],[OnHandQty]]-Table2[[#This Row],[Projection Nov/Dec]]</f>
        <v>3</v>
      </c>
      <c r="N188" s="35">
        <f>Table2[[#This Row],[OverStock]]*Table2[[#This Row],[RepCost]]</f>
        <v>16.785600000000002</v>
      </c>
      <c r="O188" s="25">
        <v>46177.604166666664</v>
      </c>
      <c r="P188" s="26" t="s">
        <v>40</v>
      </c>
    </row>
    <row r="189" spans="1:16" x14ac:dyDescent="0.25">
      <c r="A189" s="20" t="s">
        <v>5211</v>
      </c>
      <c r="B189" s="21">
        <v>636</v>
      </c>
      <c r="C189" s="22" t="s">
        <v>70</v>
      </c>
      <c r="D189" s="22" t="s">
        <v>692</v>
      </c>
      <c r="E189" s="22" t="str">
        <f>CONCATENATE(B189,D189)</f>
        <v>63695395-PF4</v>
      </c>
      <c r="F189" s="22" t="s">
        <v>693</v>
      </c>
      <c r="G189" s="22" t="s">
        <v>39</v>
      </c>
      <c r="H189" s="23">
        <v>7.1154999999999999</v>
      </c>
      <c r="I189" s="24">
        <v>2</v>
      </c>
      <c r="J189" s="24">
        <v>0</v>
      </c>
      <c r="K189" s="24">
        <v>0</v>
      </c>
      <c r="L189" s="41">
        <f>Table2[[#This Row],[Column1]]+Table2[[#This Row],[Column2]]</f>
        <v>0</v>
      </c>
      <c r="M189" s="42">
        <f>Table2[[#This Row],[OnHandQty]]-Table2[[#This Row],[Projection Nov/Dec]]</f>
        <v>2</v>
      </c>
      <c r="N189" s="35">
        <f>Table2[[#This Row],[OverStock]]*Table2[[#This Row],[RepCost]]</f>
        <v>14.231</v>
      </c>
      <c r="O189" s="25">
        <v>46184.540277777778</v>
      </c>
      <c r="P189" s="26" t="s">
        <v>16</v>
      </c>
    </row>
    <row r="190" spans="1:16" x14ac:dyDescent="0.25">
      <c r="A190" s="20" t="s">
        <v>5211</v>
      </c>
      <c r="B190" s="21">
        <v>636</v>
      </c>
      <c r="C190" s="22" t="s">
        <v>70</v>
      </c>
      <c r="D190" s="22" t="s">
        <v>769</v>
      </c>
      <c r="E190" s="22" t="str">
        <f>CONCATENATE(B190,D190)</f>
        <v>63693301-PF4</v>
      </c>
      <c r="F190" s="22" t="s">
        <v>770</v>
      </c>
      <c r="G190" s="22" t="s">
        <v>39</v>
      </c>
      <c r="H190" s="23">
        <v>7.2500999999999998</v>
      </c>
      <c r="I190" s="24">
        <v>2</v>
      </c>
      <c r="J190" s="24">
        <v>0</v>
      </c>
      <c r="K190" s="24">
        <v>0</v>
      </c>
      <c r="L190" s="41">
        <f>Table2[[#This Row],[Column1]]+Table2[[#This Row],[Column2]]</f>
        <v>0</v>
      </c>
      <c r="M190" s="42">
        <f>Table2[[#This Row],[OnHandQty]]-Table2[[#This Row],[Projection Nov/Dec]]</f>
        <v>2</v>
      </c>
      <c r="N190" s="35">
        <f>Table2[[#This Row],[OverStock]]*Table2[[#This Row],[RepCost]]</f>
        <v>14.5002</v>
      </c>
      <c r="O190" s="25">
        <v>46177.399305555555</v>
      </c>
      <c r="P190" s="26" t="s">
        <v>16</v>
      </c>
    </row>
    <row r="191" spans="1:16" x14ac:dyDescent="0.25">
      <c r="A191" s="20" t="s">
        <v>5211</v>
      </c>
      <c r="B191" s="21">
        <v>714</v>
      </c>
      <c r="C191" s="22" t="s">
        <v>70</v>
      </c>
      <c r="D191" s="22" t="s">
        <v>2111</v>
      </c>
      <c r="E191" s="22" t="str">
        <f>CONCATENATE(B191,D191)</f>
        <v>71495396-PF4</v>
      </c>
      <c r="F191" s="22" t="s">
        <v>2112</v>
      </c>
      <c r="G191" s="22" t="s">
        <v>39</v>
      </c>
      <c r="H191" s="23">
        <v>9.0353999999999992</v>
      </c>
      <c r="I191" s="24">
        <v>15</v>
      </c>
      <c r="J191" s="24">
        <v>0</v>
      </c>
      <c r="K191" s="24">
        <v>0</v>
      </c>
      <c r="L191" s="41">
        <f>Table2[[#This Row],[Column1]]+Table2[[#This Row],[Column2]]</f>
        <v>0</v>
      </c>
      <c r="M191" s="42">
        <f>Table2[[#This Row],[OnHandQty]]-Table2[[#This Row],[Projection Nov/Dec]]</f>
        <v>15</v>
      </c>
      <c r="N191" s="35">
        <f>Table2[[#This Row],[OverStock]]*Table2[[#This Row],[RepCost]]</f>
        <v>135.53099999999998</v>
      </c>
      <c r="O191" s="25">
        <v>46198.40902777778</v>
      </c>
      <c r="P191" s="26" t="s">
        <v>573</v>
      </c>
    </row>
    <row r="192" spans="1:16" x14ac:dyDescent="0.25">
      <c r="A192" s="20" t="s">
        <v>5211</v>
      </c>
      <c r="B192" s="21">
        <v>636</v>
      </c>
      <c r="C192" s="22" t="s">
        <v>70</v>
      </c>
      <c r="D192" s="22" t="s">
        <v>690</v>
      </c>
      <c r="E192" s="22" t="str">
        <f>CONCATENATE(B192,D192)</f>
        <v>63692310-101</v>
      </c>
      <c r="F192" s="22" t="s">
        <v>691</v>
      </c>
      <c r="G192" s="22" t="s">
        <v>39</v>
      </c>
      <c r="H192" s="23">
        <v>6.2050000000000001</v>
      </c>
      <c r="I192" s="24">
        <v>5</v>
      </c>
      <c r="J192" s="24">
        <v>0</v>
      </c>
      <c r="K192" s="24">
        <v>0</v>
      </c>
      <c r="L192" s="41">
        <f>Table2[[#This Row],[Column1]]+Table2[[#This Row],[Column2]]</f>
        <v>0</v>
      </c>
      <c r="M192" s="42">
        <f>Table2[[#This Row],[OnHandQty]]-Table2[[#This Row],[Projection Nov/Dec]]</f>
        <v>5</v>
      </c>
      <c r="N192" s="35">
        <f>Table2[[#This Row],[OverStock]]*Table2[[#This Row],[RepCost]]</f>
        <v>31.024999999999999</v>
      </c>
      <c r="O192" s="25">
        <v>46177.399305555555</v>
      </c>
      <c r="P192" s="26" t="s">
        <v>16</v>
      </c>
    </row>
    <row r="193" spans="1:16" x14ac:dyDescent="0.25">
      <c r="A193" s="20" t="s">
        <v>5211</v>
      </c>
      <c r="B193" s="21">
        <v>636</v>
      </c>
      <c r="C193" s="22" t="s">
        <v>1208</v>
      </c>
      <c r="D193" s="22" t="s">
        <v>1219</v>
      </c>
      <c r="E193" s="22" t="str">
        <f>CONCATENATE(B193,D193)</f>
        <v>63660582-101</v>
      </c>
      <c r="F193" s="22" t="s">
        <v>1220</v>
      </c>
      <c r="G193" s="22" t="s">
        <v>35</v>
      </c>
      <c r="H193" s="23">
        <v>27.895299999999999</v>
      </c>
      <c r="I193" s="24">
        <v>6</v>
      </c>
      <c r="J193" s="24">
        <v>0</v>
      </c>
      <c r="K193" s="24">
        <v>0</v>
      </c>
      <c r="L193" s="41">
        <f>Table2[[#This Row],[Column1]]+Table2[[#This Row],[Column2]]</f>
        <v>0</v>
      </c>
      <c r="M193" s="42">
        <f>Table2[[#This Row],[OnHandQty]]-Table2[[#This Row],[Projection Nov/Dec]]</f>
        <v>6</v>
      </c>
      <c r="N193" s="35">
        <f>Table2[[#This Row],[OverStock]]*Table2[[#This Row],[RepCost]]</f>
        <v>167.37180000000001</v>
      </c>
      <c r="O193" s="25">
        <v>45784.319444444445</v>
      </c>
      <c r="P193" s="26" t="s">
        <v>1221</v>
      </c>
    </row>
    <row r="194" spans="1:16" x14ac:dyDescent="0.25">
      <c r="A194" s="20" t="s">
        <v>5211</v>
      </c>
      <c r="B194" s="21">
        <v>636</v>
      </c>
      <c r="C194" s="22" t="s">
        <v>1749</v>
      </c>
      <c r="D194" s="22" t="s">
        <v>1760</v>
      </c>
      <c r="E194" s="22" t="str">
        <f>CONCATENATE(B194,D194)</f>
        <v>63684475-0010</v>
      </c>
      <c r="F194" s="22" t="s">
        <v>1761</v>
      </c>
      <c r="G194" s="22" t="s">
        <v>29</v>
      </c>
      <c r="H194" s="23">
        <v>21.516200000000001</v>
      </c>
      <c r="I194" s="24">
        <v>2</v>
      </c>
      <c r="J194" s="24">
        <v>0</v>
      </c>
      <c r="K194" s="24">
        <v>0</v>
      </c>
      <c r="L194" s="41">
        <f>Table2[[#This Row],[Column1]]+Table2[[#This Row],[Column2]]</f>
        <v>0</v>
      </c>
      <c r="M194" s="42">
        <f>Table2[[#This Row],[OnHandQty]]-Table2[[#This Row],[Projection Nov/Dec]]</f>
        <v>2</v>
      </c>
      <c r="N194" s="35">
        <f>Table2[[#This Row],[OverStock]]*Table2[[#This Row],[RepCost]]</f>
        <v>43.032400000000003</v>
      </c>
      <c r="O194" s="25">
        <v>45761.496527777781</v>
      </c>
      <c r="P194" s="26" t="s">
        <v>599</v>
      </c>
    </row>
    <row r="195" spans="1:16" x14ac:dyDescent="0.25">
      <c r="A195" s="20" t="s">
        <v>5211</v>
      </c>
      <c r="B195" s="21">
        <v>718</v>
      </c>
      <c r="C195" s="22" t="s">
        <v>12</v>
      </c>
      <c r="D195" s="22" t="s">
        <v>3601</v>
      </c>
      <c r="E195" s="22" t="str">
        <f>CONCATENATE(B195,D195)</f>
        <v>71896904-101</v>
      </c>
      <c r="F195" s="22" t="s">
        <v>3602</v>
      </c>
      <c r="G195" s="22" t="s">
        <v>29</v>
      </c>
      <c r="H195" s="23">
        <v>6.3204000000000002</v>
      </c>
      <c r="I195" s="24">
        <v>24</v>
      </c>
      <c r="J195" s="24">
        <v>0</v>
      </c>
      <c r="K195" s="24">
        <v>0</v>
      </c>
      <c r="L195" s="41">
        <f>Table2[[#This Row],[Column1]]+Table2[[#This Row],[Column2]]</f>
        <v>0</v>
      </c>
      <c r="M195" s="42">
        <f>Table2[[#This Row],[OnHandQty]]-Table2[[#This Row],[Projection Nov/Dec]]</f>
        <v>24</v>
      </c>
      <c r="N195" s="35">
        <f>Table2[[#This Row],[OverStock]]*Table2[[#This Row],[RepCost]]</f>
        <v>151.68960000000001</v>
      </c>
      <c r="O195" s="25">
        <v>46232.6</v>
      </c>
      <c r="P195" s="26" t="s">
        <v>573</v>
      </c>
    </row>
    <row r="196" spans="1:16" x14ac:dyDescent="0.25">
      <c r="A196" s="20" t="s">
        <v>5211</v>
      </c>
      <c r="B196" s="21">
        <v>714</v>
      </c>
      <c r="C196" s="22" t="s">
        <v>12</v>
      </c>
      <c r="D196" s="22" t="s">
        <v>1937</v>
      </c>
      <c r="E196" s="22" t="str">
        <f>CONCATENATE(B196,D196)</f>
        <v>71479436-2401</v>
      </c>
      <c r="F196" s="22" t="s">
        <v>1938</v>
      </c>
      <c r="G196" s="22" t="s">
        <v>29</v>
      </c>
      <c r="H196" s="23">
        <v>20.95</v>
      </c>
      <c r="I196" s="24">
        <v>11</v>
      </c>
      <c r="J196" s="24">
        <v>0</v>
      </c>
      <c r="K196" s="24">
        <v>0</v>
      </c>
      <c r="L196" s="41">
        <f>Table2[[#This Row],[Column1]]+Table2[[#This Row],[Column2]]</f>
        <v>0</v>
      </c>
      <c r="M196" s="42">
        <f>Table2[[#This Row],[OnHandQty]]-Table2[[#This Row],[Projection Nov/Dec]]</f>
        <v>11</v>
      </c>
      <c r="N196" s="35">
        <f>Table2[[#This Row],[OverStock]]*Table2[[#This Row],[RepCost]]</f>
        <v>230.45</v>
      </c>
      <c r="O196" s="25">
        <v>46244.670138888891</v>
      </c>
      <c r="P196" s="26" t="s">
        <v>1836</v>
      </c>
    </row>
    <row r="197" spans="1:16" x14ac:dyDescent="0.25">
      <c r="A197" s="20" t="s">
        <v>5211</v>
      </c>
      <c r="B197" s="21">
        <v>714</v>
      </c>
      <c r="C197" s="22" t="s">
        <v>12</v>
      </c>
      <c r="D197" s="22" t="s">
        <v>504</v>
      </c>
      <c r="E197" s="22" t="str">
        <f>CONCATENATE(B197,D197)</f>
        <v>71460705-101</v>
      </c>
      <c r="F197" s="22" t="s">
        <v>505</v>
      </c>
      <c r="G197" s="22" t="s">
        <v>23</v>
      </c>
      <c r="H197" s="23">
        <v>6.5772000000000004</v>
      </c>
      <c r="I197" s="24">
        <v>38</v>
      </c>
      <c r="J197" s="24">
        <v>0</v>
      </c>
      <c r="K197" s="24">
        <v>0</v>
      </c>
      <c r="L197" s="41">
        <f>Table2[[#This Row],[Column1]]+Table2[[#This Row],[Column2]]</f>
        <v>0</v>
      </c>
      <c r="M197" s="42">
        <f>Table2[[#This Row],[OnHandQty]]-Table2[[#This Row],[Projection Nov/Dec]]</f>
        <v>38</v>
      </c>
      <c r="N197" s="35">
        <f>Table2[[#This Row],[OverStock]]*Table2[[#This Row],[RepCost]]</f>
        <v>249.93360000000001</v>
      </c>
      <c r="O197" s="25">
        <v>46239.576388888891</v>
      </c>
      <c r="P197" s="26" t="s">
        <v>573</v>
      </c>
    </row>
    <row r="198" spans="1:16" x14ac:dyDescent="0.25">
      <c r="A198" s="20" t="s">
        <v>5211</v>
      </c>
      <c r="B198" s="21">
        <v>714</v>
      </c>
      <c r="C198" s="22" t="s">
        <v>12</v>
      </c>
      <c r="D198" s="22" t="s">
        <v>516</v>
      </c>
      <c r="E198" s="22" t="str">
        <f>CONCATENATE(B198,D198)</f>
        <v>71460707-101</v>
      </c>
      <c r="F198" s="22" t="s">
        <v>517</v>
      </c>
      <c r="G198" s="22" t="s">
        <v>29</v>
      </c>
      <c r="H198" s="23">
        <v>6.2336999999999998</v>
      </c>
      <c r="I198" s="24">
        <v>40</v>
      </c>
      <c r="J198" s="24">
        <v>0</v>
      </c>
      <c r="K198" s="24">
        <v>0</v>
      </c>
      <c r="L198" s="41">
        <f>Table2[[#This Row],[Column1]]+Table2[[#This Row],[Column2]]</f>
        <v>0</v>
      </c>
      <c r="M198" s="42">
        <f>Table2[[#This Row],[OnHandQty]]-Table2[[#This Row],[Projection Nov/Dec]]</f>
        <v>40</v>
      </c>
      <c r="N198" s="35">
        <f>Table2[[#This Row],[OverStock]]*Table2[[#This Row],[RepCost]]</f>
        <v>249.34799999999998</v>
      </c>
      <c r="O198" s="25">
        <v>46231.486805555556</v>
      </c>
      <c r="P198" s="26" t="s">
        <v>94</v>
      </c>
    </row>
    <row r="199" spans="1:16" x14ac:dyDescent="0.25">
      <c r="A199" s="20" t="s">
        <v>5211</v>
      </c>
      <c r="B199" s="21">
        <v>718</v>
      </c>
      <c r="C199" s="22" t="s">
        <v>12</v>
      </c>
      <c r="D199" s="22" t="s">
        <v>516</v>
      </c>
      <c r="E199" s="22" t="str">
        <f>CONCATENATE(B199,D199)</f>
        <v>71860707-101</v>
      </c>
      <c r="F199" s="22" t="s">
        <v>517</v>
      </c>
      <c r="G199" s="22" t="s">
        <v>39</v>
      </c>
      <c r="H199" s="23">
        <v>6.1574999999999998</v>
      </c>
      <c r="I199" s="24">
        <v>29</v>
      </c>
      <c r="J199" s="24">
        <v>0</v>
      </c>
      <c r="K199" s="24">
        <v>0</v>
      </c>
      <c r="L199" s="41">
        <f>Table2[[#This Row],[Column1]]+Table2[[#This Row],[Column2]]</f>
        <v>0</v>
      </c>
      <c r="M199" s="42">
        <f>Table2[[#This Row],[OnHandQty]]-Table2[[#This Row],[Projection Nov/Dec]]</f>
        <v>29</v>
      </c>
      <c r="N199" s="35">
        <f>Table2[[#This Row],[OverStock]]*Table2[[#This Row],[RepCost]]</f>
        <v>178.5675</v>
      </c>
      <c r="O199" s="25">
        <v>46232.6</v>
      </c>
      <c r="P199" s="26" t="s">
        <v>573</v>
      </c>
    </row>
    <row r="200" spans="1:16" x14ac:dyDescent="0.25">
      <c r="A200" s="20" t="s">
        <v>5211</v>
      </c>
      <c r="B200" s="21">
        <v>714</v>
      </c>
      <c r="C200" s="22" t="s">
        <v>12</v>
      </c>
      <c r="D200" s="22" t="s">
        <v>1861</v>
      </c>
      <c r="E200" s="22" t="str">
        <f>CONCATENATE(B200,D200)</f>
        <v>71460707-RCF24</v>
      </c>
      <c r="F200" s="22" t="s">
        <v>1862</v>
      </c>
      <c r="G200" s="22" t="s">
        <v>39</v>
      </c>
      <c r="H200" s="23">
        <v>16.95</v>
      </c>
      <c r="I200" s="24">
        <v>13</v>
      </c>
      <c r="J200" s="24">
        <v>0</v>
      </c>
      <c r="K200" s="24">
        <v>0</v>
      </c>
      <c r="L200" s="41">
        <f>Table2[[#This Row],[Column1]]+Table2[[#This Row],[Column2]]</f>
        <v>0</v>
      </c>
      <c r="M200" s="42">
        <f>Table2[[#This Row],[OnHandQty]]-Table2[[#This Row],[Projection Nov/Dec]]</f>
        <v>13</v>
      </c>
      <c r="N200" s="35">
        <f>Table2[[#This Row],[OverStock]]*Table2[[#This Row],[RepCost]]</f>
        <v>220.35</v>
      </c>
      <c r="O200" s="25">
        <v>46244.670138888891</v>
      </c>
      <c r="P200" s="26" t="s">
        <v>1836</v>
      </c>
    </row>
    <row r="201" spans="1:16" x14ac:dyDescent="0.25">
      <c r="A201" s="20" t="s">
        <v>5211</v>
      </c>
      <c r="B201" s="21">
        <v>714</v>
      </c>
      <c r="C201" s="22" t="s">
        <v>12</v>
      </c>
      <c r="D201" s="22" t="s">
        <v>1834</v>
      </c>
      <c r="E201" s="22" t="str">
        <f>CONCATENATE(B201,D201)</f>
        <v>71476428-RCF24</v>
      </c>
      <c r="F201" s="22" t="s">
        <v>1835</v>
      </c>
      <c r="G201" s="22" t="s">
        <v>39</v>
      </c>
      <c r="H201" s="23">
        <v>17.084700000000002</v>
      </c>
      <c r="I201" s="24">
        <v>14</v>
      </c>
      <c r="J201" s="24">
        <v>0</v>
      </c>
      <c r="K201" s="24">
        <v>0</v>
      </c>
      <c r="L201" s="41">
        <f>Table2[[#This Row],[Column1]]+Table2[[#This Row],[Column2]]</f>
        <v>0</v>
      </c>
      <c r="M201" s="42">
        <f>Table2[[#This Row],[OnHandQty]]-Table2[[#This Row],[Projection Nov/Dec]]</f>
        <v>14</v>
      </c>
      <c r="N201" s="35">
        <f>Table2[[#This Row],[OverStock]]*Table2[[#This Row],[RepCost]]</f>
        <v>239.18580000000003</v>
      </c>
      <c r="O201" s="25">
        <v>46244.670138888891</v>
      </c>
      <c r="P201" s="26" t="s">
        <v>1836</v>
      </c>
    </row>
    <row r="202" spans="1:16" x14ac:dyDescent="0.25">
      <c r="A202" s="20" t="s">
        <v>5211</v>
      </c>
      <c r="B202" s="21">
        <v>718</v>
      </c>
      <c r="C202" s="22" t="s">
        <v>12</v>
      </c>
      <c r="D202" s="22" t="s">
        <v>3617</v>
      </c>
      <c r="E202" s="22" t="str">
        <f>CONCATENATE(B202,D202)</f>
        <v>71860721-105</v>
      </c>
      <c r="F202" s="22" t="s">
        <v>3618</v>
      </c>
      <c r="G202" s="22" t="s">
        <v>35</v>
      </c>
      <c r="H202" s="23">
        <v>24.246700000000001</v>
      </c>
      <c r="I202" s="24">
        <v>8</v>
      </c>
      <c r="J202" s="24">
        <v>0</v>
      </c>
      <c r="K202" s="24">
        <v>0</v>
      </c>
      <c r="L202" s="41">
        <f>Table2[[#This Row],[Column1]]+Table2[[#This Row],[Column2]]</f>
        <v>0</v>
      </c>
      <c r="M202" s="42">
        <f>Table2[[#This Row],[OnHandQty]]-Table2[[#This Row],[Projection Nov/Dec]]</f>
        <v>8</v>
      </c>
      <c r="N202" s="35">
        <f>Table2[[#This Row],[OverStock]]*Table2[[#This Row],[RepCost]]</f>
        <v>193.9736</v>
      </c>
      <c r="O202" s="25">
        <v>45940.478472222225</v>
      </c>
      <c r="P202" s="26" t="s">
        <v>140</v>
      </c>
    </row>
    <row r="203" spans="1:16" x14ac:dyDescent="0.25">
      <c r="A203" s="20" t="s">
        <v>5211</v>
      </c>
      <c r="B203" s="21">
        <v>636</v>
      </c>
      <c r="C203" s="22" t="s">
        <v>70</v>
      </c>
      <c r="D203" s="22" t="s">
        <v>636</v>
      </c>
      <c r="E203" s="22" t="str">
        <f>CONCATENATE(B203,D203)</f>
        <v>63684930-101</v>
      </c>
      <c r="F203" s="22" t="s">
        <v>637</v>
      </c>
      <c r="G203" s="22" t="s">
        <v>29</v>
      </c>
      <c r="H203" s="23">
        <v>6.3205999999999998</v>
      </c>
      <c r="I203" s="24">
        <v>6</v>
      </c>
      <c r="J203" s="24">
        <v>0</v>
      </c>
      <c r="K203" s="24">
        <v>0</v>
      </c>
      <c r="L203" s="41">
        <f>Table2[[#This Row],[Column1]]+Table2[[#This Row],[Column2]]</f>
        <v>0</v>
      </c>
      <c r="M203" s="42">
        <f>Table2[[#This Row],[OnHandQty]]-Table2[[#This Row],[Projection Nov/Dec]]</f>
        <v>6</v>
      </c>
      <c r="N203" s="35">
        <f>Table2[[#This Row],[OverStock]]*Table2[[#This Row],[RepCost]]</f>
        <v>37.9236</v>
      </c>
      <c r="O203" s="25">
        <v>46196.405555555553</v>
      </c>
      <c r="P203" s="26" t="s">
        <v>16</v>
      </c>
    </row>
    <row r="204" spans="1:16" x14ac:dyDescent="0.25">
      <c r="A204" s="20" t="s">
        <v>5211</v>
      </c>
      <c r="B204" s="21">
        <v>636</v>
      </c>
      <c r="C204" s="22" t="s">
        <v>70</v>
      </c>
      <c r="D204" s="22" t="s">
        <v>630</v>
      </c>
      <c r="E204" s="22" t="str">
        <f>CONCATENATE(B204,D204)</f>
        <v>63674440-101</v>
      </c>
      <c r="F204" s="22" t="s">
        <v>631</v>
      </c>
      <c r="G204" s="22" t="s">
        <v>39</v>
      </c>
      <c r="H204" s="23">
        <v>5.2571000000000003</v>
      </c>
      <c r="I204" s="24">
        <v>8</v>
      </c>
      <c r="J204" s="24">
        <v>0</v>
      </c>
      <c r="K204" s="24">
        <v>0</v>
      </c>
      <c r="L204" s="41">
        <f>Table2[[#This Row],[Column1]]+Table2[[#This Row],[Column2]]</f>
        <v>0</v>
      </c>
      <c r="M204" s="42">
        <f>Table2[[#This Row],[OnHandQty]]-Table2[[#This Row],[Projection Nov/Dec]]</f>
        <v>8</v>
      </c>
      <c r="N204" s="35">
        <f>Table2[[#This Row],[OverStock]]*Table2[[#This Row],[RepCost]]</f>
        <v>42.056800000000003</v>
      </c>
      <c r="O204" s="25">
        <v>46171.48541666667</v>
      </c>
      <c r="P204" s="26" t="s">
        <v>16</v>
      </c>
    </row>
    <row r="205" spans="1:16" x14ac:dyDescent="0.25">
      <c r="A205" s="20" t="s">
        <v>5211</v>
      </c>
      <c r="B205" s="21">
        <v>714</v>
      </c>
      <c r="C205" s="22" t="s">
        <v>70</v>
      </c>
      <c r="D205" s="22" t="s">
        <v>2184</v>
      </c>
      <c r="E205" s="22" t="str">
        <f>CONCATENATE(B205,D205)</f>
        <v>71493715-101</v>
      </c>
      <c r="F205" s="22" t="s">
        <v>2185</v>
      </c>
      <c r="G205" s="22" t="s">
        <v>23</v>
      </c>
      <c r="H205" s="23">
        <v>7.2794999999999996</v>
      </c>
      <c r="I205" s="24">
        <v>25</v>
      </c>
      <c r="J205" s="24">
        <v>0</v>
      </c>
      <c r="K205" s="24">
        <v>0</v>
      </c>
      <c r="L205" s="41">
        <f>Table2[[#This Row],[Column1]]+Table2[[#This Row],[Column2]]</f>
        <v>0</v>
      </c>
      <c r="M205" s="42">
        <f>Table2[[#This Row],[OnHandQty]]-Table2[[#This Row],[Projection Nov/Dec]]</f>
        <v>25</v>
      </c>
      <c r="N205" s="35">
        <f>Table2[[#This Row],[OverStock]]*Table2[[#This Row],[RepCost]]</f>
        <v>181.98749999999998</v>
      </c>
      <c r="O205" s="25">
        <v>46176.70416666667</v>
      </c>
      <c r="P205" s="26" t="s">
        <v>94</v>
      </c>
    </row>
    <row r="206" spans="1:16" x14ac:dyDescent="0.25">
      <c r="A206" s="20" t="s">
        <v>5211</v>
      </c>
      <c r="B206" s="21">
        <v>636</v>
      </c>
      <c r="C206" s="22" t="s">
        <v>70</v>
      </c>
      <c r="D206" s="22" t="s">
        <v>634</v>
      </c>
      <c r="E206" s="22" t="str">
        <f>CONCATENATE(B206,D206)</f>
        <v>63660769-102</v>
      </c>
      <c r="F206" s="22" t="s">
        <v>635</v>
      </c>
      <c r="G206" s="22" t="s">
        <v>39</v>
      </c>
      <c r="H206" s="23">
        <v>15.945399999999999</v>
      </c>
      <c r="I206" s="24">
        <v>1</v>
      </c>
      <c r="J206" s="24">
        <v>0</v>
      </c>
      <c r="K206" s="24">
        <v>0</v>
      </c>
      <c r="L206" s="41">
        <f>Table2[[#This Row],[Column1]]+Table2[[#This Row],[Column2]]</f>
        <v>0</v>
      </c>
      <c r="M206" s="42">
        <f>Table2[[#This Row],[OnHandQty]]-Table2[[#This Row],[Projection Nov/Dec]]</f>
        <v>1</v>
      </c>
      <c r="N206" s="35">
        <f>Table2[[#This Row],[OverStock]]*Table2[[#This Row],[RepCost]]</f>
        <v>15.945399999999999</v>
      </c>
      <c r="O206" s="25">
        <v>46122.352083333331</v>
      </c>
      <c r="P206" s="26" t="s">
        <v>573</v>
      </c>
    </row>
    <row r="207" spans="1:16" x14ac:dyDescent="0.25">
      <c r="A207" s="20" t="s">
        <v>5211</v>
      </c>
      <c r="B207" s="21">
        <v>636</v>
      </c>
      <c r="C207" s="22" t="s">
        <v>70</v>
      </c>
      <c r="D207" s="22" t="s">
        <v>802</v>
      </c>
      <c r="E207" s="22" t="str">
        <f>CONCATENATE(B207,D207)</f>
        <v>63692652-PF4</v>
      </c>
      <c r="F207" s="22" t="s">
        <v>803</v>
      </c>
      <c r="G207" s="22" t="s">
        <v>39</v>
      </c>
      <c r="H207" s="23">
        <v>9.2708999999999993</v>
      </c>
      <c r="I207" s="24">
        <v>16</v>
      </c>
      <c r="J207" s="24">
        <v>0</v>
      </c>
      <c r="K207" s="24">
        <v>0</v>
      </c>
      <c r="L207" s="41">
        <f>Table2[[#This Row],[Column1]]+Table2[[#This Row],[Column2]]</f>
        <v>0</v>
      </c>
      <c r="M207" s="42">
        <f>Table2[[#This Row],[OnHandQty]]-Table2[[#This Row],[Projection Nov/Dec]]</f>
        <v>16</v>
      </c>
      <c r="N207" s="35">
        <f>Table2[[#This Row],[OverStock]]*Table2[[#This Row],[RepCost]]</f>
        <v>148.33439999999999</v>
      </c>
      <c r="O207" s="25">
        <v>46199.375</v>
      </c>
      <c r="P207" s="26" t="s">
        <v>16</v>
      </c>
    </row>
    <row r="208" spans="1:16" x14ac:dyDescent="0.25">
      <c r="A208" s="20" t="s">
        <v>5211</v>
      </c>
      <c r="B208" s="21">
        <v>714</v>
      </c>
      <c r="C208" s="22" t="s">
        <v>1749</v>
      </c>
      <c r="D208" s="22" t="s">
        <v>3542</v>
      </c>
      <c r="E208" s="22" t="str">
        <f>CONCATENATE(B208,D208)</f>
        <v>71487479-102</v>
      </c>
      <c r="F208" s="22" t="s">
        <v>3543</v>
      </c>
      <c r="G208" s="22" t="s">
        <v>39</v>
      </c>
      <c r="H208" s="23">
        <v>17.1633</v>
      </c>
      <c r="I208" s="24">
        <v>31</v>
      </c>
      <c r="J208" s="24">
        <v>0</v>
      </c>
      <c r="K208" s="24">
        <v>0</v>
      </c>
      <c r="L208" s="41">
        <f>Table2[[#This Row],[Column1]]+Table2[[#This Row],[Column2]]</f>
        <v>0</v>
      </c>
      <c r="M208" s="42">
        <f>Table2[[#This Row],[OnHandQty]]-Table2[[#This Row],[Projection Nov/Dec]]</f>
        <v>31</v>
      </c>
      <c r="N208" s="35">
        <f>Table2[[#This Row],[OverStock]]*Table2[[#This Row],[RepCost]]</f>
        <v>532.06229999999994</v>
      </c>
      <c r="O208" s="25">
        <v>46185.630555555559</v>
      </c>
      <c r="P208" s="26" t="s">
        <v>1825</v>
      </c>
    </row>
    <row r="209" spans="1:16" x14ac:dyDescent="0.25">
      <c r="A209" s="20" t="s">
        <v>5211</v>
      </c>
      <c r="B209" s="21">
        <v>714</v>
      </c>
      <c r="C209" s="22" t="s">
        <v>1749</v>
      </c>
      <c r="D209" s="22" t="s">
        <v>3542</v>
      </c>
      <c r="E209" s="22" t="str">
        <f>CONCATENATE(B209,D209)</f>
        <v>71487479-102</v>
      </c>
      <c r="F209" s="22" t="s">
        <v>3543</v>
      </c>
      <c r="G209" s="22" t="s">
        <v>39</v>
      </c>
      <c r="H209" s="23">
        <v>17.1633</v>
      </c>
      <c r="I209" s="24">
        <v>31</v>
      </c>
      <c r="J209" s="24">
        <v>0</v>
      </c>
      <c r="K209" s="24">
        <v>0</v>
      </c>
      <c r="L209" s="41">
        <f>Table2[[#This Row],[Column1]]+Table2[[#This Row],[Column2]]</f>
        <v>0</v>
      </c>
      <c r="M209" s="42">
        <f>Table2[[#This Row],[OnHandQty]]-Table2[[#This Row],[Projection Nov/Dec]]</f>
        <v>31</v>
      </c>
      <c r="N209" s="35">
        <f>Table2[[#This Row],[OverStock]]*Table2[[#This Row],[RepCost]]</f>
        <v>532.06229999999994</v>
      </c>
      <c r="O209" s="25">
        <v>46185.630555555559</v>
      </c>
      <c r="P209" s="26" t="s">
        <v>1825</v>
      </c>
    </row>
    <row r="210" spans="1:16" x14ac:dyDescent="0.25">
      <c r="A210" s="20" t="s">
        <v>5211</v>
      </c>
      <c r="B210" s="21">
        <v>714</v>
      </c>
      <c r="C210" s="22" t="s">
        <v>70</v>
      </c>
      <c r="D210" s="22" t="s">
        <v>2155</v>
      </c>
      <c r="E210" s="22" t="str">
        <f>CONCATENATE(B210,D210)</f>
        <v>71497153-101</v>
      </c>
      <c r="F210" s="22" t="s">
        <v>2156</v>
      </c>
      <c r="G210" s="22" t="s">
        <v>39</v>
      </c>
      <c r="H210" s="23">
        <v>7.2794999999999996</v>
      </c>
      <c r="I210" s="24">
        <v>11</v>
      </c>
      <c r="J210" s="24">
        <v>0</v>
      </c>
      <c r="K210" s="24">
        <v>0</v>
      </c>
      <c r="L210" s="41">
        <f>Table2[[#This Row],[Column1]]+Table2[[#This Row],[Column2]]</f>
        <v>0</v>
      </c>
      <c r="M210" s="42">
        <f>Table2[[#This Row],[OnHandQty]]-Table2[[#This Row],[Projection Nov/Dec]]</f>
        <v>11</v>
      </c>
      <c r="N210" s="35">
        <f>Table2[[#This Row],[OverStock]]*Table2[[#This Row],[RepCost]]</f>
        <v>80.0745</v>
      </c>
      <c r="O210" s="25">
        <v>46176.70416666667</v>
      </c>
      <c r="P210" s="26" t="s">
        <v>94</v>
      </c>
    </row>
    <row r="211" spans="1:16" x14ac:dyDescent="0.25">
      <c r="A211" s="20" t="s">
        <v>5211</v>
      </c>
      <c r="B211" s="21">
        <v>636</v>
      </c>
      <c r="C211" s="22" t="s">
        <v>323</v>
      </c>
      <c r="D211" s="22" t="s">
        <v>1251</v>
      </c>
      <c r="E211" s="22" t="str">
        <f>CONCATENATE(B211,D211)</f>
        <v>63660994-310</v>
      </c>
      <c r="F211" s="22" t="s">
        <v>1252</v>
      </c>
      <c r="G211" s="22" t="s">
        <v>29</v>
      </c>
      <c r="H211" s="23">
        <v>264.39170000000001</v>
      </c>
      <c r="I211" s="24">
        <v>4</v>
      </c>
      <c r="J211" s="24">
        <v>0</v>
      </c>
      <c r="K211" s="24">
        <v>0</v>
      </c>
      <c r="L211" s="41">
        <f>Table2[[#This Row],[Column1]]+Table2[[#This Row],[Column2]]</f>
        <v>0</v>
      </c>
      <c r="M211" s="42">
        <f>Table2[[#This Row],[OnHandQty]]-Table2[[#This Row],[Projection Nov/Dec]]</f>
        <v>4</v>
      </c>
      <c r="N211" s="35">
        <f>Table2[[#This Row],[OverStock]]*Table2[[#This Row],[RepCost]]</f>
        <v>1057.5668000000001</v>
      </c>
      <c r="O211" s="25">
        <v>46092.434027777781</v>
      </c>
      <c r="P211" s="26" t="s">
        <v>357</v>
      </c>
    </row>
    <row r="212" spans="1:16" x14ac:dyDescent="0.25">
      <c r="A212" s="20" t="s">
        <v>5211</v>
      </c>
      <c r="B212" s="21">
        <v>714</v>
      </c>
      <c r="C212" s="22" t="s">
        <v>323</v>
      </c>
      <c r="D212" s="22" t="s">
        <v>3077</v>
      </c>
      <c r="E212" s="22" t="str">
        <f>CONCATENATE(B212,D212)</f>
        <v>71460994-102</v>
      </c>
      <c r="F212" s="22" t="s">
        <v>3078</v>
      </c>
      <c r="G212" s="22" t="s">
        <v>29</v>
      </c>
      <c r="H212" s="23">
        <v>16.879000000000001</v>
      </c>
      <c r="I212" s="24">
        <v>226</v>
      </c>
      <c r="J212" s="24">
        <v>0</v>
      </c>
      <c r="K212" s="24">
        <v>0</v>
      </c>
      <c r="L212" s="41">
        <f>Table2[[#This Row],[Column1]]+Table2[[#This Row],[Column2]]</f>
        <v>0</v>
      </c>
      <c r="M212" s="42">
        <f>Table2[[#This Row],[OnHandQty]]-Table2[[#This Row],[Projection Nov/Dec]]</f>
        <v>226</v>
      </c>
      <c r="N212" s="35">
        <f>Table2[[#This Row],[OverStock]]*Table2[[#This Row],[RepCost]]</f>
        <v>3814.6540000000005</v>
      </c>
      <c r="O212" s="25">
        <v>46149.570138888892</v>
      </c>
      <c r="P212" s="26" t="s">
        <v>2930</v>
      </c>
    </row>
    <row r="213" spans="1:16" x14ac:dyDescent="0.25">
      <c r="A213" s="20" t="s">
        <v>5211</v>
      </c>
      <c r="B213" s="21">
        <v>636</v>
      </c>
      <c r="C213" s="22" t="s">
        <v>323</v>
      </c>
      <c r="D213" s="22" t="s">
        <v>1513</v>
      </c>
      <c r="E213" s="22" t="str">
        <f>CONCATENATE(B213,D213)</f>
        <v>63660994-307</v>
      </c>
      <c r="F213" s="22" t="s">
        <v>1514</v>
      </c>
      <c r="G213" s="22" t="s">
        <v>29</v>
      </c>
      <c r="H213" s="23">
        <v>90.472999999999999</v>
      </c>
      <c r="I213" s="24">
        <v>1</v>
      </c>
      <c r="J213" s="24">
        <v>0</v>
      </c>
      <c r="K213" s="24">
        <v>0</v>
      </c>
      <c r="L213" s="41">
        <f>Table2[[#This Row],[Column1]]+Table2[[#This Row],[Column2]]</f>
        <v>0</v>
      </c>
      <c r="M213" s="42">
        <f>Table2[[#This Row],[OnHandQty]]-Table2[[#This Row],[Projection Nov/Dec]]</f>
        <v>1</v>
      </c>
      <c r="N213" s="35">
        <f>Table2[[#This Row],[OverStock]]*Table2[[#This Row],[RepCost]]</f>
        <v>90.472999999999999</v>
      </c>
      <c r="O213" s="25">
        <v>43118.431250000001</v>
      </c>
      <c r="P213" s="26" t="s">
        <v>151</v>
      </c>
    </row>
    <row r="214" spans="1:16" x14ac:dyDescent="0.25">
      <c r="A214" s="20" t="s">
        <v>5211</v>
      </c>
      <c r="B214" s="21">
        <v>714</v>
      </c>
      <c r="C214" s="22" t="s">
        <v>323</v>
      </c>
      <c r="D214" s="22" t="s">
        <v>1513</v>
      </c>
      <c r="E214" s="22" t="str">
        <f>CONCATENATE(B214,D214)</f>
        <v>71460994-307</v>
      </c>
      <c r="F214" s="22" t="s">
        <v>1514</v>
      </c>
      <c r="G214" s="22" t="s">
        <v>19</v>
      </c>
      <c r="H214" s="23">
        <v>90.472999999999999</v>
      </c>
      <c r="I214" s="24">
        <v>9</v>
      </c>
      <c r="J214" s="24">
        <v>0</v>
      </c>
      <c r="K214" s="24">
        <v>0</v>
      </c>
      <c r="L214" s="41">
        <f>Table2[[#This Row],[Column1]]+Table2[[#This Row],[Column2]]</f>
        <v>0</v>
      </c>
      <c r="M214" s="42">
        <f>Table2[[#This Row],[OnHandQty]]-Table2[[#This Row],[Projection Nov/Dec]]</f>
        <v>9</v>
      </c>
      <c r="N214" s="35">
        <f>Table2[[#This Row],[OverStock]]*Table2[[#This Row],[RepCost]]</f>
        <v>814.25699999999995</v>
      </c>
      <c r="O214" s="25">
        <v>45947.566666666666</v>
      </c>
      <c r="P214" s="26" t="s">
        <v>1224</v>
      </c>
    </row>
    <row r="215" spans="1:16" x14ac:dyDescent="0.25">
      <c r="A215" s="20" t="s">
        <v>5211</v>
      </c>
      <c r="B215" s="21">
        <v>636</v>
      </c>
      <c r="C215" s="22" t="s">
        <v>323</v>
      </c>
      <c r="D215" s="22" t="s">
        <v>1269</v>
      </c>
      <c r="E215" s="22" t="str">
        <f>CONCATENATE(B215,D215)</f>
        <v>63660994-MS307</v>
      </c>
      <c r="F215" s="22" t="s">
        <v>1270</v>
      </c>
      <c r="G215" s="22" t="s">
        <v>23</v>
      </c>
      <c r="H215" s="23">
        <v>74.886700000000005</v>
      </c>
      <c r="I215" s="24">
        <v>1</v>
      </c>
      <c r="J215" s="24">
        <v>0</v>
      </c>
      <c r="K215" s="24">
        <v>0</v>
      </c>
      <c r="L215" s="41">
        <f>Table2[[#This Row],[Column1]]+Table2[[#This Row],[Column2]]</f>
        <v>0</v>
      </c>
      <c r="M215" s="42">
        <f>Table2[[#This Row],[OnHandQty]]-Table2[[#This Row],[Projection Nov/Dec]]</f>
        <v>1</v>
      </c>
      <c r="N215" s="35">
        <f>Table2[[#This Row],[OverStock]]*Table2[[#This Row],[RepCost]]</f>
        <v>74.886700000000005</v>
      </c>
      <c r="O215" s="25">
        <v>46101.626388888886</v>
      </c>
      <c r="P215" s="26" t="s">
        <v>1271</v>
      </c>
    </row>
    <row r="216" spans="1:16" x14ac:dyDescent="0.25">
      <c r="A216" s="20" t="s">
        <v>5211</v>
      </c>
      <c r="B216" s="21">
        <v>636</v>
      </c>
      <c r="C216" s="22" t="s">
        <v>323</v>
      </c>
      <c r="D216" s="22" t="s">
        <v>1695</v>
      </c>
      <c r="E216" s="22" t="str">
        <f>CONCATENATE(B216,D216)</f>
        <v>63661003-025</v>
      </c>
      <c r="F216" s="22" t="s">
        <v>1696</v>
      </c>
      <c r="G216" s="22" t="s">
        <v>29</v>
      </c>
      <c r="H216" s="23">
        <v>271.4144</v>
      </c>
      <c r="I216" s="24">
        <v>10</v>
      </c>
      <c r="J216" s="24">
        <v>0</v>
      </c>
      <c r="K216" s="24">
        <v>0</v>
      </c>
      <c r="L216" s="41">
        <f>Table2[[#This Row],[Column1]]+Table2[[#This Row],[Column2]]</f>
        <v>0</v>
      </c>
      <c r="M216" s="42">
        <f>Table2[[#This Row],[OnHandQty]]-Table2[[#This Row],[Projection Nov/Dec]]</f>
        <v>10</v>
      </c>
      <c r="N216" s="35">
        <f>Table2[[#This Row],[OverStock]]*Table2[[#This Row],[RepCost]]</f>
        <v>2714.1440000000002</v>
      </c>
      <c r="O216" s="25">
        <v>46114.394444444442</v>
      </c>
      <c r="P216" s="26" t="s">
        <v>486</v>
      </c>
    </row>
    <row r="217" spans="1:16" x14ac:dyDescent="0.25">
      <c r="A217" s="20" t="s">
        <v>5211</v>
      </c>
      <c r="B217" s="21">
        <v>714</v>
      </c>
      <c r="C217" s="22" t="s">
        <v>323</v>
      </c>
      <c r="D217" s="22" t="s">
        <v>3336</v>
      </c>
      <c r="E217" s="22" t="str">
        <f>CONCATENATE(B217,D217)</f>
        <v>71460995-015</v>
      </c>
      <c r="F217" s="22" t="s">
        <v>3337</v>
      </c>
      <c r="G217" s="22" t="s">
        <v>29</v>
      </c>
      <c r="H217" s="23">
        <v>109.47029999999999</v>
      </c>
      <c r="I217" s="24">
        <v>7</v>
      </c>
      <c r="J217" s="24">
        <v>0</v>
      </c>
      <c r="K217" s="24">
        <v>0</v>
      </c>
      <c r="L217" s="41">
        <f>Table2[[#This Row],[Column1]]+Table2[[#This Row],[Column2]]</f>
        <v>0</v>
      </c>
      <c r="M217" s="42">
        <f>Table2[[#This Row],[OnHandQty]]-Table2[[#This Row],[Projection Nov/Dec]]</f>
        <v>7</v>
      </c>
      <c r="N217" s="35">
        <f>Table2[[#This Row],[OverStock]]*Table2[[#This Row],[RepCost]]</f>
        <v>766.2921</v>
      </c>
      <c r="O217" s="25">
        <v>45756.330555555556</v>
      </c>
      <c r="P217" s="26" t="s">
        <v>2457</v>
      </c>
    </row>
    <row r="218" spans="1:16" x14ac:dyDescent="0.25">
      <c r="A218" s="20" t="s">
        <v>5211</v>
      </c>
      <c r="B218" s="21">
        <v>714</v>
      </c>
      <c r="C218" s="22" t="s">
        <v>323</v>
      </c>
      <c r="D218" s="22" t="s">
        <v>3498</v>
      </c>
      <c r="E218" s="22" t="str">
        <f>CONCATENATE(B218,D218)</f>
        <v>71460995-0175</v>
      </c>
      <c r="F218" s="27" t="s">
        <v>3499</v>
      </c>
      <c r="G218" s="27" t="s">
        <v>58</v>
      </c>
      <c r="H218" s="23">
        <v>156.22890000000001</v>
      </c>
      <c r="I218" s="24">
        <v>4</v>
      </c>
      <c r="J218" s="24">
        <v>0</v>
      </c>
      <c r="K218" s="24">
        <v>0</v>
      </c>
      <c r="L218" s="41">
        <f>Table2[[#This Row],[Column1]]+Table2[[#This Row],[Column2]]</f>
        <v>0</v>
      </c>
      <c r="M218" s="42">
        <f>Table2[[#This Row],[OnHandQty]]-Table2[[#This Row],[Projection Nov/Dec]]</f>
        <v>4</v>
      </c>
      <c r="N218" s="35">
        <f>Table2[[#This Row],[OverStock]]*Table2[[#This Row],[RepCost]]</f>
        <v>624.91560000000004</v>
      </c>
      <c r="O218" s="25">
        <v>45756.330555555556</v>
      </c>
      <c r="P218" s="26" t="s">
        <v>2457</v>
      </c>
    </row>
    <row r="219" spans="1:16" x14ac:dyDescent="0.25">
      <c r="A219" s="20" t="s">
        <v>5211</v>
      </c>
      <c r="B219" s="21">
        <v>636</v>
      </c>
      <c r="C219" s="22" t="s">
        <v>323</v>
      </c>
      <c r="D219" s="22" t="s">
        <v>1369</v>
      </c>
      <c r="E219" s="22" t="str">
        <f>CONCATENATE(B219,D219)</f>
        <v>63660995-310</v>
      </c>
      <c r="F219" s="22" t="s">
        <v>1370</v>
      </c>
      <c r="G219" s="22" t="s">
        <v>19</v>
      </c>
      <c r="H219" s="23">
        <v>205.03049999999999</v>
      </c>
      <c r="I219" s="24">
        <v>1</v>
      </c>
      <c r="J219" s="24">
        <v>0</v>
      </c>
      <c r="K219" s="24">
        <v>0</v>
      </c>
      <c r="L219" s="41">
        <f>Table2[[#This Row],[Column1]]+Table2[[#This Row],[Column2]]</f>
        <v>0</v>
      </c>
      <c r="M219" s="42">
        <f>Table2[[#This Row],[OnHandQty]]-Table2[[#This Row],[Projection Nov/Dec]]</f>
        <v>1</v>
      </c>
      <c r="N219" s="35">
        <f>Table2[[#This Row],[OverStock]]*Table2[[#This Row],[RepCost]]</f>
        <v>205.03049999999999</v>
      </c>
      <c r="O219" s="25">
        <v>46086.3125</v>
      </c>
      <c r="P219" s="26" t="s">
        <v>1229</v>
      </c>
    </row>
    <row r="220" spans="1:16" x14ac:dyDescent="0.25">
      <c r="A220" s="20" t="s">
        <v>5211</v>
      </c>
      <c r="B220" s="21">
        <v>714</v>
      </c>
      <c r="C220" s="22" t="s">
        <v>323</v>
      </c>
      <c r="D220" s="22" t="s">
        <v>1369</v>
      </c>
      <c r="E220" s="22" t="str">
        <f>CONCATENATE(B220,D220)</f>
        <v>71460995-310</v>
      </c>
      <c r="F220" s="22" t="s">
        <v>1370</v>
      </c>
      <c r="G220" s="22" t="s">
        <v>29</v>
      </c>
      <c r="H220" s="23">
        <v>169.28139999999999</v>
      </c>
      <c r="I220" s="24">
        <v>10</v>
      </c>
      <c r="J220" s="24">
        <v>0</v>
      </c>
      <c r="K220" s="24">
        <v>0</v>
      </c>
      <c r="L220" s="41">
        <f>Table2[[#This Row],[Column1]]+Table2[[#This Row],[Column2]]</f>
        <v>0</v>
      </c>
      <c r="M220" s="42">
        <f>Table2[[#This Row],[OnHandQty]]-Table2[[#This Row],[Projection Nov/Dec]]</f>
        <v>10</v>
      </c>
      <c r="N220" s="35">
        <f>Table2[[#This Row],[OverStock]]*Table2[[#This Row],[RepCost]]</f>
        <v>1692.8139999999999</v>
      </c>
      <c r="O220" s="25">
        <v>46101.384722222225</v>
      </c>
      <c r="P220" s="26" t="s">
        <v>2257</v>
      </c>
    </row>
    <row r="221" spans="1:16" x14ac:dyDescent="0.25">
      <c r="A221" s="20" t="s">
        <v>5211</v>
      </c>
      <c r="B221" s="21">
        <v>718</v>
      </c>
      <c r="C221" s="22" t="s">
        <v>323</v>
      </c>
      <c r="D221" s="22" t="s">
        <v>1369</v>
      </c>
      <c r="E221" s="22" t="str">
        <f>CONCATENATE(B221,D221)</f>
        <v>71860995-310</v>
      </c>
      <c r="F221" s="27" t="s">
        <v>1370</v>
      </c>
      <c r="G221" s="27" t="s">
        <v>58</v>
      </c>
      <c r="H221" s="23">
        <v>193.68440000000001</v>
      </c>
      <c r="I221" s="24">
        <v>3</v>
      </c>
      <c r="J221" s="24">
        <v>0</v>
      </c>
      <c r="K221" s="24">
        <v>0</v>
      </c>
      <c r="L221" s="41">
        <f>Table2[[#This Row],[Column1]]+Table2[[#This Row],[Column2]]</f>
        <v>0</v>
      </c>
      <c r="M221" s="42">
        <f>Table2[[#This Row],[OnHandQty]]-Table2[[#This Row],[Projection Nov/Dec]]</f>
        <v>3</v>
      </c>
      <c r="N221" s="35">
        <f>Table2[[#This Row],[OverStock]]*Table2[[#This Row],[RepCost]]</f>
        <v>581.05320000000006</v>
      </c>
      <c r="O221" s="25">
        <v>46108.651388888888</v>
      </c>
      <c r="P221" s="26" t="s">
        <v>2257</v>
      </c>
    </row>
    <row r="222" spans="1:16" x14ac:dyDescent="0.25">
      <c r="A222" s="20" t="s">
        <v>5211</v>
      </c>
      <c r="B222" s="21">
        <v>714</v>
      </c>
      <c r="C222" s="22" t="s">
        <v>323</v>
      </c>
      <c r="D222" s="22" t="s">
        <v>2812</v>
      </c>
      <c r="E222" s="22" t="str">
        <f>CONCATENATE(B222,D222)</f>
        <v>71460995-020</v>
      </c>
      <c r="F222" s="22" t="s">
        <v>2813</v>
      </c>
      <c r="G222" s="22" t="s">
        <v>158</v>
      </c>
      <c r="H222" s="23">
        <v>75</v>
      </c>
      <c r="I222" s="24">
        <v>5</v>
      </c>
      <c r="J222" s="24">
        <v>0</v>
      </c>
      <c r="K222" s="24">
        <v>1</v>
      </c>
      <c r="L222" s="41">
        <f>Table2[[#This Row],[Column1]]+Table2[[#This Row],[Column2]]</f>
        <v>1</v>
      </c>
      <c r="M222" s="42">
        <f>Table2[[#This Row],[OnHandQty]]-Table2[[#This Row],[Projection Nov/Dec]]</f>
        <v>4</v>
      </c>
      <c r="N222" s="35">
        <f>Table2[[#This Row],[OverStock]]*Table2[[#This Row],[RepCost]]</f>
        <v>300</v>
      </c>
      <c r="O222" s="25">
        <v>46085.367361111108</v>
      </c>
      <c r="P222" s="26" t="s">
        <v>2257</v>
      </c>
    </row>
    <row r="223" spans="1:16" x14ac:dyDescent="0.25">
      <c r="A223" s="20" t="s">
        <v>5211</v>
      </c>
      <c r="B223" s="21">
        <v>636</v>
      </c>
      <c r="C223" s="22" t="s">
        <v>323</v>
      </c>
      <c r="D223" s="22" t="s">
        <v>1363</v>
      </c>
      <c r="E223" s="22" t="str">
        <f>CONCATENATE(B223,D223)</f>
        <v>63660995-025</v>
      </c>
      <c r="F223" s="22" t="s">
        <v>1364</v>
      </c>
      <c r="G223" s="22" t="s">
        <v>19</v>
      </c>
      <c r="H223" s="23">
        <v>251.3065</v>
      </c>
      <c r="I223" s="24">
        <v>1</v>
      </c>
      <c r="J223" s="24">
        <v>0</v>
      </c>
      <c r="K223" s="24">
        <v>0</v>
      </c>
      <c r="L223" s="41">
        <f>Table2[[#This Row],[Column1]]+Table2[[#This Row],[Column2]]</f>
        <v>0</v>
      </c>
      <c r="M223" s="42">
        <f>Table2[[#This Row],[OnHandQty]]-Table2[[#This Row],[Projection Nov/Dec]]</f>
        <v>1</v>
      </c>
      <c r="N223" s="35">
        <f>Table2[[#This Row],[OverStock]]*Table2[[#This Row],[RepCost]]</f>
        <v>251.3065</v>
      </c>
      <c r="O223" s="25">
        <v>46098.375694444447</v>
      </c>
      <c r="P223" s="26" t="s">
        <v>1229</v>
      </c>
    </row>
    <row r="224" spans="1:16" x14ac:dyDescent="0.25">
      <c r="A224" s="20" t="s">
        <v>5211</v>
      </c>
      <c r="B224" s="21">
        <v>714</v>
      </c>
      <c r="C224" s="22" t="s">
        <v>323</v>
      </c>
      <c r="D224" s="22" t="s">
        <v>1363</v>
      </c>
      <c r="E224" s="22" t="str">
        <f>CONCATENATE(B224,D224)</f>
        <v>71460995-025</v>
      </c>
      <c r="F224" s="22" t="s">
        <v>1364</v>
      </c>
      <c r="G224" s="22" t="s">
        <v>19</v>
      </c>
      <c r="H224" s="23">
        <v>228.84819999999999</v>
      </c>
      <c r="I224" s="24">
        <v>6</v>
      </c>
      <c r="J224" s="24">
        <v>0</v>
      </c>
      <c r="K224" s="24">
        <v>0</v>
      </c>
      <c r="L224" s="41">
        <f>Table2[[#This Row],[Column1]]+Table2[[#This Row],[Column2]]</f>
        <v>0</v>
      </c>
      <c r="M224" s="42">
        <f>Table2[[#This Row],[OnHandQty]]-Table2[[#This Row],[Projection Nov/Dec]]</f>
        <v>6</v>
      </c>
      <c r="N224" s="35">
        <f>Table2[[#This Row],[OverStock]]*Table2[[#This Row],[RepCost]]</f>
        <v>1373.0891999999999</v>
      </c>
      <c r="O224" s="25">
        <v>46130.412499999999</v>
      </c>
      <c r="P224" s="26" t="s">
        <v>1224</v>
      </c>
    </row>
    <row r="225" spans="1:16" x14ac:dyDescent="0.25">
      <c r="A225" s="20" t="s">
        <v>5211</v>
      </c>
      <c r="B225" s="21">
        <v>636</v>
      </c>
      <c r="C225" s="22" t="s">
        <v>323</v>
      </c>
      <c r="D225" s="22" t="s">
        <v>1511</v>
      </c>
      <c r="E225" s="22" t="str">
        <f>CONCATENATE(B225,D225)</f>
        <v>63660995-030</v>
      </c>
      <c r="F225" s="22" t="s">
        <v>1512</v>
      </c>
      <c r="G225" s="22" t="s">
        <v>29</v>
      </c>
      <c r="H225" s="23">
        <v>325.29520000000002</v>
      </c>
      <c r="I225" s="24">
        <v>15</v>
      </c>
      <c r="J225" s="24">
        <v>0</v>
      </c>
      <c r="K225" s="24">
        <v>0</v>
      </c>
      <c r="L225" s="41">
        <f>Table2[[#This Row],[Column1]]+Table2[[#This Row],[Column2]]</f>
        <v>0</v>
      </c>
      <c r="M225" s="42">
        <f>Table2[[#This Row],[OnHandQty]]-Table2[[#This Row],[Projection Nov/Dec]]</f>
        <v>15</v>
      </c>
      <c r="N225" s="35">
        <f>Table2[[#This Row],[OverStock]]*Table2[[#This Row],[RepCost]]</f>
        <v>4879.4279999999999</v>
      </c>
      <c r="O225" s="25">
        <v>46098.375694444447</v>
      </c>
      <c r="P225" s="26" t="s">
        <v>1229</v>
      </c>
    </row>
    <row r="226" spans="1:16" x14ac:dyDescent="0.25">
      <c r="A226" s="20" t="s">
        <v>5211</v>
      </c>
      <c r="B226" s="21">
        <v>636</v>
      </c>
      <c r="C226" s="22" t="s">
        <v>323</v>
      </c>
      <c r="D226" s="22" t="s">
        <v>1711</v>
      </c>
      <c r="E226" s="22" t="str">
        <f>CONCATENATE(B226,D226)</f>
        <v>63660995-308</v>
      </c>
      <c r="F226" s="22" t="s">
        <v>1712</v>
      </c>
      <c r="G226" s="22" t="s">
        <v>23</v>
      </c>
      <c r="H226" s="23">
        <v>129.3229</v>
      </c>
      <c r="I226" s="24">
        <v>13</v>
      </c>
      <c r="J226" s="24">
        <v>0</v>
      </c>
      <c r="K226" s="24">
        <v>0</v>
      </c>
      <c r="L226" s="41">
        <f>Table2[[#This Row],[Column1]]+Table2[[#This Row],[Column2]]</f>
        <v>0</v>
      </c>
      <c r="M226" s="42">
        <f>Table2[[#This Row],[OnHandQty]]-Table2[[#This Row],[Projection Nov/Dec]]</f>
        <v>13</v>
      </c>
      <c r="N226" s="35">
        <f>Table2[[#This Row],[OverStock]]*Table2[[#This Row],[RepCost]]</f>
        <v>1681.1977000000002</v>
      </c>
      <c r="O226" s="25">
        <v>46079.574305555558</v>
      </c>
      <c r="P226" s="26" t="s">
        <v>1234</v>
      </c>
    </row>
    <row r="227" spans="1:16" x14ac:dyDescent="0.25">
      <c r="A227" s="20" t="s">
        <v>5211</v>
      </c>
      <c r="B227" s="21">
        <v>714</v>
      </c>
      <c r="C227" s="22" t="s">
        <v>323</v>
      </c>
      <c r="D227" s="22" t="s">
        <v>3225</v>
      </c>
      <c r="E227" s="22" t="str">
        <f>CONCATENATE(B227,D227)</f>
        <v>71460995-MS307</v>
      </c>
      <c r="F227" s="22" t="s">
        <v>3226</v>
      </c>
      <c r="G227" s="22" t="s">
        <v>35</v>
      </c>
      <c r="H227" s="23">
        <v>141.81819999999999</v>
      </c>
      <c r="I227" s="24">
        <v>2</v>
      </c>
      <c r="J227" s="24">
        <v>0</v>
      </c>
      <c r="K227" s="24">
        <v>0</v>
      </c>
      <c r="L227" s="41">
        <f>Table2[[#This Row],[Column1]]+Table2[[#This Row],[Column2]]</f>
        <v>0</v>
      </c>
      <c r="M227" s="42">
        <f>Table2[[#This Row],[OnHandQty]]-Table2[[#This Row],[Projection Nov/Dec]]</f>
        <v>2</v>
      </c>
      <c r="N227" s="35">
        <f>Table2[[#This Row],[OverStock]]*Table2[[#This Row],[RepCost]]</f>
        <v>283.63639999999998</v>
      </c>
      <c r="O227" s="25">
        <v>45449.695138888892</v>
      </c>
      <c r="P227" s="26" t="s">
        <v>1379</v>
      </c>
    </row>
    <row r="228" spans="1:16" x14ac:dyDescent="0.25">
      <c r="A228" s="20" t="s">
        <v>5211</v>
      </c>
      <c r="B228" s="21">
        <v>636</v>
      </c>
      <c r="C228" s="22" t="s">
        <v>323</v>
      </c>
      <c r="D228" s="22" t="s">
        <v>1259</v>
      </c>
      <c r="E228" s="22" t="str">
        <f>CONCATENATE(B228,D228)</f>
        <v>63660995-MS308</v>
      </c>
      <c r="F228" s="22" t="s">
        <v>1260</v>
      </c>
      <c r="G228" s="22" t="s">
        <v>158</v>
      </c>
      <c r="H228" s="23">
        <v>186.214</v>
      </c>
      <c r="I228" s="24">
        <v>10</v>
      </c>
      <c r="J228" s="24">
        <v>0</v>
      </c>
      <c r="K228" s="24">
        <v>0</v>
      </c>
      <c r="L228" s="41">
        <f>Table2[[#This Row],[Column1]]+Table2[[#This Row],[Column2]]</f>
        <v>0</v>
      </c>
      <c r="M228" s="42">
        <f>Table2[[#This Row],[OnHandQty]]-Table2[[#This Row],[Projection Nov/Dec]]</f>
        <v>10</v>
      </c>
      <c r="N228" s="35">
        <f>Table2[[#This Row],[OverStock]]*Table2[[#This Row],[RepCost]]</f>
        <v>1862.1399999999999</v>
      </c>
      <c r="O228" s="25">
        <v>46078.44027777778</v>
      </c>
      <c r="P228" s="26" t="s">
        <v>151</v>
      </c>
    </row>
    <row r="229" spans="1:16" x14ac:dyDescent="0.25">
      <c r="A229" s="20" t="s">
        <v>5211</v>
      </c>
      <c r="B229" s="21">
        <v>636</v>
      </c>
      <c r="C229" s="22" t="s">
        <v>70</v>
      </c>
      <c r="D229" s="22" t="s">
        <v>614</v>
      </c>
      <c r="E229" s="22" t="str">
        <f>CONCATENATE(B229,D229)</f>
        <v>63690813-PF4</v>
      </c>
      <c r="F229" s="22" t="s">
        <v>615</v>
      </c>
      <c r="G229" s="22" t="s">
        <v>39</v>
      </c>
      <c r="H229" s="23">
        <v>8.3114000000000008</v>
      </c>
      <c r="I229" s="24">
        <v>28</v>
      </c>
      <c r="J229" s="24">
        <v>0</v>
      </c>
      <c r="K229" s="24">
        <v>0</v>
      </c>
      <c r="L229" s="41">
        <f>Table2[[#This Row],[Column1]]+Table2[[#This Row],[Column2]]</f>
        <v>0</v>
      </c>
      <c r="M229" s="42">
        <f>Table2[[#This Row],[OnHandQty]]-Table2[[#This Row],[Projection Nov/Dec]]</f>
        <v>28</v>
      </c>
      <c r="N229" s="35">
        <f>Table2[[#This Row],[OverStock]]*Table2[[#This Row],[RepCost]]</f>
        <v>232.71920000000003</v>
      </c>
      <c r="O229" s="25">
        <v>46216.52847222222</v>
      </c>
      <c r="P229" s="26" t="s">
        <v>40</v>
      </c>
    </row>
    <row r="230" spans="1:16" x14ac:dyDescent="0.25">
      <c r="A230" s="20" t="s">
        <v>5211</v>
      </c>
      <c r="B230" s="21">
        <v>636</v>
      </c>
      <c r="C230" s="22" t="s">
        <v>70</v>
      </c>
      <c r="D230" s="22" t="s">
        <v>640</v>
      </c>
      <c r="E230" s="22" t="str">
        <f>CONCATENATE(B230,D230)</f>
        <v>63694108-PF4</v>
      </c>
      <c r="F230" s="22" t="s">
        <v>641</v>
      </c>
      <c r="G230" s="22" t="s">
        <v>39</v>
      </c>
      <c r="H230" s="23">
        <v>10.8002</v>
      </c>
      <c r="I230" s="24">
        <v>28</v>
      </c>
      <c r="J230" s="24">
        <v>0</v>
      </c>
      <c r="K230" s="24">
        <v>0</v>
      </c>
      <c r="L230" s="41">
        <f>Table2[[#This Row],[Column1]]+Table2[[#This Row],[Column2]]</f>
        <v>0</v>
      </c>
      <c r="M230" s="42">
        <f>Table2[[#This Row],[OnHandQty]]-Table2[[#This Row],[Projection Nov/Dec]]</f>
        <v>28</v>
      </c>
      <c r="N230" s="35">
        <f>Table2[[#This Row],[OverStock]]*Table2[[#This Row],[RepCost]]</f>
        <v>302.40559999999999</v>
      </c>
      <c r="O230" s="25">
        <v>46189.418749999997</v>
      </c>
      <c r="P230" s="26" t="s">
        <v>16</v>
      </c>
    </row>
    <row r="231" spans="1:16" x14ac:dyDescent="0.25">
      <c r="A231" s="20" t="s">
        <v>5211</v>
      </c>
      <c r="B231" s="21">
        <v>718</v>
      </c>
      <c r="C231" s="22" t="s">
        <v>70</v>
      </c>
      <c r="D231" s="22" t="s">
        <v>3633</v>
      </c>
      <c r="E231" s="22" t="str">
        <f>CONCATENATE(B231,D231)</f>
        <v>71863643-101</v>
      </c>
      <c r="F231" s="22" t="s">
        <v>3634</v>
      </c>
      <c r="G231" s="22" t="s">
        <v>81</v>
      </c>
      <c r="H231" s="23">
        <v>6.7333999999999996</v>
      </c>
      <c r="I231" s="24">
        <v>35</v>
      </c>
      <c r="J231" s="24">
        <v>6</v>
      </c>
      <c r="K231" s="24">
        <v>0</v>
      </c>
      <c r="L231" s="41">
        <f>Table2[[#This Row],[Column1]]+Table2[[#This Row],[Column2]]</f>
        <v>6</v>
      </c>
      <c r="M231" s="42">
        <f>Table2[[#This Row],[OnHandQty]]-Table2[[#This Row],[Projection Nov/Dec]]</f>
        <v>29</v>
      </c>
      <c r="N231" s="35">
        <f>Table2[[#This Row],[OverStock]]*Table2[[#This Row],[RepCost]]</f>
        <v>195.26859999999999</v>
      </c>
      <c r="O231" s="25">
        <v>46185.338888888888</v>
      </c>
      <c r="P231" s="26" t="s">
        <v>16</v>
      </c>
    </row>
    <row r="232" spans="1:16" x14ac:dyDescent="0.25">
      <c r="A232" s="20" t="s">
        <v>5211</v>
      </c>
      <c r="B232" s="21">
        <v>714</v>
      </c>
      <c r="C232" s="22" t="s">
        <v>70</v>
      </c>
      <c r="D232" s="22" t="s">
        <v>2062</v>
      </c>
      <c r="E232" s="22" t="str">
        <f>CONCATENATE(B232,D232)</f>
        <v>71463643-102</v>
      </c>
      <c r="F232" s="22" t="s">
        <v>2063</v>
      </c>
      <c r="G232" s="22" t="s">
        <v>39</v>
      </c>
      <c r="H232" s="23">
        <v>7.6154000000000002</v>
      </c>
      <c r="I232" s="24">
        <v>1</v>
      </c>
      <c r="J232" s="24">
        <v>0</v>
      </c>
      <c r="K232" s="24">
        <v>0</v>
      </c>
      <c r="L232" s="41">
        <f>Table2[[#This Row],[Column1]]+Table2[[#This Row],[Column2]]</f>
        <v>0</v>
      </c>
      <c r="M232" s="42">
        <f>Table2[[#This Row],[OnHandQty]]-Table2[[#This Row],[Projection Nov/Dec]]</f>
        <v>1</v>
      </c>
      <c r="N232" s="35">
        <f>Table2[[#This Row],[OverStock]]*Table2[[#This Row],[RepCost]]</f>
        <v>7.6154000000000002</v>
      </c>
      <c r="O232" s="25">
        <v>46132.597222222219</v>
      </c>
      <c r="P232" s="26" t="s">
        <v>40</v>
      </c>
    </row>
    <row r="233" spans="1:16" x14ac:dyDescent="0.25">
      <c r="A233" s="20" t="s">
        <v>5211</v>
      </c>
      <c r="B233" s="21">
        <v>636</v>
      </c>
      <c r="C233" s="22" t="s">
        <v>70</v>
      </c>
      <c r="D233" s="22" t="s">
        <v>608</v>
      </c>
      <c r="E233" s="22" t="str">
        <f>CONCATENATE(B233,D233)</f>
        <v>63696317-101</v>
      </c>
      <c r="F233" s="22" t="s">
        <v>609</v>
      </c>
      <c r="G233" s="22" t="s">
        <v>39</v>
      </c>
      <c r="H233" s="23">
        <v>5.8784999999999998</v>
      </c>
      <c r="I233" s="24">
        <v>9</v>
      </c>
      <c r="J233" s="24">
        <v>0</v>
      </c>
      <c r="K233" s="24">
        <v>0</v>
      </c>
      <c r="L233" s="41">
        <f>Table2[[#This Row],[Column1]]+Table2[[#This Row],[Column2]]</f>
        <v>0</v>
      </c>
      <c r="M233" s="42">
        <f>Table2[[#This Row],[OnHandQty]]-Table2[[#This Row],[Projection Nov/Dec]]</f>
        <v>9</v>
      </c>
      <c r="N233" s="35">
        <f>Table2[[#This Row],[OverStock]]*Table2[[#This Row],[RepCost]]</f>
        <v>52.906500000000001</v>
      </c>
      <c r="O233" s="25">
        <v>46184.540277777778</v>
      </c>
      <c r="P233" s="26" t="s">
        <v>16</v>
      </c>
    </row>
    <row r="234" spans="1:16" x14ac:dyDescent="0.25">
      <c r="A234" s="20" t="s">
        <v>5211</v>
      </c>
      <c r="B234" s="21">
        <v>714</v>
      </c>
      <c r="C234" s="22" t="s">
        <v>70</v>
      </c>
      <c r="D234" s="22" t="s">
        <v>608</v>
      </c>
      <c r="E234" s="22" t="str">
        <f>CONCATENATE(B234,D234)</f>
        <v>71496317-101</v>
      </c>
      <c r="F234" s="22" t="s">
        <v>609</v>
      </c>
      <c r="G234" s="22" t="s">
        <v>39</v>
      </c>
      <c r="H234" s="23">
        <v>7.8678999999999997</v>
      </c>
      <c r="I234" s="24">
        <v>6</v>
      </c>
      <c r="J234" s="24">
        <v>0</v>
      </c>
      <c r="K234" s="24">
        <v>0</v>
      </c>
      <c r="L234" s="41">
        <f>Table2[[#This Row],[Column1]]+Table2[[#This Row],[Column2]]</f>
        <v>0</v>
      </c>
      <c r="M234" s="42">
        <f>Table2[[#This Row],[OnHandQty]]-Table2[[#This Row],[Projection Nov/Dec]]</f>
        <v>6</v>
      </c>
      <c r="N234" s="35">
        <f>Table2[[#This Row],[OverStock]]*Table2[[#This Row],[RepCost]]</f>
        <v>47.2074</v>
      </c>
      <c r="O234" s="25">
        <v>46192.581944444442</v>
      </c>
      <c r="P234" s="26" t="s">
        <v>573</v>
      </c>
    </row>
    <row r="235" spans="1:16" x14ac:dyDescent="0.25">
      <c r="A235" s="20" t="s">
        <v>5211</v>
      </c>
      <c r="B235" s="21">
        <v>636</v>
      </c>
      <c r="C235" s="22" t="s">
        <v>70</v>
      </c>
      <c r="D235" s="22" t="s">
        <v>853</v>
      </c>
      <c r="E235" s="22" t="str">
        <f>CONCATENATE(B235,D235)</f>
        <v>63661031-005</v>
      </c>
      <c r="F235" s="22" t="s">
        <v>854</v>
      </c>
      <c r="G235" s="22" t="s">
        <v>39</v>
      </c>
      <c r="H235" s="23">
        <v>11.5572</v>
      </c>
      <c r="I235" s="24">
        <v>1</v>
      </c>
      <c r="J235" s="24">
        <v>0</v>
      </c>
      <c r="K235" s="24">
        <v>0</v>
      </c>
      <c r="L235" s="41">
        <f>Table2[[#This Row],[Column1]]+Table2[[#This Row],[Column2]]</f>
        <v>0</v>
      </c>
      <c r="M235" s="42">
        <f>Table2[[#This Row],[OnHandQty]]-Table2[[#This Row],[Projection Nov/Dec]]</f>
        <v>1</v>
      </c>
      <c r="N235" s="35">
        <f>Table2[[#This Row],[OverStock]]*Table2[[#This Row],[RepCost]]</f>
        <v>11.5572</v>
      </c>
      <c r="O235" s="25">
        <v>46114.597916666666</v>
      </c>
      <c r="P235" s="26" t="s">
        <v>797</v>
      </c>
    </row>
    <row r="236" spans="1:16" x14ac:dyDescent="0.25">
      <c r="A236" s="20" t="s">
        <v>5211</v>
      </c>
      <c r="B236" s="21">
        <v>718</v>
      </c>
      <c r="C236" s="22" t="s">
        <v>12</v>
      </c>
      <c r="D236" s="22" t="s">
        <v>3591</v>
      </c>
      <c r="E236" s="22" t="str">
        <f>CONCATENATE(B236,D236)</f>
        <v>71861047-101</v>
      </c>
      <c r="F236" s="22" t="s">
        <v>3592</v>
      </c>
      <c r="G236" s="22" t="s">
        <v>112</v>
      </c>
      <c r="H236" s="23">
        <v>6.6454000000000004</v>
      </c>
      <c r="I236" s="24">
        <v>25</v>
      </c>
      <c r="J236" s="24">
        <v>0</v>
      </c>
      <c r="K236" s="24">
        <v>0</v>
      </c>
      <c r="L236" s="41">
        <f>Table2[[#This Row],[Column1]]+Table2[[#This Row],[Column2]]</f>
        <v>0</v>
      </c>
      <c r="M236" s="42">
        <f>Table2[[#This Row],[OnHandQty]]-Table2[[#This Row],[Projection Nov/Dec]]</f>
        <v>25</v>
      </c>
      <c r="N236" s="35">
        <f>Table2[[#This Row],[OverStock]]*Table2[[#This Row],[RepCost]]</f>
        <v>166.13500000000002</v>
      </c>
      <c r="O236" s="25">
        <v>45980.375694444447</v>
      </c>
      <c r="P236" s="26" t="s">
        <v>40</v>
      </c>
    </row>
    <row r="237" spans="1:16" x14ac:dyDescent="0.25">
      <c r="A237" s="20" t="s">
        <v>5211</v>
      </c>
      <c r="B237" s="21">
        <v>714</v>
      </c>
      <c r="C237" s="22" t="s">
        <v>70</v>
      </c>
      <c r="D237" s="22" t="s">
        <v>2176</v>
      </c>
      <c r="E237" s="22" t="str">
        <f>CONCATENATE(B237,D237)</f>
        <v>71486435-101</v>
      </c>
      <c r="F237" s="22" t="s">
        <v>2177</v>
      </c>
      <c r="G237" s="22" t="s">
        <v>29</v>
      </c>
      <c r="H237" s="23">
        <v>8.0258000000000003</v>
      </c>
      <c r="I237" s="24">
        <v>5</v>
      </c>
      <c r="J237" s="24">
        <v>0</v>
      </c>
      <c r="K237" s="24">
        <v>0</v>
      </c>
      <c r="L237" s="41">
        <f>Table2[[#This Row],[Column1]]+Table2[[#This Row],[Column2]]</f>
        <v>0</v>
      </c>
      <c r="M237" s="42">
        <f>Table2[[#This Row],[OnHandQty]]-Table2[[#This Row],[Projection Nov/Dec]]</f>
        <v>5</v>
      </c>
      <c r="N237" s="35">
        <f>Table2[[#This Row],[OverStock]]*Table2[[#This Row],[RepCost]]</f>
        <v>40.129000000000005</v>
      </c>
      <c r="O237" s="25">
        <v>46144.325694444444</v>
      </c>
      <c r="P237" s="26" t="s">
        <v>40</v>
      </c>
    </row>
    <row r="238" spans="1:16" x14ac:dyDescent="0.25">
      <c r="A238" s="20" t="s">
        <v>5211</v>
      </c>
      <c r="B238" s="21">
        <v>714</v>
      </c>
      <c r="C238" s="22" t="s">
        <v>70</v>
      </c>
      <c r="D238" s="22" t="s">
        <v>1971</v>
      </c>
      <c r="E238" s="22" t="str">
        <f>CONCATENATE(B238,D238)</f>
        <v>71461074-101</v>
      </c>
      <c r="F238" s="22" t="s">
        <v>1972</v>
      </c>
      <c r="G238" s="22" t="s">
        <v>39</v>
      </c>
      <c r="H238" s="23">
        <v>7.3026</v>
      </c>
      <c r="I238" s="24">
        <v>11</v>
      </c>
      <c r="J238" s="24">
        <v>0</v>
      </c>
      <c r="K238" s="24">
        <v>0</v>
      </c>
      <c r="L238" s="41">
        <f>Table2[[#This Row],[Column1]]+Table2[[#This Row],[Column2]]</f>
        <v>0</v>
      </c>
      <c r="M238" s="42">
        <f>Table2[[#This Row],[OnHandQty]]-Table2[[#This Row],[Projection Nov/Dec]]</f>
        <v>11</v>
      </c>
      <c r="N238" s="35">
        <f>Table2[[#This Row],[OverStock]]*Table2[[#This Row],[RepCost]]</f>
        <v>80.328599999999994</v>
      </c>
      <c r="O238" s="25">
        <v>46234.623611111114</v>
      </c>
      <c r="P238" s="26" t="s">
        <v>16</v>
      </c>
    </row>
    <row r="239" spans="1:16" x14ac:dyDescent="0.25">
      <c r="A239" s="20" t="s">
        <v>5211</v>
      </c>
      <c r="B239" s="21">
        <v>714</v>
      </c>
      <c r="C239" s="22" t="s">
        <v>70</v>
      </c>
      <c r="D239" s="22" t="s">
        <v>2119</v>
      </c>
      <c r="E239" s="22" t="str">
        <f>CONCATENATE(B239,D239)</f>
        <v>71476943-101</v>
      </c>
      <c r="F239" s="22" t="s">
        <v>2120</v>
      </c>
      <c r="G239" s="22" t="s">
        <v>39</v>
      </c>
      <c r="H239" s="23">
        <v>8.1747999999999994</v>
      </c>
      <c r="I239" s="24">
        <v>27</v>
      </c>
      <c r="J239" s="24">
        <v>0</v>
      </c>
      <c r="K239" s="24">
        <v>0</v>
      </c>
      <c r="L239" s="41">
        <f>Table2[[#This Row],[Column1]]+Table2[[#This Row],[Column2]]</f>
        <v>0</v>
      </c>
      <c r="M239" s="42">
        <f>Table2[[#This Row],[OnHandQty]]-Table2[[#This Row],[Projection Nov/Dec]]</f>
        <v>27</v>
      </c>
      <c r="N239" s="35">
        <f>Table2[[#This Row],[OverStock]]*Table2[[#This Row],[RepCost]]</f>
        <v>220.71959999999999</v>
      </c>
      <c r="O239" s="25">
        <v>46100.536805555559</v>
      </c>
      <c r="P239" s="26" t="s">
        <v>40</v>
      </c>
    </row>
    <row r="240" spans="1:16" x14ac:dyDescent="0.25">
      <c r="A240" s="20" t="s">
        <v>5211</v>
      </c>
      <c r="B240" s="21">
        <v>636</v>
      </c>
      <c r="C240" s="22" t="s">
        <v>70</v>
      </c>
      <c r="D240" s="22" t="s">
        <v>571</v>
      </c>
      <c r="E240" s="22" t="str">
        <f>CONCATENATE(B240,D240)</f>
        <v>63689926-102</v>
      </c>
      <c r="F240" s="22" t="s">
        <v>572</v>
      </c>
      <c r="G240" s="22" t="s">
        <v>39</v>
      </c>
      <c r="H240" s="23">
        <v>9.7990999999999993</v>
      </c>
      <c r="I240" s="24">
        <v>6</v>
      </c>
      <c r="J240" s="24">
        <v>0</v>
      </c>
      <c r="K240" s="24">
        <v>0</v>
      </c>
      <c r="L240" s="41">
        <f>Table2[[#This Row],[Column1]]+Table2[[#This Row],[Column2]]</f>
        <v>0</v>
      </c>
      <c r="M240" s="42">
        <f>Table2[[#This Row],[OnHandQty]]-Table2[[#This Row],[Projection Nov/Dec]]</f>
        <v>6</v>
      </c>
      <c r="N240" s="35">
        <f>Table2[[#This Row],[OverStock]]*Table2[[#This Row],[RepCost]]</f>
        <v>58.794599999999996</v>
      </c>
      <c r="O240" s="25">
        <v>46122.352083333331</v>
      </c>
      <c r="P240" s="26" t="s">
        <v>573</v>
      </c>
    </row>
    <row r="241" spans="1:16" x14ac:dyDescent="0.25">
      <c r="A241" s="20" t="s">
        <v>5211</v>
      </c>
      <c r="B241" s="21">
        <v>718</v>
      </c>
      <c r="C241" s="22" t="s">
        <v>70</v>
      </c>
      <c r="D241" s="22" t="s">
        <v>773</v>
      </c>
      <c r="E241" s="22" t="str">
        <f>CONCATENATE(B241,D241)</f>
        <v>71892558-101</v>
      </c>
      <c r="F241" s="22" t="s">
        <v>774</v>
      </c>
      <c r="G241" s="22" t="s">
        <v>39</v>
      </c>
      <c r="H241" s="23">
        <v>7.8872</v>
      </c>
      <c r="I241" s="24">
        <v>8</v>
      </c>
      <c r="J241" s="24">
        <v>0</v>
      </c>
      <c r="K241" s="24">
        <v>0</v>
      </c>
      <c r="L241" s="41">
        <f>Table2[[#This Row],[Column1]]+Table2[[#This Row],[Column2]]</f>
        <v>0</v>
      </c>
      <c r="M241" s="42">
        <f>Table2[[#This Row],[OnHandQty]]-Table2[[#This Row],[Projection Nov/Dec]]</f>
        <v>8</v>
      </c>
      <c r="N241" s="35">
        <f>Table2[[#This Row],[OverStock]]*Table2[[#This Row],[RepCost]]</f>
        <v>63.0976</v>
      </c>
      <c r="O241" s="25">
        <v>46119.636111111111</v>
      </c>
      <c r="P241" s="26" t="s">
        <v>573</v>
      </c>
    </row>
    <row r="242" spans="1:16" x14ac:dyDescent="0.25">
      <c r="A242" s="20" t="s">
        <v>5211</v>
      </c>
      <c r="B242" s="21">
        <v>636</v>
      </c>
      <c r="C242" s="22" t="s">
        <v>70</v>
      </c>
      <c r="D242" s="22" t="s">
        <v>773</v>
      </c>
      <c r="E242" s="22" t="str">
        <f>CONCATENATE(B242,D242)</f>
        <v>63692558-101</v>
      </c>
      <c r="F242" s="22" t="s">
        <v>774</v>
      </c>
      <c r="G242" s="22" t="s">
        <v>39</v>
      </c>
      <c r="H242" s="23">
        <v>5.6195000000000004</v>
      </c>
      <c r="I242" s="24">
        <v>1</v>
      </c>
      <c r="J242" s="24">
        <v>0</v>
      </c>
      <c r="K242" s="24">
        <v>0</v>
      </c>
      <c r="L242" s="41">
        <f>Table2[[#This Row],[Column1]]+Table2[[#This Row],[Column2]]</f>
        <v>0</v>
      </c>
      <c r="M242" s="42">
        <f>Table2[[#This Row],[OnHandQty]]-Table2[[#This Row],[Projection Nov/Dec]]</f>
        <v>1</v>
      </c>
      <c r="N242" s="35">
        <f>Table2[[#This Row],[OverStock]]*Table2[[#This Row],[RepCost]]</f>
        <v>5.6195000000000004</v>
      </c>
      <c r="O242" s="25">
        <v>46136.597916666666</v>
      </c>
      <c r="P242" s="26" t="s">
        <v>40</v>
      </c>
    </row>
    <row r="243" spans="1:16" x14ac:dyDescent="0.25">
      <c r="A243" s="20" t="s">
        <v>5211</v>
      </c>
      <c r="B243" s="21">
        <v>636</v>
      </c>
      <c r="C243" s="22" t="s">
        <v>70</v>
      </c>
      <c r="D243" s="22" t="s">
        <v>577</v>
      </c>
      <c r="E243" s="22" t="str">
        <f>CONCATENATE(B243,D243)</f>
        <v>63691991-101</v>
      </c>
      <c r="F243" s="22" t="s">
        <v>578</v>
      </c>
      <c r="G243" s="22" t="s">
        <v>39</v>
      </c>
      <c r="H243" s="23">
        <v>5.6195000000000004</v>
      </c>
      <c r="I243" s="24">
        <v>2</v>
      </c>
      <c r="J243" s="24">
        <v>0</v>
      </c>
      <c r="K243" s="24">
        <v>0</v>
      </c>
      <c r="L243" s="41">
        <f>Table2[[#This Row],[Column1]]+Table2[[#This Row],[Column2]]</f>
        <v>0</v>
      </c>
      <c r="M243" s="42">
        <f>Table2[[#This Row],[OnHandQty]]-Table2[[#This Row],[Projection Nov/Dec]]</f>
        <v>2</v>
      </c>
      <c r="N243" s="35">
        <f>Table2[[#This Row],[OverStock]]*Table2[[#This Row],[RepCost]]</f>
        <v>11.239000000000001</v>
      </c>
      <c r="O243" s="25">
        <v>46136.597916666666</v>
      </c>
      <c r="P243" s="26" t="s">
        <v>40</v>
      </c>
    </row>
    <row r="244" spans="1:16" x14ac:dyDescent="0.25">
      <c r="A244" s="20" t="s">
        <v>5211</v>
      </c>
      <c r="B244" s="21">
        <v>636</v>
      </c>
      <c r="C244" s="22" t="s">
        <v>70</v>
      </c>
      <c r="D244" s="22" t="s">
        <v>653</v>
      </c>
      <c r="E244" s="22" t="str">
        <f>CONCATENATE(B244,D244)</f>
        <v>63684977-102</v>
      </c>
      <c r="F244" s="22" t="s">
        <v>654</v>
      </c>
      <c r="G244" s="22" t="s">
        <v>123</v>
      </c>
      <c r="H244" s="23">
        <v>9.4578000000000007</v>
      </c>
      <c r="I244" s="24">
        <v>5</v>
      </c>
      <c r="J244" s="24">
        <v>0</v>
      </c>
      <c r="K244" s="24">
        <v>0</v>
      </c>
      <c r="L244" s="41">
        <f>Table2[[#This Row],[Column1]]+Table2[[#This Row],[Column2]]</f>
        <v>0</v>
      </c>
      <c r="M244" s="42">
        <f>Table2[[#This Row],[OnHandQty]]-Table2[[#This Row],[Projection Nov/Dec]]</f>
        <v>5</v>
      </c>
      <c r="N244" s="35">
        <f>Table2[[#This Row],[OverStock]]*Table2[[#This Row],[RepCost]]</f>
        <v>47.289000000000001</v>
      </c>
      <c r="O244" s="25">
        <v>46196.405555555553</v>
      </c>
      <c r="P244" s="26" t="s">
        <v>16</v>
      </c>
    </row>
    <row r="245" spans="1:16" x14ac:dyDescent="0.25">
      <c r="A245" s="20" t="s">
        <v>5211</v>
      </c>
      <c r="B245" s="21">
        <v>636</v>
      </c>
      <c r="C245" s="22" t="s">
        <v>70</v>
      </c>
      <c r="D245" s="22" t="s">
        <v>795</v>
      </c>
      <c r="E245" s="22" t="str">
        <f>CONCATENATE(B245,D245)</f>
        <v>63684977-103</v>
      </c>
      <c r="F245" s="27" t="s">
        <v>796</v>
      </c>
      <c r="G245" s="27" t="s">
        <v>58</v>
      </c>
      <c r="H245" s="23">
        <v>86.322599999999994</v>
      </c>
      <c r="I245" s="24">
        <v>2</v>
      </c>
      <c r="J245" s="24">
        <v>0</v>
      </c>
      <c r="K245" s="24">
        <v>0</v>
      </c>
      <c r="L245" s="41">
        <f>Table2[[#This Row],[Column1]]+Table2[[#This Row],[Column2]]</f>
        <v>0</v>
      </c>
      <c r="M245" s="42">
        <f>Table2[[#This Row],[OnHandQty]]-Table2[[#This Row],[Projection Nov/Dec]]</f>
        <v>2</v>
      </c>
      <c r="N245" s="35">
        <f>Table2[[#This Row],[OverStock]]*Table2[[#This Row],[RepCost]]</f>
        <v>172.64519999999999</v>
      </c>
      <c r="O245" s="25">
        <v>45166.397916666669</v>
      </c>
      <c r="P245" s="26" t="s">
        <v>797</v>
      </c>
    </row>
    <row r="246" spans="1:16" x14ac:dyDescent="0.25">
      <c r="A246" s="20" t="s">
        <v>5211</v>
      </c>
      <c r="B246" s="21">
        <v>636</v>
      </c>
      <c r="C246" s="22" t="s">
        <v>70</v>
      </c>
      <c r="D246" s="22" t="s">
        <v>843</v>
      </c>
      <c r="E246" s="22" t="str">
        <f>CONCATENATE(B246,D246)</f>
        <v>63687126-101</v>
      </c>
      <c r="F246" s="22" t="s">
        <v>844</v>
      </c>
      <c r="G246" s="22" t="s">
        <v>39</v>
      </c>
      <c r="H246" s="23">
        <v>7.3682999999999996</v>
      </c>
      <c r="I246" s="24">
        <v>1</v>
      </c>
      <c r="J246" s="24">
        <v>0</v>
      </c>
      <c r="K246" s="24">
        <v>0</v>
      </c>
      <c r="L246" s="41">
        <f>Table2[[#This Row],[Column1]]+Table2[[#This Row],[Column2]]</f>
        <v>0</v>
      </c>
      <c r="M246" s="42">
        <f>Table2[[#This Row],[OnHandQty]]-Table2[[#This Row],[Projection Nov/Dec]]</f>
        <v>1</v>
      </c>
      <c r="N246" s="35">
        <f>Table2[[#This Row],[OverStock]]*Table2[[#This Row],[RepCost]]</f>
        <v>7.3682999999999996</v>
      </c>
      <c r="O246" s="25">
        <v>46115.417361111111</v>
      </c>
      <c r="P246" s="26" t="s">
        <v>573</v>
      </c>
    </row>
    <row r="247" spans="1:16" x14ac:dyDescent="0.25">
      <c r="A247" s="20" t="s">
        <v>5211</v>
      </c>
      <c r="B247" s="21">
        <v>636</v>
      </c>
      <c r="C247" s="22" t="s">
        <v>143</v>
      </c>
      <c r="D247" s="22" t="s">
        <v>1102</v>
      </c>
      <c r="E247" s="22" t="str">
        <f>CONCATENATE(B247,D247)</f>
        <v>63661511-103</v>
      </c>
      <c r="F247" s="22" t="s">
        <v>1103</v>
      </c>
      <c r="G247" s="22" t="s">
        <v>29</v>
      </c>
      <c r="H247" s="23">
        <v>18.776199999999999</v>
      </c>
      <c r="I247" s="24">
        <v>16</v>
      </c>
      <c r="J247" s="24">
        <v>0</v>
      </c>
      <c r="K247" s="24">
        <v>0</v>
      </c>
      <c r="L247" s="41">
        <f>Table2[[#This Row],[Column1]]+Table2[[#This Row],[Column2]]</f>
        <v>0</v>
      </c>
      <c r="M247" s="42">
        <f>Table2[[#This Row],[OnHandQty]]-Table2[[#This Row],[Projection Nov/Dec]]</f>
        <v>16</v>
      </c>
      <c r="N247" s="35">
        <f>Table2[[#This Row],[OverStock]]*Table2[[#This Row],[RepCost]]</f>
        <v>300.41919999999999</v>
      </c>
      <c r="O247" s="25">
        <v>46216.52847222222</v>
      </c>
      <c r="P247" s="26" t="s">
        <v>40</v>
      </c>
    </row>
    <row r="248" spans="1:16" x14ac:dyDescent="0.25">
      <c r="A248" s="20" t="s">
        <v>5211</v>
      </c>
      <c r="B248" s="21">
        <v>714</v>
      </c>
      <c r="C248" s="22" t="s">
        <v>70</v>
      </c>
      <c r="D248" s="22" t="s">
        <v>845</v>
      </c>
      <c r="E248" s="22" t="str">
        <f>CONCATENATE(B248,D248)</f>
        <v>71461546-101</v>
      </c>
      <c r="F248" s="22" t="s">
        <v>846</v>
      </c>
      <c r="G248" s="22" t="s">
        <v>112</v>
      </c>
      <c r="H248" s="23">
        <v>6.1487999999999996</v>
      </c>
      <c r="I248" s="24">
        <v>23</v>
      </c>
      <c r="J248" s="24">
        <v>5</v>
      </c>
      <c r="K248" s="24">
        <v>0</v>
      </c>
      <c r="L248" s="41">
        <f>Table2[[#This Row],[Column1]]+Table2[[#This Row],[Column2]]</f>
        <v>5</v>
      </c>
      <c r="M248" s="42">
        <f>Table2[[#This Row],[OnHandQty]]-Table2[[#This Row],[Projection Nov/Dec]]</f>
        <v>18</v>
      </c>
      <c r="N248" s="35">
        <f>Table2[[#This Row],[OverStock]]*Table2[[#This Row],[RepCost]]</f>
        <v>110.6784</v>
      </c>
      <c r="O248" s="25">
        <v>46218.660416666666</v>
      </c>
      <c r="P248" s="26" t="s">
        <v>16</v>
      </c>
    </row>
    <row r="249" spans="1:16" x14ac:dyDescent="0.25">
      <c r="A249" s="20" t="s">
        <v>5211</v>
      </c>
      <c r="B249" s="21">
        <v>636</v>
      </c>
      <c r="C249" s="22" t="s">
        <v>70</v>
      </c>
      <c r="D249" s="22" t="s">
        <v>845</v>
      </c>
      <c r="E249" s="22" t="str">
        <f>CONCATENATE(B249,D249)</f>
        <v>63661546-101</v>
      </c>
      <c r="F249" s="22" t="s">
        <v>846</v>
      </c>
      <c r="G249" s="22" t="s">
        <v>39</v>
      </c>
      <c r="H249" s="23">
        <v>6.0274999999999999</v>
      </c>
      <c r="I249" s="24">
        <v>30</v>
      </c>
      <c r="J249" s="24">
        <v>5</v>
      </c>
      <c r="K249" s="24">
        <v>0</v>
      </c>
      <c r="L249" s="41">
        <f>Table2[[#This Row],[Column1]]+Table2[[#This Row],[Column2]]</f>
        <v>5</v>
      </c>
      <c r="M249" s="42">
        <f>Table2[[#This Row],[OnHandQty]]-Table2[[#This Row],[Projection Nov/Dec]]</f>
        <v>25</v>
      </c>
      <c r="N249" s="35">
        <f>Table2[[#This Row],[OverStock]]*Table2[[#This Row],[RepCost]]</f>
        <v>150.6875</v>
      </c>
      <c r="O249" s="25">
        <v>46225.4</v>
      </c>
      <c r="P249" s="26" t="s">
        <v>16</v>
      </c>
    </row>
    <row r="250" spans="1:16" x14ac:dyDescent="0.25">
      <c r="A250" s="20" t="s">
        <v>5211</v>
      </c>
      <c r="B250" s="21">
        <v>718</v>
      </c>
      <c r="C250" s="22" t="s">
        <v>70</v>
      </c>
      <c r="D250" s="22" t="s">
        <v>845</v>
      </c>
      <c r="E250" s="22" t="str">
        <f>CONCATENATE(B250,D250)</f>
        <v>71861546-101</v>
      </c>
      <c r="F250" s="22" t="s">
        <v>846</v>
      </c>
      <c r="G250" s="22" t="s">
        <v>112</v>
      </c>
      <c r="H250" s="23">
        <v>6.0015000000000001</v>
      </c>
      <c r="I250" s="24">
        <v>10</v>
      </c>
      <c r="J250" s="24">
        <v>5</v>
      </c>
      <c r="K250" s="24">
        <v>0</v>
      </c>
      <c r="L250" s="41">
        <f>Table2[[#This Row],[Column1]]+Table2[[#This Row],[Column2]]</f>
        <v>5</v>
      </c>
      <c r="M250" s="42">
        <f>Table2[[#This Row],[OnHandQty]]-Table2[[#This Row],[Projection Nov/Dec]]</f>
        <v>5</v>
      </c>
      <c r="N250" s="35">
        <f>Table2[[#This Row],[OverStock]]*Table2[[#This Row],[RepCost]]</f>
        <v>30.0075</v>
      </c>
      <c r="O250" s="25">
        <v>46246.392361111109</v>
      </c>
      <c r="P250" s="26" t="s">
        <v>40</v>
      </c>
    </row>
    <row r="251" spans="1:16" x14ac:dyDescent="0.25">
      <c r="A251" s="20" t="s">
        <v>5211</v>
      </c>
      <c r="B251" s="21">
        <v>714</v>
      </c>
      <c r="C251" s="22" t="s">
        <v>70</v>
      </c>
      <c r="D251" s="22" t="s">
        <v>2137</v>
      </c>
      <c r="E251" s="22" t="str">
        <f>CONCATENATE(B251,D251)</f>
        <v>71461581-101</v>
      </c>
      <c r="F251" s="22" t="s">
        <v>2138</v>
      </c>
      <c r="G251" s="22" t="s">
        <v>29</v>
      </c>
      <c r="H251" s="23">
        <v>11.744199999999999</v>
      </c>
      <c r="I251" s="24">
        <v>6</v>
      </c>
      <c r="J251" s="24">
        <v>0</v>
      </c>
      <c r="K251" s="24">
        <v>0</v>
      </c>
      <c r="L251" s="41">
        <f>Table2[[#This Row],[Column1]]+Table2[[#This Row],[Column2]]</f>
        <v>0</v>
      </c>
      <c r="M251" s="42">
        <f>Table2[[#This Row],[OnHandQty]]-Table2[[#This Row],[Projection Nov/Dec]]</f>
        <v>6</v>
      </c>
      <c r="N251" s="35">
        <f>Table2[[#This Row],[OverStock]]*Table2[[#This Row],[RepCost]]</f>
        <v>70.465199999999996</v>
      </c>
      <c r="O251" s="25">
        <v>46169.374305555553</v>
      </c>
      <c r="P251" s="26" t="s">
        <v>40</v>
      </c>
    </row>
    <row r="252" spans="1:16" x14ac:dyDescent="0.25">
      <c r="A252" s="20" t="s">
        <v>5211</v>
      </c>
      <c r="B252" s="21">
        <v>714</v>
      </c>
      <c r="C252" s="22" t="s">
        <v>70</v>
      </c>
      <c r="D252" s="22" t="s">
        <v>2097</v>
      </c>
      <c r="E252" s="22" t="str">
        <f>CONCATENATE(B252,D252)</f>
        <v>71461581-SP3</v>
      </c>
      <c r="F252" s="22" t="s">
        <v>2098</v>
      </c>
      <c r="G252" s="22" t="s">
        <v>29</v>
      </c>
      <c r="H252" s="23">
        <v>5.2306999999999997</v>
      </c>
      <c r="I252" s="24">
        <v>64</v>
      </c>
      <c r="J252" s="24">
        <v>0</v>
      </c>
      <c r="K252" s="24">
        <v>0</v>
      </c>
      <c r="L252" s="41">
        <f>Table2[[#This Row],[Column1]]+Table2[[#This Row],[Column2]]</f>
        <v>0</v>
      </c>
      <c r="M252" s="42">
        <f>Table2[[#This Row],[OnHandQty]]-Table2[[#This Row],[Projection Nov/Dec]]</f>
        <v>64</v>
      </c>
      <c r="N252" s="35">
        <f>Table2[[#This Row],[OverStock]]*Table2[[#This Row],[RepCost]]</f>
        <v>334.76479999999998</v>
      </c>
      <c r="O252" s="25">
        <v>46227.602777777778</v>
      </c>
      <c r="P252" s="26" t="s">
        <v>94</v>
      </c>
    </row>
    <row r="253" spans="1:16" x14ac:dyDescent="0.25">
      <c r="A253" s="20" t="s">
        <v>5211</v>
      </c>
      <c r="B253" s="21">
        <v>636</v>
      </c>
      <c r="C253" s="22" t="s">
        <v>70</v>
      </c>
      <c r="D253" s="22" t="s">
        <v>626</v>
      </c>
      <c r="E253" s="22" t="str">
        <f>CONCATENATE(B253,D253)</f>
        <v>63661607-102</v>
      </c>
      <c r="F253" s="22" t="s">
        <v>627</v>
      </c>
      <c r="G253" s="22" t="s">
        <v>29</v>
      </c>
      <c r="H253" s="23">
        <v>8.7897999999999996</v>
      </c>
      <c r="I253" s="24">
        <v>2</v>
      </c>
      <c r="J253" s="24">
        <v>0</v>
      </c>
      <c r="K253" s="24">
        <v>0</v>
      </c>
      <c r="L253" s="41">
        <f>Table2[[#This Row],[Column1]]+Table2[[#This Row],[Column2]]</f>
        <v>0</v>
      </c>
      <c r="M253" s="42">
        <f>Table2[[#This Row],[OnHandQty]]-Table2[[#This Row],[Projection Nov/Dec]]</f>
        <v>2</v>
      </c>
      <c r="N253" s="35">
        <f>Table2[[#This Row],[OverStock]]*Table2[[#This Row],[RepCost]]</f>
        <v>17.579599999999999</v>
      </c>
      <c r="O253" s="25">
        <v>46191.495833333334</v>
      </c>
      <c r="P253" s="26" t="s">
        <v>522</v>
      </c>
    </row>
    <row r="254" spans="1:16" x14ac:dyDescent="0.25">
      <c r="A254" s="20" t="s">
        <v>5211</v>
      </c>
      <c r="B254" s="21">
        <v>634</v>
      </c>
      <c r="C254" s="22" t="s">
        <v>70</v>
      </c>
      <c r="D254" s="22" t="s">
        <v>84</v>
      </c>
      <c r="E254" s="22" t="str">
        <f>CONCATENATE(B254,D254)</f>
        <v>63486151-101</v>
      </c>
      <c r="F254" s="22" t="s">
        <v>85</v>
      </c>
      <c r="G254" s="22" t="s">
        <v>29</v>
      </c>
      <c r="H254" s="23">
        <v>9.1717999999999993</v>
      </c>
      <c r="I254" s="24">
        <v>4</v>
      </c>
      <c r="J254" s="24">
        <v>0</v>
      </c>
      <c r="K254" s="24">
        <v>0</v>
      </c>
      <c r="L254" s="41">
        <f>Table2[[#This Row],[Column1]]+Table2[[#This Row],[Column2]]</f>
        <v>0</v>
      </c>
      <c r="M254" s="42">
        <f>Table2[[#This Row],[OnHandQty]]-Table2[[#This Row],[Projection Nov/Dec]]</f>
        <v>4</v>
      </c>
      <c r="N254" s="35">
        <f>Table2[[#This Row],[OverStock]]*Table2[[#This Row],[RepCost]]</f>
        <v>36.687199999999997</v>
      </c>
      <c r="O254" s="25">
        <v>46198.595138888886</v>
      </c>
      <c r="P254" s="26" t="s">
        <v>40</v>
      </c>
    </row>
    <row r="255" spans="1:16" x14ac:dyDescent="0.25">
      <c r="A255" s="20" t="s">
        <v>5211</v>
      </c>
      <c r="B255" s="21">
        <v>636</v>
      </c>
      <c r="C255" s="22" t="s">
        <v>1208</v>
      </c>
      <c r="D255" s="22" t="s">
        <v>1213</v>
      </c>
      <c r="E255" s="22" t="str">
        <f>CONCATENATE(B255,D255)</f>
        <v>63688889-008</v>
      </c>
      <c r="F255" s="22" t="s">
        <v>1214</v>
      </c>
      <c r="G255" s="22" t="s">
        <v>39</v>
      </c>
      <c r="H255" s="23">
        <v>20.2393</v>
      </c>
      <c r="I255" s="24">
        <v>4</v>
      </c>
      <c r="J255" s="24">
        <v>0</v>
      </c>
      <c r="K255" s="24">
        <v>0</v>
      </c>
      <c r="L255" s="41">
        <f>Table2[[#This Row],[Column1]]+Table2[[#This Row],[Column2]]</f>
        <v>0</v>
      </c>
      <c r="M255" s="42">
        <f>Table2[[#This Row],[OnHandQty]]-Table2[[#This Row],[Projection Nov/Dec]]</f>
        <v>4</v>
      </c>
      <c r="N255" s="35">
        <f>Table2[[#This Row],[OverStock]]*Table2[[#This Row],[RepCost]]</f>
        <v>80.9572</v>
      </c>
      <c r="O255" s="25">
        <v>46114.597916666666</v>
      </c>
      <c r="P255" s="26" t="s">
        <v>797</v>
      </c>
    </row>
    <row r="256" spans="1:16" x14ac:dyDescent="0.25">
      <c r="A256" s="20" t="s">
        <v>5211</v>
      </c>
      <c r="B256" s="21">
        <v>636</v>
      </c>
      <c r="C256" s="22" t="s">
        <v>1208</v>
      </c>
      <c r="D256" s="22" t="s">
        <v>1211</v>
      </c>
      <c r="E256" s="22" t="str">
        <f>CONCATENATE(B256,D256)</f>
        <v>63688889-SP4</v>
      </c>
      <c r="F256" s="22" t="s">
        <v>1212</v>
      </c>
      <c r="G256" s="22" t="s">
        <v>123</v>
      </c>
      <c r="H256" s="23">
        <v>7.3445</v>
      </c>
      <c r="I256" s="24">
        <v>18</v>
      </c>
      <c r="J256" s="24">
        <v>0</v>
      </c>
      <c r="K256" s="24">
        <v>1</v>
      </c>
      <c r="L256" s="41">
        <f>Table2[[#This Row],[Column1]]+Table2[[#This Row],[Column2]]</f>
        <v>1</v>
      </c>
      <c r="M256" s="42">
        <f>Table2[[#This Row],[OnHandQty]]-Table2[[#This Row],[Projection Nov/Dec]]</f>
        <v>17</v>
      </c>
      <c r="N256" s="35">
        <f>Table2[[#This Row],[OverStock]]*Table2[[#This Row],[RepCost]]</f>
        <v>124.8565</v>
      </c>
      <c r="O256" s="25">
        <v>46114.597916666666</v>
      </c>
      <c r="P256" s="26" t="s">
        <v>797</v>
      </c>
    </row>
    <row r="257" spans="1:16" x14ac:dyDescent="0.25">
      <c r="A257" s="20" t="s">
        <v>5211</v>
      </c>
      <c r="B257" s="21">
        <v>636</v>
      </c>
      <c r="C257" s="22" t="s">
        <v>70</v>
      </c>
      <c r="D257" s="22" t="s">
        <v>702</v>
      </c>
      <c r="E257" s="22" t="str">
        <f>CONCATENATE(B257,D257)</f>
        <v>63681728-101</v>
      </c>
      <c r="F257" s="22" t="s">
        <v>703</v>
      </c>
      <c r="G257" s="22" t="s">
        <v>29</v>
      </c>
      <c r="H257" s="23">
        <v>5.1707999999999998</v>
      </c>
      <c r="I257" s="24">
        <v>19</v>
      </c>
      <c r="J257" s="24">
        <v>0</v>
      </c>
      <c r="K257" s="24">
        <v>0</v>
      </c>
      <c r="L257" s="41">
        <f>Table2[[#This Row],[Column1]]+Table2[[#This Row],[Column2]]</f>
        <v>0</v>
      </c>
      <c r="M257" s="42">
        <f>Table2[[#This Row],[OnHandQty]]-Table2[[#This Row],[Projection Nov/Dec]]</f>
        <v>19</v>
      </c>
      <c r="N257" s="35">
        <f>Table2[[#This Row],[OverStock]]*Table2[[#This Row],[RepCost]]</f>
        <v>98.245199999999997</v>
      </c>
      <c r="O257" s="25">
        <v>46177.399305555555</v>
      </c>
      <c r="P257" s="26" t="s">
        <v>16</v>
      </c>
    </row>
    <row r="258" spans="1:16" x14ac:dyDescent="0.25">
      <c r="A258" s="20" t="s">
        <v>5211</v>
      </c>
      <c r="B258" s="21">
        <v>714</v>
      </c>
      <c r="C258" s="22" t="s">
        <v>70</v>
      </c>
      <c r="D258" s="22" t="s">
        <v>2060</v>
      </c>
      <c r="E258" s="22" t="str">
        <f>CONCATENATE(B258,D258)</f>
        <v>71461681-101</v>
      </c>
      <c r="F258" s="22" t="s">
        <v>2061</v>
      </c>
      <c r="G258" s="22" t="s">
        <v>29</v>
      </c>
      <c r="H258" s="23">
        <v>6.16</v>
      </c>
      <c r="I258" s="24">
        <v>6</v>
      </c>
      <c r="J258" s="24">
        <v>0</v>
      </c>
      <c r="K258" s="24">
        <v>0</v>
      </c>
      <c r="L258" s="41">
        <f>Table2[[#This Row],[Column1]]+Table2[[#This Row],[Column2]]</f>
        <v>0</v>
      </c>
      <c r="M258" s="42">
        <f>Table2[[#This Row],[OnHandQty]]-Table2[[#This Row],[Projection Nov/Dec]]</f>
        <v>6</v>
      </c>
      <c r="N258" s="35">
        <f>Table2[[#This Row],[OverStock]]*Table2[[#This Row],[RepCost]]</f>
        <v>36.96</v>
      </c>
      <c r="O258" s="25">
        <v>46150.495138888888</v>
      </c>
      <c r="P258" s="26" t="s">
        <v>522</v>
      </c>
    </row>
    <row r="259" spans="1:16" x14ac:dyDescent="0.25">
      <c r="A259" s="20" t="s">
        <v>5211</v>
      </c>
      <c r="B259" s="21">
        <v>714</v>
      </c>
      <c r="C259" s="22" t="s">
        <v>70</v>
      </c>
      <c r="D259" s="22" t="s">
        <v>676</v>
      </c>
      <c r="E259" s="22" t="str">
        <f>CONCATENATE(B259,D259)</f>
        <v>71461706-101</v>
      </c>
      <c r="F259" s="22" t="s">
        <v>677</v>
      </c>
      <c r="G259" s="22" t="s">
        <v>39</v>
      </c>
      <c r="H259" s="23">
        <v>7.8270999999999997</v>
      </c>
      <c r="I259" s="24">
        <v>2</v>
      </c>
      <c r="J259" s="24">
        <v>0</v>
      </c>
      <c r="K259" s="24">
        <v>0</v>
      </c>
      <c r="L259" s="41">
        <f>Table2[[#This Row],[Column1]]+Table2[[#This Row],[Column2]]</f>
        <v>0</v>
      </c>
      <c r="M259" s="42">
        <f>Table2[[#This Row],[OnHandQty]]-Table2[[#This Row],[Projection Nov/Dec]]</f>
        <v>2</v>
      </c>
      <c r="N259" s="35">
        <f>Table2[[#This Row],[OverStock]]*Table2[[#This Row],[RepCost]]</f>
        <v>15.654199999999999</v>
      </c>
      <c r="O259" s="25">
        <v>46239.576388888891</v>
      </c>
      <c r="P259" s="26" t="s">
        <v>573</v>
      </c>
    </row>
    <row r="260" spans="1:16" x14ac:dyDescent="0.25">
      <c r="A260" s="20" t="s">
        <v>5211</v>
      </c>
      <c r="B260" s="21">
        <v>714</v>
      </c>
      <c r="C260" s="22" t="s">
        <v>70</v>
      </c>
      <c r="D260" s="22" t="s">
        <v>1999</v>
      </c>
      <c r="E260" s="22" t="str">
        <f>CONCATENATE(B260,D260)</f>
        <v>71484900-101</v>
      </c>
      <c r="F260" s="22" t="s">
        <v>2000</v>
      </c>
      <c r="G260" s="22" t="s">
        <v>15</v>
      </c>
      <c r="H260" s="23">
        <v>7.7919999999999998</v>
      </c>
      <c r="I260" s="24">
        <v>9</v>
      </c>
      <c r="J260" s="24">
        <v>0</v>
      </c>
      <c r="K260" s="24">
        <v>0</v>
      </c>
      <c r="L260" s="41">
        <f>Table2[[#This Row],[Column1]]+Table2[[#This Row],[Column2]]</f>
        <v>0</v>
      </c>
      <c r="M260" s="42">
        <f>Table2[[#This Row],[OnHandQty]]-Table2[[#This Row],[Projection Nov/Dec]]</f>
        <v>9</v>
      </c>
      <c r="N260" s="35">
        <f>Table2[[#This Row],[OverStock]]*Table2[[#This Row],[RepCost]]</f>
        <v>70.128</v>
      </c>
      <c r="O260" s="25">
        <v>45768.525000000001</v>
      </c>
      <c r="P260" s="26" t="s">
        <v>573</v>
      </c>
    </row>
    <row r="261" spans="1:16" x14ac:dyDescent="0.25">
      <c r="A261" s="20" t="s">
        <v>5211</v>
      </c>
      <c r="B261" s="21">
        <v>718</v>
      </c>
      <c r="C261" s="22" t="s">
        <v>70</v>
      </c>
      <c r="D261" s="22" t="s">
        <v>2131</v>
      </c>
      <c r="E261" s="22" t="str">
        <f>CONCATENATE(B261,D261)</f>
        <v>71861780-102</v>
      </c>
      <c r="F261" s="22" t="s">
        <v>2132</v>
      </c>
      <c r="G261" s="22" t="s">
        <v>35</v>
      </c>
      <c r="H261" s="23">
        <v>7.8583999999999996</v>
      </c>
      <c r="I261" s="24">
        <v>2</v>
      </c>
      <c r="J261" s="24">
        <v>0</v>
      </c>
      <c r="K261" s="24">
        <v>0</v>
      </c>
      <c r="L261" s="41">
        <f>Table2[[#This Row],[Column1]]+Table2[[#This Row],[Column2]]</f>
        <v>0</v>
      </c>
      <c r="M261" s="42">
        <f>Table2[[#This Row],[OnHandQty]]-Table2[[#This Row],[Projection Nov/Dec]]</f>
        <v>2</v>
      </c>
      <c r="N261" s="35">
        <f>Table2[[#This Row],[OverStock]]*Table2[[#This Row],[RepCost]]</f>
        <v>15.716799999999999</v>
      </c>
      <c r="O261" s="25">
        <v>45868.541666666664</v>
      </c>
      <c r="P261" s="26" t="s">
        <v>40</v>
      </c>
    </row>
    <row r="262" spans="1:16" x14ac:dyDescent="0.25">
      <c r="A262" s="20" t="s">
        <v>5211</v>
      </c>
      <c r="B262" s="21">
        <v>714</v>
      </c>
      <c r="C262" s="22" t="s">
        <v>70</v>
      </c>
      <c r="D262" s="22" t="s">
        <v>2131</v>
      </c>
      <c r="E262" s="22" t="str">
        <f>CONCATENATE(B262,D262)</f>
        <v>71461780-102</v>
      </c>
      <c r="F262" s="22" t="s">
        <v>2132</v>
      </c>
      <c r="G262" s="22" t="s">
        <v>29</v>
      </c>
      <c r="H262" s="23">
        <v>7.4736000000000002</v>
      </c>
      <c r="I262" s="24">
        <v>1</v>
      </c>
      <c r="J262" s="24">
        <v>0</v>
      </c>
      <c r="K262" s="24">
        <v>0</v>
      </c>
      <c r="L262" s="41">
        <f>Table2[[#This Row],[Column1]]+Table2[[#This Row],[Column2]]</f>
        <v>0</v>
      </c>
      <c r="M262" s="42">
        <f>Table2[[#This Row],[OnHandQty]]-Table2[[#This Row],[Projection Nov/Dec]]</f>
        <v>1</v>
      </c>
      <c r="N262" s="35">
        <f>Table2[[#This Row],[OverStock]]*Table2[[#This Row],[RepCost]]</f>
        <v>7.4736000000000002</v>
      </c>
      <c r="O262" s="25">
        <v>45891.435416666667</v>
      </c>
      <c r="P262" s="26" t="s">
        <v>40</v>
      </c>
    </row>
    <row r="263" spans="1:16" x14ac:dyDescent="0.25">
      <c r="A263" s="20" t="s">
        <v>5211</v>
      </c>
      <c r="B263" s="21">
        <v>634</v>
      </c>
      <c r="C263" s="22" t="s">
        <v>70</v>
      </c>
      <c r="D263" s="22" t="s">
        <v>106</v>
      </c>
      <c r="E263" s="22" t="str">
        <f>CONCATENATE(B263,D263)</f>
        <v>63478959-101</v>
      </c>
      <c r="F263" s="22" t="s">
        <v>107</v>
      </c>
      <c r="G263" s="22" t="s">
        <v>81</v>
      </c>
      <c r="H263" s="23">
        <v>6.6447000000000003</v>
      </c>
      <c r="I263" s="24">
        <v>18</v>
      </c>
      <c r="J263" s="24">
        <v>0</v>
      </c>
      <c r="K263" s="24">
        <v>0</v>
      </c>
      <c r="L263" s="41">
        <f>Table2[[#This Row],[Column1]]+Table2[[#This Row],[Column2]]</f>
        <v>0</v>
      </c>
      <c r="M263" s="42">
        <f>Table2[[#This Row],[OnHandQty]]-Table2[[#This Row],[Projection Nov/Dec]]</f>
        <v>18</v>
      </c>
      <c r="N263" s="35">
        <f>Table2[[#This Row],[OverStock]]*Table2[[#This Row],[RepCost]]</f>
        <v>119.6046</v>
      </c>
      <c r="O263" s="25">
        <v>46217.376388888886</v>
      </c>
      <c r="P263" s="26" t="s">
        <v>94</v>
      </c>
    </row>
    <row r="264" spans="1:16" x14ac:dyDescent="0.25">
      <c r="A264" s="20" t="s">
        <v>5211</v>
      </c>
      <c r="B264" s="21">
        <v>718</v>
      </c>
      <c r="C264" s="22" t="s">
        <v>70</v>
      </c>
      <c r="D264" s="22" t="s">
        <v>3661</v>
      </c>
      <c r="E264" s="22" t="str">
        <f>CONCATENATE(B264,D264)</f>
        <v>71861793-102</v>
      </c>
      <c r="F264" s="22" t="s">
        <v>3662</v>
      </c>
      <c r="G264" s="22" t="s">
        <v>112</v>
      </c>
      <c r="H264" s="23">
        <v>6.3160999999999996</v>
      </c>
      <c r="I264" s="24">
        <v>10</v>
      </c>
      <c r="J264" s="24">
        <v>0</v>
      </c>
      <c r="K264" s="24">
        <v>0</v>
      </c>
      <c r="L264" s="41">
        <f>Table2[[#This Row],[Column1]]+Table2[[#This Row],[Column2]]</f>
        <v>0</v>
      </c>
      <c r="M264" s="42">
        <f>Table2[[#This Row],[OnHandQty]]-Table2[[#This Row],[Projection Nov/Dec]]</f>
        <v>10</v>
      </c>
      <c r="N264" s="35">
        <f>Table2[[#This Row],[OverStock]]*Table2[[#This Row],[RepCost]]</f>
        <v>63.160999999999994</v>
      </c>
      <c r="O264" s="25">
        <v>46193.592361111114</v>
      </c>
      <c r="P264" s="26" t="s">
        <v>26</v>
      </c>
    </row>
    <row r="265" spans="1:16" x14ac:dyDescent="0.25">
      <c r="A265" s="20" t="s">
        <v>5211</v>
      </c>
      <c r="B265" s="21">
        <v>718</v>
      </c>
      <c r="C265" s="22" t="s">
        <v>70</v>
      </c>
      <c r="D265" s="22" t="s">
        <v>3659</v>
      </c>
      <c r="E265" s="22" t="str">
        <f>CONCATENATE(B265,D265)</f>
        <v>71861806-101</v>
      </c>
      <c r="F265" s="22" t="s">
        <v>3660</v>
      </c>
      <c r="G265" s="22" t="s">
        <v>39</v>
      </c>
      <c r="H265" s="23">
        <v>5.3041</v>
      </c>
      <c r="I265" s="24">
        <v>41</v>
      </c>
      <c r="J265" s="24">
        <v>0</v>
      </c>
      <c r="K265" s="24">
        <v>0</v>
      </c>
      <c r="L265" s="41">
        <f>Table2[[#This Row],[Column1]]+Table2[[#This Row],[Column2]]</f>
        <v>0</v>
      </c>
      <c r="M265" s="42">
        <f>Table2[[#This Row],[OnHandQty]]-Table2[[#This Row],[Projection Nov/Dec]]</f>
        <v>41</v>
      </c>
      <c r="N265" s="35">
        <f>Table2[[#This Row],[OverStock]]*Table2[[#This Row],[RepCost]]</f>
        <v>217.46809999999999</v>
      </c>
      <c r="O265" s="25">
        <v>46193.592361111114</v>
      </c>
      <c r="P265" s="26" t="s">
        <v>26</v>
      </c>
    </row>
    <row r="266" spans="1:16" x14ac:dyDescent="0.25">
      <c r="A266" s="20" t="s">
        <v>5211</v>
      </c>
      <c r="B266" s="21">
        <v>714</v>
      </c>
      <c r="C266" s="22" t="s">
        <v>70</v>
      </c>
      <c r="D266" s="22" t="s">
        <v>2064</v>
      </c>
      <c r="E266" s="22" t="str">
        <f>CONCATENATE(B266,D266)</f>
        <v>71461810-101</v>
      </c>
      <c r="F266" s="22" t="s">
        <v>2065</v>
      </c>
      <c r="G266" s="22" t="s">
        <v>29</v>
      </c>
      <c r="H266" s="23">
        <v>9.0297999999999998</v>
      </c>
      <c r="I266" s="24">
        <v>6</v>
      </c>
      <c r="J266" s="24">
        <v>0</v>
      </c>
      <c r="K266" s="24">
        <v>0</v>
      </c>
      <c r="L266" s="41">
        <f>Table2[[#This Row],[Column1]]+Table2[[#This Row],[Column2]]</f>
        <v>0</v>
      </c>
      <c r="M266" s="42">
        <f>Table2[[#This Row],[OnHandQty]]-Table2[[#This Row],[Projection Nov/Dec]]</f>
        <v>6</v>
      </c>
      <c r="N266" s="35">
        <f>Table2[[#This Row],[OverStock]]*Table2[[#This Row],[RepCost]]</f>
        <v>54.178799999999995</v>
      </c>
      <c r="O266" s="25">
        <v>46195.55</v>
      </c>
      <c r="P266" s="26" t="s">
        <v>2066</v>
      </c>
    </row>
    <row r="267" spans="1:16" x14ac:dyDescent="0.25">
      <c r="A267" s="20" t="s">
        <v>5211</v>
      </c>
      <c r="B267" s="21">
        <v>718</v>
      </c>
      <c r="C267" s="22" t="s">
        <v>70</v>
      </c>
      <c r="D267" s="22" t="s">
        <v>1987</v>
      </c>
      <c r="E267" s="22" t="str">
        <f>CONCATENATE(B267,D267)</f>
        <v>71861732-102</v>
      </c>
      <c r="F267" s="22" t="s">
        <v>1988</v>
      </c>
      <c r="G267" s="22" t="s">
        <v>39</v>
      </c>
      <c r="H267" s="23">
        <v>6.3131000000000004</v>
      </c>
      <c r="I267" s="24">
        <v>43</v>
      </c>
      <c r="J267" s="24">
        <v>0</v>
      </c>
      <c r="K267" s="24">
        <v>0</v>
      </c>
      <c r="L267" s="41">
        <f>Table2[[#This Row],[Column1]]+Table2[[#This Row],[Column2]]</f>
        <v>0</v>
      </c>
      <c r="M267" s="42">
        <f>Table2[[#This Row],[OnHandQty]]-Table2[[#This Row],[Projection Nov/Dec]]</f>
        <v>43</v>
      </c>
      <c r="N267" s="35">
        <f>Table2[[#This Row],[OverStock]]*Table2[[#This Row],[RepCost]]</f>
        <v>271.4633</v>
      </c>
      <c r="O267" s="25">
        <v>46193.592361111114</v>
      </c>
      <c r="P267" s="26" t="s">
        <v>26</v>
      </c>
    </row>
    <row r="268" spans="1:16" x14ac:dyDescent="0.25">
      <c r="A268" s="20" t="s">
        <v>5211</v>
      </c>
      <c r="B268" s="21">
        <v>718</v>
      </c>
      <c r="C268" s="22" t="s">
        <v>70</v>
      </c>
      <c r="D268" s="22" t="s">
        <v>3673</v>
      </c>
      <c r="E268" s="22" t="str">
        <f>CONCATENATE(B268,D268)</f>
        <v>71861744-102</v>
      </c>
      <c r="F268" s="22" t="s">
        <v>3674</v>
      </c>
      <c r="G268" s="22" t="s">
        <v>112</v>
      </c>
      <c r="H268" s="23">
        <v>6.3160999999999996</v>
      </c>
      <c r="I268" s="24">
        <v>35</v>
      </c>
      <c r="J268" s="24">
        <v>16</v>
      </c>
      <c r="K268" s="24">
        <v>0</v>
      </c>
      <c r="L268" s="41">
        <f>Table2[[#This Row],[Column1]]+Table2[[#This Row],[Column2]]</f>
        <v>16</v>
      </c>
      <c r="M268" s="42">
        <f>Table2[[#This Row],[OnHandQty]]-Table2[[#This Row],[Projection Nov/Dec]]</f>
        <v>19</v>
      </c>
      <c r="N268" s="35">
        <f>Table2[[#This Row],[OverStock]]*Table2[[#This Row],[RepCost]]</f>
        <v>120.0059</v>
      </c>
      <c r="O268" s="25">
        <v>46193.592361111114</v>
      </c>
      <c r="P268" s="26" t="s">
        <v>26</v>
      </c>
    </row>
    <row r="269" spans="1:16" x14ac:dyDescent="0.25">
      <c r="A269" s="20" t="s">
        <v>5211</v>
      </c>
      <c r="B269" s="21">
        <v>714</v>
      </c>
      <c r="C269" s="22" t="s">
        <v>70</v>
      </c>
      <c r="D269" s="22" t="s">
        <v>779</v>
      </c>
      <c r="E269" s="22" t="str">
        <f>CONCATENATE(B269,D269)</f>
        <v>71461850-101</v>
      </c>
      <c r="F269" s="22" t="s">
        <v>780</v>
      </c>
      <c r="G269" s="22" t="s">
        <v>23</v>
      </c>
      <c r="H269" s="23">
        <v>7.7537000000000003</v>
      </c>
      <c r="I269" s="24">
        <v>9</v>
      </c>
      <c r="J269" s="24">
        <v>0</v>
      </c>
      <c r="K269" s="24">
        <v>0</v>
      </c>
      <c r="L269" s="41">
        <f>Table2[[#This Row],[Column1]]+Table2[[#This Row],[Column2]]</f>
        <v>0</v>
      </c>
      <c r="M269" s="42">
        <f>Table2[[#This Row],[OnHandQty]]-Table2[[#This Row],[Projection Nov/Dec]]</f>
        <v>9</v>
      </c>
      <c r="N269" s="35">
        <f>Table2[[#This Row],[OverStock]]*Table2[[#This Row],[RepCost]]</f>
        <v>69.783299999999997</v>
      </c>
      <c r="O269" s="25">
        <v>46234.623611111114</v>
      </c>
      <c r="P269" s="26" t="s">
        <v>16</v>
      </c>
    </row>
    <row r="270" spans="1:16" x14ac:dyDescent="0.25">
      <c r="A270" s="20" t="s">
        <v>5211</v>
      </c>
      <c r="B270" s="21">
        <v>718</v>
      </c>
      <c r="C270" s="22" t="s">
        <v>143</v>
      </c>
      <c r="D270" s="22" t="s">
        <v>3792</v>
      </c>
      <c r="E270" s="22" t="str">
        <f>CONCATENATE(B270,D270)</f>
        <v>71861878-110</v>
      </c>
      <c r="F270" s="27" t="s">
        <v>3793</v>
      </c>
      <c r="G270" s="27" t="s">
        <v>58</v>
      </c>
      <c r="H270" s="23">
        <v>60</v>
      </c>
      <c r="I270" s="24">
        <v>1</v>
      </c>
      <c r="J270" s="24">
        <v>0</v>
      </c>
      <c r="K270" s="24">
        <v>0</v>
      </c>
      <c r="L270" s="41">
        <f>Table2[[#This Row],[Column1]]+Table2[[#This Row],[Column2]]</f>
        <v>0</v>
      </c>
      <c r="M270" s="42">
        <f>Table2[[#This Row],[OnHandQty]]-Table2[[#This Row],[Projection Nov/Dec]]</f>
        <v>1</v>
      </c>
      <c r="N270" s="35">
        <f>Table2[[#This Row],[OverStock]]*Table2[[#This Row],[RepCost]]</f>
        <v>60</v>
      </c>
      <c r="O270" s="25">
        <v>45741.47152777778</v>
      </c>
      <c r="P270" s="26" t="s">
        <v>195</v>
      </c>
    </row>
    <row r="271" spans="1:16" x14ac:dyDescent="0.25">
      <c r="A271" s="20" t="s">
        <v>5211</v>
      </c>
      <c r="B271" s="21">
        <v>714</v>
      </c>
      <c r="C271" s="22" t="s">
        <v>143</v>
      </c>
      <c r="D271" s="22" t="s">
        <v>2754</v>
      </c>
      <c r="E271" s="22" t="str">
        <f>CONCATENATE(B271,D271)</f>
        <v>71461878-103</v>
      </c>
      <c r="F271" s="22" t="s">
        <v>2755</v>
      </c>
      <c r="G271" s="22" t="s">
        <v>23</v>
      </c>
      <c r="H271" s="23">
        <v>19.791799999999999</v>
      </c>
      <c r="I271" s="24">
        <v>28</v>
      </c>
      <c r="J271" s="24">
        <v>9</v>
      </c>
      <c r="K271" s="24">
        <v>0</v>
      </c>
      <c r="L271" s="41">
        <f>Table2[[#This Row],[Column1]]+Table2[[#This Row],[Column2]]</f>
        <v>9</v>
      </c>
      <c r="M271" s="42">
        <f>Table2[[#This Row],[OnHandQty]]-Table2[[#This Row],[Projection Nov/Dec]]</f>
        <v>19</v>
      </c>
      <c r="N271" s="35">
        <f>Table2[[#This Row],[OverStock]]*Table2[[#This Row],[RepCost]]</f>
        <v>376.04419999999999</v>
      </c>
      <c r="O271" s="25">
        <v>46245.463194444441</v>
      </c>
      <c r="P271" s="26" t="s">
        <v>195</v>
      </c>
    </row>
    <row r="272" spans="1:16" x14ac:dyDescent="0.25">
      <c r="A272" s="20" t="s">
        <v>5211</v>
      </c>
      <c r="B272" s="21">
        <v>714</v>
      </c>
      <c r="C272" s="22" t="s">
        <v>143</v>
      </c>
      <c r="D272" s="22" t="s">
        <v>2407</v>
      </c>
      <c r="E272" s="22" t="str">
        <f>CONCATENATE(B272,D272)</f>
        <v>71476031-105</v>
      </c>
      <c r="F272" s="22" t="s">
        <v>2408</v>
      </c>
      <c r="G272" s="22" t="s">
        <v>19</v>
      </c>
      <c r="H272" s="23">
        <v>40.1006</v>
      </c>
      <c r="I272" s="24">
        <v>18</v>
      </c>
      <c r="J272" s="24">
        <v>0</v>
      </c>
      <c r="K272" s="24">
        <v>0</v>
      </c>
      <c r="L272" s="41">
        <f>Table2[[#This Row],[Column1]]+Table2[[#This Row],[Column2]]</f>
        <v>0</v>
      </c>
      <c r="M272" s="42">
        <f>Table2[[#This Row],[OnHandQty]]-Table2[[#This Row],[Projection Nov/Dec]]</f>
        <v>18</v>
      </c>
      <c r="N272" s="35">
        <f>Table2[[#This Row],[OverStock]]*Table2[[#This Row],[RepCost]]</f>
        <v>721.81079999999997</v>
      </c>
      <c r="O272" s="25">
        <v>46112.315972222219</v>
      </c>
      <c r="P272" s="26" t="s">
        <v>36</v>
      </c>
    </row>
    <row r="273" spans="1:16" x14ac:dyDescent="0.25">
      <c r="A273" s="20" t="s">
        <v>5211</v>
      </c>
      <c r="B273" s="21">
        <v>714</v>
      </c>
      <c r="C273" s="22" t="s">
        <v>143</v>
      </c>
      <c r="D273" s="22" t="s">
        <v>2436</v>
      </c>
      <c r="E273" s="22" t="str">
        <f>CONCATENATE(B273,D273)</f>
        <v>71461902-103</v>
      </c>
      <c r="F273" s="22" t="s">
        <v>2437</v>
      </c>
      <c r="G273" s="22" t="s">
        <v>29</v>
      </c>
      <c r="H273" s="23">
        <v>12.6896</v>
      </c>
      <c r="I273" s="24">
        <v>33</v>
      </c>
      <c r="J273" s="24">
        <v>0</v>
      </c>
      <c r="K273" s="24">
        <v>0</v>
      </c>
      <c r="L273" s="41">
        <f>Table2[[#This Row],[Column1]]+Table2[[#This Row],[Column2]]</f>
        <v>0</v>
      </c>
      <c r="M273" s="42">
        <f>Table2[[#This Row],[OnHandQty]]-Table2[[#This Row],[Projection Nov/Dec]]</f>
        <v>33</v>
      </c>
      <c r="N273" s="35">
        <f>Table2[[#This Row],[OverStock]]*Table2[[#This Row],[RepCost]]</f>
        <v>418.7568</v>
      </c>
      <c r="O273" s="25">
        <v>46188.35</v>
      </c>
      <c r="P273" s="26" t="s">
        <v>26</v>
      </c>
    </row>
    <row r="274" spans="1:16" x14ac:dyDescent="0.25">
      <c r="A274" s="20" t="s">
        <v>5211</v>
      </c>
      <c r="B274" s="21">
        <v>714</v>
      </c>
      <c r="C274" s="22" t="s">
        <v>143</v>
      </c>
      <c r="D274" s="22" t="s">
        <v>2449</v>
      </c>
      <c r="E274" s="22" t="str">
        <f>CONCATENATE(B274,D274)</f>
        <v>71461902-107</v>
      </c>
      <c r="F274" s="22" t="s">
        <v>2450</v>
      </c>
      <c r="G274" s="22" t="s">
        <v>35</v>
      </c>
      <c r="H274" s="23">
        <v>27.540600000000001</v>
      </c>
      <c r="I274" s="24">
        <v>2</v>
      </c>
      <c r="J274" s="24">
        <v>0</v>
      </c>
      <c r="K274" s="24">
        <v>0</v>
      </c>
      <c r="L274" s="41">
        <f>Table2[[#This Row],[Column1]]+Table2[[#This Row],[Column2]]</f>
        <v>0</v>
      </c>
      <c r="M274" s="42">
        <f>Table2[[#This Row],[OnHandQty]]-Table2[[#This Row],[Projection Nov/Dec]]</f>
        <v>2</v>
      </c>
      <c r="N274" s="35">
        <f>Table2[[#This Row],[OverStock]]*Table2[[#This Row],[RepCost]]</f>
        <v>55.081200000000003</v>
      </c>
      <c r="O274" s="25">
        <v>45929.468055555553</v>
      </c>
      <c r="P274" s="26" t="s">
        <v>26</v>
      </c>
    </row>
    <row r="275" spans="1:16" x14ac:dyDescent="0.25">
      <c r="A275" s="20" t="s">
        <v>5211</v>
      </c>
      <c r="B275" s="21">
        <v>636</v>
      </c>
      <c r="C275" s="22" t="s">
        <v>70</v>
      </c>
      <c r="D275" s="22" t="s">
        <v>812</v>
      </c>
      <c r="E275" s="22" t="str">
        <f>CONCATENATE(B275,D275)</f>
        <v>63661948-102</v>
      </c>
      <c r="F275" s="22" t="s">
        <v>813</v>
      </c>
      <c r="G275" s="22" t="s">
        <v>39</v>
      </c>
      <c r="H275" s="23">
        <v>9.9870000000000001</v>
      </c>
      <c r="I275" s="24">
        <v>8</v>
      </c>
      <c r="J275" s="24">
        <v>0</v>
      </c>
      <c r="K275" s="24">
        <v>0</v>
      </c>
      <c r="L275" s="41">
        <f>Table2[[#This Row],[Column1]]+Table2[[#This Row],[Column2]]</f>
        <v>0</v>
      </c>
      <c r="M275" s="42">
        <f>Table2[[#This Row],[OnHandQty]]-Table2[[#This Row],[Projection Nov/Dec]]</f>
        <v>8</v>
      </c>
      <c r="N275" s="35">
        <f>Table2[[#This Row],[OverStock]]*Table2[[#This Row],[RepCost]]</f>
        <v>79.896000000000001</v>
      </c>
      <c r="O275" s="25">
        <v>46178.285416666666</v>
      </c>
      <c r="P275" s="26" t="s">
        <v>522</v>
      </c>
    </row>
    <row r="276" spans="1:16" x14ac:dyDescent="0.25">
      <c r="A276" s="20" t="s">
        <v>5211</v>
      </c>
      <c r="B276" s="21">
        <v>636</v>
      </c>
      <c r="C276" s="22" t="s">
        <v>1208</v>
      </c>
      <c r="D276" s="22" t="s">
        <v>1215</v>
      </c>
      <c r="E276" s="22" t="str">
        <f>CONCATENATE(B276,D276)</f>
        <v>63692956-0010</v>
      </c>
      <c r="F276" s="22" t="s">
        <v>1216</v>
      </c>
      <c r="G276" s="22" t="s">
        <v>29</v>
      </c>
      <c r="H276" s="23">
        <v>21.952999999999999</v>
      </c>
      <c r="I276" s="24">
        <v>3</v>
      </c>
      <c r="J276" s="24">
        <v>0</v>
      </c>
      <c r="K276" s="24">
        <v>0</v>
      </c>
      <c r="L276" s="41">
        <f>Table2[[#This Row],[Column1]]+Table2[[#This Row],[Column2]]</f>
        <v>0</v>
      </c>
      <c r="M276" s="42">
        <f>Table2[[#This Row],[OnHandQty]]-Table2[[#This Row],[Projection Nov/Dec]]</f>
        <v>3</v>
      </c>
      <c r="N276" s="35">
        <f>Table2[[#This Row],[OverStock]]*Table2[[#This Row],[RepCost]]</f>
        <v>65.858999999999995</v>
      </c>
      <c r="O276" s="25">
        <v>46114.597916666666</v>
      </c>
      <c r="P276" s="26" t="s">
        <v>797</v>
      </c>
    </row>
    <row r="277" spans="1:16" x14ac:dyDescent="0.25">
      <c r="A277" s="20" t="s">
        <v>5211</v>
      </c>
      <c r="B277" s="21">
        <v>636</v>
      </c>
      <c r="C277" s="22" t="s">
        <v>323</v>
      </c>
      <c r="D277" s="22" t="s">
        <v>1460</v>
      </c>
      <c r="E277" s="22" t="str">
        <f>CONCATENATE(B277,D277)</f>
        <v>63684508-101</v>
      </c>
      <c r="F277" s="27" t="s">
        <v>1461</v>
      </c>
      <c r="G277" s="27" t="s">
        <v>58</v>
      </c>
      <c r="H277" s="23">
        <v>11.427</v>
      </c>
      <c r="I277" s="24">
        <v>3</v>
      </c>
      <c r="J277" s="24">
        <v>0</v>
      </c>
      <c r="K277" s="24">
        <v>0</v>
      </c>
      <c r="L277" s="41">
        <f>Table2[[#This Row],[Column1]]+Table2[[#This Row],[Column2]]</f>
        <v>0</v>
      </c>
      <c r="M277" s="42">
        <f>Table2[[#This Row],[OnHandQty]]-Table2[[#This Row],[Projection Nov/Dec]]</f>
        <v>3</v>
      </c>
      <c r="N277" s="35">
        <f>Table2[[#This Row],[OverStock]]*Table2[[#This Row],[RepCost]]</f>
        <v>34.280999999999999</v>
      </c>
      <c r="O277" s="25">
        <v>45392.384722222225</v>
      </c>
      <c r="P277" s="26" t="s">
        <v>797</v>
      </c>
    </row>
    <row r="278" spans="1:16" x14ac:dyDescent="0.25">
      <c r="A278" s="20" t="s">
        <v>5211</v>
      </c>
      <c r="B278" s="21">
        <v>636</v>
      </c>
      <c r="C278" s="22" t="s">
        <v>70</v>
      </c>
      <c r="D278" s="22" t="s">
        <v>686</v>
      </c>
      <c r="E278" s="22" t="str">
        <f>CONCATENATE(B278,D278)</f>
        <v>63661982-006</v>
      </c>
      <c r="F278" s="22" t="s">
        <v>687</v>
      </c>
      <c r="G278" s="22" t="s">
        <v>39</v>
      </c>
      <c r="H278" s="23">
        <v>8.5512999999999995</v>
      </c>
      <c r="I278" s="24">
        <v>36</v>
      </c>
      <c r="J278" s="24">
        <v>0</v>
      </c>
      <c r="K278" s="24">
        <v>0</v>
      </c>
      <c r="L278" s="41">
        <f>Table2[[#This Row],[Column1]]+Table2[[#This Row],[Column2]]</f>
        <v>0</v>
      </c>
      <c r="M278" s="42">
        <f>Table2[[#This Row],[OnHandQty]]-Table2[[#This Row],[Projection Nov/Dec]]</f>
        <v>36</v>
      </c>
      <c r="N278" s="35">
        <f>Table2[[#This Row],[OverStock]]*Table2[[#This Row],[RepCost]]</f>
        <v>307.84679999999997</v>
      </c>
      <c r="O278" s="25">
        <v>45793.375694444447</v>
      </c>
      <c r="P278" s="26" t="s">
        <v>542</v>
      </c>
    </row>
    <row r="279" spans="1:16" x14ac:dyDescent="0.25">
      <c r="A279" s="20" t="s">
        <v>5211</v>
      </c>
      <c r="B279" s="21">
        <v>636</v>
      </c>
      <c r="C279" s="22" t="s">
        <v>70</v>
      </c>
      <c r="D279" s="22" t="s">
        <v>700</v>
      </c>
      <c r="E279" s="22" t="str">
        <f>CONCATENATE(B279,D279)</f>
        <v>63679110-SP5</v>
      </c>
      <c r="F279" s="22" t="s">
        <v>701</v>
      </c>
      <c r="G279" s="22" t="s">
        <v>23</v>
      </c>
      <c r="H279" s="23">
        <v>3.2271000000000001</v>
      </c>
      <c r="I279" s="24">
        <v>16</v>
      </c>
      <c r="J279" s="24">
        <v>0</v>
      </c>
      <c r="K279" s="24">
        <v>0</v>
      </c>
      <c r="L279" s="41">
        <f>Table2[[#This Row],[Column1]]+Table2[[#This Row],[Column2]]</f>
        <v>0</v>
      </c>
      <c r="M279" s="42">
        <f>Table2[[#This Row],[OnHandQty]]-Table2[[#This Row],[Projection Nov/Dec]]</f>
        <v>16</v>
      </c>
      <c r="N279" s="35">
        <f>Table2[[#This Row],[OverStock]]*Table2[[#This Row],[RepCost]]</f>
        <v>51.633600000000001</v>
      </c>
      <c r="O279" s="25">
        <v>46156.307638888888</v>
      </c>
      <c r="P279" s="26" t="s">
        <v>545</v>
      </c>
    </row>
    <row r="280" spans="1:16" x14ac:dyDescent="0.25">
      <c r="A280" s="20" t="s">
        <v>5211</v>
      </c>
      <c r="B280" s="21">
        <v>714</v>
      </c>
      <c r="C280" s="22" t="s">
        <v>143</v>
      </c>
      <c r="D280" s="22" t="s">
        <v>2685</v>
      </c>
      <c r="E280" s="22" t="str">
        <f>CONCATENATE(B280,D280)</f>
        <v>71462057-103</v>
      </c>
      <c r="F280" s="22" t="s">
        <v>2686</v>
      </c>
      <c r="G280" s="22" t="s">
        <v>39</v>
      </c>
      <c r="H280" s="23">
        <v>12.3949</v>
      </c>
      <c r="I280" s="24">
        <v>16</v>
      </c>
      <c r="J280" s="24">
        <v>6</v>
      </c>
      <c r="K280" s="24">
        <v>0</v>
      </c>
      <c r="L280" s="41">
        <f>Table2[[#This Row],[Column1]]+Table2[[#This Row],[Column2]]</f>
        <v>6</v>
      </c>
      <c r="M280" s="42">
        <f>Table2[[#This Row],[OnHandQty]]-Table2[[#This Row],[Projection Nov/Dec]]</f>
        <v>10</v>
      </c>
      <c r="N280" s="35">
        <f>Table2[[#This Row],[OverStock]]*Table2[[#This Row],[RepCost]]</f>
        <v>123.949</v>
      </c>
      <c r="O280" s="25">
        <v>45444.660416666666</v>
      </c>
      <c r="P280" s="26" t="s">
        <v>2225</v>
      </c>
    </row>
    <row r="281" spans="1:16" x14ac:dyDescent="0.25">
      <c r="A281" s="20" t="s">
        <v>5211</v>
      </c>
      <c r="B281" s="21">
        <v>718</v>
      </c>
      <c r="C281" s="22" t="s">
        <v>323</v>
      </c>
      <c r="D281" s="22" t="s">
        <v>3873</v>
      </c>
      <c r="E281" s="22" t="str">
        <f>CONCATENATE(B281,D281)</f>
        <v>71862132-125</v>
      </c>
      <c r="F281" s="22" t="s">
        <v>3874</v>
      </c>
      <c r="G281" s="22" t="s">
        <v>23</v>
      </c>
      <c r="H281" s="23">
        <v>142.5789</v>
      </c>
      <c r="I281" s="24">
        <v>6</v>
      </c>
      <c r="J281" s="24">
        <v>3</v>
      </c>
      <c r="K281" s="24">
        <v>0</v>
      </c>
      <c r="L281" s="41">
        <f>Table2[[#This Row],[Column1]]+Table2[[#This Row],[Column2]]</f>
        <v>3</v>
      </c>
      <c r="M281" s="42">
        <f>Table2[[#This Row],[OnHandQty]]-Table2[[#This Row],[Projection Nov/Dec]]</f>
        <v>3</v>
      </c>
      <c r="N281" s="35">
        <f>Table2[[#This Row],[OverStock]]*Table2[[#This Row],[RepCost]]</f>
        <v>427.73670000000004</v>
      </c>
      <c r="O281" s="25">
        <v>46147.727777777778</v>
      </c>
      <c r="P281" s="26" t="s">
        <v>1870</v>
      </c>
    </row>
    <row r="282" spans="1:16" x14ac:dyDescent="0.25">
      <c r="A282" s="20" t="s">
        <v>5211</v>
      </c>
      <c r="B282" s="21">
        <v>714</v>
      </c>
      <c r="C282" s="22" t="s">
        <v>323</v>
      </c>
      <c r="D282" s="22" t="s">
        <v>3043</v>
      </c>
      <c r="E282" s="22" t="str">
        <f>CONCATENATE(B282,D282)</f>
        <v>71462132-035</v>
      </c>
      <c r="F282" s="22" t="s">
        <v>3044</v>
      </c>
      <c r="G282" s="22" t="s">
        <v>29</v>
      </c>
      <c r="H282" s="23">
        <v>343.02190000000002</v>
      </c>
      <c r="I282" s="24">
        <v>5</v>
      </c>
      <c r="J282" s="24">
        <v>0</v>
      </c>
      <c r="K282" s="24">
        <v>0</v>
      </c>
      <c r="L282" s="41">
        <f>Table2[[#This Row],[Column1]]+Table2[[#This Row],[Column2]]</f>
        <v>0</v>
      </c>
      <c r="M282" s="42">
        <f>Table2[[#This Row],[OnHandQty]]-Table2[[#This Row],[Projection Nov/Dec]]</f>
        <v>5</v>
      </c>
      <c r="N282" s="35">
        <f>Table2[[#This Row],[OverStock]]*Table2[[#This Row],[RepCost]]</f>
        <v>1715.1095</v>
      </c>
      <c r="O282" s="25">
        <v>46086.356249999997</v>
      </c>
      <c r="P282" s="26" t="s">
        <v>3024</v>
      </c>
    </row>
    <row r="283" spans="1:16" x14ac:dyDescent="0.25">
      <c r="A283" s="20" t="s">
        <v>5211</v>
      </c>
      <c r="B283" s="21">
        <v>714</v>
      </c>
      <c r="C283" s="22" t="s">
        <v>323</v>
      </c>
      <c r="D283" s="22" t="s">
        <v>3266</v>
      </c>
      <c r="E283" s="22" t="str">
        <f>CONCATENATE(B283,D283)</f>
        <v>71462132-308</v>
      </c>
      <c r="F283" s="22" t="s">
        <v>3267</v>
      </c>
      <c r="G283" s="22" t="s">
        <v>29</v>
      </c>
      <c r="H283" s="23">
        <v>129.43700000000001</v>
      </c>
      <c r="I283" s="24">
        <v>3</v>
      </c>
      <c r="J283" s="24">
        <v>0</v>
      </c>
      <c r="K283" s="24">
        <v>0</v>
      </c>
      <c r="L283" s="41">
        <f>Table2[[#This Row],[Column1]]+Table2[[#This Row],[Column2]]</f>
        <v>0</v>
      </c>
      <c r="M283" s="42">
        <f>Table2[[#This Row],[OnHandQty]]-Table2[[#This Row],[Projection Nov/Dec]]</f>
        <v>3</v>
      </c>
      <c r="N283" s="35">
        <f>Table2[[#This Row],[OverStock]]*Table2[[#This Row],[RepCost]]</f>
        <v>388.31100000000004</v>
      </c>
      <c r="O283" s="25">
        <v>45735.563888888886</v>
      </c>
      <c r="P283" s="26" t="s">
        <v>1234</v>
      </c>
    </row>
    <row r="284" spans="1:16" x14ac:dyDescent="0.25">
      <c r="A284" s="20" t="s">
        <v>5211</v>
      </c>
      <c r="B284" s="21">
        <v>714</v>
      </c>
      <c r="C284" s="22" t="s">
        <v>323</v>
      </c>
      <c r="D284" s="22" t="s">
        <v>2890</v>
      </c>
      <c r="E284" s="22" t="str">
        <f>CONCATENATE(B284,D284)</f>
        <v>71462132-MS314</v>
      </c>
      <c r="F284" s="22" t="s">
        <v>2891</v>
      </c>
      <c r="G284" s="22" t="s">
        <v>19</v>
      </c>
      <c r="H284" s="23">
        <v>244.74780000000001</v>
      </c>
      <c r="I284" s="24">
        <v>2</v>
      </c>
      <c r="J284" s="24">
        <v>0</v>
      </c>
      <c r="K284" s="24">
        <v>0</v>
      </c>
      <c r="L284" s="41">
        <f>Table2[[#This Row],[Column1]]+Table2[[#This Row],[Column2]]</f>
        <v>0</v>
      </c>
      <c r="M284" s="42">
        <f>Table2[[#This Row],[OnHandQty]]-Table2[[#This Row],[Projection Nov/Dec]]</f>
        <v>2</v>
      </c>
      <c r="N284" s="35">
        <f>Table2[[#This Row],[OverStock]]*Table2[[#This Row],[RepCost]]</f>
        <v>489.49560000000002</v>
      </c>
      <c r="O284" s="25">
        <v>46132.39166666667</v>
      </c>
      <c r="P284" s="26" t="s">
        <v>2423</v>
      </c>
    </row>
    <row r="285" spans="1:16" x14ac:dyDescent="0.25">
      <c r="A285" s="20" t="s">
        <v>5211</v>
      </c>
      <c r="B285" s="21">
        <v>714</v>
      </c>
      <c r="C285" s="22" t="s">
        <v>323</v>
      </c>
      <c r="D285" s="22" t="s">
        <v>3005</v>
      </c>
      <c r="E285" s="22" t="str">
        <f>CONCATENATE(B285,D285)</f>
        <v>71462132-MS115</v>
      </c>
      <c r="F285" s="22" t="s">
        <v>3006</v>
      </c>
      <c r="G285" s="22" t="s">
        <v>19</v>
      </c>
      <c r="H285" s="23">
        <v>75.167500000000004</v>
      </c>
      <c r="I285" s="24">
        <v>3</v>
      </c>
      <c r="J285" s="24">
        <v>0</v>
      </c>
      <c r="K285" s="24">
        <v>0</v>
      </c>
      <c r="L285" s="41">
        <f>Table2[[#This Row],[Column1]]+Table2[[#This Row],[Column2]]</f>
        <v>0</v>
      </c>
      <c r="M285" s="42">
        <f>Table2[[#This Row],[OnHandQty]]-Table2[[#This Row],[Projection Nov/Dec]]</f>
        <v>3</v>
      </c>
      <c r="N285" s="35">
        <f>Table2[[#This Row],[OverStock]]*Table2[[#This Row],[RepCost]]</f>
        <v>225.5025</v>
      </c>
      <c r="O285" s="25">
        <v>46104.52847222222</v>
      </c>
      <c r="P285" s="26" t="s">
        <v>195</v>
      </c>
    </row>
    <row r="286" spans="1:16" x14ac:dyDescent="0.25">
      <c r="A286" s="20" t="s">
        <v>5211</v>
      </c>
      <c r="B286" s="21">
        <v>636</v>
      </c>
      <c r="C286" s="22" t="s">
        <v>323</v>
      </c>
      <c r="D286" s="22" t="s">
        <v>1334</v>
      </c>
      <c r="E286" s="22" t="str">
        <f>CONCATENATE(B286,D286)</f>
        <v>63662134-248</v>
      </c>
      <c r="F286" s="22" t="s">
        <v>1335</v>
      </c>
      <c r="G286" s="22" t="s">
        <v>29</v>
      </c>
      <c r="H286" s="23">
        <v>327.96550000000002</v>
      </c>
      <c r="I286" s="24">
        <v>5</v>
      </c>
      <c r="J286" s="24">
        <v>0</v>
      </c>
      <c r="K286" s="24">
        <v>0</v>
      </c>
      <c r="L286" s="41">
        <f>Table2[[#This Row],[Column1]]+Table2[[#This Row],[Column2]]</f>
        <v>0</v>
      </c>
      <c r="M286" s="42">
        <f>Table2[[#This Row],[OnHandQty]]-Table2[[#This Row],[Projection Nov/Dec]]</f>
        <v>5</v>
      </c>
      <c r="N286" s="35">
        <f>Table2[[#This Row],[OverStock]]*Table2[[#This Row],[RepCost]]</f>
        <v>1639.8275000000001</v>
      </c>
      <c r="O286" s="25">
        <v>46107.522222222222</v>
      </c>
      <c r="P286" s="26" t="s">
        <v>178</v>
      </c>
    </row>
    <row r="287" spans="1:16" x14ac:dyDescent="0.25">
      <c r="A287" s="20" t="s">
        <v>5211</v>
      </c>
      <c r="B287" s="21">
        <v>636</v>
      </c>
      <c r="C287" s="22" t="s">
        <v>323</v>
      </c>
      <c r="D287" s="22" t="s">
        <v>1658</v>
      </c>
      <c r="E287" s="22" t="str">
        <f>CONCATENATE(B287,D287)</f>
        <v>63662133-025</v>
      </c>
      <c r="F287" s="27" t="s">
        <v>1659</v>
      </c>
      <c r="G287" s="27" t="s">
        <v>58</v>
      </c>
      <c r="H287" s="23">
        <v>192.0437</v>
      </c>
      <c r="I287" s="24">
        <v>3</v>
      </c>
      <c r="J287" s="24">
        <v>2</v>
      </c>
      <c r="K287" s="24">
        <v>0</v>
      </c>
      <c r="L287" s="41">
        <f>Table2[[#This Row],[Column1]]+Table2[[#This Row],[Column2]]</f>
        <v>2</v>
      </c>
      <c r="M287" s="42">
        <f>Table2[[#This Row],[OnHandQty]]-Table2[[#This Row],[Projection Nov/Dec]]</f>
        <v>1</v>
      </c>
      <c r="N287" s="35">
        <f>Table2[[#This Row],[OverStock]]*Table2[[#This Row],[RepCost]]</f>
        <v>192.0437</v>
      </c>
      <c r="O287" s="25">
        <v>46072.503472222219</v>
      </c>
      <c r="P287" s="26" t="s">
        <v>1229</v>
      </c>
    </row>
    <row r="288" spans="1:16" x14ac:dyDescent="0.25">
      <c r="A288" s="20" t="s">
        <v>5211</v>
      </c>
      <c r="B288" s="21">
        <v>714</v>
      </c>
      <c r="C288" s="22" t="s">
        <v>323</v>
      </c>
      <c r="D288" s="22" t="s">
        <v>1658</v>
      </c>
      <c r="E288" s="22" t="str">
        <f>CONCATENATE(B288,D288)</f>
        <v>71462133-025</v>
      </c>
      <c r="F288" s="22" t="s">
        <v>1659</v>
      </c>
      <c r="G288" s="22" t="s">
        <v>19</v>
      </c>
      <c r="H288" s="23">
        <v>171.3134</v>
      </c>
      <c r="I288" s="24">
        <v>3</v>
      </c>
      <c r="J288" s="24">
        <v>2</v>
      </c>
      <c r="K288" s="24">
        <v>0</v>
      </c>
      <c r="L288" s="41">
        <f>Table2[[#This Row],[Column1]]+Table2[[#This Row],[Column2]]</f>
        <v>2</v>
      </c>
      <c r="M288" s="42">
        <f>Table2[[#This Row],[OnHandQty]]-Table2[[#This Row],[Projection Nov/Dec]]</f>
        <v>1</v>
      </c>
      <c r="N288" s="35">
        <f>Table2[[#This Row],[OverStock]]*Table2[[#This Row],[RepCost]]</f>
        <v>171.3134</v>
      </c>
      <c r="O288" s="25">
        <v>46085.367361111108</v>
      </c>
      <c r="P288" s="26" t="s">
        <v>2257</v>
      </c>
    </row>
    <row r="289" spans="1:16" x14ac:dyDescent="0.25">
      <c r="A289" s="20" t="s">
        <v>5211</v>
      </c>
      <c r="B289" s="21">
        <v>636</v>
      </c>
      <c r="C289" s="22" t="s">
        <v>323</v>
      </c>
      <c r="D289" s="22" t="s">
        <v>1310</v>
      </c>
      <c r="E289" s="22" t="str">
        <f>CONCATENATE(B289,D289)</f>
        <v>63662133-125</v>
      </c>
      <c r="F289" s="22" t="s">
        <v>1311</v>
      </c>
      <c r="G289" s="22" t="s">
        <v>29</v>
      </c>
      <c r="H289" s="23">
        <v>186.95599999999999</v>
      </c>
      <c r="I289" s="24">
        <v>1</v>
      </c>
      <c r="J289" s="24">
        <v>0</v>
      </c>
      <c r="K289" s="24">
        <v>0</v>
      </c>
      <c r="L289" s="41">
        <f>Table2[[#This Row],[Column1]]+Table2[[#This Row],[Column2]]</f>
        <v>0</v>
      </c>
      <c r="M289" s="42">
        <f>Table2[[#This Row],[OnHandQty]]-Table2[[#This Row],[Projection Nov/Dec]]</f>
        <v>1</v>
      </c>
      <c r="N289" s="35">
        <f>Table2[[#This Row],[OverStock]]*Table2[[#This Row],[RepCost]]</f>
        <v>186.95599999999999</v>
      </c>
      <c r="O289" s="25">
        <v>45559.338194444441</v>
      </c>
      <c r="P289" s="26" t="s">
        <v>61</v>
      </c>
    </row>
    <row r="290" spans="1:16" x14ac:dyDescent="0.25">
      <c r="A290" s="20" t="s">
        <v>5211</v>
      </c>
      <c r="B290" s="21">
        <v>714</v>
      </c>
      <c r="C290" s="22" t="s">
        <v>323</v>
      </c>
      <c r="D290" s="22" t="s">
        <v>1310</v>
      </c>
      <c r="E290" s="22" t="str">
        <f>CONCATENATE(B290,D290)</f>
        <v>71462133-125</v>
      </c>
      <c r="F290" s="22" t="s">
        <v>1311</v>
      </c>
      <c r="G290" s="22" t="s">
        <v>19</v>
      </c>
      <c r="H290" s="23">
        <v>116.23869999999999</v>
      </c>
      <c r="I290" s="24">
        <v>3</v>
      </c>
      <c r="J290" s="24">
        <v>0</v>
      </c>
      <c r="K290" s="24">
        <v>0</v>
      </c>
      <c r="L290" s="41">
        <f>Table2[[#This Row],[Column1]]+Table2[[#This Row],[Column2]]</f>
        <v>0</v>
      </c>
      <c r="M290" s="42">
        <f>Table2[[#This Row],[OnHandQty]]-Table2[[#This Row],[Projection Nov/Dec]]</f>
        <v>3</v>
      </c>
      <c r="N290" s="35">
        <f>Table2[[#This Row],[OverStock]]*Table2[[#This Row],[RepCost]]</f>
        <v>348.71609999999998</v>
      </c>
      <c r="O290" s="25">
        <v>46087.493055555555</v>
      </c>
      <c r="P290" s="26" t="s">
        <v>354</v>
      </c>
    </row>
    <row r="291" spans="1:16" x14ac:dyDescent="0.25">
      <c r="A291" s="20" t="s">
        <v>5211</v>
      </c>
      <c r="B291" s="21">
        <v>636</v>
      </c>
      <c r="C291" s="22" t="s">
        <v>323</v>
      </c>
      <c r="D291" s="22" t="s">
        <v>1542</v>
      </c>
      <c r="E291" s="22" t="str">
        <f>CONCATENATE(B291,D291)</f>
        <v>63662133-030</v>
      </c>
      <c r="F291" s="22" t="s">
        <v>1543</v>
      </c>
      <c r="G291" s="22" t="s">
        <v>29</v>
      </c>
      <c r="H291" s="23">
        <v>245.61580000000001</v>
      </c>
      <c r="I291" s="24">
        <v>5</v>
      </c>
      <c r="J291" s="24">
        <v>0</v>
      </c>
      <c r="K291" s="24">
        <v>0</v>
      </c>
      <c r="L291" s="41">
        <f>Table2[[#This Row],[Column1]]+Table2[[#This Row],[Column2]]</f>
        <v>0</v>
      </c>
      <c r="M291" s="42">
        <f>Table2[[#This Row],[OnHandQty]]-Table2[[#This Row],[Projection Nov/Dec]]</f>
        <v>5</v>
      </c>
      <c r="N291" s="35">
        <f>Table2[[#This Row],[OverStock]]*Table2[[#This Row],[RepCost]]</f>
        <v>1228.079</v>
      </c>
      <c r="O291" s="25">
        <v>46072.503472222219</v>
      </c>
      <c r="P291" s="26" t="s">
        <v>1229</v>
      </c>
    </row>
    <row r="292" spans="1:16" x14ac:dyDescent="0.25">
      <c r="A292" s="20" t="s">
        <v>5211</v>
      </c>
      <c r="B292" s="21">
        <v>714</v>
      </c>
      <c r="C292" s="22" t="s">
        <v>323</v>
      </c>
      <c r="D292" s="22" t="s">
        <v>3399</v>
      </c>
      <c r="E292" s="22" t="str">
        <f>CONCATENATE(B292,D292)</f>
        <v>71462133-035</v>
      </c>
      <c r="F292" s="22" t="s">
        <v>3400</v>
      </c>
      <c r="G292" s="22" t="s">
        <v>19</v>
      </c>
      <c r="H292" s="23">
        <v>456.43329999999997</v>
      </c>
      <c r="I292" s="24">
        <v>3</v>
      </c>
      <c r="J292" s="24">
        <v>0</v>
      </c>
      <c r="K292" s="24">
        <v>0</v>
      </c>
      <c r="L292" s="41">
        <f>Table2[[#This Row],[Column1]]+Table2[[#This Row],[Column2]]</f>
        <v>0</v>
      </c>
      <c r="M292" s="42">
        <f>Table2[[#This Row],[OnHandQty]]-Table2[[#This Row],[Projection Nov/Dec]]</f>
        <v>3</v>
      </c>
      <c r="N292" s="35">
        <f>Table2[[#This Row],[OverStock]]*Table2[[#This Row],[RepCost]]</f>
        <v>1369.2999</v>
      </c>
      <c r="O292" s="25">
        <v>46126.711805555555</v>
      </c>
      <c r="P292" s="26" t="s">
        <v>178</v>
      </c>
    </row>
    <row r="293" spans="1:16" x14ac:dyDescent="0.25">
      <c r="A293" s="20" t="s">
        <v>5211</v>
      </c>
      <c r="B293" s="21">
        <v>718</v>
      </c>
      <c r="C293" s="22" t="s">
        <v>323</v>
      </c>
      <c r="D293" s="22" t="s">
        <v>3929</v>
      </c>
      <c r="E293" s="22" t="str">
        <f>CONCATENATE(B293,D293)</f>
        <v>71862133-107</v>
      </c>
      <c r="F293" s="22" t="s">
        <v>3930</v>
      </c>
      <c r="G293" s="22" t="s">
        <v>29</v>
      </c>
      <c r="H293" s="23">
        <v>54.135300000000001</v>
      </c>
      <c r="I293" s="24">
        <v>1</v>
      </c>
      <c r="J293" s="24">
        <v>0</v>
      </c>
      <c r="K293" s="24">
        <v>0</v>
      </c>
      <c r="L293" s="41">
        <f>Table2[[#This Row],[Column1]]+Table2[[#This Row],[Column2]]</f>
        <v>0</v>
      </c>
      <c r="M293" s="42">
        <f>Table2[[#This Row],[OnHandQty]]-Table2[[#This Row],[Projection Nov/Dec]]</f>
        <v>1</v>
      </c>
      <c r="N293" s="35">
        <f>Table2[[#This Row],[OverStock]]*Table2[[#This Row],[RepCost]]</f>
        <v>54.135300000000001</v>
      </c>
      <c r="O293" s="25">
        <v>46119.56527777778</v>
      </c>
      <c r="P293" s="26" t="s">
        <v>40</v>
      </c>
    </row>
    <row r="294" spans="1:16" x14ac:dyDescent="0.25">
      <c r="A294" s="20" t="s">
        <v>5211</v>
      </c>
      <c r="B294" s="21">
        <v>636</v>
      </c>
      <c r="C294" s="22" t="s">
        <v>323</v>
      </c>
      <c r="D294" s="22" t="s">
        <v>369</v>
      </c>
      <c r="E294" s="22" t="str">
        <f>CONCATENATE(B294,D294)</f>
        <v>63662133-308</v>
      </c>
      <c r="F294" s="22" t="s">
        <v>370</v>
      </c>
      <c r="G294" s="22" t="s">
        <v>23</v>
      </c>
      <c r="H294" s="23">
        <v>132.21010000000001</v>
      </c>
      <c r="I294" s="24">
        <v>10</v>
      </c>
      <c r="J294" s="24">
        <v>3</v>
      </c>
      <c r="K294" s="24">
        <v>1</v>
      </c>
      <c r="L294" s="41">
        <f>Table2[[#This Row],[Column1]]+Table2[[#This Row],[Column2]]</f>
        <v>4</v>
      </c>
      <c r="M294" s="42">
        <f>Table2[[#This Row],[OnHandQty]]-Table2[[#This Row],[Projection Nov/Dec]]</f>
        <v>6</v>
      </c>
      <c r="N294" s="35">
        <f>Table2[[#This Row],[OverStock]]*Table2[[#This Row],[RepCost]]</f>
        <v>793.26060000000007</v>
      </c>
      <c r="O294" s="25">
        <v>45961.574999999997</v>
      </c>
      <c r="P294" s="26" t="s">
        <v>151</v>
      </c>
    </row>
    <row r="295" spans="1:16" x14ac:dyDescent="0.25">
      <c r="A295" s="20" t="s">
        <v>5211</v>
      </c>
      <c r="B295" s="21">
        <v>634</v>
      </c>
      <c r="C295" s="22" t="s">
        <v>323</v>
      </c>
      <c r="D295" s="22" t="s">
        <v>369</v>
      </c>
      <c r="E295" s="22" t="str">
        <f>CONCATENATE(B295,D295)</f>
        <v>63462133-308</v>
      </c>
      <c r="F295" s="22" t="s">
        <v>370</v>
      </c>
      <c r="G295" s="22" t="s">
        <v>23</v>
      </c>
      <c r="H295" s="23">
        <v>116.0924</v>
      </c>
      <c r="I295" s="24">
        <v>6</v>
      </c>
      <c r="J295" s="24">
        <v>3</v>
      </c>
      <c r="K295" s="24">
        <v>1</v>
      </c>
      <c r="L295" s="41">
        <f>Table2[[#This Row],[Column1]]+Table2[[#This Row],[Column2]]</f>
        <v>4</v>
      </c>
      <c r="M295" s="42">
        <f>Table2[[#This Row],[OnHandQty]]-Table2[[#This Row],[Projection Nov/Dec]]</f>
        <v>2</v>
      </c>
      <c r="N295" s="35">
        <f>Table2[[#This Row],[OverStock]]*Table2[[#This Row],[RepCost]]</f>
        <v>232.1848</v>
      </c>
      <c r="O295" s="25">
        <v>46119.536805555559</v>
      </c>
      <c r="P295" s="26" t="s">
        <v>371</v>
      </c>
    </row>
    <row r="296" spans="1:16" x14ac:dyDescent="0.25">
      <c r="A296" s="20" t="s">
        <v>5211</v>
      </c>
      <c r="B296" s="21">
        <v>636</v>
      </c>
      <c r="C296" s="22" t="s">
        <v>323</v>
      </c>
      <c r="D296" s="22" t="s">
        <v>1626</v>
      </c>
      <c r="E296" s="22" t="str">
        <f>CONCATENATE(B296,D296)</f>
        <v>63662133-MS312</v>
      </c>
      <c r="F296" s="22" t="s">
        <v>1627</v>
      </c>
      <c r="G296" s="22" t="s">
        <v>158</v>
      </c>
      <c r="H296" s="23">
        <v>218.55279999999999</v>
      </c>
      <c r="I296" s="24">
        <v>3</v>
      </c>
      <c r="J296" s="24">
        <v>0</v>
      </c>
      <c r="K296" s="24">
        <v>0</v>
      </c>
      <c r="L296" s="41">
        <f>Table2[[#This Row],[Column1]]+Table2[[#This Row],[Column2]]</f>
        <v>0</v>
      </c>
      <c r="M296" s="42">
        <f>Table2[[#This Row],[OnHandQty]]-Table2[[#This Row],[Projection Nov/Dec]]</f>
        <v>3</v>
      </c>
      <c r="N296" s="35">
        <f>Table2[[#This Row],[OverStock]]*Table2[[#This Row],[RepCost]]</f>
        <v>655.65840000000003</v>
      </c>
      <c r="O296" s="25">
        <v>46112.467361111114</v>
      </c>
      <c r="P296" s="26" t="s">
        <v>151</v>
      </c>
    </row>
    <row r="297" spans="1:16" x14ac:dyDescent="0.25">
      <c r="A297" s="20" t="s">
        <v>5211</v>
      </c>
      <c r="B297" s="21">
        <v>714</v>
      </c>
      <c r="C297" s="22" t="s">
        <v>323</v>
      </c>
      <c r="D297" s="22" t="s">
        <v>3276</v>
      </c>
      <c r="E297" s="22" t="str">
        <f>CONCATENATE(B297,D297)</f>
        <v>71462133-MS115</v>
      </c>
      <c r="F297" s="22" t="s">
        <v>3277</v>
      </c>
      <c r="G297" s="22" t="s">
        <v>19</v>
      </c>
      <c r="H297" s="23">
        <v>78.140699999999995</v>
      </c>
      <c r="I297" s="24">
        <v>6</v>
      </c>
      <c r="J297" s="24">
        <v>0</v>
      </c>
      <c r="K297" s="24">
        <v>0</v>
      </c>
      <c r="L297" s="41">
        <f>Table2[[#This Row],[Column1]]+Table2[[#This Row],[Column2]]</f>
        <v>0</v>
      </c>
      <c r="M297" s="42">
        <f>Table2[[#This Row],[OnHandQty]]-Table2[[#This Row],[Projection Nov/Dec]]</f>
        <v>6</v>
      </c>
      <c r="N297" s="35">
        <f>Table2[[#This Row],[OverStock]]*Table2[[#This Row],[RepCost]]</f>
        <v>468.8442</v>
      </c>
      <c r="O297" s="25">
        <v>46121.365277777775</v>
      </c>
      <c r="P297" s="26" t="s">
        <v>195</v>
      </c>
    </row>
    <row r="298" spans="1:16" x14ac:dyDescent="0.25">
      <c r="A298" s="20" t="s">
        <v>5211</v>
      </c>
      <c r="B298" s="21">
        <v>714</v>
      </c>
      <c r="C298" s="22" t="s">
        <v>323</v>
      </c>
      <c r="D298" s="22" t="s">
        <v>3296</v>
      </c>
      <c r="E298" s="22" t="str">
        <f>CONCATENATE(B298,D298)</f>
        <v>71462133-MS316</v>
      </c>
      <c r="F298" s="22" t="s">
        <v>3297</v>
      </c>
      <c r="G298" s="22" t="s">
        <v>158</v>
      </c>
      <c r="H298" s="23">
        <v>225.67869999999999</v>
      </c>
      <c r="I298" s="24">
        <v>13</v>
      </c>
      <c r="J298" s="24">
        <v>0</v>
      </c>
      <c r="K298" s="24">
        <v>0</v>
      </c>
      <c r="L298" s="41">
        <f>Table2[[#This Row],[Column1]]+Table2[[#This Row],[Column2]]</f>
        <v>0</v>
      </c>
      <c r="M298" s="42">
        <f>Table2[[#This Row],[OnHandQty]]-Table2[[#This Row],[Projection Nov/Dec]]</f>
        <v>13</v>
      </c>
      <c r="N298" s="35">
        <f>Table2[[#This Row],[OverStock]]*Table2[[#This Row],[RepCost]]</f>
        <v>2933.8231000000001</v>
      </c>
      <c r="O298" s="25">
        <v>46132.39166666667</v>
      </c>
      <c r="P298" s="26" t="s">
        <v>2423</v>
      </c>
    </row>
    <row r="299" spans="1:16" x14ac:dyDescent="0.25">
      <c r="A299" s="20" t="s">
        <v>5211</v>
      </c>
      <c r="B299" s="21">
        <v>718</v>
      </c>
      <c r="C299" s="22" t="s">
        <v>323</v>
      </c>
      <c r="D299" s="22" t="s">
        <v>3296</v>
      </c>
      <c r="E299" s="22" t="str">
        <f>CONCATENATE(B299,D299)</f>
        <v>71862133-MS316</v>
      </c>
      <c r="F299" s="22" t="s">
        <v>3297</v>
      </c>
      <c r="G299" s="22" t="s">
        <v>19</v>
      </c>
      <c r="H299" s="23">
        <v>321.87830000000002</v>
      </c>
      <c r="I299" s="24">
        <v>1</v>
      </c>
      <c r="J299" s="24">
        <v>0</v>
      </c>
      <c r="K299" s="24">
        <v>0</v>
      </c>
      <c r="L299" s="41">
        <f>Table2[[#This Row],[Column1]]+Table2[[#This Row],[Column2]]</f>
        <v>0</v>
      </c>
      <c r="M299" s="42">
        <f>Table2[[#This Row],[OnHandQty]]-Table2[[#This Row],[Projection Nov/Dec]]</f>
        <v>1</v>
      </c>
      <c r="N299" s="35">
        <f>Table2[[#This Row],[OverStock]]*Table2[[#This Row],[RepCost]]</f>
        <v>321.87830000000002</v>
      </c>
      <c r="O299" s="25">
        <v>46134.54791666667</v>
      </c>
      <c r="P299" s="26" t="s">
        <v>2423</v>
      </c>
    </row>
    <row r="300" spans="1:16" x14ac:dyDescent="0.25">
      <c r="A300" s="20" t="s">
        <v>5211</v>
      </c>
      <c r="B300" s="21">
        <v>634</v>
      </c>
      <c r="C300" s="22" t="s">
        <v>323</v>
      </c>
      <c r="D300" s="22" t="s">
        <v>468</v>
      </c>
      <c r="E300" s="22" t="str">
        <f>CONCATENATE(B300,D300)</f>
        <v>63462133-MS125</v>
      </c>
      <c r="F300" s="22" t="s">
        <v>469</v>
      </c>
      <c r="G300" s="22" t="s">
        <v>29</v>
      </c>
      <c r="H300" s="23">
        <v>166.23679999999999</v>
      </c>
      <c r="I300" s="24">
        <v>2</v>
      </c>
      <c r="J300" s="24">
        <v>0</v>
      </c>
      <c r="K300" s="24">
        <v>0</v>
      </c>
      <c r="L300" s="41">
        <f>Table2[[#This Row],[Column1]]+Table2[[#This Row],[Column2]]</f>
        <v>0</v>
      </c>
      <c r="M300" s="42">
        <f>Table2[[#This Row],[OnHandQty]]-Table2[[#This Row],[Projection Nov/Dec]]</f>
        <v>2</v>
      </c>
      <c r="N300" s="35">
        <f>Table2[[#This Row],[OverStock]]*Table2[[#This Row],[RepCost]]</f>
        <v>332.47359999999998</v>
      </c>
      <c r="O300" s="25">
        <v>45715.536805555559</v>
      </c>
      <c r="P300" s="26" t="s">
        <v>159</v>
      </c>
    </row>
    <row r="301" spans="1:16" x14ac:dyDescent="0.25">
      <c r="A301" s="20" t="s">
        <v>5211</v>
      </c>
      <c r="B301" s="21">
        <v>714</v>
      </c>
      <c r="C301" s="22" t="s">
        <v>323</v>
      </c>
      <c r="D301" s="22" t="s">
        <v>3168</v>
      </c>
      <c r="E301" s="22" t="str">
        <f>CONCATENATE(B301,D301)</f>
        <v>71462135-MS316</v>
      </c>
      <c r="F301" s="22" t="s">
        <v>3169</v>
      </c>
      <c r="G301" s="22" t="s">
        <v>19</v>
      </c>
      <c r="H301" s="23">
        <v>240.46039999999999</v>
      </c>
      <c r="I301" s="24">
        <v>23</v>
      </c>
      <c r="J301" s="24">
        <v>0</v>
      </c>
      <c r="K301" s="24">
        <v>0</v>
      </c>
      <c r="L301" s="41">
        <f>Table2[[#This Row],[Column1]]+Table2[[#This Row],[Column2]]</f>
        <v>0</v>
      </c>
      <c r="M301" s="42">
        <f>Table2[[#This Row],[OnHandQty]]-Table2[[#This Row],[Projection Nov/Dec]]</f>
        <v>23</v>
      </c>
      <c r="N301" s="35">
        <f>Table2[[#This Row],[OverStock]]*Table2[[#This Row],[RepCost]]</f>
        <v>5530.5891999999994</v>
      </c>
      <c r="O301" s="25">
        <v>46123.487500000003</v>
      </c>
      <c r="P301" s="26" t="s">
        <v>1224</v>
      </c>
    </row>
    <row r="302" spans="1:16" x14ac:dyDescent="0.25">
      <c r="A302" s="20" t="s">
        <v>5211</v>
      </c>
      <c r="B302" s="21">
        <v>636</v>
      </c>
      <c r="C302" s="22" t="s">
        <v>323</v>
      </c>
      <c r="D302" s="22" t="s">
        <v>1654</v>
      </c>
      <c r="E302" s="22" t="str">
        <f>CONCATENATE(B302,D302)</f>
        <v>63662135-MS308</v>
      </c>
      <c r="F302" s="22" t="s">
        <v>1655</v>
      </c>
      <c r="G302" s="22" t="s">
        <v>23</v>
      </c>
      <c r="H302" s="23">
        <v>89.203299999999999</v>
      </c>
      <c r="I302" s="24">
        <v>10</v>
      </c>
      <c r="J302" s="24">
        <v>0</v>
      </c>
      <c r="K302" s="24">
        <v>0</v>
      </c>
      <c r="L302" s="41">
        <f>Table2[[#This Row],[Column1]]+Table2[[#This Row],[Column2]]</f>
        <v>0</v>
      </c>
      <c r="M302" s="42">
        <f>Table2[[#This Row],[OnHandQty]]-Table2[[#This Row],[Projection Nov/Dec]]</f>
        <v>10</v>
      </c>
      <c r="N302" s="35">
        <f>Table2[[#This Row],[OverStock]]*Table2[[#This Row],[RepCost]]</f>
        <v>892.03300000000002</v>
      </c>
      <c r="O302" s="25">
        <v>46101.626388888886</v>
      </c>
      <c r="P302" s="26" t="s">
        <v>1271</v>
      </c>
    </row>
    <row r="303" spans="1:16" x14ac:dyDescent="0.25">
      <c r="A303" s="20" t="s">
        <v>5211</v>
      </c>
      <c r="B303" s="21">
        <v>636</v>
      </c>
      <c r="C303" s="22" t="s">
        <v>323</v>
      </c>
      <c r="D303" s="22" t="s">
        <v>1544</v>
      </c>
      <c r="E303" s="22" t="str">
        <f>CONCATENATE(B303,D303)</f>
        <v>63662137-020</v>
      </c>
      <c r="F303" s="22" t="s">
        <v>1545</v>
      </c>
      <c r="G303" s="22" t="s">
        <v>29</v>
      </c>
      <c r="H303" s="23">
        <v>197.61410000000001</v>
      </c>
      <c r="I303" s="24">
        <v>4</v>
      </c>
      <c r="J303" s="24">
        <v>0</v>
      </c>
      <c r="K303" s="24">
        <v>0</v>
      </c>
      <c r="L303" s="41">
        <f>Table2[[#This Row],[Column1]]+Table2[[#This Row],[Column2]]</f>
        <v>0</v>
      </c>
      <c r="M303" s="42">
        <f>Table2[[#This Row],[OnHandQty]]-Table2[[#This Row],[Projection Nov/Dec]]</f>
        <v>4</v>
      </c>
      <c r="N303" s="35">
        <f>Table2[[#This Row],[OverStock]]*Table2[[#This Row],[RepCost]]</f>
        <v>790.45640000000003</v>
      </c>
      <c r="O303" s="25">
        <v>46125.407638888886</v>
      </c>
      <c r="P303" s="26" t="s">
        <v>295</v>
      </c>
    </row>
    <row r="304" spans="1:16" x14ac:dyDescent="0.25">
      <c r="A304" s="20" t="s">
        <v>5211</v>
      </c>
      <c r="B304" s="21">
        <v>636</v>
      </c>
      <c r="C304" s="22" t="s">
        <v>323</v>
      </c>
      <c r="D304" s="22" t="s">
        <v>1628</v>
      </c>
      <c r="E304" s="22" t="str">
        <f>CONCATENATE(B304,D304)</f>
        <v>63662143-020</v>
      </c>
      <c r="F304" s="22" t="s">
        <v>1629</v>
      </c>
      <c r="G304" s="22" t="s">
        <v>29</v>
      </c>
      <c r="H304" s="23">
        <v>153.3578</v>
      </c>
      <c r="I304" s="24">
        <v>4</v>
      </c>
      <c r="J304" s="24">
        <v>0</v>
      </c>
      <c r="K304" s="24">
        <v>0</v>
      </c>
      <c r="L304" s="41">
        <f>Table2[[#This Row],[Column1]]+Table2[[#This Row],[Column2]]</f>
        <v>0</v>
      </c>
      <c r="M304" s="42">
        <f>Table2[[#This Row],[OnHandQty]]-Table2[[#This Row],[Projection Nov/Dec]]</f>
        <v>4</v>
      </c>
      <c r="N304" s="35">
        <f>Table2[[#This Row],[OverStock]]*Table2[[#This Row],[RepCost]]</f>
        <v>613.43119999999999</v>
      </c>
      <c r="O304" s="25">
        <v>46157.602083333331</v>
      </c>
      <c r="P304" s="26" t="s">
        <v>1224</v>
      </c>
    </row>
    <row r="305" spans="1:16" x14ac:dyDescent="0.25">
      <c r="A305" s="20" t="s">
        <v>5211</v>
      </c>
      <c r="B305" s="21">
        <v>634</v>
      </c>
      <c r="C305" s="22" t="s">
        <v>323</v>
      </c>
      <c r="D305" s="22" t="s">
        <v>326</v>
      </c>
      <c r="E305" s="22" t="str">
        <f>CONCATENATE(B305,D305)</f>
        <v>63462147-MS308</v>
      </c>
      <c r="F305" s="22" t="s">
        <v>327</v>
      </c>
      <c r="G305" s="22" t="s">
        <v>29</v>
      </c>
      <c r="H305" s="23">
        <v>147.05410000000001</v>
      </c>
      <c r="I305" s="24">
        <v>6</v>
      </c>
      <c r="J305" s="24">
        <v>0</v>
      </c>
      <c r="K305" s="24">
        <v>0</v>
      </c>
      <c r="L305" s="41">
        <f>Table2[[#This Row],[Column1]]+Table2[[#This Row],[Column2]]</f>
        <v>0</v>
      </c>
      <c r="M305" s="42">
        <f>Table2[[#This Row],[OnHandQty]]-Table2[[#This Row],[Projection Nov/Dec]]</f>
        <v>6</v>
      </c>
      <c r="N305" s="35">
        <f>Table2[[#This Row],[OverStock]]*Table2[[#This Row],[RepCost]]</f>
        <v>882.32460000000003</v>
      </c>
      <c r="O305" s="25">
        <v>46115.618055555555</v>
      </c>
      <c r="P305" s="26" t="s">
        <v>295</v>
      </c>
    </row>
    <row r="306" spans="1:16" x14ac:dyDescent="0.25">
      <c r="A306" s="20" t="s">
        <v>5211</v>
      </c>
      <c r="B306" s="21">
        <v>636</v>
      </c>
      <c r="C306" s="22" t="s">
        <v>323</v>
      </c>
      <c r="D306" s="22" t="s">
        <v>326</v>
      </c>
      <c r="E306" s="22" t="str">
        <f>CONCATENATE(B306,D306)</f>
        <v>63662147-MS308</v>
      </c>
      <c r="F306" s="22" t="s">
        <v>327</v>
      </c>
      <c r="G306" s="22" t="s">
        <v>29</v>
      </c>
      <c r="H306" s="23">
        <v>145.24629999999999</v>
      </c>
      <c r="I306" s="24">
        <v>4</v>
      </c>
      <c r="J306" s="24">
        <v>0</v>
      </c>
      <c r="K306" s="24">
        <v>0</v>
      </c>
      <c r="L306" s="41">
        <f>Table2[[#This Row],[Column1]]+Table2[[#This Row],[Column2]]</f>
        <v>0</v>
      </c>
      <c r="M306" s="42">
        <f>Table2[[#This Row],[OnHandQty]]-Table2[[#This Row],[Projection Nov/Dec]]</f>
        <v>4</v>
      </c>
      <c r="N306" s="35">
        <f>Table2[[#This Row],[OverStock]]*Table2[[#This Row],[RepCost]]</f>
        <v>580.98519999999996</v>
      </c>
      <c r="O306" s="25">
        <v>46125.407638888886</v>
      </c>
      <c r="P306" s="26" t="s">
        <v>295</v>
      </c>
    </row>
    <row r="307" spans="1:16" x14ac:dyDescent="0.25">
      <c r="A307" s="20" t="s">
        <v>5211</v>
      </c>
      <c r="B307" s="21">
        <v>636</v>
      </c>
      <c r="C307" s="22" t="s">
        <v>323</v>
      </c>
      <c r="D307" s="22" t="s">
        <v>1588</v>
      </c>
      <c r="E307" s="22" t="str">
        <f>CONCATENATE(B307,D307)</f>
        <v>63662155-020</v>
      </c>
      <c r="F307" s="22" t="s">
        <v>1589</v>
      </c>
      <c r="G307" s="22" t="s">
        <v>29</v>
      </c>
      <c r="H307" s="23">
        <v>192.69450000000001</v>
      </c>
      <c r="I307" s="24">
        <v>6</v>
      </c>
      <c r="J307" s="24">
        <v>0</v>
      </c>
      <c r="K307" s="24">
        <v>0</v>
      </c>
      <c r="L307" s="41">
        <f>Table2[[#This Row],[Column1]]+Table2[[#This Row],[Column2]]</f>
        <v>0</v>
      </c>
      <c r="M307" s="42">
        <f>Table2[[#This Row],[OnHandQty]]-Table2[[#This Row],[Projection Nov/Dec]]</f>
        <v>6</v>
      </c>
      <c r="N307" s="35">
        <f>Table2[[#This Row],[OverStock]]*Table2[[#This Row],[RepCost]]</f>
        <v>1156.1669999999999</v>
      </c>
      <c r="O307" s="25">
        <v>46107.539583333331</v>
      </c>
      <c r="P307" s="26" t="s">
        <v>295</v>
      </c>
    </row>
    <row r="308" spans="1:16" x14ac:dyDescent="0.25">
      <c r="A308" s="20" t="s">
        <v>5211</v>
      </c>
      <c r="B308" s="21">
        <v>714</v>
      </c>
      <c r="C308" s="22" t="s">
        <v>323</v>
      </c>
      <c r="D308" s="22" t="s">
        <v>2997</v>
      </c>
      <c r="E308" s="22" t="str">
        <f>CONCATENATE(B308,D308)</f>
        <v>71462155-125</v>
      </c>
      <c r="F308" s="22" t="s">
        <v>2998</v>
      </c>
      <c r="G308" s="22" t="s">
        <v>29</v>
      </c>
      <c r="H308" s="23">
        <v>242.31229999999999</v>
      </c>
      <c r="I308" s="24">
        <v>3</v>
      </c>
      <c r="J308" s="24">
        <v>0</v>
      </c>
      <c r="K308" s="24">
        <v>0</v>
      </c>
      <c r="L308" s="41">
        <f>Table2[[#This Row],[Column1]]+Table2[[#This Row],[Column2]]</f>
        <v>0</v>
      </c>
      <c r="M308" s="42">
        <f>Table2[[#This Row],[OnHandQty]]-Table2[[#This Row],[Projection Nov/Dec]]</f>
        <v>3</v>
      </c>
      <c r="N308" s="35">
        <f>Table2[[#This Row],[OverStock]]*Table2[[#This Row],[RepCost]]</f>
        <v>726.93689999999992</v>
      </c>
      <c r="O308" s="25">
        <v>46195.55</v>
      </c>
      <c r="P308" s="26" t="s">
        <v>2066</v>
      </c>
    </row>
    <row r="309" spans="1:16" x14ac:dyDescent="0.25">
      <c r="A309" s="20" t="s">
        <v>5211</v>
      </c>
      <c r="B309" s="21">
        <v>714</v>
      </c>
      <c r="C309" s="22" t="s">
        <v>323</v>
      </c>
      <c r="D309" s="22" t="s">
        <v>2860</v>
      </c>
      <c r="E309" s="22" t="str">
        <f>CONCATENATE(B309,D309)</f>
        <v>71462155-308</v>
      </c>
      <c r="F309" s="22" t="s">
        <v>2861</v>
      </c>
      <c r="G309" s="22" t="s">
        <v>29</v>
      </c>
      <c r="H309" s="23">
        <v>131.79400000000001</v>
      </c>
      <c r="I309" s="24">
        <v>1</v>
      </c>
      <c r="J309" s="24">
        <v>0</v>
      </c>
      <c r="K309" s="24">
        <v>0</v>
      </c>
      <c r="L309" s="41">
        <f>Table2[[#This Row],[Column1]]+Table2[[#This Row],[Column2]]</f>
        <v>0</v>
      </c>
      <c r="M309" s="42">
        <f>Table2[[#This Row],[OnHandQty]]-Table2[[#This Row],[Projection Nov/Dec]]</f>
        <v>1</v>
      </c>
      <c r="N309" s="35">
        <f>Table2[[#This Row],[OverStock]]*Table2[[#This Row],[RepCost]]</f>
        <v>131.79400000000001</v>
      </c>
      <c r="O309" s="25">
        <v>46118.304861111108</v>
      </c>
      <c r="P309" s="26" t="s">
        <v>2423</v>
      </c>
    </row>
    <row r="310" spans="1:16" x14ac:dyDescent="0.25">
      <c r="A310" s="20" t="s">
        <v>5211</v>
      </c>
      <c r="B310" s="21">
        <v>714</v>
      </c>
      <c r="C310" s="22" t="s">
        <v>323</v>
      </c>
      <c r="D310" s="22" t="s">
        <v>2987</v>
      </c>
      <c r="E310" s="22" t="str">
        <f>CONCATENATE(B310,D310)</f>
        <v>71462155-MS312</v>
      </c>
      <c r="F310" s="22" t="s">
        <v>2988</v>
      </c>
      <c r="G310" s="22" t="s">
        <v>29</v>
      </c>
      <c r="H310" s="23">
        <v>314.61320000000001</v>
      </c>
      <c r="I310" s="24">
        <v>10</v>
      </c>
      <c r="J310" s="24">
        <v>0</v>
      </c>
      <c r="K310" s="24">
        <v>0</v>
      </c>
      <c r="L310" s="41">
        <f>Table2[[#This Row],[Column1]]+Table2[[#This Row],[Column2]]</f>
        <v>0</v>
      </c>
      <c r="M310" s="42">
        <f>Table2[[#This Row],[OnHandQty]]-Table2[[#This Row],[Projection Nov/Dec]]</f>
        <v>10</v>
      </c>
      <c r="N310" s="35">
        <f>Table2[[#This Row],[OverStock]]*Table2[[#This Row],[RepCost]]</f>
        <v>3146.1320000000001</v>
      </c>
      <c r="O310" s="25">
        <v>46161.368750000001</v>
      </c>
      <c r="P310" s="26" t="s">
        <v>1224</v>
      </c>
    </row>
    <row r="311" spans="1:16" x14ac:dyDescent="0.25">
      <c r="A311" s="20" t="s">
        <v>5211</v>
      </c>
      <c r="B311" s="21">
        <v>636</v>
      </c>
      <c r="C311" s="22" t="s">
        <v>323</v>
      </c>
      <c r="D311" s="22" t="s">
        <v>1249</v>
      </c>
      <c r="E311" s="22" t="str">
        <f>CONCATENATE(B311,D311)</f>
        <v>63662155-MS308</v>
      </c>
      <c r="F311" s="22" t="s">
        <v>1250</v>
      </c>
      <c r="G311" s="22" t="s">
        <v>23</v>
      </c>
      <c r="H311" s="23">
        <v>152.78110000000001</v>
      </c>
      <c r="I311" s="24">
        <v>8</v>
      </c>
      <c r="J311" s="24">
        <v>0</v>
      </c>
      <c r="K311" s="24">
        <v>0</v>
      </c>
      <c r="L311" s="41">
        <f>Table2[[#This Row],[Column1]]+Table2[[#This Row],[Column2]]</f>
        <v>0</v>
      </c>
      <c r="M311" s="42">
        <f>Table2[[#This Row],[OnHandQty]]-Table2[[#This Row],[Projection Nov/Dec]]</f>
        <v>8</v>
      </c>
      <c r="N311" s="35">
        <f>Table2[[#This Row],[OverStock]]*Table2[[#This Row],[RepCost]]</f>
        <v>1222.2488000000001</v>
      </c>
      <c r="O311" s="25">
        <v>46114.609722222223</v>
      </c>
      <c r="P311" s="26" t="s">
        <v>330</v>
      </c>
    </row>
    <row r="312" spans="1:16" x14ac:dyDescent="0.25">
      <c r="A312" s="20" t="s">
        <v>5211</v>
      </c>
      <c r="B312" s="21">
        <v>714</v>
      </c>
      <c r="C312" s="22" t="s">
        <v>12</v>
      </c>
      <c r="D312" s="22" t="s">
        <v>1821</v>
      </c>
      <c r="E312" s="22" t="str">
        <f>CONCATENATE(B312,D312)</f>
        <v>71462167-STK105</v>
      </c>
      <c r="F312" s="27" t="s">
        <v>1822</v>
      </c>
      <c r="G312" s="27" t="s">
        <v>58</v>
      </c>
      <c r="H312" s="23">
        <v>49.237499999999997</v>
      </c>
      <c r="I312" s="24">
        <v>6</v>
      </c>
      <c r="J312" s="24">
        <v>0</v>
      </c>
      <c r="K312" s="24">
        <v>0</v>
      </c>
      <c r="L312" s="41">
        <f>Table2[[#This Row],[Column1]]+Table2[[#This Row],[Column2]]</f>
        <v>0</v>
      </c>
      <c r="M312" s="42">
        <f>Table2[[#This Row],[OnHandQty]]-Table2[[#This Row],[Projection Nov/Dec]]</f>
        <v>6</v>
      </c>
      <c r="N312" s="35">
        <f>Table2[[#This Row],[OverStock]]*Table2[[#This Row],[RepCost]]</f>
        <v>295.42499999999995</v>
      </c>
      <c r="O312" s="25">
        <v>45846.325694444444</v>
      </c>
      <c r="P312" s="26" t="s">
        <v>67</v>
      </c>
    </row>
    <row r="313" spans="1:16" x14ac:dyDescent="0.25">
      <c r="A313" s="20" t="s">
        <v>5211</v>
      </c>
      <c r="B313" s="21">
        <v>636</v>
      </c>
      <c r="C313" s="22" t="s">
        <v>323</v>
      </c>
      <c r="D313" s="22" t="s">
        <v>1286</v>
      </c>
      <c r="E313" s="22" t="str">
        <f>CONCATENATE(B313,D313)</f>
        <v>63662171-115</v>
      </c>
      <c r="F313" s="22" t="s">
        <v>1287</v>
      </c>
      <c r="G313" s="22" t="s">
        <v>29</v>
      </c>
      <c r="H313" s="23">
        <v>161.5641</v>
      </c>
      <c r="I313" s="24">
        <v>2</v>
      </c>
      <c r="J313" s="24">
        <v>0</v>
      </c>
      <c r="K313" s="24">
        <v>0</v>
      </c>
      <c r="L313" s="41">
        <f>Table2[[#This Row],[Column1]]+Table2[[#This Row],[Column2]]</f>
        <v>0</v>
      </c>
      <c r="M313" s="42">
        <f>Table2[[#This Row],[OnHandQty]]-Table2[[#This Row],[Projection Nov/Dec]]</f>
        <v>2</v>
      </c>
      <c r="N313" s="35">
        <f>Table2[[#This Row],[OverStock]]*Table2[[#This Row],[RepCost]]</f>
        <v>323.12819999999999</v>
      </c>
      <c r="O313" s="25">
        <v>46114.597916666666</v>
      </c>
      <c r="P313" s="26" t="s">
        <v>797</v>
      </c>
    </row>
    <row r="314" spans="1:16" x14ac:dyDescent="0.25">
      <c r="A314" s="20" t="s">
        <v>5211</v>
      </c>
      <c r="B314" s="21">
        <v>636</v>
      </c>
      <c r="C314" s="22" t="s">
        <v>323</v>
      </c>
      <c r="D314" s="22" t="s">
        <v>1509</v>
      </c>
      <c r="E314" s="22" t="str">
        <f>CONCATENATE(B314,D314)</f>
        <v>63662171-125</v>
      </c>
      <c r="F314" s="22" t="s">
        <v>1510</v>
      </c>
      <c r="G314" s="22" t="s">
        <v>1047</v>
      </c>
      <c r="H314" s="23">
        <v>250.8142</v>
      </c>
      <c r="I314" s="24">
        <v>2</v>
      </c>
      <c r="J314" s="24">
        <v>0</v>
      </c>
      <c r="K314" s="24">
        <v>0</v>
      </c>
      <c r="L314" s="41">
        <f>Table2[[#This Row],[Column1]]+Table2[[#This Row],[Column2]]</f>
        <v>0</v>
      </c>
      <c r="M314" s="42">
        <f>Table2[[#This Row],[OnHandQty]]-Table2[[#This Row],[Projection Nov/Dec]]</f>
        <v>2</v>
      </c>
      <c r="N314" s="35">
        <f>Table2[[#This Row],[OverStock]]*Table2[[#This Row],[RepCost]]</f>
        <v>501.6284</v>
      </c>
      <c r="O314" s="25">
        <v>46114.597916666666</v>
      </c>
      <c r="P314" s="26" t="s">
        <v>797</v>
      </c>
    </row>
    <row r="315" spans="1:16" x14ac:dyDescent="0.25">
      <c r="A315" s="20" t="s">
        <v>5211</v>
      </c>
      <c r="B315" s="21">
        <v>714</v>
      </c>
      <c r="C315" s="22" t="s">
        <v>70</v>
      </c>
      <c r="D315" s="22" t="s">
        <v>2151</v>
      </c>
      <c r="E315" s="22" t="str">
        <f>CONCATENATE(B315,D315)</f>
        <v>71462187-101</v>
      </c>
      <c r="F315" s="22" t="s">
        <v>2152</v>
      </c>
      <c r="G315" s="22" t="s">
        <v>29</v>
      </c>
      <c r="H315" s="23">
        <v>8.3249999999999993</v>
      </c>
      <c r="I315" s="24">
        <v>6</v>
      </c>
      <c r="J315" s="24">
        <v>0</v>
      </c>
      <c r="K315" s="24">
        <v>0</v>
      </c>
      <c r="L315" s="41">
        <f>Table2[[#This Row],[Column1]]+Table2[[#This Row],[Column2]]</f>
        <v>0</v>
      </c>
      <c r="M315" s="42">
        <f>Table2[[#This Row],[OnHandQty]]-Table2[[#This Row],[Projection Nov/Dec]]</f>
        <v>6</v>
      </c>
      <c r="N315" s="35">
        <f>Table2[[#This Row],[OverStock]]*Table2[[#This Row],[RepCost]]</f>
        <v>49.949999999999996</v>
      </c>
      <c r="O315" s="25">
        <v>46120.630555555559</v>
      </c>
      <c r="P315" s="26" t="s">
        <v>44</v>
      </c>
    </row>
    <row r="316" spans="1:16" x14ac:dyDescent="0.25">
      <c r="A316" s="20" t="s">
        <v>5211</v>
      </c>
      <c r="B316" s="21">
        <v>714</v>
      </c>
      <c r="C316" s="22" t="s">
        <v>12</v>
      </c>
      <c r="D316" s="22" t="s">
        <v>1947</v>
      </c>
      <c r="E316" s="22" t="str">
        <f>CONCATENATE(B316,D316)</f>
        <v>71462204-ESP105</v>
      </c>
      <c r="F316" s="22" t="s">
        <v>1948</v>
      </c>
      <c r="G316" s="22" t="s">
        <v>23</v>
      </c>
      <c r="H316" s="23">
        <v>41.749099999999999</v>
      </c>
      <c r="I316" s="24">
        <v>1</v>
      </c>
      <c r="J316" s="24">
        <v>0</v>
      </c>
      <c r="K316" s="24">
        <v>0</v>
      </c>
      <c r="L316" s="41">
        <f>Table2[[#This Row],[Column1]]+Table2[[#This Row],[Column2]]</f>
        <v>0</v>
      </c>
      <c r="M316" s="42">
        <f>Table2[[#This Row],[OnHandQty]]-Table2[[#This Row],[Projection Nov/Dec]]</f>
        <v>1</v>
      </c>
      <c r="N316" s="35">
        <f>Table2[[#This Row],[OverStock]]*Table2[[#This Row],[RepCost]]</f>
        <v>41.749099999999999</v>
      </c>
      <c r="O316" s="25">
        <v>46147.684027777781</v>
      </c>
      <c r="P316" s="26" t="s">
        <v>1814</v>
      </c>
    </row>
    <row r="317" spans="1:16" x14ac:dyDescent="0.25">
      <c r="A317" s="20" t="s">
        <v>5211</v>
      </c>
      <c r="B317" s="21">
        <v>714</v>
      </c>
      <c r="C317" s="22" t="s">
        <v>12</v>
      </c>
      <c r="D317" s="22" t="s">
        <v>1882</v>
      </c>
      <c r="E317" s="22" t="str">
        <f>CONCATENATE(B317,D317)</f>
        <v>71476443-102</v>
      </c>
      <c r="F317" s="22" t="s">
        <v>1883</v>
      </c>
      <c r="G317" s="22" t="s">
        <v>23</v>
      </c>
      <c r="H317" s="23">
        <v>13.5685</v>
      </c>
      <c r="I317" s="24">
        <v>7</v>
      </c>
      <c r="J317" s="24">
        <v>0</v>
      </c>
      <c r="K317" s="24">
        <v>0</v>
      </c>
      <c r="L317" s="41">
        <f>Table2[[#This Row],[Column1]]+Table2[[#This Row],[Column2]]</f>
        <v>0</v>
      </c>
      <c r="M317" s="42">
        <f>Table2[[#This Row],[OnHandQty]]-Table2[[#This Row],[Projection Nov/Dec]]</f>
        <v>7</v>
      </c>
      <c r="N317" s="35">
        <f>Table2[[#This Row],[OverStock]]*Table2[[#This Row],[RepCost]]</f>
        <v>94.979500000000002</v>
      </c>
      <c r="O317" s="25">
        <v>46147.684027777781</v>
      </c>
      <c r="P317" s="26" t="s">
        <v>1814</v>
      </c>
    </row>
    <row r="318" spans="1:16" x14ac:dyDescent="0.25">
      <c r="A318" s="20" t="s">
        <v>5211</v>
      </c>
      <c r="B318" s="21">
        <v>714</v>
      </c>
      <c r="C318" s="22" t="s">
        <v>12</v>
      </c>
      <c r="D318" s="22" t="s">
        <v>1956</v>
      </c>
      <c r="E318" s="22" t="str">
        <f>CONCATENATE(B318,D318)</f>
        <v>71477669-SP4</v>
      </c>
      <c r="F318" s="22" t="s">
        <v>1957</v>
      </c>
      <c r="G318" s="22" t="s">
        <v>29</v>
      </c>
      <c r="H318" s="23">
        <v>6.25</v>
      </c>
      <c r="I318" s="24">
        <v>10</v>
      </c>
      <c r="J318" s="24">
        <v>0</v>
      </c>
      <c r="K318" s="24">
        <v>0</v>
      </c>
      <c r="L318" s="41">
        <f>Table2[[#This Row],[Column1]]+Table2[[#This Row],[Column2]]</f>
        <v>0</v>
      </c>
      <c r="M318" s="42">
        <f>Table2[[#This Row],[OnHandQty]]-Table2[[#This Row],[Projection Nov/Dec]]</f>
        <v>10</v>
      </c>
      <c r="N318" s="35">
        <f>Table2[[#This Row],[OverStock]]*Table2[[#This Row],[RepCost]]</f>
        <v>62.5</v>
      </c>
      <c r="O318" s="25">
        <v>46143.719444444447</v>
      </c>
      <c r="P318" s="26" t="s">
        <v>550</v>
      </c>
    </row>
    <row r="319" spans="1:16" x14ac:dyDescent="0.25">
      <c r="A319" s="20" t="s">
        <v>5211</v>
      </c>
      <c r="B319" s="21">
        <v>636</v>
      </c>
      <c r="C319" s="22" t="s">
        <v>12</v>
      </c>
      <c r="D319" s="22" t="s">
        <v>534</v>
      </c>
      <c r="E319" s="22" t="str">
        <f>CONCATENATE(B319,D319)</f>
        <v>63680772-101</v>
      </c>
      <c r="F319" s="22" t="s">
        <v>535</v>
      </c>
      <c r="G319" s="22" t="s">
        <v>39</v>
      </c>
      <c r="H319" s="23">
        <v>6.6136999999999997</v>
      </c>
      <c r="I319" s="24">
        <v>32</v>
      </c>
      <c r="J319" s="24">
        <v>0</v>
      </c>
      <c r="K319" s="24">
        <v>0</v>
      </c>
      <c r="L319" s="41">
        <f>Table2[[#This Row],[Column1]]+Table2[[#This Row],[Column2]]</f>
        <v>0</v>
      </c>
      <c r="M319" s="42">
        <f>Table2[[#This Row],[OnHandQty]]-Table2[[#This Row],[Projection Nov/Dec]]</f>
        <v>32</v>
      </c>
      <c r="N319" s="35">
        <f>Table2[[#This Row],[OverStock]]*Table2[[#This Row],[RepCost]]</f>
        <v>211.63839999999999</v>
      </c>
      <c r="O319" s="25">
        <v>46212.4375</v>
      </c>
      <c r="P319" s="26" t="s">
        <v>16</v>
      </c>
    </row>
    <row r="320" spans="1:16" x14ac:dyDescent="0.25">
      <c r="A320" s="20" t="s">
        <v>5211</v>
      </c>
      <c r="B320" s="21">
        <v>714</v>
      </c>
      <c r="C320" s="22" t="s">
        <v>70</v>
      </c>
      <c r="D320" s="22" t="s">
        <v>2157</v>
      </c>
      <c r="E320" s="22" t="str">
        <f>CONCATENATE(B320,D320)</f>
        <v>71495120-SP4</v>
      </c>
      <c r="F320" s="22" t="s">
        <v>2158</v>
      </c>
      <c r="G320" s="22" t="s">
        <v>39</v>
      </c>
      <c r="H320" s="23">
        <v>4.0572999999999997</v>
      </c>
      <c r="I320" s="24">
        <v>14</v>
      </c>
      <c r="J320" s="24">
        <v>0</v>
      </c>
      <c r="K320" s="24">
        <v>0</v>
      </c>
      <c r="L320" s="41">
        <f>Table2[[#This Row],[Column1]]+Table2[[#This Row],[Column2]]</f>
        <v>0</v>
      </c>
      <c r="M320" s="42">
        <f>Table2[[#This Row],[OnHandQty]]-Table2[[#This Row],[Projection Nov/Dec]]</f>
        <v>14</v>
      </c>
      <c r="N320" s="35">
        <f>Table2[[#This Row],[OverStock]]*Table2[[#This Row],[RepCost]]</f>
        <v>56.802199999999999</v>
      </c>
      <c r="O320" s="25">
        <v>46148.502083333333</v>
      </c>
      <c r="P320" s="26" t="s">
        <v>506</v>
      </c>
    </row>
    <row r="321" spans="1:16" x14ac:dyDescent="0.25">
      <c r="A321" s="20" t="s">
        <v>5211</v>
      </c>
      <c r="B321" s="21">
        <v>718</v>
      </c>
      <c r="C321" s="22" t="s">
        <v>70</v>
      </c>
      <c r="D321" s="22" t="s">
        <v>3697</v>
      </c>
      <c r="E321" s="22" t="str">
        <f>CONCATENATE(B321,D321)</f>
        <v>71892117-PF4</v>
      </c>
      <c r="F321" s="22" t="s">
        <v>3698</v>
      </c>
      <c r="G321" s="22" t="s">
        <v>23</v>
      </c>
      <c r="H321" s="23">
        <v>11.1366</v>
      </c>
      <c r="I321" s="24">
        <v>1</v>
      </c>
      <c r="J321" s="24">
        <v>0</v>
      </c>
      <c r="K321" s="24">
        <v>0</v>
      </c>
      <c r="L321" s="41">
        <f>Table2[[#This Row],[Column1]]+Table2[[#This Row],[Column2]]</f>
        <v>0</v>
      </c>
      <c r="M321" s="42">
        <f>Table2[[#This Row],[OnHandQty]]-Table2[[#This Row],[Projection Nov/Dec]]</f>
        <v>1</v>
      </c>
      <c r="N321" s="35">
        <f>Table2[[#This Row],[OverStock]]*Table2[[#This Row],[RepCost]]</f>
        <v>11.1366</v>
      </c>
      <c r="O321" s="25">
        <v>46232.6</v>
      </c>
      <c r="P321" s="26" t="s">
        <v>573</v>
      </c>
    </row>
    <row r="322" spans="1:16" x14ac:dyDescent="0.25">
      <c r="A322" s="20" t="s">
        <v>5211</v>
      </c>
      <c r="B322" s="21">
        <v>714</v>
      </c>
      <c r="C322" s="22" t="s">
        <v>70</v>
      </c>
      <c r="D322" s="22" t="s">
        <v>2163</v>
      </c>
      <c r="E322" s="22" t="str">
        <f>CONCATENATE(B322,D322)</f>
        <v>71462313-101</v>
      </c>
      <c r="F322" s="22" t="s">
        <v>2164</v>
      </c>
      <c r="G322" s="22" t="s">
        <v>29</v>
      </c>
      <c r="H322" s="23">
        <v>6.5632999999999999</v>
      </c>
      <c r="I322" s="24">
        <v>10</v>
      </c>
      <c r="J322" s="24">
        <v>0</v>
      </c>
      <c r="K322" s="24">
        <v>0</v>
      </c>
      <c r="L322" s="41">
        <f>Table2[[#This Row],[Column1]]+Table2[[#This Row],[Column2]]</f>
        <v>0</v>
      </c>
      <c r="M322" s="42">
        <f>Table2[[#This Row],[OnHandQty]]-Table2[[#This Row],[Projection Nov/Dec]]</f>
        <v>10</v>
      </c>
      <c r="N322" s="35">
        <f>Table2[[#This Row],[OverStock]]*Table2[[#This Row],[RepCost]]</f>
        <v>65.632999999999996</v>
      </c>
      <c r="O322" s="25">
        <v>45413.527777777781</v>
      </c>
      <c r="P322" s="26" t="s">
        <v>94</v>
      </c>
    </row>
    <row r="323" spans="1:16" x14ac:dyDescent="0.25">
      <c r="A323" s="20" t="s">
        <v>5211</v>
      </c>
      <c r="B323" s="21">
        <v>714</v>
      </c>
      <c r="C323" s="22" t="s">
        <v>143</v>
      </c>
      <c r="D323" s="22" t="s">
        <v>2455</v>
      </c>
      <c r="E323" s="22" t="str">
        <f>CONCATENATE(B323,D323)</f>
        <v>71482689-103</v>
      </c>
      <c r="F323" s="22" t="s">
        <v>2456</v>
      </c>
      <c r="G323" s="22" t="s">
        <v>35</v>
      </c>
      <c r="H323" s="23">
        <v>17.512699999999999</v>
      </c>
      <c r="I323" s="24">
        <v>2</v>
      </c>
      <c r="J323" s="24">
        <v>0</v>
      </c>
      <c r="K323" s="24">
        <v>0</v>
      </c>
      <c r="L323" s="41">
        <f>Table2[[#This Row],[Column1]]+Table2[[#This Row],[Column2]]</f>
        <v>0</v>
      </c>
      <c r="M323" s="42">
        <f>Table2[[#This Row],[OnHandQty]]-Table2[[#This Row],[Projection Nov/Dec]]</f>
        <v>2</v>
      </c>
      <c r="N323" s="35">
        <f>Table2[[#This Row],[OverStock]]*Table2[[#This Row],[RepCost]]</f>
        <v>35.025399999999998</v>
      </c>
      <c r="O323" s="25">
        <v>45812.615277777775</v>
      </c>
      <c r="P323" s="26" t="s">
        <v>162</v>
      </c>
    </row>
    <row r="324" spans="1:16" x14ac:dyDescent="0.25">
      <c r="A324" s="20" t="s">
        <v>5211</v>
      </c>
      <c r="B324" s="21">
        <v>636</v>
      </c>
      <c r="C324" s="22" t="s">
        <v>143</v>
      </c>
      <c r="D324" s="22" t="s">
        <v>936</v>
      </c>
      <c r="E324" s="22" t="str">
        <f>CONCATENATE(B324,D324)</f>
        <v>63690760-103</v>
      </c>
      <c r="F324" s="22" t="s">
        <v>937</v>
      </c>
      <c r="G324" s="22" t="s">
        <v>29</v>
      </c>
      <c r="H324" s="23">
        <v>18.968699999999998</v>
      </c>
      <c r="I324" s="24">
        <v>16</v>
      </c>
      <c r="J324" s="24">
        <v>0</v>
      </c>
      <c r="K324" s="24">
        <v>0</v>
      </c>
      <c r="L324" s="41">
        <f>Table2[[#This Row],[Column1]]+Table2[[#This Row],[Column2]]</f>
        <v>0</v>
      </c>
      <c r="M324" s="42">
        <f>Table2[[#This Row],[OnHandQty]]-Table2[[#This Row],[Projection Nov/Dec]]</f>
        <v>16</v>
      </c>
      <c r="N324" s="35">
        <f>Table2[[#This Row],[OverStock]]*Table2[[#This Row],[RepCost]]</f>
        <v>303.49919999999997</v>
      </c>
      <c r="O324" s="25">
        <v>46121.68472222222</v>
      </c>
      <c r="P324" s="26" t="s">
        <v>47</v>
      </c>
    </row>
    <row r="325" spans="1:16" x14ac:dyDescent="0.25">
      <c r="A325" s="20" t="s">
        <v>5211</v>
      </c>
      <c r="B325" s="21">
        <v>714</v>
      </c>
      <c r="C325" s="22" t="s">
        <v>143</v>
      </c>
      <c r="D325" s="22" t="s">
        <v>2587</v>
      </c>
      <c r="E325" s="22" t="str">
        <f>CONCATENATE(B325,D325)</f>
        <v>71462329-103</v>
      </c>
      <c r="F325" s="22" t="s">
        <v>2588</v>
      </c>
      <c r="G325" s="22" t="s">
        <v>112</v>
      </c>
      <c r="H325" s="23">
        <v>14.472899999999999</v>
      </c>
      <c r="I325" s="24">
        <v>33</v>
      </c>
      <c r="J325" s="24">
        <v>1</v>
      </c>
      <c r="K325" s="24">
        <v>0</v>
      </c>
      <c r="L325" s="41">
        <f>Table2[[#This Row],[Column1]]+Table2[[#This Row],[Column2]]</f>
        <v>1</v>
      </c>
      <c r="M325" s="42">
        <f>Table2[[#This Row],[OnHandQty]]-Table2[[#This Row],[Projection Nov/Dec]]</f>
        <v>32</v>
      </c>
      <c r="N325" s="35">
        <f>Table2[[#This Row],[OverStock]]*Table2[[#This Row],[RepCost]]</f>
        <v>463.13279999999997</v>
      </c>
      <c r="O325" s="25">
        <v>46188.35</v>
      </c>
      <c r="P325" s="26" t="s">
        <v>26</v>
      </c>
    </row>
    <row r="326" spans="1:16" x14ac:dyDescent="0.25">
      <c r="A326" s="20" t="s">
        <v>5211</v>
      </c>
      <c r="B326" s="21">
        <v>714</v>
      </c>
      <c r="C326" s="22" t="s">
        <v>143</v>
      </c>
      <c r="D326" s="22" t="s">
        <v>2687</v>
      </c>
      <c r="E326" s="22" t="str">
        <f>CONCATENATE(B326,D326)</f>
        <v>71462345-103</v>
      </c>
      <c r="F326" s="22" t="s">
        <v>2688</v>
      </c>
      <c r="G326" s="22" t="s">
        <v>39</v>
      </c>
      <c r="H326" s="23">
        <v>11.8576</v>
      </c>
      <c r="I326" s="24">
        <v>8</v>
      </c>
      <c r="J326" s="24">
        <v>0</v>
      </c>
      <c r="K326" s="24">
        <v>0</v>
      </c>
      <c r="L326" s="41">
        <f>Table2[[#This Row],[Column1]]+Table2[[#This Row],[Column2]]</f>
        <v>0</v>
      </c>
      <c r="M326" s="42">
        <f>Table2[[#This Row],[OnHandQty]]-Table2[[#This Row],[Projection Nov/Dec]]</f>
        <v>8</v>
      </c>
      <c r="N326" s="35">
        <f>Table2[[#This Row],[OverStock]]*Table2[[#This Row],[RepCost]]</f>
        <v>94.860799999999998</v>
      </c>
      <c r="O326" s="25">
        <v>45806.51666666667</v>
      </c>
      <c r="P326" s="26" t="s">
        <v>878</v>
      </c>
    </row>
    <row r="327" spans="1:16" x14ac:dyDescent="0.25">
      <c r="A327" s="20" t="s">
        <v>5211</v>
      </c>
      <c r="B327" s="21">
        <v>714</v>
      </c>
      <c r="C327" s="22" t="s">
        <v>143</v>
      </c>
      <c r="D327" s="22" t="s">
        <v>2782</v>
      </c>
      <c r="E327" s="22" t="str">
        <f>CONCATENATE(B327,D327)</f>
        <v>71486413-107</v>
      </c>
      <c r="F327" s="22" t="s">
        <v>2783</v>
      </c>
      <c r="G327" s="22" t="s">
        <v>29</v>
      </c>
      <c r="H327" s="23">
        <v>16.314399999999999</v>
      </c>
      <c r="I327" s="24">
        <v>3</v>
      </c>
      <c r="J327" s="24">
        <v>0</v>
      </c>
      <c r="K327" s="24">
        <v>0</v>
      </c>
      <c r="L327" s="41">
        <f>Table2[[#This Row],[Column1]]+Table2[[#This Row],[Column2]]</f>
        <v>0</v>
      </c>
      <c r="M327" s="42">
        <f>Table2[[#This Row],[OnHandQty]]-Table2[[#This Row],[Projection Nov/Dec]]</f>
        <v>3</v>
      </c>
      <c r="N327" s="35">
        <f>Table2[[#This Row],[OverStock]]*Table2[[#This Row],[RepCost]]</f>
        <v>48.943199999999997</v>
      </c>
      <c r="O327" s="25">
        <v>46188.35</v>
      </c>
      <c r="P327" s="26" t="s">
        <v>26</v>
      </c>
    </row>
    <row r="328" spans="1:16" x14ac:dyDescent="0.25">
      <c r="A328" s="20" t="s">
        <v>5211</v>
      </c>
      <c r="B328" s="21">
        <v>634</v>
      </c>
      <c r="C328" s="22" t="s">
        <v>143</v>
      </c>
      <c r="D328" s="22" t="s">
        <v>275</v>
      </c>
      <c r="E328" s="22" t="str">
        <f>CONCATENATE(B328,D328)</f>
        <v>63490207-103</v>
      </c>
      <c r="F328" s="22" t="s">
        <v>276</v>
      </c>
      <c r="G328" s="22" t="s">
        <v>39</v>
      </c>
      <c r="H328" s="23">
        <v>17.491599999999998</v>
      </c>
      <c r="I328" s="24">
        <v>9</v>
      </c>
      <c r="J328" s="24">
        <v>0</v>
      </c>
      <c r="K328" s="24">
        <v>0</v>
      </c>
      <c r="L328" s="41">
        <f>Table2[[#This Row],[Column1]]+Table2[[#This Row],[Column2]]</f>
        <v>0</v>
      </c>
      <c r="M328" s="42">
        <f>Table2[[#This Row],[OnHandQty]]-Table2[[#This Row],[Projection Nov/Dec]]</f>
        <v>9</v>
      </c>
      <c r="N328" s="35">
        <f>Table2[[#This Row],[OverStock]]*Table2[[#This Row],[RepCost]]</f>
        <v>157.42439999999999</v>
      </c>
      <c r="O328" s="25">
        <v>46192.486111111109</v>
      </c>
      <c r="P328" s="26" t="s">
        <v>26</v>
      </c>
    </row>
    <row r="329" spans="1:16" x14ac:dyDescent="0.25">
      <c r="A329" s="20" t="s">
        <v>5211</v>
      </c>
      <c r="B329" s="21">
        <v>636</v>
      </c>
      <c r="C329" s="22" t="s">
        <v>143</v>
      </c>
      <c r="D329" s="22" t="s">
        <v>1116</v>
      </c>
      <c r="E329" s="22" t="str">
        <f>CONCATENATE(B329,D329)</f>
        <v>63687357-103</v>
      </c>
      <c r="F329" s="22" t="s">
        <v>1117</v>
      </c>
      <c r="G329" s="22" t="s">
        <v>39</v>
      </c>
      <c r="H329" s="23">
        <v>16.8246</v>
      </c>
      <c r="I329" s="24">
        <v>13</v>
      </c>
      <c r="J329" s="24">
        <v>6</v>
      </c>
      <c r="K329" s="24">
        <v>0</v>
      </c>
      <c r="L329" s="41">
        <f>Table2[[#This Row],[Column1]]+Table2[[#This Row],[Column2]]</f>
        <v>6</v>
      </c>
      <c r="M329" s="42">
        <f>Table2[[#This Row],[OnHandQty]]-Table2[[#This Row],[Projection Nov/Dec]]</f>
        <v>7</v>
      </c>
      <c r="N329" s="35">
        <f>Table2[[#This Row],[OverStock]]*Table2[[#This Row],[RepCost]]</f>
        <v>117.7722</v>
      </c>
      <c r="O329" s="25">
        <v>45779.334722222222</v>
      </c>
      <c r="P329" s="26" t="s">
        <v>26</v>
      </c>
    </row>
    <row r="330" spans="1:16" x14ac:dyDescent="0.25">
      <c r="A330" s="20" t="s">
        <v>5211</v>
      </c>
      <c r="B330" s="21">
        <v>636</v>
      </c>
      <c r="C330" s="22" t="s">
        <v>143</v>
      </c>
      <c r="D330" s="22" t="s">
        <v>1155</v>
      </c>
      <c r="E330" s="22" t="str">
        <f>CONCATENATE(B330,D330)</f>
        <v>63681311-103</v>
      </c>
      <c r="F330" s="22" t="s">
        <v>1156</v>
      </c>
      <c r="G330" s="22" t="s">
        <v>29</v>
      </c>
      <c r="H330" s="23">
        <v>19.010100000000001</v>
      </c>
      <c r="I330" s="24">
        <v>1</v>
      </c>
      <c r="J330" s="24">
        <v>0</v>
      </c>
      <c r="K330" s="24">
        <v>0</v>
      </c>
      <c r="L330" s="41">
        <f>Table2[[#This Row],[Column1]]+Table2[[#This Row],[Column2]]</f>
        <v>0</v>
      </c>
      <c r="M330" s="42">
        <f>Table2[[#This Row],[OnHandQty]]-Table2[[#This Row],[Projection Nov/Dec]]</f>
        <v>1</v>
      </c>
      <c r="N330" s="35">
        <f>Table2[[#This Row],[OverStock]]*Table2[[#This Row],[RepCost]]</f>
        <v>19.010100000000001</v>
      </c>
      <c r="O330" s="25">
        <v>46247.30972222222</v>
      </c>
      <c r="P330" s="26" t="s">
        <v>40</v>
      </c>
    </row>
    <row r="331" spans="1:16" x14ac:dyDescent="0.25">
      <c r="A331" s="20" t="s">
        <v>5211</v>
      </c>
      <c r="B331" s="21">
        <v>636</v>
      </c>
      <c r="C331" s="22" t="s">
        <v>126</v>
      </c>
      <c r="D331" s="22" t="s">
        <v>881</v>
      </c>
      <c r="E331" s="22" t="str">
        <f>CONCATENATE(B331,D331)</f>
        <v>63695793-0010PFO</v>
      </c>
      <c r="F331" s="22" t="s">
        <v>882</v>
      </c>
      <c r="G331" s="22" t="s">
        <v>29</v>
      </c>
      <c r="H331" s="23">
        <v>15.4626</v>
      </c>
      <c r="I331" s="24">
        <v>1</v>
      </c>
      <c r="J331" s="24">
        <v>0</v>
      </c>
      <c r="K331" s="24">
        <v>0</v>
      </c>
      <c r="L331" s="41">
        <f>Table2[[#This Row],[Column1]]+Table2[[#This Row],[Column2]]</f>
        <v>0</v>
      </c>
      <c r="M331" s="42">
        <f>Table2[[#This Row],[OnHandQty]]-Table2[[#This Row],[Projection Nov/Dec]]</f>
        <v>1</v>
      </c>
      <c r="N331" s="35">
        <f>Table2[[#This Row],[OverStock]]*Table2[[#This Row],[RepCost]]</f>
        <v>15.4626</v>
      </c>
      <c r="O331" s="25">
        <v>46125.313194444447</v>
      </c>
      <c r="P331" s="26" t="s">
        <v>140</v>
      </c>
    </row>
    <row r="332" spans="1:16" x14ac:dyDescent="0.25">
      <c r="A332" s="20" t="s">
        <v>5211</v>
      </c>
      <c r="B332" s="21">
        <v>718</v>
      </c>
      <c r="C332" s="22" t="s">
        <v>143</v>
      </c>
      <c r="D332" s="22" t="s">
        <v>3818</v>
      </c>
      <c r="E332" s="22" t="str">
        <f>CONCATENATE(B332,D332)</f>
        <v>71862401-PY105</v>
      </c>
      <c r="F332" s="22" t="s">
        <v>3819</v>
      </c>
      <c r="G332" s="22" t="s">
        <v>112</v>
      </c>
      <c r="H332" s="23">
        <v>45.280900000000003</v>
      </c>
      <c r="I332" s="24">
        <v>2</v>
      </c>
      <c r="J332" s="24">
        <v>0</v>
      </c>
      <c r="K332" s="24">
        <v>0</v>
      </c>
      <c r="L332" s="41">
        <f>Table2[[#This Row],[Column1]]+Table2[[#This Row],[Column2]]</f>
        <v>0</v>
      </c>
      <c r="M332" s="42">
        <f>Table2[[#This Row],[OnHandQty]]-Table2[[#This Row],[Projection Nov/Dec]]</f>
        <v>2</v>
      </c>
      <c r="N332" s="35">
        <f>Table2[[#This Row],[OverStock]]*Table2[[#This Row],[RepCost]]</f>
        <v>90.561800000000005</v>
      </c>
      <c r="O332" s="25">
        <v>46127.664583333331</v>
      </c>
      <c r="P332" s="26" t="s">
        <v>140</v>
      </c>
    </row>
    <row r="333" spans="1:16" x14ac:dyDescent="0.25">
      <c r="A333" s="20" t="s">
        <v>5211</v>
      </c>
      <c r="B333" s="21">
        <v>634</v>
      </c>
      <c r="C333" s="22" t="s">
        <v>143</v>
      </c>
      <c r="D333" s="22" t="s">
        <v>321</v>
      </c>
      <c r="E333" s="22" t="str">
        <f>CONCATENATE(B333,D333)</f>
        <v>63486527-105</v>
      </c>
      <c r="F333" s="22" t="s">
        <v>322</v>
      </c>
      <c r="G333" s="22" t="s">
        <v>19</v>
      </c>
      <c r="H333" s="23">
        <v>37.851900000000001</v>
      </c>
      <c r="I333" s="24">
        <v>4</v>
      </c>
      <c r="J333" s="24">
        <v>0</v>
      </c>
      <c r="K333" s="24">
        <v>0</v>
      </c>
      <c r="L333" s="41">
        <f>Table2[[#This Row],[Column1]]+Table2[[#This Row],[Column2]]</f>
        <v>0</v>
      </c>
      <c r="M333" s="42">
        <f>Table2[[#This Row],[OnHandQty]]-Table2[[#This Row],[Projection Nov/Dec]]</f>
        <v>4</v>
      </c>
      <c r="N333" s="35">
        <f>Table2[[#This Row],[OverStock]]*Table2[[#This Row],[RepCost]]</f>
        <v>151.4076</v>
      </c>
      <c r="O333" s="25">
        <v>46120.659722222219</v>
      </c>
      <c r="P333" s="26" t="s">
        <v>30</v>
      </c>
    </row>
    <row r="334" spans="1:16" x14ac:dyDescent="0.25">
      <c r="A334" s="20" t="s">
        <v>5211</v>
      </c>
      <c r="B334" s="21">
        <v>636</v>
      </c>
      <c r="C334" s="22" t="s">
        <v>143</v>
      </c>
      <c r="D334" s="22" t="s">
        <v>897</v>
      </c>
      <c r="E334" s="22" t="str">
        <f>CONCATENATE(B334,D334)</f>
        <v>63662403-107</v>
      </c>
      <c r="F334" s="22" t="s">
        <v>898</v>
      </c>
      <c r="G334" s="22" t="s">
        <v>43</v>
      </c>
      <c r="H334" s="23">
        <v>40.2361</v>
      </c>
      <c r="I334" s="24">
        <v>83</v>
      </c>
      <c r="J334" s="24">
        <v>7</v>
      </c>
      <c r="K334" s="24">
        <v>0</v>
      </c>
      <c r="L334" s="41">
        <f>Table2[[#This Row],[Column1]]+Table2[[#This Row],[Column2]]</f>
        <v>7</v>
      </c>
      <c r="M334" s="42">
        <f>Table2[[#This Row],[OnHandQty]]-Table2[[#This Row],[Projection Nov/Dec]]</f>
        <v>76</v>
      </c>
      <c r="N334" s="35">
        <f>Table2[[#This Row],[OverStock]]*Table2[[#This Row],[RepCost]]</f>
        <v>3057.9436000000001</v>
      </c>
      <c r="O334" s="25">
        <v>46123.402083333334</v>
      </c>
      <c r="P334" s="26" t="s">
        <v>216</v>
      </c>
    </row>
    <row r="335" spans="1:16" x14ac:dyDescent="0.25">
      <c r="A335" s="20" t="s">
        <v>5211</v>
      </c>
      <c r="B335" s="21">
        <v>714</v>
      </c>
      <c r="C335" s="22" t="s">
        <v>143</v>
      </c>
      <c r="D335" s="22" t="s">
        <v>2689</v>
      </c>
      <c r="E335" s="22" t="str">
        <f>CONCATENATE(B335,D335)</f>
        <v>71462428-115</v>
      </c>
      <c r="F335" s="22" t="s">
        <v>2690</v>
      </c>
      <c r="G335" s="22" t="s">
        <v>158</v>
      </c>
      <c r="H335" s="23">
        <v>70.337199999999996</v>
      </c>
      <c r="I335" s="24">
        <v>10</v>
      </c>
      <c r="J335" s="24">
        <v>0</v>
      </c>
      <c r="K335" s="24">
        <v>0</v>
      </c>
      <c r="L335" s="41">
        <f>Table2[[#This Row],[Column1]]+Table2[[#This Row],[Column2]]</f>
        <v>0</v>
      </c>
      <c r="M335" s="42">
        <f>Table2[[#This Row],[OnHandQty]]-Table2[[#This Row],[Projection Nov/Dec]]</f>
        <v>10</v>
      </c>
      <c r="N335" s="35">
        <f>Table2[[#This Row],[OverStock]]*Table2[[#This Row],[RepCost]]</f>
        <v>703.37199999999996</v>
      </c>
      <c r="O335" s="25">
        <v>46195.554861111108</v>
      </c>
      <c r="P335" s="26" t="s">
        <v>310</v>
      </c>
    </row>
    <row r="336" spans="1:16" x14ac:dyDescent="0.25">
      <c r="A336" s="20" t="s">
        <v>5211</v>
      </c>
      <c r="B336" s="21">
        <v>636</v>
      </c>
      <c r="C336" s="22" t="s">
        <v>143</v>
      </c>
      <c r="D336" s="22" t="s">
        <v>1120</v>
      </c>
      <c r="E336" s="22" t="str">
        <f>CONCATENATE(B336,D336)</f>
        <v>63662428-110-30IN</v>
      </c>
      <c r="F336" s="22" t="s">
        <v>1121</v>
      </c>
      <c r="G336" s="22" t="s">
        <v>43</v>
      </c>
      <c r="H336" s="23">
        <v>63.466799999999999</v>
      </c>
      <c r="I336" s="24">
        <v>10</v>
      </c>
      <c r="J336" s="24">
        <v>0</v>
      </c>
      <c r="K336" s="24">
        <v>0</v>
      </c>
      <c r="L336" s="41">
        <f>Table2[[#This Row],[Column1]]+Table2[[#This Row],[Column2]]</f>
        <v>0</v>
      </c>
      <c r="M336" s="42">
        <f>Table2[[#This Row],[OnHandQty]]-Table2[[#This Row],[Projection Nov/Dec]]</f>
        <v>10</v>
      </c>
      <c r="N336" s="35">
        <f>Table2[[#This Row],[OverStock]]*Table2[[#This Row],[RepCost]]</f>
        <v>634.66800000000001</v>
      </c>
      <c r="O336" s="25">
        <v>46188.605555555558</v>
      </c>
      <c r="P336" s="26" t="s">
        <v>1122</v>
      </c>
    </row>
    <row r="337" spans="1:16" x14ac:dyDescent="0.25">
      <c r="A337" s="20" t="s">
        <v>5211</v>
      </c>
      <c r="B337" s="21">
        <v>714</v>
      </c>
      <c r="C337" s="22" t="s">
        <v>143</v>
      </c>
      <c r="D337" s="22" t="s">
        <v>2318</v>
      </c>
      <c r="E337" s="22" t="str">
        <f>CONCATENATE(B337,D337)</f>
        <v>71462428-115-30IN</v>
      </c>
      <c r="F337" s="22" t="s">
        <v>2319</v>
      </c>
      <c r="G337" s="22" t="s">
        <v>19</v>
      </c>
      <c r="H337" s="23">
        <v>160.58539999999999</v>
      </c>
      <c r="I337" s="24">
        <v>1</v>
      </c>
      <c r="J337" s="24">
        <v>0</v>
      </c>
      <c r="K337" s="24">
        <v>0</v>
      </c>
      <c r="L337" s="41">
        <f>Table2[[#This Row],[Column1]]+Table2[[#This Row],[Column2]]</f>
        <v>0</v>
      </c>
      <c r="M337" s="42">
        <f>Table2[[#This Row],[OnHandQty]]-Table2[[#This Row],[Projection Nov/Dec]]</f>
        <v>1</v>
      </c>
      <c r="N337" s="35">
        <f>Table2[[#This Row],[OverStock]]*Table2[[#This Row],[RepCost]]</f>
        <v>160.58539999999999</v>
      </c>
      <c r="O337" s="25">
        <v>45891.450694444444</v>
      </c>
      <c r="P337" s="26" t="s">
        <v>376</v>
      </c>
    </row>
    <row r="338" spans="1:16" x14ac:dyDescent="0.25">
      <c r="A338" s="20" t="s">
        <v>5211</v>
      </c>
      <c r="B338" s="21">
        <v>714</v>
      </c>
      <c r="C338" s="22" t="s">
        <v>143</v>
      </c>
      <c r="D338" s="22" t="s">
        <v>2438</v>
      </c>
      <c r="E338" s="22" t="str">
        <f>CONCATENATE(B338,D338)</f>
        <v>71462428-105</v>
      </c>
      <c r="F338" s="22" t="s">
        <v>2439</v>
      </c>
      <c r="G338" s="22" t="s">
        <v>29</v>
      </c>
      <c r="H338" s="23">
        <v>22.1539</v>
      </c>
      <c r="I338" s="24">
        <v>14</v>
      </c>
      <c r="J338" s="24">
        <v>0</v>
      </c>
      <c r="K338" s="24">
        <v>0</v>
      </c>
      <c r="L338" s="41">
        <f>Table2[[#This Row],[Column1]]+Table2[[#This Row],[Column2]]</f>
        <v>0</v>
      </c>
      <c r="M338" s="42">
        <f>Table2[[#This Row],[OnHandQty]]-Table2[[#This Row],[Projection Nov/Dec]]</f>
        <v>14</v>
      </c>
      <c r="N338" s="35">
        <f>Table2[[#This Row],[OverStock]]*Table2[[#This Row],[RepCost]]</f>
        <v>310.15460000000002</v>
      </c>
      <c r="O338" s="25">
        <v>45000.415972222225</v>
      </c>
      <c r="P338" s="26" t="s">
        <v>363</v>
      </c>
    </row>
    <row r="339" spans="1:16" x14ac:dyDescent="0.25">
      <c r="A339" s="20" t="s">
        <v>5211</v>
      </c>
      <c r="B339" s="21">
        <v>636</v>
      </c>
      <c r="C339" s="22" t="s">
        <v>143</v>
      </c>
      <c r="D339" s="22" t="s">
        <v>886</v>
      </c>
      <c r="E339" s="22" t="str">
        <f>CONCATENATE(B339,D339)</f>
        <v>63662428-3055</v>
      </c>
      <c r="F339" s="22" t="s">
        <v>887</v>
      </c>
      <c r="G339" s="22" t="s">
        <v>29</v>
      </c>
      <c r="H339" s="23">
        <v>186.78659999999999</v>
      </c>
      <c r="I339" s="24">
        <v>4</v>
      </c>
      <c r="J339" s="24">
        <v>0</v>
      </c>
      <c r="K339" s="24">
        <v>0</v>
      </c>
      <c r="L339" s="41">
        <f>Table2[[#This Row],[Column1]]+Table2[[#This Row],[Column2]]</f>
        <v>0</v>
      </c>
      <c r="M339" s="42">
        <f>Table2[[#This Row],[OnHandQty]]-Table2[[#This Row],[Projection Nov/Dec]]</f>
        <v>4</v>
      </c>
      <c r="N339" s="35">
        <f>Table2[[#This Row],[OverStock]]*Table2[[#This Row],[RepCost]]</f>
        <v>747.14639999999997</v>
      </c>
      <c r="O339" s="25">
        <v>46104.520833333336</v>
      </c>
      <c r="P339" s="26" t="s">
        <v>137</v>
      </c>
    </row>
    <row r="340" spans="1:16" x14ac:dyDescent="0.25">
      <c r="A340" s="20" t="s">
        <v>5211</v>
      </c>
      <c r="B340" s="21">
        <v>634</v>
      </c>
      <c r="C340" s="22" t="s">
        <v>143</v>
      </c>
      <c r="D340" s="22" t="s">
        <v>315</v>
      </c>
      <c r="E340" s="22" t="str">
        <f>CONCATENATE(B340,D340)</f>
        <v>63462428-254</v>
      </c>
      <c r="F340" s="22" t="s">
        <v>316</v>
      </c>
      <c r="G340" s="22" t="s">
        <v>158</v>
      </c>
      <c r="H340" s="23">
        <v>145.73689999999999</v>
      </c>
      <c r="I340" s="24">
        <v>22</v>
      </c>
      <c r="J340" s="24">
        <v>0</v>
      </c>
      <c r="K340" s="24">
        <v>0</v>
      </c>
      <c r="L340" s="41">
        <f>Table2[[#This Row],[Column1]]+Table2[[#This Row],[Column2]]</f>
        <v>0</v>
      </c>
      <c r="M340" s="42">
        <f>Table2[[#This Row],[OnHandQty]]-Table2[[#This Row],[Projection Nov/Dec]]</f>
        <v>22</v>
      </c>
      <c r="N340" s="35">
        <f>Table2[[#This Row],[OverStock]]*Table2[[#This Row],[RepCost]]</f>
        <v>3206.2118</v>
      </c>
      <c r="O340" s="25">
        <v>46154.556944444441</v>
      </c>
      <c r="P340" s="26" t="s">
        <v>137</v>
      </c>
    </row>
    <row r="341" spans="1:16" x14ac:dyDescent="0.25">
      <c r="A341" s="20" t="s">
        <v>5211</v>
      </c>
      <c r="B341" s="21">
        <v>714</v>
      </c>
      <c r="C341" s="22" t="s">
        <v>143</v>
      </c>
      <c r="D341" s="22" t="s">
        <v>315</v>
      </c>
      <c r="E341" s="22" t="str">
        <f>CONCATENATE(B341,D341)</f>
        <v>71462428-254</v>
      </c>
      <c r="F341" s="22" t="s">
        <v>316</v>
      </c>
      <c r="G341" s="22" t="s">
        <v>158</v>
      </c>
      <c r="H341" s="23">
        <v>144.6859</v>
      </c>
      <c r="I341" s="24">
        <v>13</v>
      </c>
      <c r="J341" s="24">
        <v>0</v>
      </c>
      <c r="K341" s="24">
        <v>0</v>
      </c>
      <c r="L341" s="41">
        <f>Table2[[#This Row],[Column1]]+Table2[[#This Row],[Column2]]</f>
        <v>0</v>
      </c>
      <c r="M341" s="42">
        <f>Table2[[#This Row],[OnHandQty]]-Table2[[#This Row],[Projection Nov/Dec]]</f>
        <v>13</v>
      </c>
      <c r="N341" s="35">
        <f>Table2[[#This Row],[OverStock]]*Table2[[#This Row],[RepCost]]</f>
        <v>1880.9167</v>
      </c>
      <c r="O341" s="25">
        <v>46171.532638888886</v>
      </c>
      <c r="P341" s="26" t="s">
        <v>137</v>
      </c>
    </row>
    <row r="342" spans="1:16" x14ac:dyDescent="0.25">
      <c r="A342" s="20" t="s">
        <v>5211</v>
      </c>
      <c r="B342" s="21">
        <v>636</v>
      </c>
      <c r="C342" s="22" t="s">
        <v>143</v>
      </c>
      <c r="D342" s="22" t="s">
        <v>1169</v>
      </c>
      <c r="E342" s="22" t="str">
        <f>CONCATENATE(B342,D342)</f>
        <v>63662428-GB236</v>
      </c>
      <c r="F342" s="22" t="s">
        <v>1170</v>
      </c>
      <c r="G342" s="22" t="s">
        <v>43</v>
      </c>
      <c r="H342" s="23">
        <v>147.39920000000001</v>
      </c>
      <c r="I342" s="24">
        <v>7</v>
      </c>
      <c r="J342" s="24">
        <v>0</v>
      </c>
      <c r="K342" s="24">
        <v>0</v>
      </c>
      <c r="L342" s="41">
        <f>Table2[[#This Row],[Column1]]+Table2[[#This Row],[Column2]]</f>
        <v>0</v>
      </c>
      <c r="M342" s="42">
        <f>Table2[[#This Row],[OnHandQty]]-Table2[[#This Row],[Projection Nov/Dec]]</f>
        <v>7</v>
      </c>
      <c r="N342" s="35">
        <f>Table2[[#This Row],[OverStock]]*Table2[[#This Row],[RepCost]]</f>
        <v>1031.7944</v>
      </c>
      <c r="O342" s="25">
        <v>46142.609027777777</v>
      </c>
      <c r="P342" s="26" t="s">
        <v>137</v>
      </c>
    </row>
    <row r="343" spans="1:16" x14ac:dyDescent="0.25">
      <c r="A343" s="20" t="s">
        <v>5211</v>
      </c>
      <c r="B343" s="21">
        <v>636</v>
      </c>
      <c r="C343" s="22" t="s">
        <v>143</v>
      </c>
      <c r="D343" s="22" t="s">
        <v>1169</v>
      </c>
      <c r="E343" s="22" t="str">
        <f>CONCATENATE(B343,D343)</f>
        <v>63662428-GB236</v>
      </c>
      <c r="F343" s="22" t="s">
        <v>1170</v>
      </c>
      <c r="G343" s="22" t="s">
        <v>43</v>
      </c>
      <c r="H343" s="23">
        <v>147.39920000000001</v>
      </c>
      <c r="I343" s="24">
        <v>7</v>
      </c>
      <c r="J343" s="24">
        <v>0</v>
      </c>
      <c r="K343" s="24">
        <v>0</v>
      </c>
      <c r="L343" s="41">
        <f>Table2[[#This Row],[Column1]]+Table2[[#This Row],[Column2]]</f>
        <v>0</v>
      </c>
      <c r="M343" s="42">
        <f>Table2[[#This Row],[OnHandQty]]-Table2[[#This Row],[Projection Nov/Dec]]</f>
        <v>7</v>
      </c>
      <c r="N343" s="35">
        <f>Table2[[#This Row],[OverStock]]*Table2[[#This Row],[RepCost]]</f>
        <v>1031.7944</v>
      </c>
      <c r="O343" s="25">
        <v>46142.609027777777</v>
      </c>
      <c r="P343" s="26" t="s">
        <v>137</v>
      </c>
    </row>
    <row r="344" spans="1:16" x14ac:dyDescent="0.25">
      <c r="A344" s="20" t="s">
        <v>5211</v>
      </c>
      <c r="B344" s="21">
        <v>714</v>
      </c>
      <c r="C344" s="22" t="s">
        <v>143</v>
      </c>
      <c r="D344" s="22" t="s">
        <v>2567</v>
      </c>
      <c r="E344" s="22" t="str">
        <f>CONCATENATE(B344,D344)</f>
        <v>71462428-PM115</v>
      </c>
      <c r="F344" s="22" t="s">
        <v>2568</v>
      </c>
      <c r="G344" s="22" t="s">
        <v>19</v>
      </c>
      <c r="H344" s="23">
        <v>263.4144</v>
      </c>
      <c r="I344" s="24">
        <v>6</v>
      </c>
      <c r="J344" s="24">
        <v>0</v>
      </c>
      <c r="K344" s="24">
        <v>0</v>
      </c>
      <c r="L344" s="41">
        <f>Table2[[#This Row],[Column1]]+Table2[[#This Row],[Column2]]</f>
        <v>0</v>
      </c>
      <c r="M344" s="42">
        <f>Table2[[#This Row],[OnHandQty]]-Table2[[#This Row],[Projection Nov/Dec]]</f>
        <v>6</v>
      </c>
      <c r="N344" s="35">
        <f>Table2[[#This Row],[OverStock]]*Table2[[#This Row],[RepCost]]</f>
        <v>1580.4864</v>
      </c>
      <c r="O344" s="25">
        <v>46119.573611111111</v>
      </c>
      <c r="P344" s="26" t="s">
        <v>137</v>
      </c>
    </row>
    <row r="345" spans="1:16" x14ac:dyDescent="0.25">
      <c r="A345" s="20" t="s">
        <v>5211</v>
      </c>
      <c r="B345" s="21">
        <v>714</v>
      </c>
      <c r="C345" s="22" t="s">
        <v>143</v>
      </c>
      <c r="D345" s="22" t="s">
        <v>2567</v>
      </c>
      <c r="E345" s="22" t="str">
        <f>CONCATENATE(B345,D345)</f>
        <v>71462428-PM115</v>
      </c>
      <c r="F345" s="22" t="s">
        <v>2568</v>
      </c>
      <c r="G345" s="22" t="s">
        <v>19</v>
      </c>
      <c r="H345" s="23">
        <v>263.4144</v>
      </c>
      <c r="I345" s="24">
        <v>6</v>
      </c>
      <c r="J345" s="24">
        <v>0</v>
      </c>
      <c r="K345" s="24">
        <v>0</v>
      </c>
      <c r="L345" s="41">
        <f>Table2[[#This Row],[Column1]]+Table2[[#This Row],[Column2]]</f>
        <v>0</v>
      </c>
      <c r="M345" s="42">
        <f>Table2[[#This Row],[OnHandQty]]-Table2[[#This Row],[Projection Nov/Dec]]</f>
        <v>6</v>
      </c>
      <c r="N345" s="35">
        <f>Table2[[#This Row],[OverStock]]*Table2[[#This Row],[RepCost]]</f>
        <v>1580.4864</v>
      </c>
      <c r="O345" s="25">
        <v>46119.573611111111</v>
      </c>
      <c r="P345" s="26" t="s">
        <v>137</v>
      </c>
    </row>
    <row r="346" spans="1:16" x14ac:dyDescent="0.25">
      <c r="A346" s="20" t="s">
        <v>5211</v>
      </c>
      <c r="B346" s="21">
        <v>714</v>
      </c>
      <c r="C346" s="22" t="s">
        <v>143</v>
      </c>
      <c r="D346" s="22" t="s">
        <v>2681</v>
      </c>
      <c r="E346" s="22" t="str">
        <f>CONCATENATE(B346,D346)</f>
        <v>71462428-236PREM</v>
      </c>
      <c r="F346" s="22" t="s">
        <v>2682</v>
      </c>
      <c r="G346" s="22" t="s">
        <v>158</v>
      </c>
      <c r="H346" s="23">
        <v>138.64359999999999</v>
      </c>
      <c r="I346" s="24">
        <v>9</v>
      </c>
      <c r="J346" s="24">
        <v>0</v>
      </c>
      <c r="K346" s="24">
        <v>0</v>
      </c>
      <c r="L346" s="41">
        <f>Table2[[#This Row],[Column1]]+Table2[[#This Row],[Column2]]</f>
        <v>0</v>
      </c>
      <c r="M346" s="42">
        <f>Table2[[#This Row],[OnHandQty]]-Table2[[#This Row],[Projection Nov/Dec]]</f>
        <v>9</v>
      </c>
      <c r="N346" s="35">
        <f>Table2[[#This Row],[OverStock]]*Table2[[#This Row],[RepCost]]</f>
        <v>1247.7923999999998</v>
      </c>
      <c r="O346" s="25">
        <v>46157.461805555555</v>
      </c>
      <c r="P346" s="26" t="s">
        <v>402</v>
      </c>
    </row>
    <row r="347" spans="1:16" x14ac:dyDescent="0.25">
      <c r="A347" s="20" t="s">
        <v>5211</v>
      </c>
      <c r="B347" s="21">
        <v>718</v>
      </c>
      <c r="C347" s="22" t="s">
        <v>143</v>
      </c>
      <c r="D347" s="22" t="s">
        <v>3741</v>
      </c>
      <c r="E347" s="22" t="str">
        <f>CONCATENATE(B347,D347)</f>
        <v>71862428-242PREM</v>
      </c>
      <c r="F347" s="22" t="s">
        <v>3742</v>
      </c>
      <c r="G347" s="22" t="s">
        <v>158</v>
      </c>
      <c r="H347" s="23">
        <v>200.1456</v>
      </c>
      <c r="I347" s="24">
        <v>1</v>
      </c>
      <c r="J347" s="24">
        <v>0</v>
      </c>
      <c r="K347" s="24">
        <v>0</v>
      </c>
      <c r="L347" s="41">
        <f>Table2[[#This Row],[Column1]]+Table2[[#This Row],[Column2]]</f>
        <v>0</v>
      </c>
      <c r="M347" s="42">
        <f>Table2[[#This Row],[OnHandQty]]-Table2[[#This Row],[Projection Nov/Dec]]</f>
        <v>1</v>
      </c>
      <c r="N347" s="35">
        <f>Table2[[#This Row],[OverStock]]*Table2[[#This Row],[RepCost]]</f>
        <v>200.1456</v>
      </c>
      <c r="O347" s="25">
        <v>46157.322916666664</v>
      </c>
      <c r="P347" s="26" t="s">
        <v>402</v>
      </c>
    </row>
    <row r="348" spans="1:16" x14ac:dyDescent="0.25">
      <c r="A348" s="20" t="s">
        <v>5211</v>
      </c>
      <c r="B348" s="21">
        <v>714</v>
      </c>
      <c r="C348" s="22" t="s">
        <v>143</v>
      </c>
      <c r="D348" s="22" t="s">
        <v>2683</v>
      </c>
      <c r="E348" s="22" t="str">
        <f>CONCATENATE(B348,D348)</f>
        <v>71462428-PY110-36IN</v>
      </c>
      <c r="F348" s="22" t="s">
        <v>2684</v>
      </c>
      <c r="G348" s="22" t="s">
        <v>19</v>
      </c>
      <c r="H348" s="23">
        <v>186.7516</v>
      </c>
      <c r="I348" s="24">
        <v>6</v>
      </c>
      <c r="J348" s="24">
        <v>0</v>
      </c>
      <c r="K348" s="24">
        <v>0</v>
      </c>
      <c r="L348" s="41">
        <f>Table2[[#This Row],[Column1]]+Table2[[#This Row],[Column2]]</f>
        <v>0</v>
      </c>
      <c r="M348" s="42">
        <f>Table2[[#This Row],[OnHandQty]]-Table2[[#This Row],[Projection Nov/Dec]]</f>
        <v>6</v>
      </c>
      <c r="N348" s="35">
        <f>Table2[[#This Row],[OverStock]]*Table2[[#This Row],[RepCost]]</f>
        <v>1120.5095999999999</v>
      </c>
      <c r="O348" s="25">
        <v>46147.435416666667</v>
      </c>
      <c r="P348" s="26" t="s">
        <v>137</v>
      </c>
    </row>
    <row r="349" spans="1:16" x14ac:dyDescent="0.25">
      <c r="A349" s="20" t="s">
        <v>5211</v>
      </c>
      <c r="B349" s="21">
        <v>714</v>
      </c>
      <c r="C349" s="22" t="s">
        <v>143</v>
      </c>
      <c r="D349" s="22" t="s">
        <v>2555</v>
      </c>
      <c r="E349" s="22" t="str">
        <f>CONCATENATE(B349,D349)</f>
        <v>71462428-PY248</v>
      </c>
      <c r="F349" s="22" t="s">
        <v>2556</v>
      </c>
      <c r="G349" s="22" t="s">
        <v>19</v>
      </c>
      <c r="H349" s="23">
        <v>194.95590000000001</v>
      </c>
      <c r="I349" s="24">
        <v>12</v>
      </c>
      <c r="J349" s="24">
        <v>0</v>
      </c>
      <c r="K349" s="24">
        <v>0</v>
      </c>
      <c r="L349" s="41">
        <f>Table2[[#This Row],[Column1]]+Table2[[#This Row],[Column2]]</f>
        <v>0</v>
      </c>
      <c r="M349" s="42">
        <f>Table2[[#This Row],[OnHandQty]]-Table2[[#This Row],[Projection Nov/Dec]]</f>
        <v>12</v>
      </c>
      <c r="N349" s="35">
        <f>Table2[[#This Row],[OverStock]]*Table2[[#This Row],[RepCost]]</f>
        <v>2339.4708000000001</v>
      </c>
      <c r="O349" s="25">
        <v>46171.532638888886</v>
      </c>
      <c r="P349" s="26" t="s">
        <v>137</v>
      </c>
    </row>
    <row r="350" spans="1:16" x14ac:dyDescent="0.25">
      <c r="A350" s="20" t="s">
        <v>5211</v>
      </c>
      <c r="B350" s="21">
        <v>714</v>
      </c>
      <c r="C350" s="22" t="s">
        <v>143</v>
      </c>
      <c r="D350" s="22" t="s">
        <v>2565</v>
      </c>
      <c r="E350" s="22" t="str">
        <f>CONCATENATE(B350,D350)</f>
        <v>71462428-SP110</v>
      </c>
      <c r="F350" s="27" t="s">
        <v>2566</v>
      </c>
      <c r="G350" s="27" t="s">
        <v>58</v>
      </c>
      <c r="H350" s="23">
        <v>116.1066</v>
      </c>
      <c r="I350" s="24">
        <v>2</v>
      </c>
      <c r="J350" s="24">
        <v>0</v>
      </c>
      <c r="K350" s="24">
        <v>0</v>
      </c>
      <c r="L350" s="41">
        <f>Table2[[#This Row],[Column1]]+Table2[[#This Row],[Column2]]</f>
        <v>0</v>
      </c>
      <c r="M350" s="42">
        <f>Table2[[#This Row],[OnHandQty]]-Table2[[#This Row],[Projection Nov/Dec]]</f>
        <v>2</v>
      </c>
      <c r="N350" s="35">
        <f>Table2[[#This Row],[OverStock]]*Table2[[#This Row],[RepCost]]</f>
        <v>232.2132</v>
      </c>
      <c r="O350" s="25">
        <v>45007.334722222222</v>
      </c>
      <c r="P350" s="26" t="s">
        <v>137</v>
      </c>
    </row>
    <row r="351" spans="1:16" x14ac:dyDescent="0.25">
      <c r="A351" s="20" t="s">
        <v>5211</v>
      </c>
      <c r="B351" s="21">
        <v>636</v>
      </c>
      <c r="C351" s="22" t="s">
        <v>143</v>
      </c>
      <c r="D351" s="22" t="s">
        <v>1132</v>
      </c>
      <c r="E351" s="22" t="str">
        <f>CONCATENATE(B351,D351)</f>
        <v>63676060-110</v>
      </c>
      <c r="F351" s="22" t="s">
        <v>1133</v>
      </c>
      <c r="G351" s="22" t="s">
        <v>29</v>
      </c>
      <c r="H351" s="23">
        <v>50.772599999999997</v>
      </c>
      <c r="I351" s="24">
        <v>9</v>
      </c>
      <c r="J351" s="24">
        <v>0</v>
      </c>
      <c r="K351" s="24">
        <v>0</v>
      </c>
      <c r="L351" s="41">
        <f>Table2[[#This Row],[Column1]]+Table2[[#This Row],[Column2]]</f>
        <v>0</v>
      </c>
      <c r="M351" s="42">
        <f>Table2[[#This Row],[OnHandQty]]-Table2[[#This Row],[Projection Nov/Dec]]</f>
        <v>9</v>
      </c>
      <c r="N351" s="35">
        <f>Table2[[#This Row],[OverStock]]*Table2[[#This Row],[RepCost]]</f>
        <v>456.95339999999999</v>
      </c>
      <c r="O351" s="25">
        <v>46169.390972222223</v>
      </c>
      <c r="P351" s="26" t="s">
        <v>261</v>
      </c>
    </row>
    <row r="352" spans="1:16" x14ac:dyDescent="0.25">
      <c r="A352" s="20" t="s">
        <v>5211</v>
      </c>
      <c r="B352" s="21">
        <v>714</v>
      </c>
      <c r="C352" s="22" t="s">
        <v>143</v>
      </c>
      <c r="D352" s="22" t="s">
        <v>2453</v>
      </c>
      <c r="E352" s="22" t="str">
        <f>CONCATENATE(B352,D352)</f>
        <v>71462415-230</v>
      </c>
      <c r="F352" s="22" t="s">
        <v>2454</v>
      </c>
      <c r="G352" s="22" t="s">
        <v>29</v>
      </c>
      <c r="H352" s="23">
        <v>90.746399999999994</v>
      </c>
      <c r="I352" s="24">
        <v>10</v>
      </c>
      <c r="J352" s="24">
        <v>0</v>
      </c>
      <c r="K352" s="24">
        <v>0</v>
      </c>
      <c r="L352" s="41">
        <f>Table2[[#This Row],[Column1]]+Table2[[#This Row],[Column2]]</f>
        <v>0</v>
      </c>
      <c r="M352" s="42">
        <f>Table2[[#This Row],[OnHandQty]]-Table2[[#This Row],[Projection Nov/Dec]]</f>
        <v>10</v>
      </c>
      <c r="N352" s="35">
        <f>Table2[[#This Row],[OverStock]]*Table2[[#This Row],[RepCost]]</f>
        <v>907.46399999999994</v>
      </c>
      <c r="O352" s="25">
        <v>45775.37777777778</v>
      </c>
      <c r="P352" s="26" t="s">
        <v>903</v>
      </c>
    </row>
    <row r="353" spans="1:16" x14ac:dyDescent="0.25">
      <c r="A353" s="20" t="s">
        <v>5211</v>
      </c>
      <c r="B353" s="21">
        <v>714</v>
      </c>
      <c r="C353" s="22" t="s">
        <v>143</v>
      </c>
      <c r="D353" s="22" t="s">
        <v>2235</v>
      </c>
      <c r="E353" s="22" t="str">
        <f>CONCATENATE(B353,D353)</f>
        <v>71462415-242</v>
      </c>
      <c r="F353" s="22" t="s">
        <v>2236</v>
      </c>
      <c r="G353" s="22" t="s">
        <v>29</v>
      </c>
      <c r="H353" s="23">
        <v>129.51310000000001</v>
      </c>
      <c r="I353" s="24">
        <v>2</v>
      </c>
      <c r="J353" s="24">
        <v>0</v>
      </c>
      <c r="K353" s="24">
        <v>0</v>
      </c>
      <c r="L353" s="41">
        <f>Table2[[#This Row],[Column1]]+Table2[[#This Row],[Column2]]</f>
        <v>0</v>
      </c>
      <c r="M353" s="42">
        <f>Table2[[#This Row],[OnHandQty]]-Table2[[#This Row],[Projection Nov/Dec]]</f>
        <v>2</v>
      </c>
      <c r="N353" s="35">
        <f>Table2[[#This Row],[OverStock]]*Table2[[#This Row],[RepCost]]</f>
        <v>259.02620000000002</v>
      </c>
      <c r="O353" s="25">
        <v>45915.457638888889</v>
      </c>
      <c r="P353" s="26" t="s">
        <v>137</v>
      </c>
    </row>
    <row r="354" spans="1:16" x14ac:dyDescent="0.25">
      <c r="A354" s="20" t="s">
        <v>5211</v>
      </c>
      <c r="B354" s="21">
        <v>714</v>
      </c>
      <c r="C354" s="22" t="s">
        <v>143</v>
      </c>
      <c r="D354" s="22" t="s">
        <v>2505</v>
      </c>
      <c r="E354" s="22" t="str">
        <f>CONCATENATE(B354,D354)</f>
        <v>71476064-224</v>
      </c>
      <c r="F354" s="22" t="s">
        <v>2506</v>
      </c>
      <c r="G354" s="22" t="s">
        <v>23</v>
      </c>
      <c r="H354" s="23">
        <v>65.3934</v>
      </c>
      <c r="I354" s="24">
        <v>4</v>
      </c>
      <c r="J354" s="24">
        <v>0</v>
      </c>
      <c r="K354" s="24">
        <v>0</v>
      </c>
      <c r="L354" s="41">
        <f>Table2[[#This Row],[Column1]]+Table2[[#This Row],[Column2]]</f>
        <v>0</v>
      </c>
      <c r="M354" s="42">
        <f>Table2[[#This Row],[OnHandQty]]-Table2[[#This Row],[Projection Nov/Dec]]</f>
        <v>4</v>
      </c>
      <c r="N354" s="35">
        <f>Table2[[#This Row],[OverStock]]*Table2[[#This Row],[RepCost]]</f>
        <v>261.5736</v>
      </c>
      <c r="O354" s="25">
        <v>46119.573611111111</v>
      </c>
      <c r="P354" s="26" t="s">
        <v>137</v>
      </c>
    </row>
    <row r="355" spans="1:16" x14ac:dyDescent="0.25">
      <c r="A355" s="20" t="s">
        <v>5211</v>
      </c>
      <c r="B355" s="21">
        <v>714</v>
      </c>
      <c r="C355" s="22" t="s">
        <v>143</v>
      </c>
      <c r="D355" s="22" t="s">
        <v>2792</v>
      </c>
      <c r="E355" s="22" t="str">
        <f>CONCATENATE(B355,D355)</f>
        <v>71476064-CN224</v>
      </c>
      <c r="F355" s="22" t="s">
        <v>2793</v>
      </c>
      <c r="G355" s="22" t="s">
        <v>23</v>
      </c>
      <c r="H355" s="23">
        <v>89.167100000000005</v>
      </c>
      <c r="I355" s="24">
        <v>1</v>
      </c>
      <c r="J355" s="24">
        <v>0</v>
      </c>
      <c r="K355" s="24">
        <v>0</v>
      </c>
      <c r="L355" s="41">
        <f>Table2[[#This Row],[Column1]]+Table2[[#This Row],[Column2]]</f>
        <v>0</v>
      </c>
      <c r="M355" s="42">
        <f>Table2[[#This Row],[OnHandQty]]-Table2[[#This Row],[Projection Nov/Dec]]</f>
        <v>1</v>
      </c>
      <c r="N355" s="35">
        <f>Table2[[#This Row],[OverStock]]*Table2[[#This Row],[RepCost]]</f>
        <v>89.167100000000005</v>
      </c>
      <c r="O355" s="25">
        <v>46171.532638888886</v>
      </c>
      <c r="P355" s="26" t="s">
        <v>137</v>
      </c>
    </row>
    <row r="356" spans="1:16" x14ac:dyDescent="0.25">
      <c r="A356" s="20" t="s">
        <v>5211</v>
      </c>
      <c r="B356" s="21">
        <v>714</v>
      </c>
      <c r="C356" s="22" t="s">
        <v>143</v>
      </c>
      <c r="D356" s="22" t="s">
        <v>2612</v>
      </c>
      <c r="E356" s="22" t="str">
        <f>CONCATENATE(B356,D356)</f>
        <v>71482482-106</v>
      </c>
      <c r="F356" s="22" t="s">
        <v>2613</v>
      </c>
      <c r="G356" s="22" t="s">
        <v>158</v>
      </c>
      <c r="H356" s="23">
        <v>29.787199999999999</v>
      </c>
      <c r="I356" s="24">
        <v>31</v>
      </c>
      <c r="J356" s="24">
        <v>0</v>
      </c>
      <c r="K356" s="24">
        <v>0</v>
      </c>
      <c r="L356" s="41">
        <f>Table2[[#This Row],[Column1]]+Table2[[#This Row],[Column2]]</f>
        <v>0</v>
      </c>
      <c r="M356" s="42">
        <f>Table2[[#This Row],[OnHandQty]]-Table2[[#This Row],[Projection Nov/Dec]]</f>
        <v>31</v>
      </c>
      <c r="N356" s="35">
        <f>Table2[[#This Row],[OverStock]]*Table2[[#This Row],[RepCost]]</f>
        <v>923.40319999999997</v>
      </c>
      <c r="O356" s="25">
        <v>46174.37777777778</v>
      </c>
      <c r="P356" s="26" t="s">
        <v>310</v>
      </c>
    </row>
    <row r="357" spans="1:16" x14ac:dyDescent="0.25">
      <c r="A357" s="20" t="s">
        <v>5211</v>
      </c>
      <c r="B357" s="21">
        <v>714</v>
      </c>
      <c r="C357" s="22" t="s">
        <v>143</v>
      </c>
      <c r="D357" s="22" t="s">
        <v>2655</v>
      </c>
      <c r="E357" s="22" t="str">
        <f>CONCATENATE(B357,D357)</f>
        <v>71479399-215</v>
      </c>
      <c r="F357" s="22" t="s">
        <v>2656</v>
      </c>
      <c r="G357" s="22" t="s">
        <v>29</v>
      </c>
      <c r="H357" s="23">
        <v>42.0871</v>
      </c>
      <c r="I357" s="24">
        <v>1</v>
      </c>
      <c r="J357" s="24">
        <v>0</v>
      </c>
      <c r="K357" s="24">
        <v>0</v>
      </c>
      <c r="L357" s="41">
        <f>Table2[[#This Row],[Column1]]+Table2[[#This Row],[Column2]]</f>
        <v>0</v>
      </c>
      <c r="M357" s="42">
        <f>Table2[[#This Row],[OnHandQty]]-Table2[[#This Row],[Projection Nov/Dec]]</f>
        <v>1</v>
      </c>
      <c r="N357" s="35">
        <f>Table2[[#This Row],[OverStock]]*Table2[[#This Row],[RepCost]]</f>
        <v>42.0871</v>
      </c>
      <c r="O357" s="25">
        <v>46199.347916666666</v>
      </c>
      <c r="P357" s="26" t="s">
        <v>216</v>
      </c>
    </row>
    <row r="358" spans="1:16" x14ac:dyDescent="0.25">
      <c r="A358" s="20" t="s">
        <v>5211</v>
      </c>
      <c r="B358" s="21">
        <v>714</v>
      </c>
      <c r="C358" s="22" t="s">
        <v>143</v>
      </c>
      <c r="D358" s="22" t="s">
        <v>2790</v>
      </c>
      <c r="E358" s="22" t="str">
        <f>CONCATENATE(B358,D358)</f>
        <v>71462410-110</v>
      </c>
      <c r="F358" s="22" t="s">
        <v>2791</v>
      </c>
      <c r="G358" s="22" t="s">
        <v>35</v>
      </c>
      <c r="H358" s="23">
        <v>57.187199999999997</v>
      </c>
      <c r="I358" s="24">
        <v>1</v>
      </c>
      <c r="J358" s="24">
        <v>0</v>
      </c>
      <c r="K358" s="24">
        <v>0</v>
      </c>
      <c r="L358" s="41">
        <f>Table2[[#This Row],[Column1]]+Table2[[#This Row],[Column2]]</f>
        <v>0</v>
      </c>
      <c r="M358" s="42">
        <f>Table2[[#This Row],[OnHandQty]]-Table2[[#This Row],[Projection Nov/Dec]]</f>
        <v>1</v>
      </c>
      <c r="N358" s="35">
        <f>Table2[[#This Row],[OverStock]]*Table2[[#This Row],[RepCost]]</f>
        <v>57.187199999999997</v>
      </c>
      <c r="O358" s="25">
        <v>45889.563888888886</v>
      </c>
      <c r="P358" s="26" t="s">
        <v>195</v>
      </c>
    </row>
    <row r="359" spans="1:16" x14ac:dyDescent="0.25">
      <c r="A359" s="20" t="s">
        <v>5211</v>
      </c>
      <c r="B359" s="21">
        <v>636</v>
      </c>
      <c r="C359" s="22" t="s">
        <v>143</v>
      </c>
      <c r="D359" s="22" t="s">
        <v>957</v>
      </c>
      <c r="E359" s="22" t="str">
        <f>CONCATENATE(B359,D359)</f>
        <v>63662410-224</v>
      </c>
      <c r="F359" s="22" t="s">
        <v>958</v>
      </c>
      <c r="G359" s="22" t="s">
        <v>23</v>
      </c>
      <c r="H359" s="23">
        <v>61.575000000000003</v>
      </c>
      <c r="I359" s="24">
        <v>3</v>
      </c>
      <c r="J359" s="24">
        <v>0</v>
      </c>
      <c r="K359" s="24">
        <v>0</v>
      </c>
      <c r="L359" s="41">
        <f>Table2[[#This Row],[Column1]]+Table2[[#This Row],[Column2]]</f>
        <v>0</v>
      </c>
      <c r="M359" s="42">
        <f>Table2[[#This Row],[OnHandQty]]-Table2[[#This Row],[Projection Nov/Dec]]</f>
        <v>3</v>
      </c>
      <c r="N359" s="35">
        <f>Table2[[#This Row],[OverStock]]*Table2[[#This Row],[RepCost]]</f>
        <v>184.72500000000002</v>
      </c>
      <c r="O359" s="25">
        <v>46149.512499999997</v>
      </c>
      <c r="P359" s="26" t="s">
        <v>195</v>
      </c>
    </row>
    <row r="360" spans="1:16" x14ac:dyDescent="0.25">
      <c r="A360" s="20" t="s">
        <v>5211</v>
      </c>
      <c r="B360" s="21">
        <v>714</v>
      </c>
      <c r="C360" s="22" t="s">
        <v>143</v>
      </c>
      <c r="D360" s="22" t="s">
        <v>2395</v>
      </c>
      <c r="E360" s="22" t="str">
        <f>CONCATENATE(B360,D360)</f>
        <v>71462410-103</v>
      </c>
      <c r="F360" s="22" t="s">
        <v>2396</v>
      </c>
      <c r="G360" s="22" t="s">
        <v>29</v>
      </c>
      <c r="H360" s="23">
        <v>16.956900000000001</v>
      </c>
      <c r="I360" s="24">
        <v>66</v>
      </c>
      <c r="J360" s="24">
        <v>0</v>
      </c>
      <c r="K360" s="24">
        <v>0</v>
      </c>
      <c r="L360" s="41">
        <f>Table2[[#This Row],[Column1]]+Table2[[#This Row],[Column2]]</f>
        <v>0</v>
      </c>
      <c r="M360" s="42">
        <f>Table2[[#This Row],[OnHandQty]]-Table2[[#This Row],[Projection Nov/Dec]]</f>
        <v>66</v>
      </c>
      <c r="N360" s="35">
        <f>Table2[[#This Row],[OverStock]]*Table2[[#This Row],[RepCost]]</f>
        <v>1119.1554000000001</v>
      </c>
      <c r="O360" s="25">
        <v>46143.37222222222</v>
      </c>
      <c r="P360" s="26" t="s">
        <v>878</v>
      </c>
    </row>
    <row r="361" spans="1:16" x14ac:dyDescent="0.25">
      <c r="A361" s="20" t="s">
        <v>5211</v>
      </c>
      <c r="B361" s="21">
        <v>714</v>
      </c>
      <c r="C361" s="22" t="s">
        <v>143</v>
      </c>
      <c r="D361" s="22" t="s">
        <v>2487</v>
      </c>
      <c r="E361" s="22" t="str">
        <f>CONCATENATE(B361,D361)</f>
        <v>71462410-107</v>
      </c>
      <c r="F361" s="22" t="s">
        <v>2488</v>
      </c>
      <c r="G361" s="22" t="s">
        <v>23</v>
      </c>
      <c r="H361" s="23">
        <v>46.445500000000003</v>
      </c>
      <c r="I361" s="24">
        <v>15</v>
      </c>
      <c r="J361" s="24">
        <v>0</v>
      </c>
      <c r="K361" s="24">
        <v>0</v>
      </c>
      <c r="L361" s="41">
        <f>Table2[[#This Row],[Column1]]+Table2[[#This Row],[Column2]]</f>
        <v>0</v>
      </c>
      <c r="M361" s="42">
        <f>Table2[[#This Row],[OnHandQty]]-Table2[[#This Row],[Projection Nov/Dec]]</f>
        <v>15</v>
      </c>
      <c r="N361" s="35">
        <f>Table2[[#This Row],[OverStock]]*Table2[[#This Row],[RepCost]]</f>
        <v>696.6825</v>
      </c>
      <c r="O361" s="25">
        <v>46162.613888888889</v>
      </c>
      <c r="P361" s="26" t="s">
        <v>195</v>
      </c>
    </row>
    <row r="362" spans="1:16" x14ac:dyDescent="0.25">
      <c r="A362" s="20" t="s">
        <v>5211</v>
      </c>
      <c r="B362" s="21">
        <v>634</v>
      </c>
      <c r="C362" s="22" t="s">
        <v>143</v>
      </c>
      <c r="D362" s="22" t="s">
        <v>308</v>
      </c>
      <c r="E362" s="22" t="str">
        <f>CONCATENATE(B362,D362)</f>
        <v>63462399-115</v>
      </c>
      <c r="F362" s="22" t="s">
        <v>309</v>
      </c>
      <c r="G362" s="22" t="s">
        <v>23</v>
      </c>
      <c r="H362" s="23">
        <v>61.130899999999997</v>
      </c>
      <c r="I362" s="24">
        <v>2</v>
      </c>
      <c r="J362" s="24">
        <v>0</v>
      </c>
      <c r="K362" s="24">
        <v>0</v>
      </c>
      <c r="L362" s="41">
        <f>Table2[[#This Row],[Column1]]+Table2[[#This Row],[Column2]]</f>
        <v>0</v>
      </c>
      <c r="M362" s="42">
        <f>Table2[[#This Row],[OnHandQty]]-Table2[[#This Row],[Projection Nov/Dec]]</f>
        <v>2</v>
      </c>
      <c r="N362" s="35">
        <f>Table2[[#This Row],[OverStock]]*Table2[[#This Row],[RepCost]]</f>
        <v>122.26179999999999</v>
      </c>
      <c r="O362" s="25">
        <v>46161.469444444447</v>
      </c>
      <c r="P362" s="26" t="s">
        <v>310</v>
      </c>
    </row>
    <row r="363" spans="1:16" x14ac:dyDescent="0.25">
      <c r="A363" s="20" t="s">
        <v>5211</v>
      </c>
      <c r="B363" s="21">
        <v>714</v>
      </c>
      <c r="C363" s="22" t="s">
        <v>143</v>
      </c>
      <c r="D363" s="22" t="s">
        <v>2527</v>
      </c>
      <c r="E363" s="22" t="str">
        <f>CONCATENATE(B363,D363)</f>
        <v>71462399-218</v>
      </c>
      <c r="F363" s="22" t="s">
        <v>2528</v>
      </c>
      <c r="G363" s="22" t="s">
        <v>158</v>
      </c>
      <c r="H363" s="23">
        <v>42.551499999999997</v>
      </c>
      <c r="I363" s="24">
        <v>64</v>
      </c>
      <c r="J363" s="24">
        <v>4</v>
      </c>
      <c r="K363" s="24">
        <v>0</v>
      </c>
      <c r="L363" s="41">
        <f>Table2[[#This Row],[Column1]]+Table2[[#This Row],[Column2]]</f>
        <v>4</v>
      </c>
      <c r="M363" s="42">
        <f>Table2[[#This Row],[OnHandQty]]-Table2[[#This Row],[Projection Nov/Dec]]</f>
        <v>60</v>
      </c>
      <c r="N363" s="35">
        <f>Table2[[#This Row],[OverStock]]*Table2[[#This Row],[RepCost]]</f>
        <v>2553.0899999999997</v>
      </c>
      <c r="O363" s="25">
        <v>46204.5625</v>
      </c>
      <c r="P363" s="26" t="s">
        <v>195</v>
      </c>
    </row>
    <row r="364" spans="1:16" x14ac:dyDescent="0.25">
      <c r="A364" s="20" t="s">
        <v>5211</v>
      </c>
      <c r="B364" s="21">
        <v>714</v>
      </c>
      <c r="C364" s="22" t="s">
        <v>143</v>
      </c>
      <c r="D364" s="22" t="s">
        <v>2614</v>
      </c>
      <c r="E364" s="22" t="str">
        <f>CONCATENATE(B364,D364)</f>
        <v>71462399-2T110</v>
      </c>
      <c r="F364" s="22" t="s">
        <v>2615</v>
      </c>
      <c r="G364" s="22" t="s">
        <v>29</v>
      </c>
      <c r="H364" s="23">
        <v>154.45439999999999</v>
      </c>
      <c r="I364" s="24">
        <v>2</v>
      </c>
      <c r="J364" s="24">
        <v>0</v>
      </c>
      <c r="K364" s="24">
        <v>0</v>
      </c>
      <c r="L364" s="41">
        <f>Table2[[#This Row],[Column1]]+Table2[[#This Row],[Column2]]</f>
        <v>0</v>
      </c>
      <c r="M364" s="42">
        <f>Table2[[#This Row],[OnHandQty]]-Table2[[#This Row],[Projection Nov/Dec]]</f>
        <v>2</v>
      </c>
      <c r="N364" s="35">
        <f>Table2[[#This Row],[OverStock]]*Table2[[#This Row],[RepCost]]</f>
        <v>308.90879999999999</v>
      </c>
      <c r="O364" s="25">
        <v>46119.573611111111</v>
      </c>
      <c r="P364" s="26" t="s">
        <v>137</v>
      </c>
    </row>
    <row r="365" spans="1:16" x14ac:dyDescent="0.25">
      <c r="A365" s="20" t="s">
        <v>5211</v>
      </c>
      <c r="B365" s="21">
        <v>714</v>
      </c>
      <c r="C365" s="22" t="s">
        <v>143</v>
      </c>
      <c r="D365" s="22" t="s">
        <v>2693</v>
      </c>
      <c r="E365" s="22" t="str">
        <f>CONCATENATE(B365,D365)</f>
        <v>71462399-2T106</v>
      </c>
      <c r="F365" s="22" t="s">
        <v>2694</v>
      </c>
      <c r="G365" s="22" t="s">
        <v>29</v>
      </c>
      <c r="H365" s="23">
        <v>70.070899999999995</v>
      </c>
      <c r="I365" s="24">
        <v>2</v>
      </c>
      <c r="J365" s="24">
        <v>0</v>
      </c>
      <c r="K365" s="24">
        <v>0</v>
      </c>
      <c r="L365" s="41">
        <f>Table2[[#This Row],[Column1]]+Table2[[#This Row],[Column2]]</f>
        <v>0</v>
      </c>
      <c r="M365" s="42">
        <f>Table2[[#This Row],[OnHandQty]]-Table2[[#This Row],[Projection Nov/Dec]]</f>
        <v>2</v>
      </c>
      <c r="N365" s="35">
        <f>Table2[[#This Row],[OverStock]]*Table2[[#This Row],[RepCost]]</f>
        <v>140.14179999999999</v>
      </c>
      <c r="O365" s="25">
        <v>45394.806250000001</v>
      </c>
      <c r="P365" s="26" t="s">
        <v>885</v>
      </c>
    </row>
    <row r="366" spans="1:16" x14ac:dyDescent="0.25">
      <c r="A366" s="20" t="s">
        <v>5211</v>
      </c>
      <c r="B366" s="21">
        <v>718</v>
      </c>
      <c r="C366" s="22" t="s">
        <v>143</v>
      </c>
      <c r="D366" s="22" t="s">
        <v>3738</v>
      </c>
      <c r="E366" s="22" t="str">
        <f>CONCATENATE(B366,D366)</f>
        <v>71862399-107</v>
      </c>
      <c r="F366" s="22" t="s">
        <v>3739</v>
      </c>
      <c r="G366" s="22" t="s">
        <v>158</v>
      </c>
      <c r="H366" s="23">
        <v>47.077100000000002</v>
      </c>
      <c r="I366" s="24">
        <v>2</v>
      </c>
      <c r="J366" s="24">
        <v>0</v>
      </c>
      <c r="K366" s="24">
        <v>0</v>
      </c>
      <c r="L366" s="41">
        <f>Table2[[#This Row],[Column1]]+Table2[[#This Row],[Column2]]</f>
        <v>0</v>
      </c>
      <c r="M366" s="42">
        <f>Table2[[#This Row],[OnHandQty]]-Table2[[#This Row],[Projection Nov/Dec]]</f>
        <v>2</v>
      </c>
      <c r="N366" s="35">
        <f>Table2[[#This Row],[OverStock]]*Table2[[#This Row],[RepCost]]</f>
        <v>94.154200000000003</v>
      </c>
      <c r="O366" s="25">
        <v>46191.520138888889</v>
      </c>
      <c r="P366" s="26" t="s">
        <v>3740</v>
      </c>
    </row>
    <row r="367" spans="1:16" x14ac:dyDescent="0.25">
      <c r="A367" s="20" t="s">
        <v>5211</v>
      </c>
      <c r="B367" s="21">
        <v>714</v>
      </c>
      <c r="C367" s="22" t="s">
        <v>143</v>
      </c>
      <c r="D367" s="22" t="s">
        <v>2600</v>
      </c>
      <c r="E367" s="22" t="str">
        <f>CONCATENATE(B367,D367)</f>
        <v>71462399-CN120-48IN</v>
      </c>
      <c r="F367" s="22" t="s">
        <v>2601</v>
      </c>
      <c r="G367" s="22" t="s">
        <v>29</v>
      </c>
      <c r="H367" s="23">
        <v>196.90860000000001</v>
      </c>
      <c r="I367" s="24">
        <v>4</v>
      </c>
      <c r="J367" s="24">
        <v>0</v>
      </c>
      <c r="K367" s="24">
        <v>0</v>
      </c>
      <c r="L367" s="41">
        <f>Table2[[#This Row],[Column1]]+Table2[[#This Row],[Column2]]</f>
        <v>0</v>
      </c>
      <c r="M367" s="42">
        <f>Table2[[#This Row],[OnHandQty]]-Table2[[#This Row],[Projection Nov/Dec]]</f>
        <v>4</v>
      </c>
      <c r="N367" s="35">
        <f>Table2[[#This Row],[OverStock]]*Table2[[#This Row],[RepCost]]</f>
        <v>787.63440000000003</v>
      </c>
      <c r="O367" s="25">
        <v>46154.454861111109</v>
      </c>
      <c r="P367" s="26" t="s">
        <v>137</v>
      </c>
    </row>
    <row r="368" spans="1:16" x14ac:dyDescent="0.25">
      <c r="A368" s="20" t="s">
        <v>5211</v>
      </c>
      <c r="B368" s="21">
        <v>714</v>
      </c>
      <c r="C368" s="22" t="s">
        <v>143</v>
      </c>
      <c r="D368" s="22" t="s">
        <v>2308</v>
      </c>
      <c r="E368" s="22" t="str">
        <f>CONCATENATE(B368,D368)</f>
        <v>71462399-GB221</v>
      </c>
      <c r="F368" s="22" t="s">
        <v>2309</v>
      </c>
      <c r="G368" s="22" t="s">
        <v>35</v>
      </c>
      <c r="H368" s="23">
        <v>108.1665</v>
      </c>
      <c r="I368" s="24">
        <v>3</v>
      </c>
      <c r="J368" s="24">
        <v>0</v>
      </c>
      <c r="K368" s="24">
        <v>0</v>
      </c>
      <c r="L368" s="41">
        <f>Table2[[#This Row],[Column1]]+Table2[[#This Row],[Column2]]</f>
        <v>0</v>
      </c>
      <c r="M368" s="42">
        <f>Table2[[#This Row],[OnHandQty]]-Table2[[#This Row],[Projection Nov/Dec]]</f>
        <v>3</v>
      </c>
      <c r="N368" s="35">
        <f>Table2[[#This Row],[OverStock]]*Table2[[#This Row],[RepCost]]</f>
        <v>324.49950000000001</v>
      </c>
      <c r="O368" s="25">
        <v>45782.355555555558</v>
      </c>
      <c r="P368" s="26" t="s">
        <v>137</v>
      </c>
    </row>
    <row r="369" spans="1:16" x14ac:dyDescent="0.25">
      <c r="A369" s="20" t="s">
        <v>5211</v>
      </c>
      <c r="B369" s="21">
        <v>714</v>
      </c>
      <c r="C369" s="22" t="s">
        <v>143</v>
      </c>
      <c r="D369" s="22" t="s">
        <v>296</v>
      </c>
      <c r="E369" s="22" t="str">
        <f>CONCATENATE(B369,D369)</f>
        <v>71462399-GB224</v>
      </c>
      <c r="F369" s="22" t="s">
        <v>297</v>
      </c>
      <c r="G369" s="22" t="s">
        <v>158</v>
      </c>
      <c r="H369" s="23">
        <v>118.70480000000001</v>
      </c>
      <c r="I369" s="24">
        <v>2</v>
      </c>
      <c r="J369" s="24">
        <v>0</v>
      </c>
      <c r="K369" s="24">
        <v>0</v>
      </c>
      <c r="L369" s="41">
        <f>Table2[[#This Row],[Column1]]+Table2[[#This Row],[Column2]]</f>
        <v>0</v>
      </c>
      <c r="M369" s="42">
        <f>Table2[[#This Row],[OnHandQty]]-Table2[[#This Row],[Projection Nov/Dec]]</f>
        <v>2</v>
      </c>
      <c r="N369" s="35">
        <f>Table2[[#This Row],[OverStock]]*Table2[[#This Row],[RepCost]]</f>
        <v>237.40960000000001</v>
      </c>
      <c r="O369" s="25">
        <v>46098.385416666664</v>
      </c>
      <c r="P369" s="26" t="s">
        <v>137</v>
      </c>
    </row>
    <row r="370" spans="1:16" x14ac:dyDescent="0.25">
      <c r="A370" s="20" t="s">
        <v>5211</v>
      </c>
      <c r="B370" s="21">
        <v>634</v>
      </c>
      <c r="C370" s="22" t="s">
        <v>143</v>
      </c>
      <c r="D370" s="22" t="s">
        <v>296</v>
      </c>
      <c r="E370" s="22" t="str">
        <f>CONCATENATE(B370,D370)</f>
        <v>63462399-GB224</v>
      </c>
      <c r="F370" s="22" t="s">
        <v>297</v>
      </c>
      <c r="G370" s="22" t="s">
        <v>158</v>
      </c>
      <c r="H370" s="23">
        <v>121.9889</v>
      </c>
      <c r="I370" s="24">
        <v>9</v>
      </c>
      <c r="J370" s="24">
        <v>0</v>
      </c>
      <c r="K370" s="24">
        <v>0</v>
      </c>
      <c r="L370" s="41">
        <f>Table2[[#This Row],[Column1]]+Table2[[#This Row],[Column2]]</f>
        <v>0</v>
      </c>
      <c r="M370" s="42">
        <f>Table2[[#This Row],[OnHandQty]]-Table2[[#This Row],[Projection Nov/Dec]]</f>
        <v>9</v>
      </c>
      <c r="N370" s="35">
        <f>Table2[[#This Row],[OverStock]]*Table2[[#This Row],[RepCost]]</f>
        <v>1097.9001000000001</v>
      </c>
      <c r="O370" s="25">
        <v>46113.665277777778</v>
      </c>
      <c r="P370" s="26" t="s">
        <v>137</v>
      </c>
    </row>
    <row r="371" spans="1:16" x14ac:dyDescent="0.25">
      <c r="A371" s="20" t="s">
        <v>5211</v>
      </c>
      <c r="B371" s="21">
        <v>714</v>
      </c>
      <c r="C371" s="22" t="s">
        <v>143</v>
      </c>
      <c r="D371" s="22" t="s">
        <v>2415</v>
      </c>
      <c r="E371" s="22" t="str">
        <f>CONCATENATE(B371,D371)</f>
        <v>71462399-236PREM</v>
      </c>
      <c r="F371" s="22" t="s">
        <v>2416</v>
      </c>
      <c r="G371" s="22" t="s">
        <v>19</v>
      </c>
      <c r="H371" s="23">
        <v>120.4692</v>
      </c>
      <c r="I371" s="24">
        <v>1</v>
      </c>
      <c r="J371" s="24">
        <v>0</v>
      </c>
      <c r="K371" s="24">
        <v>0</v>
      </c>
      <c r="L371" s="41">
        <f>Table2[[#This Row],[Column1]]+Table2[[#This Row],[Column2]]</f>
        <v>0</v>
      </c>
      <c r="M371" s="42">
        <f>Table2[[#This Row],[OnHandQty]]-Table2[[#This Row],[Projection Nov/Dec]]</f>
        <v>1</v>
      </c>
      <c r="N371" s="35">
        <f>Table2[[#This Row],[OverStock]]*Table2[[#This Row],[RepCost]]</f>
        <v>120.4692</v>
      </c>
      <c r="O371" s="25">
        <v>46149.3125</v>
      </c>
      <c r="P371" s="26" t="s">
        <v>137</v>
      </c>
    </row>
    <row r="372" spans="1:16" x14ac:dyDescent="0.25">
      <c r="A372" s="20" t="s">
        <v>5211</v>
      </c>
      <c r="B372" s="21">
        <v>714</v>
      </c>
      <c r="C372" s="22" t="s">
        <v>143</v>
      </c>
      <c r="D372" s="22" t="s">
        <v>2727</v>
      </c>
      <c r="E372" s="22" t="str">
        <f>CONCATENATE(B372,D372)</f>
        <v>71462399-PY224</v>
      </c>
      <c r="F372" s="22" t="s">
        <v>2728</v>
      </c>
      <c r="G372" s="22" t="s">
        <v>19</v>
      </c>
      <c r="H372" s="23">
        <v>40.701000000000001</v>
      </c>
      <c r="I372" s="24">
        <v>1</v>
      </c>
      <c r="J372" s="24">
        <v>0</v>
      </c>
      <c r="K372" s="24">
        <v>0</v>
      </c>
      <c r="L372" s="41">
        <f>Table2[[#This Row],[Column1]]+Table2[[#This Row],[Column2]]</f>
        <v>0</v>
      </c>
      <c r="M372" s="42">
        <f>Table2[[#This Row],[OnHandQty]]-Table2[[#This Row],[Projection Nov/Dec]]</f>
        <v>1</v>
      </c>
      <c r="N372" s="35">
        <f>Table2[[#This Row],[OverStock]]*Table2[[#This Row],[RepCost]]</f>
        <v>40.701000000000001</v>
      </c>
      <c r="O372" s="25">
        <v>45749.454861111109</v>
      </c>
      <c r="P372" s="26" t="s">
        <v>2729</v>
      </c>
    </row>
    <row r="373" spans="1:16" x14ac:dyDescent="0.25">
      <c r="A373" s="20" t="s">
        <v>5211</v>
      </c>
      <c r="B373" s="21">
        <v>714</v>
      </c>
      <c r="C373" s="22" t="s">
        <v>143</v>
      </c>
      <c r="D373" s="22" t="s">
        <v>2707</v>
      </c>
      <c r="E373" s="22" t="str">
        <f>CONCATENATE(B373,D373)</f>
        <v>71462399-PY230</v>
      </c>
      <c r="F373" s="22" t="s">
        <v>2708</v>
      </c>
      <c r="G373" s="22" t="s">
        <v>23</v>
      </c>
      <c r="H373" s="23">
        <v>115.1467</v>
      </c>
      <c r="I373" s="24">
        <v>5</v>
      </c>
      <c r="J373" s="24">
        <v>0</v>
      </c>
      <c r="K373" s="24">
        <v>0</v>
      </c>
      <c r="L373" s="41">
        <f>Table2[[#This Row],[Column1]]+Table2[[#This Row],[Column2]]</f>
        <v>0</v>
      </c>
      <c r="M373" s="42">
        <f>Table2[[#This Row],[OnHandQty]]-Table2[[#This Row],[Projection Nov/Dec]]</f>
        <v>5</v>
      </c>
      <c r="N373" s="35">
        <f>Table2[[#This Row],[OverStock]]*Table2[[#This Row],[RepCost]]</f>
        <v>575.73349999999994</v>
      </c>
      <c r="O373" s="25">
        <v>46171.532638888886</v>
      </c>
      <c r="P373" s="26" t="s">
        <v>137</v>
      </c>
    </row>
    <row r="374" spans="1:16" x14ac:dyDescent="0.25">
      <c r="A374" s="20" t="s">
        <v>5211</v>
      </c>
      <c r="B374" s="21">
        <v>718</v>
      </c>
      <c r="C374" s="22" t="s">
        <v>143</v>
      </c>
      <c r="D374" s="22" t="s">
        <v>2707</v>
      </c>
      <c r="E374" s="22" t="str">
        <f>CONCATENATE(B374,D374)</f>
        <v>71862399-PY230</v>
      </c>
      <c r="F374" s="22" t="s">
        <v>2708</v>
      </c>
      <c r="G374" s="22" t="s">
        <v>23</v>
      </c>
      <c r="H374" s="23">
        <v>119.6835</v>
      </c>
      <c r="I374" s="24">
        <v>2</v>
      </c>
      <c r="J374" s="24">
        <v>0</v>
      </c>
      <c r="K374" s="24">
        <v>0</v>
      </c>
      <c r="L374" s="41">
        <f>Table2[[#This Row],[Column1]]+Table2[[#This Row],[Column2]]</f>
        <v>0</v>
      </c>
      <c r="M374" s="42">
        <f>Table2[[#This Row],[OnHandQty]]-Table2[[#This Row],[Projection Nov/Dec]]</f>
        <v>2</v>
      </c>
      <c r="N374" s="35">
        <f>Table2[[#This Row],[OverStock]]*Table2[[#This Row],[RepCost]]</f>
        <v>239.36699999999999</v>
      </c>
      <c r="O374" s="25">
        <v>46175.657638888886</v>
      </c>
      <c r="P374" s="26" t="s">
        <v>137</v>
      </c>
    </row>
    <row r="375" spans="1:16" x14ac:dyDescent="0.25">
      <c r="A375" s="20" t="s">
        <v>5211</v>
      </c>
      <c r="B375" s="21">
        <v>714</v>
      </c>
      <c r="C375" s="22" t="s">
        <v>143</v>
      </c>
      <c r="D375" s="22" t="s">
        <v>2610</v>
      </c>
      <c r="E375" s="22" t="str">
        <f>CONCATENATE(B375,D375)</f>
        <v>71462399-PY242</v>
      </c>
      <c r="F375" s="22" t="s">
        <v>2611</v>
      </c>
      <c r="G375" s="22" t="s">
        <v>19</v>
      </c>
      <c r="H375" s="23">
        <v>158.44900000000001</v>
      </c>
      <c r="I375" s="24">
        <v>1</v>
      </c>
      <c r="J375" s="24">
        <v>0</v>
      </c>
      <c r="K375" s="24">
        <v>0</v>
      </c>
      <c r="L375" s="41">
        <f>Table2[[#This Row],[Column1]]+Table2[[#This Row],[Column2]]</f>
        <v>0</v>
      </c>
      <c r="M375" s="42">
        <f>Table2[[#This Row],[OnHandQty]]-Table2[[#This Row],[Projection Nov/Dec]]</f>
        <v>1</v>
      </c>
      <c r="N375" s="35">
        <f>Table2[[#This Row],[OverStock]]*Table2[[#This Row],[RepCost]]</f>
        <v>158.44900000000001</v>
      </c>
      <c r="O375" s="25">
        <v>45764.564583333333</v>
      </c>
      <c r="P375" s="26" t="s">
        <v>137</v>
      </c>
    </row>
    <row r="376" spans="1:16" x14ac:dyDescent="0.25">
      <c r="A376" s="20" t="s">
        <v>5211</v>
      </c>
      <c r="B376" s="21">
        <v>714</v>
      </c>
      <c r="C376" s="22" t="s">
        <v>143</v>
      </c>
      <c r="D376" s="22" t="s">
        <v>2280</v>
      </c>
      <c r="E376" s="22" t="str">
        <f>CONCATENATE(B376,D376)</f>
        <v>71462399-PY105</v>
      </c>
      <c r="F376" s="22" t="s">
        <v>2281</v>
      </c>
      <c r="G376" s="22" t="s">
        <v>23</v>
      </c>
      <c r="H376" s="23">
        <v>76.718400000000003</v>
      </c>
      <c r="I376" s="24">
        <v>9</v>
      </c>
      <c r="J376" s="24">
        <v>0</v>
      </c>
      <c r="K376" s="24">
        <v>0</v>
      </c>
      <c r="L376" s="41">
        <f>Table2[[#This Row],[Column1]]+Table2[[#This Row],[Column2]]</f>
        <v>0</v>
      </c>
      <c r="M376" s="42">
        <f>Table2[[#This Row],[OnHandQty]]-Table2[[#This Row],[Projection Nov/Dec]]</f>
        <v>9</v>
      </c>
      <c r="N376" s="35">
        <f>Table2[[#This Row],[OverStock]]*Table2[[#This Row],[RepCost]]</f>
        <v>690.46559999999999</v>
      </c>
      <c r="O376" s="25">
        <v>46126.649305555555</v>
      </c>
      <c r="P376" s="26" t="s">
        <v>67</v>
      </c>
    </row>
    <row r="377" spans="1:16" x14ac:dyDescent="0.25">
      <c r="A377" s="20" t="s">
        <v>5211</v>
      </c>
      <c r="B377" s="21">
        <v>714</v>
      </c>
      <c r="C377" s="22" t="s">
        <v>143</v>
      </c>
      <c r="D377" s="22" t="s">
        <v>2581</v>
      </c>
      <c r="E377" s="22" t="str">
        <f>CONCATENATE(B377,D377)</f>
        <v>71462399-PY254</v>
      </c>
      <c r="F377" s="22" t="s">
        <v>2582</v>
      </c>
      <c r="G377" s="22" t="s">
        <v>29</v>
      </c>
      <c r="H377" s="23">
        <v>222.88910000000001</v>
      </c>
      <c r="I377" s="24">
        <v>2</v>
      </c>
      <c r="J377" s="24">
        <v>0</v>
      </c>
      <c r="K377" s="24">
        <v>0</v>
      </c>
      <c r="L377" s="41">
        <f>Table2[[#This Row],[Column1]]+Table2[[#This Row],[Column2]]</f>
        <v>0</v>
      </c>
      <c r="M377" s="42">
        <f>Table2[[#This Row],[OnHandQty]]-Table2[[#This Row],[Projection Nov/Dec]]</f>
        <v>2</v>
      </c>
      <c r="N377" s="35">
        <f>Table2[[#This Row],[OverStock]]*Table2[[#This Row],[RepCost]]</f>
        <v>445.77820000000003</v>
      </c>
      <c r="O377" s="25">
        <v>46119.573611111111</v>
      </c>
      <c r="P377" s="26" t="s">
        <v>137</v>
      </c>
    </row>
    <row r="378" spans="1:16" x14ac:dyDescent="0.25">
      <c r="A378" s="20" t="s">
        <v>5211</v>
      </c>
      <c r="B378" s="21">
        <v>718</v>
      </c>
      <c r="C378" s="22" t="s">
        <v>143</v>
      </c>
      <c r="D378" s="22" t="s">
        <v>2294</v>
      </c>
      <c r="E378" s="22" t="str">
        <f>CONCATENATE(B378,D378)</f>
        <v>71862399-SP110</v>
      </c>
      <c r="F378" s="27" t="s">
        <v>2295</v>
      </c>
      <c r="G378" s="27" t="s">
        <v>58</v>
      </c>
      <c r="H378" s="23">
        <v>133.01150000000001</v>
      </c>
      <c r="I378" s="24">
        <v>5</v>
      </c>
      <c r="J378" s="24">
        <v>0</v>
      </c>
      <c r="K378" s="24">
        <v>0</v>
      </c>
      <c r="L378" s="41">
        <f>Table2[[#This Row],[Column1]]+Table2[[#This Row],[Column2]]</f>
        <v>0</v>
      </c>
      <c r="M378" s="42">
        <f>Table2[[#This Row],[OnHandQty]]-Table2[[#This Row],[Projection Nov/Dec]]</f>
        <v>5</v>
      </c>
      <c r="N378" s="35">
        <f>Table2[[#This Row],[OverStock]]*Table2[[#This Row],[RepCost]]</f>
        <v>665.05750000000012</v>
      </c>
      <c r="O378" s="25">
        <v>45791.508333333331</v>
      </c>
      <c r="P378" s="26" t="s">
        <v>137</v>
      </c>
    </row>
    <row r="379" spans="1:16" x14ac:dyDescent="0.25">
      <c r="A379" s="20" t="s">
        <v>5211</v>
      </c>
      <c r="B379" s="21">
        <v>714</v>
      </c>
      <c r="C379" s="22" t="s">
        <v>143</v>
      </c>
      <c r="D379" s="22" t="s">
        <v>2294</v>
      </c>
      <c r="E379" s="22" t="str">
        <f>CONCATENATE(B379,D379)</f>
        <v>71462399-SP110</v>
      </c>
      <c r="F379" s="22" t="s">
        <v>2295</v>
      </c>
      <c r="G379" s="22" t="s">
        <v>1047</v>
      </c>
      <c r="H379" s="23">
        <v>156.88589999999999</v>
      </c>
      <c r="I379" s="24">
        <v>6</v>
      </c>
      <c r="J379" s="24">
        <v>0</v>
      </c>
      <c r="K379" s="24">
        <v>0</v>
      </c>
      <c r="L379" s="41">
        <f>Table2[[#This Row],[Column1]]+Table2[[#This Row],[Column2]]</f>
        <v>0</v>
      </c>
      <c r="M379" s="42">
        <f>Table2[[#This Row],[OnHandQty]]-Table2[[#This Row],[Projection Nov/Dec]]</f>
        <v>6</v>
      </c>
      <c r="N379" s="35">
        <f>Table2[[#This Row],[OverStock]]*Table2[[#This Row],[RepCost]]</f>
        <v>941.31539999999995</v>
      </c>
      <c r="O379" s="25">
        <v>45835.557638888888</v>
      </c>
      <c r="P379" s="26" t="s">
        <v>137</v>
      </c>
    </row>
    <row r="380" spans="1:16" x14ac:dyDescent="0.25">
      <c r="A380" s="20" t="s">
        <v>5211</v>
      </c>
      <c r="B380" s="21">
        <v>714</v>
      </c>
      <c r="C380" s="22" t="s">
        <v>143</v>
      </c>
      <c r="D380" s="22" t="s">
        <v>2274</v>
      </c>
      <c r="E380" s="22" t="str">
        <f>CONCATENATE(B380,D380)</f>
        <v>71462399-SP115-36IN</v>
      </c>
      <c r="F380" s="22" t="s">
        <v>2275</v>
      </c>
      <c r="G380" s="22" t="s">
        <v>19</v>
      </c>
      <c r="H380" s="23">
        <v>174.77209999999999</v>
      </c>
      <c r="I380" s="24">
        <v>5</v>
      </c>
      <c r="J380" s="24">
        <v>0</v>
      </c>
      <c r="K380" s="24">
        <v>0</v>
      </c>
      <c r="L380" s="41">
        <f>Table2[[#This Row],[Column1]]+Table2[[#This Row],[Column2]]</f>
        <v>0</v>
      </c>
      <c r="M380" s="42">
        <f>Table2[[#This Row],[OnHandQty]]-Table2[[#This Row],[Projection Nov/Dec]]</f>
        <v>5</v>
      </c>
      <c r="N380" s="35">
        <f>Table2[[#This Row],[OverStock]]*Table2[[#This Row],[RepCost]]</f>
        <v>873.8605</v>
      </c>
      <c r="O380" s="25">
        <v>46119.573611111111</v>
      </c>
      <c r="P380" s="26" t="s">
        <v>137</v>
      </c>
    </row>
    <row r="381" spans="1:16" x14ac:dyDescent="0.25">
      <c r="A381" s="20" t="s">
        <v>5211</v>
      </c>
      <c r="B381" s="21">
        <v>714</v>
      </c>
      <c r="C381" s="22" t="s">
        <v>143</v>
      </c>
      <c r="D381" s="22" t="s">
        <v>2596</v>
      </c>
      <c r="E381" s="22" t="str">
        <f>CONCATENATE(B381,D381)</f>
        <v>71462399-SP107-36IN</v>
      </c>
      <c r="F381" s="22" t="s">
        <v>2597</v>
      </c>
      <c r="G381" s="22" t="s">
        <v>23</v>
      </c>
      <c r="H381" s="23">
        <v>84.996799999999993</v>
      </c>
      <c r="I381" s="24">
        <v>1</v>
      </c>
      <c r="J381" s="24">
        <v>0</v>
      </c>
      <c r="K381" s="24">
        <v>0</v>
      </c>
      <c r="L381" s="41">
        <f>Table2[[#This Row],[Column1]]+Table2[[#This Row],[Column2]]</f>
        <v>0</v>
      </c>
      <c r="M381" s="42">
        <f>Table2[[#This Row],[OnHandQty]]-Table2[[#This Row],[Projection Nov/Dec]]</f>
        <v>1</v>
      </c>
      <c r="N381" s="35">
        <f>Table2[[#This Row],[OverStock]]*Table2[[#This Row],[RepCost]]</f>
        <v>84.996799999999993</v>
      </c>
      <c r="O381" s="25">
        <v>46098.381249999999</v>
      </c>
      <c r="P381" s="26" t="s">
        <v>885</v>
      </c>
    </row>
    <row r="382" spans="1:16" x14ac:dyDescent="0.25">
      <c r="A382" s="20" t="s">
        <v>5211</v>
      </c>
      <c r="B382" s="21">
        <v>714</v>
      </c>
      <c r="C382" s="22" t="s">
        <v>143</v>
      </c>
      <c r="D382" s="22" t="s">
        <v>2786</v>
      </c>
      <c r="E382" s="22" t="str">
        <f>CONCATENATE(B382,D382)</f>
        <v>71462399-SP115-42IN</v>
      </c>
      <c r="F382" s="22" t="s">
        <v>2787</v>
      </c>
      <c r="G382" s="22" t="s">
        <v>29</v>
      </c>
      <c r="H382" s="23">
        <v>171.06809999999999</v>
      </c>
      <c r="I382" s="24">
        <v>2</v>
      </c>
      <c r="J382" s="24">
        <v>0</v>
      </c>
      <c r="K382" s="24">
        <v>0</v>
      </c>
      <c r="L382" s="41">
        <f>Table2[[#This Row],[Column1]]+Table2[[#This Row],[Column2]]</f>
        <v>0</v>
      </c>
      <c r="M382" s="42">
        <f>Table2[[#This Row],[OnHandQty]]-Table2[[#This Row],[Projection Nov/Dec]]</f>
        <v>2</v>
      </c>
      <c r="N382" s="35">
        <f>Table2[[#This Row],[OverStock]]*Table2[[#This Row],[RepCost]]</f>
        <v>342.13619999999997</v>
      </c>
      <c r="O382" s="25">
        <v>45406.614583333336</v>
      </c>
      <c r="P382" s="26" t="s">
        <v>137</v>
      </c>
    </row>
    <row r="383" spans="1:16" x14ac:dyDescent="0.25">
      <c r="A383" s="20" t="s">
        <v>5211</v>
      </c>
      <c r="B383" s="21">
        <v>718</v>
      </c>
      <c r="C383" s="22" t="s">
        <v>143</v>
      </c>
      <c r="D383" s="22" t="s">
        <v>2786</v>
      </c>
      <c r="E383" s="22" t="str">
        <f>CONCATENATE(B383,D383)</f>
        <v>71862399-SP115-42IN</v>
      </c>
      <c r="F383" s="22" t="s">
        <v>2787</v>
      </c>
      <c r="G383" s="22" t="s">
        <v>19</v>
      </c>
      <c r="H383" s="23">
        <v>177.9331</v>
      </c>
      <c r="I383" s="24">
        <v>2</v>
      </c>
      <c r="J383" s="24">
        <v>0</v>
      </c>
      <c r="K383" s="24">
        <v>0</v>
      </c>
      <c r="L383" s="41">
        <f>Table2[[#This Row],[Column1]]+Table2[[#This Row],[Column2]]</f>
        <v>0</v>
      </c>
      <c r="M383" s="42">
        <f>Table2[[#This Row],[OnHandQty]]-Table2[[#This Row],[Projection Nov/Dec]]</f>
        <v>2</v>
      </c>
      <c r="N383" s="35">
        <f>Table2[[#This Row],[OverStock]]*Table2[[#This Row],[RepCost]]</f>
        <v>355.86619999999999</v>
      </c>
      <c r="O383" s="25">
        <v>45747.695138888892</v>
      </c>
      <c r="P383" s="26" t="s">
        <v>137</v>
      </c>
    </row>
    <row r="384" spans="1:16" x14ac:dyDescent="0.25">
      <c r="A384" s="20" t="s">
        <v>5211</v>
      </c>
      <c r="B384" s="21">
        <v>714</v>
      </c>
      <c r="C384" s="22" t="s">
        <v>143</v>
      </c>
      <c r="D384" s="22" t="s">
        <v>2371</v>
      </c>
      <c r="E384" s="22" t="str">
        <f>CONCATENATE(B384,D384)</f>
        <v>71462399-SP107</v>
      </c>
      <c r="F384" s="27" t="s">
        <v>2372</v>
      </c>
      <c r="G384" s="27" t="s">
        <v>58</v>
      </c>
      <c r="H384" s="23">
        <v>116.77500000000001</v>
      </c>
      <c r="I384" s="24">
        <v>1</v>
      </c>
      <c r="J384" s="24">
        <v>0</v>
      </c>
      <c r="K384" s="24">
        <v>0</v>
      </c>
      <c r="L384" s="41">
        <f>Table2[[#This Row],[Column1]]+Table2[[#This Row],[Column2]]</f>
        <v>0</v>
      </c>
      <c r="M384" s="42">
        <f>Table2[[#This Row],[OnHandQty]]-Table2[[#This Row],[Projection Nov/Dec]]</f>
        <v>1</v>
      </c>
      <c r="N384" s="35">
        <f>Table2[[#This Row],[OverStock]]*Table2[[#This Row],[RepCost]]</f>
        <v>116.77500000000001</v>
      </c>
      <c r="O384" s="25">
        <v>44649.951388888891</v>
      </c>
      <c r="P384" s="26" t="s">
        <v>885</v>
      </c>
    </row>
    <row r="385" spans="1:16" x14ac:dyDescent="0.25">
      <c r="A385" s="20" t="s">
        <v>5211</v>
      </c>
      <c r="B385" s="21">
        <v>714</v>
      </c>
      <c r="C385" s="22" t="s">
        <v>143</v>
      </c>
      <c r="D385" s="22" t="s">
        <v>2549</v>
      </c>
      <c r="E385" s="22" t="str">
        <f>CONCATENATE(B385,D385)</f>
        <v>71462399-STD218</v>
      </c>
      <c r="F385" s="22" t="s">
        <v>2550</v>
      </c>
      <c r="G385" s="22" t="s">
        <v>23</v>
      </c>
      <c r="H385" s="23">
        <v>126.64149999999999</v>
      </c>
      <c r="I385" s="24">
        <v>2</v>
      </c>
      <c r="J385" s="24">
        <v>0</v>
      </c>
      <c r="K385" s="24">
        <v>0</v>
      </c>
      <c r="L385" s="41">
        <f>Table2[[#This Row],[Column1]]+Table2[[#This Row],[Column2]]</f>
        <v>0</v>
      </c>
      <c r="M385" s="42">
        <f>Table2[[#This Row],[OnHandQty]]-Table2[[#This Row],[Projection Nov/Dec]]</f>
        <v>2</v>
      </c>
      <c r="N385" s="35">
        <f>Table2[[#This Row],[OverStock]]*Table2[[#This Row],[RepCost]]</f>
        <v>253.28299999999999</v>
      </c>
      <c r="O385" s="25">
        <v>46119.573611111111</v>
      </c>
      <c r="P385" s="26" t="s">
        <v>137</v>
      </c>
    </row>
    <row r="386" spans="1:16" x14ac:dyDescent="0.25">
      <c r="A386" s="20" t="s">
        <v>5211</v>
      </c>
      <c r="B386" s="21">
        <v>718</v>
      </c>
      <c r="C386" s="22" t="s">
        <v>143</v>
      </c>
      <c r="D386" s="22" t="s">
        <v>3715</v>
      </c>
      <c r="E386" s="22" t="str">
        <f>CONCATENATE(B386,D386)</f>
        <v>71862400-242</v>
      </c>
      <c r="F386" s="22" t="s">
        <v>3716</v>
      </c>
      <c r="G386" s="22" t="s">
        <v>29</v>
      </c>
      <c r="H386" s="23">
        <v>224.9614</v>
      </c>
      <c r="I386" s="24">
        <v>21</v>
      </c>
      <c r="J386" s="24">
        <v>0</v>
      </c>
      <c r="K386" s="24">
        <v>0</v>
      </c>
      <c r="L386" s="41">
        <f>Table2[[#This Row],[Column1]]+Table2[[#This Row],[Column2]]</f>
        <v>0</v>
      </c>
      <c r="M386" s="42">
        <f>Table2[[#This Row],[OnHandQty]]-Table2[[#This Row],[Projection Nov/Dec]]</f>
        <v>21</v>
      </c>
      <c r="N386" s="35">
        <f>Table2[[#This Row],[OverStock]]*Table2[[#This Row],[RepCost]]</f>
        <v>4724.1894000000002</v>
      </c>
      <c r="O386" s="25">
        <v>46199.320833333331</v>
      </c>
      <c r="P386" s="26" t="s">
        <v>216</v>
      </c>
    </row>
    <row r="387" spans="1:16" x14ac:dyDescent="0.25">
      <c r="A387" s="20" t="s">
        <v>5211</v>
      </c>
      <c r="B387" s="21">
        <v>714</v>
      </c>
      <c r="C387" s="22" t="s">
        <v>143</v>
      </c>
      <c r="D387" s="22" t="s">
        <v>2746</v>
      </c>
      <c r="E387" s="22" t="str">
        <f>CONCATENATE(B387,D387)</f>
        <v>71462400-106</v>
      </c>
      <c r="F387" s="22" t="s">
        <v>2747</v>
      </c>
      <c r="G387" s="22" t="s">
        <v>43</v>
      </c>
      <c r="H387" s="23">
        <v>31.099799999999998</v>
      </c>
      <c r="I387" s="24">
        <v>19</v>
      </c>
      <c r="J387" s="24">
        <v>0</v>
      </c>
      <c r="K387" s="24">
        <v>0</v>
      </c>
      <c r="L387" s="41">
        <f>Table2[[#This Row],[Column1]]+Table2[[#This Row],[Column2]]</f>
        <v>0</v>
      </c>
      <c r="M387" s="42">
        <f>Table2[[#This Row],[OnHandQty]]-Table2[[#This Row],[Projection Nov/Dec]]</f>
        <v>19</v>
      </c>
      <c r="N387" s="35">
        <f>Table2[[#This Row],[OverStock]]*Table2[[#This Row],[RepCost]]</f>
        <v>590.89620000000002</v>
      </c>
      <c r="O387" s="25">
        <v>46154.45416666667</v>
      </c>
      <c r="P387" s="26" t="s">
        <v>310</v>
      </c>
    </row>
    <row r="388" spans="1:16" x14ac:dyDescent="0.25">
      <c r="A388" s="20" t="s">
        <v>5211</v>
      </c>
      <c r="B388" s="21">
        <v>714</v>
      </c>
      <c r="C388" s="22" t="s">
        <v>12</v>
      </c>
      <c r="D388" s="22" t="s">
        <v>1832</v>
      </c>
      <c r="E388" s="22" t="str">
        <f>CONCATENATE(B388,D388)</f>
        <v>71479721-101</v>
      </c>
      <c r="F388" s="22" t="s">
        <v>1833</v>
      </c>
      <c r="G388" s="22" t="s">
        <v>39</v>
      </c>
      <c r="H388" s="23">
        <v>6.5460000000000003</v>
      </c>
      <c r="I388" s="24">
        <v>13</v>
      </c>
      <c r="J388" s="24">
        <v>0</v>
      </c>
      <c r="K388" s="24">
        <v>0</v>
      </c>
      <c r="L388" s="41">
        <f>Table2[[#This Row],[Column1]]+Table2[[#This Row],[Column2]]</f>
        <v>0</v>
      </c>
      <c r="M388" s="42">
        <f>Table2[[#This Row],[OnHandQty]]-Table2[[#This Row],[Projection Nov/Dec]]</f>
        <v>13</v>
      </c>
      <c r="N388" s="35">
        <f>Table2[[#This Row],[OverStock]]*Table2[[#This Row],[RepCost]]</f>
        <v>85.097999999999999</v>
      </c>
      <c r="O388" s="25">
        <v>46130.406944444447</v>
      </c>
      <c r="P388" s="26" t="s">
        <v>16</v>
      </c>
    </row>
    <row r="389" spans="1:16" x14ac:dyDescent="0.25">
      <c r="A389" s="20" t="s">
        <v>5211</v>
      </c>
      <c r="B389" s="21">
        <v>636</v>
      </c>
      <c r="C389" s="22" t="s">
        <v>12</v>
      </c>
      <c r="D389" s="22" t="s">
        <v>548</v>
      </c>
      <c r="E389" s="22" t="str">
        <f>CONCATENATE(B389,D389)</f>
        <v>63693362-103</v>
      </c>
      <c r="F389" s="22" t="s">
        <v>549</v>
      </c>
      <c r="G389" s="22" t="s">
        <v>29</v>
      </c>
      <c r="H389" s="23">
        <v>13.8108</v>
      </c>
      <c r="I389" s="24">
        <v>4</v>
      </c>
      <c r="J389" s="24">
        <v>0</v>
      </c>
      <c r="K389" s="24">
        <v>0</v>
      </c>
      <c r="L389" s="41">
        <f>Table2[[#This Row],[Column1]]+Table2[[#This Row],[Column2]]</f>
        <v>0</v>
      </c>
      <c r="M389" s="42">
        <f>Table2[[#This Row],[OnHandQty]]-Table2[[#This Row],[Projection Nov/Dec]]</f>
        <v>4</v>
      </c>
      <c r="N389" s="35">
        <f>Table2[[#This Row],[OverStock]]*Table2[[#This Row],[RepCost]]</f>
        <v>55.243200000000002</v>
      </c>
      <c r="O389" s="25">
        <v>46191.495833333334</v>
      </c>
      <c r="P389" s="26" t="s">
        <v>522</v>
      </c>
    </row>
    <row r="390" spans="1:16" x14ac:dyDescent="0.25">
      <c r="A390" s="20" t="s">
        <v>5211</v>
      </c>
      <c r="B390" s="21">
        <v>636</v>
      </c>
      <c r="C390" s="22" t="s">
        <v>70</v>
      </c>
      <c r="D390" s="22" t="s">
        <v>663</v>
      </c>
      <c r="E390" s="22" t="str">
        <f>CONCATENATE(B390,D390)</f>
        <v>63662459-102</v>
      </c>
      <c r="F390" s="22" t="s">
        <v>664</v>
      </c>
      <c r="G390" s="22" t="s">
        <v>29</v>
      </c>
      <c r="H390" s="23">
        <v>8.1731999999999996</v>
      </c>
      <c r="I390" s="24">
        <v>2</v>
      </c>
      <c r="J390" s="24">
        <v>0</v>
      </c>
      <c r="K390" s="24">
        <v>0</v>
      </c>
      <c r="L390" s="41">
        <f>Table2[[#This Row],[Column1]]+Table2[[#This Row],[Column2]]</f>
        <v>0</v>
      </c>
      <c r="M390" s="42">
        <f>Table2[[#This Row],[OnHandQty]]-Table2[[#This Row],[Projection Nov/Dec]]</f>
        <v>2</v>
      </c>
      <c r="N390" s="35">
        <f>Table2[[#This Row],[OverStock]]*Table2[[#This Row],[RepCost]]</f>
        <v>16.346399999999999</v>
      </c>
      <c r="O390" s="25">
        <v>46156.416666666664</v>
      </c>
      <c r="P390" s="26" t="s">
        <v>665</v>
      </c>
    </row>
    <row r="391" spans="1:16" x14ac:dyDescent="0.25">
      <c r="A391" s="20" t="s">
        <v>5211</v>
      </c>
      <c r="B391" s="21">
        <v>714</v>
      </c>
      <c r="C391" s="22" t="s">
        <v>143</v>
      </c>
      <c r="D391" s="22" t="s">
        <v>2703</v>
      </c>
      <c r="E391" s="22" t="str">
        <f>CONCATENATE(B391,D391)</f>
        <v>71462521-103</v>
      </c>
      <c r="F391" s="22" t="s">
        <v>2704</v>
      </c>
      <c r="G391" s="22" t="s">
        <v>39</v>
      </c>
      <c r="H391" s="23">
        <v>20.915099999999999</v>
      </c>
      <c r="I391" s="24">
        <v>11</v>
      </c>
      <c r="J391" s="24">
        <v>0</v>
      </c>
      <c r="K391" s="24">
        <v>0</v>
      </c>
      <c r="L391" s="41">
        <f>Table2[[#This Row],[Column1]]+Table2[[#This Row],[Column2]]</f>
        <v>0</v>
      </c>
      <c r="M391" s="42">
        <f>Table2[[#This Row],[OnHandQty]]-Table2[[#This Row],[Projection Nov/Dec]]</f>
        <v>11</v>
      </c>
      <c r="N391" s="35">
        <f>Table2[[#This Row],[OverStock]]*Table2[[#This Row],[RepCost]]</f>
        <v>230.06609999999998</v>
      </c>
      <c r="O391" s="25">
        <v>46140.479166666664</v>
      </c>
      <c r="P391" s="26" t="s">
        <v>1841</v>
      </c>
    </row>
    <row r="392" spans="1:16" x14ac:dyDescent="0.25">
      <c r="A392" s="20" t="s">
        <v>5211</v>
      </c>
      <c r="B392" s="21">
        <v>714</v>
      </c>
      <c r="C392" s="22" t="s">
        <v>323</v>
      </c>
      <c r="D392" s="22" t="s">
        <v>3041</v>
      </c>
      <c r="E392" s="22" t="str">
        <f>CONCATENATE(B392,D392)</f>
        <v>71478155-306</v>
      </c>
      <c r="F392" s="22" t="s">
        <v>3042</v>
      </c>
      <c r="G392" s="22" t="s">
        <v>29</v>
      </c>
      <c r="H392" s="23">
        <v>133.2397</v>
      </c>
      <c r="I392" s="24">
        <v>1</v>
      </c>
      <c r="J392" s="24">
        <v>0</v>
      </c>
      <c r="K392" s="24">
        <v>0</v>
      </c>
      <c r="L392" s="41">
        <f>Table2[[#This Row],[Column1]]+Table2[[#This Row],[Column2]]</f>
        <v>0</v>
      </c>
      <c r="M392" s="42">
        <f>Table2[[#This Row],[OnHandQty]]-Table2[[#This Row],[Projection Nov/Dec]]</f>
        <v>1</v>
      </c>
      <c r="N392" s="35">
        <f>Table2[[#This Row],[OverStock]]*Table2[[#This Row],[RepCost]]</f>
        <v>133.2397</v>
      </c>
      <c r="O392" s="25">
        <v>46086.355555555558</v>
      </c>
      <c r="P392" s="26" t="s">
        <v>2271</v>
      </c>
    </row>
    <row r="393" spans="1:16" x14ac:dyDescent="0.25">
      <c r="A393" s="20" t="s">
        <v>5211</v>
      </c>
      <c r="B393" s="21">
        <v>718</v>
      </c>
      <c r="C393" s="22" t="s">
        <v>323</v>
      </c>
      <c r="D393" s="22" t="s">
        <v>3845</v>
      </c>
      <c r="E393" s="22" t="str">
        <f>CONCATENATE(B393,D393)</f>
        <v>71878155-106</v>
      </c>
      <c r="F393" s="22" t="s">
        <v>3846</v>
      </c>
      <c r="G393" s="22" t="s">
        <v>29</v>
      </c>
      <c r="H393" s="23">
        <v>93.764499999999998</v>
      </c>
      <c r="I393" s="24">
        <v>2</v>
      </c>
      <c r="J393" s="24">
        <v>0</v>
      </c>
      <c r="K393" s="24">
        <v>0</v>
      </c>
      <c r="L393" s="41">
        <f>Table2[[#This Row],[Column1]]+Table2[[#This Row],[Column2]]</f>
        <v>0</v>
      </c>
      <c r="M393" s="42">
        <f>Table2[[#This Row],[OnHandQty]]-Table2[[#This Row],[Projection Nov/Dec]]</f>
        <v>2</v>
      </c>
      <c r="N393" s="35">
        <f>Table2[[#This Row],[OverStock]]*Table2[[#This Row],[RepCost]]</f>
        <v>187.529</v>
      </c>
      <c r="O393" s="25">
        <v>45747.67291666667</v>
      </c>
      <c r="P393" s="26" t="s">
        <v>2358</v>
      </c>
    </row>
    <row r="394" spans="1:16" x14ac:dyDescent="0.25">
      <c r="A394" s="20" t="s">
        <v>5211</v>
      </c>
      <c r="B394" s="21">
        <v>636</v>
      </c>
      <c r="C394" s="22" t="s">
        <v>323</v>
      </c>
      <c r="D394" s="22" t="s">
        <v>1261</v>
      </c>
      <c r="E394" s="22" t="str">
        <f>CONCATENATE(B394,D394)</f>
        <v>63674570-115</v>
      </c>
      <c r="F394" s="22" t="s">
        <v>1262</v>
      </c>
      <c r="G394" s="22" t="s">
        <v>29</v>
      </c>
      <c r="H394" s="23">
        <v>226.76609999999999</v>
      </c>
      <c r="I394" s="24">
        <v>2</v>
      </c>
      <c r="J394" s="24">
        <v>0</v>
      </c>
      <c r="K394" s="24">
        <v>0</v>
      </c>
      <c r="L394" s="41">
        <f>Table2[[#This Row],[Column1]]+Table2[[#This Row],[Column2]]</f>
        <v>0</v>
      </c>
      <c r="M394" s="42">
        <f>Table2[[#This Row],[OnHandQty]]-Table2[[#This Row],[Projection Nov/Dec]]</f>
        <v>2</v>
      </c>
      <c r="N394" s="35">
        <f>Table2[[#This Row],[OverStock]]*Table2[[#This Row],[RepCost]]</f>
        <v>453.53219999999999</v>
      </c>
      <c r="O394" s="25">
        <v>46140.29583333333</v>
      </c>
      <c r="P394" s="26" t="s">
        <v>501</v>
      </c>
    </row>
    <row r="395" spans="1:16" x14ac:dyDescent="0.25">
      <c r="A395" s="20" t="s">
        <v>5211</v>
      </c>
      <c r="B395" s="21">
        <v>714</v>
      </c>
      <c r="C395" s="22" t="s">
        <v>323</v>
      </c>
      <c r="D395" s="22" t="s">
        <v>3176</v>
      </c>
      <c r="E395" s="22" t="str">
        <f>CONCATENATE(B395,D395)</f>
        <v>71463174-110</v>
      </c>
      <c r="F395" s="27" t="s">
        <v>3177</v>
      </c>
      <c r="G395" s="27" t="s">
        <v>58</v>
      </c>
      <c r="H395" s="23">
        <v>133.9503</v>
      </c>
      <c r="I395" s="24">
        <v>1</v>
      </c>
      <c r="J395" s="24">
        <v>0</v>
      </c>
      <c r="K395" s="24">
        <v>0</v>
      </c>
      <c r="L395" s="41">
        <f>Table2[[#This Row],[Column1]]+Table2[[#This Row],[Column2]]</f>
        <v>0</v>
      </c>
      <c r="M395" s="42">
        <f>Table2[[#This Row],[OnHandQty]]-Table2[[#This Row],[Projection Nov/Dec]]</f>
        <v>1</v>
      </c>
      <c r="N395" s="35">
        <f>Table2[[#This Row],[OverStock]]*Table2[[#This Row],[RepCost]]</f>
        <v>133.9503</v>
      </c>
      <c r="O395" s="25">
        <v>46112.315972222219</v>
      </c>
      <c r="P395" s="26" t="s">
        <v>36</v>
      </c>
    </row>
    <row r="396" spans="1:16" x14ac:dyDescent="0.25">
      <c r="A396" s="20" t="s">
        <v>5211</v>
      </c>
      <c r="B396" s="21">
        <v>718</v>
      </c>
      <c r="C396" s="22" t="s">
        <v>323</v>
      </c>
      <c r="D396" s="22" t="s">
        <v>3933</v>
      </c>
      <c r="E396" s="22" t="str">
        <f>CONCATENATE(B396,D396)</f>
        <v>71863174-306</v>
      </c>
      <c r="F396" s="22" t="s">
        <v>3934</v>
      </c>
      <c r="G396" s="22" t="s">
        <v>29</v>
      </c>
      <c r="H396" s="23">
        <v>144.03149999999999</v>
      </c>
      <c r="I396" s="24">
        <v>7</v>
      </c>
      <c r="J396" s="24">
        <v>0</v>
      </c>
      <c r="K396" s="24">
        <v>0</v>
      </c>
      <c r="L396" s="41">
        <f>Table2[[#This Row],[Column1]]+Table2[[#This Row],[Column2]]</f>
        <v>0</v>
      </c>
      <c r="M396" s="42">
        <f>Table2[[#This Row],[OnHandQty]]-Table2[[#This Row],[Projection Nov/Dec]]</f>
        <v>7</v>
      </c>
      <c r="N396" s="35">
        <f>Table2[[#This Row],[OverStock]]*Table2[[#This Row],[RepCost]]</f>
        <v>1008.2204999999999</v>
      </c>
      <c r="O396" s="25">
        <v>46135.509027777778</v>
      </c>
      <c r="P396" s="26" t="s">
        <v>2423</v>
      </c>
    </row>
    <row r="397" spans="1:16" x14ac:dyDescent="0.25">
      <c r="A397" s="20" t="s">
        <v>5211</v>
      </c>
      <c r="B397" s="21">
        <v>714</v>
      </c>
      <c r="C397" s="22" t="s">
        <v>323</v>
      </c>
      <c r="D397" s="22" t="s">
        <v>2817</v>
      </c>
      <c r="E397" s="22" t="str">
        <f>CONCATENATE(B397,D397)</f>
        <v>71463174-307</v>
      </c>
      <c r="F397" s="22" t="s">
        <v>2818</v>
      </c>
      <c r="G397" s="22" t="s">
        <v>23</v>
      </c>
      <c r="H397" s="23">
        <v>186.1028</v>
      </c>
      <c r="I397" s="24">
        <v>11</v>
      </c>
      <c r="J397" s="24">
        <v>0</v>
      </c>
      <c r="K397" s="24">
        <v>0</v>
      </c>
      <c r="L397" s="41">
        <f>Table2[[#This Row],[Column1]]+Table2[[#This Row],[Column2]]</f>
        <v>0</v>
      </c>
      <c r="M397" s="42">
        <f>Table2[[#This Row],[OnHandQty]]-Table2[[#This Row],[Projection Nov/Dec]]</f>
        <v>11</v>
      </c>
      <c r="N397" s="35">
        <f>Table2[[#This Row],[OverStock]]*Table2[[#This Row],[RepCost]]</f>
        <v>2047.1307999999999</v>
      </c>
      <c r="O397" s="25">
        <v>46118.304861111108</v>
      </c>
      <c r="P397" s="26" t="s">
        <v>2423</v>
      </c>
    </row>
    <row r="398" spans="1:16" x14ac:dyDescent="0.25">
      <c r="A398" s="20" t="s">
        <v>5211</v>
      </c>
      <c r="B398" s="21">
        <v>718</v>
      </c>
      <c r="C398" s="22" t="s">
        <v>323</v>
      </c>
      <c r="D398" s="22" t="s">
        <v>3849</v>
      </c>
      <c r="E398" s="22" t="str">
        <f>CONCATENATE(B398,D398)</f>
        <v>71863174-308</v>
      </c>
      <c r="F398" s="22" t="s">
        <v>3850</v>
      </c>
      <c r="G398" s="22" t="s">
        <v>23</v>
      </c>
      <c r="H398" s="23">
        <v>211.30860000000001</v>
      </c>
      <c r="I398" s="24">
        <v>1</v>
      </c>
      <c r="J398" s="24">
        <v>0</v>
      </c>
      <c r="K398" s="24">
        <v>0</v>
      </c>
      <c r="L398" s="41">
        <f>Table2[[#This Row],[Column1]]+Table2[[#This Row],[Column2]]</f>
        <v>0</v>
      </c>
      <c r="M398" s="42">
        <f>Table2[[#This Row],[OnHandQty]]-Table2[[#This Row],[Projection Nov/Dec]]</f>
        <v>1</v>
      </c>
      <c r="N398" s="35">
        <f>Table2[[#This Row],[OverStock]]*Table2[[#This Row],[RepCost]]</f>
        <v>211.30860000000001</v>
      </c>
      <c r="O398" s="25">
        <v>46118.523611111108</v>
      </c>
      <c r="P398" s="26" t="s">
        <v>137</v>
      </c>
    </row>
    <row r="399" spans="1:16" x14ac:dyDescent="0.25">
      <c r="A399" s="20" t="s">
        <v>5211</v>
      </c>
      <c r="B399" s="21">
        <v>636</v>
      </c>
      <c r="C399" s="22" t="s">
        <v>143</v>
      </c>
      <c r="D399" s="22" t="s">
        <v>1202</v>
      </c>
      <c r="E399" s="22" t="str">
        <f>CONCATENATE(B399,D399)</f>
        <v>63678850-101</v>
      </c>
      <c r="F399" s="22" t="s">
        <v>1203</v>
      </c>
      <c r="G399" s="22" t="s">
        <v>29</v>
      </c>
      <c r="H399" s="23">
        <v>9.7476000000000003</v>
      </c>
      <c r="I399" s="24">
        <v>5</v>
      </c>
      <c r="J399" s="24">
        <v>0</v>
      </c>
      <c r="K399" s="24">
        <v>0</v>
      </c>
      <c r="L399" s="41">
        <f>Table2[[#This Row],[Column1]]+Table2[[#This Row],[Column2]]</f>
        <v>0</v>
      </c>
      <c r="M399" s="42">
        <f>Table2[[#This Row],[OnHandQty]]-Table2[[#This Row],[Projection Nov/Dec]]</f>
        <v>5</v>
      </c>
      <c r="N399" s="35">
        <f>Table2[[#This Row],[OverStock]]*Table2[[#This Row],[RepCost]]</f>
        <v>48.738</v>
      </c>
      <c r="O399" s="25">
        <v>46171.597222222219</v>
      </c>
      <c r="P399" s="26" t="s">
        <v>40</v>
      </c>
    </row>
    <row r="400" spans="1:16" x14ac:dyDescent="0.25">
      <c r="A400" s="20" t="s">
        <v>5211</v>
      </c>
      <c r="B400" s="21">
        <v>714</v>
      </c>
      <c r="C400" s="22" t="s">
        <v>143</v>
      </c>
      <c r="D400" s="22" t="s">
        <v>2211</v>
      </c>
      <c r="E400" s="22" t="str">
        <f>CONCATENATE(B400,D400)</f>
        <v>71462617-105</v>
      </c>
      <c r="F400" s="22" t="s">
        <v>2212</v>
      </c>
      <c r="G400" s="22" t="s">
        <v>112</v>
      </c>
      <c r="H400" s="23">
        <v>39.433199999999999</v>
      </c>
      <c r="I400" s="24">
        <v>22</v>
      </c>
      <c r="J400" s="24">
        <v>3</v>
      </c>
      <c r="K400" s="24">
        <v>1</v>
      </c>
      <c r="L400" s="41">
        <f>Table2[[#This Row],[Column1]]+Table2[[#This Row],[Column2]]</f>
        <v>4</v>
      </c>
      <c r="M400" s="42">
        <f>Table2[[#This Row],[OnHandQty]]-Table2[[#This Row],[Projection Nov/Dec]]</f>
        <v>18</v>
      </c>
      <c r="N400" s="35">
        <f>Table2[[#This Row],[OverStock]]*Table2[[#This Row],[RepCost]]</f>
        <v>709.79759999999999</v>
      </c>
      <c r="O400" s="25">
        <v>46189.522222222222</v>
      </c>
      <c r="P400" s="26" t="s">
        <v>2066</v>
      </c>
    </row>
    <row r="401" spans="1:16" x14ac:dyDescent="0.25">
      <c r="A401" s="20" t="s">
        <v>5211</v>
      </c>
      <c r="B401" s="21">
        <v>714</v>
      </c>
      <c r="C401" s="22" t="s">
        <v>12</v>
      </c>
      <c r="D401" s="22" t="s">
        <v>1871</v>
      </c>
      <c r="E401" s="22" t="str">
        <f>CONCATENATE(B401,D401)</f>
        <v>71476229-STK105</v>
      </c>
      <c r="F401" s="22" t="s">
        <v>1872</v>
      </c>
      <c r="G401" s="22" t="s">
        <v>29</v>
      </c>
      <c r="H401" s="23">
        <v>46.295299999999997</v>
      </c>
      <c r="I401" s="24">
        <v>5</v>
      </c>
      <c r="J401" s="24">
        <v>0</v>
      </c>
      <c r="K401" s="24">
        <v>0</v>
      </c>
      <c r="L401" s="41">
        <f>Table2[[#This Row],[Column1]]+Table2[[#This Row],[Column2]]</f>
        <v>0</v>
      </c>
      <c r="M401" s="42">
        <f>Table2[[#This Row],[OnHandQty]]-Table2[[#This Row],[Projection Nov/Dec]]</f>
        <v>5</v>
      </c>
      <c r="N401" s="35">
        <f>Table2[[#This Row],[OverStock]]*Table2[[#This Row],[RepCost]]</f>
        <v>231.47649999999999</v>
      </c>
      <c r="O401" s="25">
        <v>46126.649305555555</v>
      </c>
      <c r="P401" s="26" t="s">
        <v>67</v>
      </c>
    </row>
    <row r="402" spans="1:16" x14ac:dyDescent="0.25">
      <c r="A402" s="20" t="s">
        <v>5211</v>
      </c>
      <c r="B402" s="21">
        <v>718</v>
      </c>
      <c r="C402" s="22" t="s">
        <v>12</v>
      </c>
      <c r="D402" s="22" t="s">
        <v>1871</v>
      </c>
      <c r="E402" s="22" t="str">
        <f>CONCATENATE(B402,D402)</f>
        <v>71876229-STK105</v>
      </c>
      <c r="F402" s="22" t="s">
        <v>1872</v>
      </c>
      <c r="G402" s="22" t="s">
        <v>39</v>
      </c>
      <c r="H402" s="23">
        <v>46.143900000000002</v>
      </c>
      <c r="I402" s="24">
        <v>1</v>
      </c>
      <c r="J402" s="24">
        <v>0</v>
      </c>
      <c r="K402" s="24">
        <v>0</v>
      </c>
      <c r="L402" s="41">
        <f>Table2[[#This Row],[Column1]]+Table2[[#This Row],[Column2]]</f>
        <v>0</v>
      </c>
      <c r="M402" s="42">
        <f>Table2[[#This Row],[OnHandQty]]-Table2[[#This Row],[Projection Nov/Dec]]</f>
        <v>1</v>
      </c>
      <c r="N402" s="35">
        <f>Table2[[#This Row],[OverStock]]*Table2[[#This Row],[RepCost]]</f>
        <v>46.143900000000002</v>
      </c>
      <c r="O402" s="25">
        <v>46181.580555555556</v>
      </c>
      <c r="P402" s="26" t="s">
        <v>67</v>
      </c>
    </row>
    <row r="403" spans="1:16" x14ac:dyDescent="0.25">
      <c r="A403" s="20" t="s">
        <v>5211</v>
      </c>
      <c r="B403" s="21">
        <v>714</v>
      </c>
      <c r="C403" s="22" t="s">
        <v>12</v>
      </c>
      <c r="D403" s="22" t="s">
        <v>1922</v>
      </c>
      <c r="E403" s="22" t="str">
        <f>CONCATENATE(B403,D403)</f>
        <v>71476229-STK102</v>
      </c>
      <c r="F403" s="22" t="s">
        <v>1923</v>
      </c>
      <c r="G403" s="22" t="s">
        <v>35</v>
      </c>
      <c r="H403" s="23">
        <v>25.916899999999998</v>
      </c>
      <c r="I403" s="24">
        <v>2</v>
      </c>
      <c r="J403" s="24">
        <v>0</v>
      </c>
      <c r="K403" s="24">
        <v>0</v>
      </c>
      <c r="L403" s="41">
        <f>Table2[[#This Row],[Column1]]+Table2[[#This Row],[Column2]]</f>
        <v>0</v>
      </c>
      <c r="M403" s="42">
        <f>Table2[[#This Row],[OnHandQty]]-Table2[[#This Row],[Projection Nov/Dec]]</f>
        <v>2</v>
      </c>
      <c r="N403" s="35">
        <f>Table2[[#This Row],[OverStock]]*Table2[[#This Row],[RepCost]]</f>
        <v>51.833799999999997</v>
      </c>
      <c r="O403" s="25">
        <v>45435.474999999999</v>
      </c>
      <c r="P403" s="26" t="s">
        <v>67</v>
      </c>
    </row>
    <row r="404" spans="1:16" x14ac:dyDescent="0.25">
      <c r="A404" s="20" t="s">
        <v>5211</v>
      </c>
      <c r="B404" s="21">
        <v>718</v>
      </c>
      <c r="C404" s="22" t="s">
        <v>12</v>
      </c>
      <c r="D404" s="22" t="s">
        <v>1922</v>
      </c>
      <c r="E404" s="22" t="str">
        <f>CONCATENATE(B404,D404)</f>
        <v>71876229-STK102</v>
      </c>
      <c r="F404" s="22" t="s">
        <v>1923</v>
      </c>
      <c r="G404" s="22" t="s">
        <v>29</v>
      </c>
      <c r="H404" s="23">
        <v>25.040299999999998</v>
      </c>
      <c r="I404" s="24">
        <v>1</v>
      </c>
      <c r="J404" s="24">
        <v>0</v>
      </c>
      <c r="K404" s="24">
        <v>0</v>
      </c>
      <c r="L404" s="41">
        <f>Table2[[#This Row],[Column1]]+Table2[[#This Row],[Column2]]</f>
        <v>0</v>
      </c>
      <c r="M404" s="42">
        <f>Table2[[#This Row],[OnHandQty]]-Table2[[#This Row],[Projection Nov/Dec]]</f>
        <v>1</v>
      </c>
      <c r="N404" s="35">
        <f>Table2[[#This Row],[OverStock]]*Table2[[#This Row],[RepCost]]</f>
        <v>25.040299999999998</v>
      </c>
      <c r="O404" s="25">
        <v>46163.543055555558</v>
      </c>
      <c r="P404" s="26" t="s">
        <v>1062</v>
      </c>
    </row>
    <row r="405" spans="1:16" x14ac:dyDescent="0.25">
      <c r="A405" s="20" t="s">
        <v>5211</v>
      </c>
      <c r="B405" s="21">
        <v>714</v>
      </c>
      <c r="C405" s="22" t="s">
        <v>12</v>
      </c>
      <c r="D405" s="22" t="s">
        <v>1886</v>
      </c>
      <c r="E405" s="22" t="str">
        <f>CONCATENATE(B405,D405)</f>
        <v>71475471-103</v>
      </c>
      <c r="F405" s="27" t="s">
        <v>1887</v>
      </c>
      <c r="G405" s="27" t="s">
        <v>58</v>
      </c>
      <c r="H405" s="23">
        <v>15.6762</v>
      </c>
      <c r="I405" s="24">
        <v>4</v>
      </c>
      <c r="J405" s="24">
        <v>0</v>
      </c>
      <c r="K405" s="24">
        <v>0</v>
      </c>
      <c r="L405" s="41">
        <f>Table2[[#This Row],[Column1]]+Table2[[#This Row],[Column2]]</f>
        <v>0</v>
      </c>
      <c r="M405" s="42">
        <f>Table2[[#This Row],[OnHandQty]]-Table2[[#This Row],[Projection Nov/Dec]]</f>
        <v>4</v>
      </c>
      <c r="N405" s="35">
        <f>Table2[[#This Row],[OverStock]]*Table2[[#This Row],[RepCost]]</f>
        <v>62.704799999999999</v>
      </c>
      <c r="O405" s="25">
        <v>45426.642361111109</v>
      </c>
      <c r="P405" s="26" t="s">
        <v>64</v>
      </c>
    </row>
    <row r="406" spans="1:16" x14ac:dyDescent="0.25">
      <c r="A406" s="20" t="s">
        <v>5211</v>
      </c>
      <c r="B406" s="21">
        <v>714</v>
      </c>
      <c r="C406" s="22" t="s">
        <v>12</v>
      </c>
      <c r="D406" s="22" t="s">
        <v>1966</v>
      </c>
      <c r="E406" s="22" t="str">
        <f>CONCATENATE(B406,D406)</f>
        <v>71462707-103</v>
      </c>
      <c r="F406" s="27" t="s">
        <v>1967</v>
      </c>
      <c r="G406" s="27" t="s">
        <v>58</v>
      </c>
      <c r="H406" s="23">
        <v>19.949100000000001</v>
      </c>
      <c r="I406" s="24">
        <v>1</v>
      </c>
      <c r="J406" s="24">
        <v>0</v>
      </c>
      <c r="K406" s="24">
        <v>0</v>
      </c>
      <c r="L406" s="41">
        <f>Table2[[#This Row],[Column1]]+Table2[[#This Row],[Column2]]</f>
        <v>0</v>
      </c>
      <c r="M406" s="42">
        <f>Table2[[#This Row],[OnHandQty]]-Table2[[#This Row],[Projection Nov/Dec]]</f>
        <v>1</v>
      </c>
      <c r="N406" s="35">
        <f>Table2[[#This Row],[OverStock]]*Table2[[#This Row],[RepCost]]</f>
        <v>19.949100000000001</v>
      </c>
      <c r="O406" s="25">
        <v>45745.311805555553</v>
      </c>
      <c r="P406" s="26" t="s">
        <v>573</v>
      </c>
    </row>
    <row r="407" spans="1:16" x14ac:dyDescent="0.25">
      <c r="A407" s="20" t="s">
        <v>5211</v>
      </c>
      <c r="B407" s="21">
        <v>714</v>
      </c>
      <c r="C407" s="22" t="s">
        <v>12</v>
      </c>
      <c r="D407" s="22" t="s">
        <v>1933</v>
      </c>
      <c r="E407" s="22" t="str">
        <f>CONCATENATE(B407,D407)</f>
        <v>71462707-STK101</v>
      </c>
      <c r="F407" s="22" t="s">
        <v>1934</v>
      </c>
      <c r="G407" s="22" t="s">
        <v>35</v>
      </c>
      <c r="H407" s="23">
        <v>12.911799999999999</v>
      </c>
      <c r="I407" s="24">
        <v>1</v>
      </c>
      <c r="J407" s="24">
        <v>0</v>
      </c>
      <c r="K407" s="24">
        <v>0</v>
      </c>
      <c r="L407" s="41">
        <f>Table2[[#This Row],[Column1]]+Table2[[#This Row],[Column2]]</f>
        <v>0</v>
      </c>
      <c r="M407" s="42">
        <f>Table2[[#This Row],[OnHandQty]]-Table2[[#This Row],[Projection Nov/Dec]]</f>
        <v>1</v>
      </c>
      <c r="N407" s="35">
        <f>Table2[[#This Row],[OverStock]]*Table2[[#This Row],[RepCost]]</f>
        <v>12.911799999999999</v>
      </c>
      <c r="O407" s="25">
        <v>45435.474999999999</v>
      </c>
      <c r="P407" s="26" t="s">
        <v>67</v>
      </c>
    </row>
    <row r="408" spans="1:16" x14ac:dyDescent="0.25">
      <c r="A408" s="20" t="s">
        <v>5211</v>
      </c>
      <c r="B408" s="21">
        <v>714</v>
      </c>
      <c r="C408" s="22" t="s">
        <v>12</v>
      </c>
      <c r="D408" s="22" t="s">
        <v>1851</v>
      </c>
      <c r="E408" s="22" t="str">
        <f>CONCATENATE(B408,D408)</f>
        <v>71462707-STK105</v>
      </c>
      <c r="F408" s="22" t="s">
        <v>1852</v>
      </c>
      <c r="G408" s="22" t="s">
        <v>29</v>
      </c>
      <c r="H408" s="23">
        <v>46.860599999999998</v>
      </c>
      <c r="I408" s="24">
        <v>8</v>
      </c>
      <c r="J408" s="24">
        <v>0</v>
      </c>
      <c r="K408" s="24">
        <v>0</v>
      </c>
      <c r="L408" s="41">
        <f>Table2[[#This Row],[Column1]]+Table2[[#This Row],[Column2]]</f>
        <v>0</v>
      </c>
      <c r="M408" s="42">
        <f>Table2[[#This Row],[OnHandQty]]-Table2[[#This Row],[Projection Nov/Dec]]</f>
        <v>8</v>
      </c>
      <c r="N408" s="35">
        <f>Table2[[#This Row],[OverStock]]*Table2[[#This Row],[RepCost]]</f>
        <v>374.88479999999998</v>
      </c>
      <c r="O408" s="25">
        <v>46143.319444444445</v>
      </c>
      <c r="P408" s="26" t="s">
        <v>67</v>
      </c>
    </row>
    <row r="409" spans="1:16" x14ac:dyDescent="0.25">
      <c r="A409" s="20" t="s">
        <v>5211</v>
      </c>
      <c r="B409" s="21">
        <v>718</v>
      </c>
      <c r="C409" s="22" t="s">
        <v>12</v>
      </c>
      <c r="D409" s="22" t="s">
        <v>1851</v>
      </c>
      <c r="E409" s="22" t="str">
        <f>CONCATENATE(B409,D409)</f>
        <v>71862707-STK105</v>
      </c>
      <c r="F409" s="22" t="s">
        <v>1852</v>
      </c>
      <c r="G409" s="22" t="s">
        <v>29</v>
      </c>
      <c r="H409" s="23">
        <v>46.143900000000002</v>
      </c>
      <c r="I409" s="24">
        <v>3</v>
      </c>
      <c r="J409" s="24">
        <v>0</v>
      </c>
      <c r="K409" s="24">
        <v>0</v>
      </c>
      <c r="L409" s="41">
        <f>Table2[[#This Row],[Column1]]+Table2[[#This Row],[Column2]]</f>
        <v>0</v>
      </c>
      <c r="M409" s="42">
        <f>Table2[[#This Row],[OnHandQty]]-Table2[[#This Row],[Projection Nov/Dec]]</f>
        <v>3</v>
      </c>
      <c r="N409" s="35">
        <f>Table2[[#This Row],[OverStock]]*Table2[[#This Row],[RepCost]]</f>
        <v>138.43170000000001</v>
      </c>
      <c r="O409" s="25">
        <v>46181.580555555556</v>
      </c>
      <c r="P409" s="26" t="s">
        <v>67</v>
      </c>
    </row>
    <row r="410" spans="1:16" x14ac:dyDescent="0.25">
      <c r="A410" s="20" t="s">
        <v>5211</v>
      </c>
      <c r="B410" s="21">
        <v>714</v>
      </c>
      <c r="C410" s="22" t="s">
        <v>12</v>
      </c>
      <c r="D410" s="22" t="s">
        <v>1842</v>
      </c>
      <c r="E410" s="22" t="str">
        <f>CONCATENATE(B410,D410)</f>
        <v>71476230-STD110</v>
      </c>
      <c r="F410" s="22" t="s">
        <v>1843</v>
      </c>
      <c r="G410" s="22" t="s">
        <v>29</v>
      </c>
      <c r="H410" s="23">
        <v>76.921099999999996</v>
      </c>
      <c r="I410" s="24">
        <v>4</v>
      </c>
      <c r="J410" s="24">
        <v>0</v>
      </c>
      <c r="K410" s="24">
        <v>0</v>
      </c>
      <c r="L410" s="41">
        <f>Table2[[#This Row],[Column1]]+Table2[[#This Row],[Column2]]</f>
        <v>0</v>
      </c>
      <c r="M410" s="42">
        <f>Table2[[#This Row],[OnHandQty]]-Table2[[#This Row],[Projection Nov/Dec]]</f>
        <v>4</v>
      </c>
      <c r="N410" s="35">
        <f>Table2[[#This Row],[OverStock]]*Table2[[#This Row],[RepCost]]</f>
        <v>307.68439999999998</v>
      </c>
      <c r="O410" s="25">
        <v>46098.381249999999</v>
      </c>
      <c r="P410" s="26" t="s">
        <v>885</v>
      </c>
    </row>
    <row r="411" spans="1:16" x14ac:dyDescent="0.25">
      <c r="A411" s="20" t="s">
        <v>5211</v>
      </c>
      <c r="B411" s="21">
        <v>714</v>
      </c>
      <c r="C411" s="22" t="s">
        <v>12</v>
      </c>
      <c r="D411" s="22" t="s">
        <v>1888</v>
      </c>
      <c r="E411" s="22" t="str">
        <f>CONCATENATE(B411,D411)</f>
        <v>71462710-103</v>
      </c>
      <c r="F411" s="22" t="s">
        <v>1889</v>
      </c>
      <c r="G411" s="22" t="s">
        <v>15</v>
      </c>
      <c r="H411" s="23">
        <v>19.949100000000001</v>
      </c>
      <c r="I411" s="24">
        <v>3</v>
      </c>
      <c r="J411" s="24">
        <v>0</v>
      </c>
      <c r="K411" s="24">
        <v>0</v>
      </c>
      <c r="L411" s="41">
        <f>Table2[[#This Row],[Column1]]+Table2[[#This Row],[Column2]]</f>
        <v>0</v>
      </c>
      <c r="M411" s="42">
        <f>Table2[[#This Row],[OnHandQty]]-Table2[[#This Row],[Projection Nov/Dec]]</f>
        <v>3</v>
      </c>
      <c r="N411" s="35">
        <f>Table2[[#This Row],[OverStock]]*Table2[[#This Row],[RepCost]]</f>
        <v>59.847300000000004</v>
      </c>
      <c r="O411" s="25">
        <v>45745.311805555553</v>
      </c>
      <c r="P411" s="26" t="s">
        <v>573</v>
      </c>
    </row>
    <row r="412" spans="1:16" x14ac:dyDescent="0.25">
      <c r="A412" s="20" t="s">
        <v>5211</v>
      </c>
      <c r="B412" s="21">
        <v>714</v>
      </c>
      <c r="C412" s="22" t="s">
        <v>12</v>
      </c>
      <c r="D412" s="22" t="s">
        <v>1828</v>
      </c>
      <c r="E412" s="22" t="str">
        <f>CONCATENATE(B412,D412)</f>
        <v>71462710-STK101</v>
      </c>
      <c r="F412" s="22" t="s">
        <v>1829</v>
      </c>
      <c r="G412" s="22" t="s">
        <v>123</v>
      </c>
      <c r="H412" s="23">
        <v>13.0754</v>
      </c>
      <c r="I412" s="24">
        <v>2</v>
      </c>
      <c r="J412" s="24">
        <v>0</v>
      </c>
      <c r="K412" s="24">
        <v>0</v>
      </c>
      <c r="L412" s="41">
        <f>Table2[[#This Row],[Column1]]+Table2[[#This Row],[Column2]]</f>
        <v>0</v>
      </c>
      <c r="M412" s="42">
        <f>Table2[[#This Row],[OnHandQty]]-Table2[[#This Row],[Projection Nov/Dec]]</f>
        <v>2</v>
      </c>
      <c r="N412" s="35">
        <f>Table2[[#This Row],[OverStock]]*Table2[[#This Row],[RepCost]]</f>
        <v>26.1508</v>
      </c>
      <c r="O412" s="25">
        <v>45784.373611111114</v>
      </c>
      <c r="P412" s="26" t="s">
        <v>67</v>
      </c>
    </row>
    <row r="413" spans="1:16" x14ac:dyDescent="0.25">
      <c r="A413" s="20" t="s">
        <v>5211</v>
      </c>
      <c r="B413" s="21">
        <v>714</v>
      </c>
      <c r="C413" s="22" t="s">
        <v>12</v>
      </c>
      <c r="D413" s="22" t="s">
        <v>1878</v>
      </c>
      <c r="E413" s="22" t="str">
        <f>CONCATENATE(B413,D413)</f>
        <v>71462710-STK105</v>
      </c>
      <c r="F413" s="22" t="s">
        <v>1879</v>
      </c>
      <c r="G413" s="22" t="s">
        <v>19</v>
      </c>
      <c r="H413" s="23">
        <v>46.029800000000002</v>
      </c>
      <c r="I413" s="24">
        <v>1</v>
      </c>
      <c r="J413" s="24">
        <v>0</v>
      </c>
      <c r="K413" s="24">
        <v>0</v>
      </c>
      <c r="L413" s="41">
        <f>Table2[[#This Row],[Column1]]+Table2[[#This Row],[Column2]]</f>
        <v>0</v>
      </c>
      <c r="M413" s="42">
        <f>Table2[[#This Row],[OnHandQty]]-Table2[[#This Row],[Projection Nov/Dec]]</f>
        <v>1</v>
      </c>
      <c r="N413" s="35">
        <f>Table2[[#This Row],[OverStock]]*Table2[[#This Row],[RepCost]]</f>
        <v>46.029800000000002</v>
      </c>
      <c r="O413" s="25">
        <v>46126.649305555555</v>
      </c>
      <c r="P413" s="26" t="s">
        <v>67</v>
      </c>
    </row>
    <row r="414" spans="1:16" x14ac:dyDescent="0.25">
      <c r="A414" s="20" t="s">
        <v>5211</v>
      </c>
      <c r="B414" s="21">
        <v>714</v>
      </c>
      <c r="C414" s="22" t="s">
        <v>1749</v>
      </c>
      <c r="D414" s="22" t="s">
        <v>3574</v>
      </c>
      <c r="E414" s="22" t="str">
        <f>CONCATENATE(B414,D414)</f>
        <v>71462737-006</v>
      </c>
      <c r="F414" s="22" t="s">
        <v>3575</v>
      </c>
      <c r="G414" s="22" t="s">
        <v>112</v>
      </c>
      <c r="H414" s="23">
        <v>4.3765000000000001</v>
      </c>
      <c r="I414" s="24">
        <v>45</v>
      </c>
      <c r="J414" s="24">
        <v>0</v>
      </c>
      <c r="K414" s="24">
        <v>0</v>
      </c>
      <c r="L414" s="41">
        <f>Table2[[#This Row],[Column1]]+Table2[[#This Row],[Column2]]</f>
        <v>0</v>
      </c>
      <c r="M414" s="42">
        <f>Table2[[#This Row],[OnHandQty]]-Table2[[#This Row],[Projection Nov/Dec]]</f>
        <v>45</v>
      </c>
      <c r="N414" s="35">
        <f>Table2[[#This Row],[OverStock]]*Table2[[#This Row],[RepCost]]</f>
        <v>196.9425</v>
      </c>
      <c r="O414" s="25">
        <v>46203.393055555556</v>
      </c>
      <c r="P414" s="26" t="s">
        <v>1951</v>
      </c>
    </row>
    <row r="415" spans="1:16" x14ac:dyDescent="0.25">
      <c r="A415" s="20" t="s">
        <v>5211</v>
      </c>
      <c r="B415" s="21">
        <v>714</v>
      </c>
      <c r="C415" s="22" t="s">
        <v>1749</v>
      </c>
      <c r="D415" s="22" t="s">
        <v>3550</v>
      </c>
      <c r="E415" s="22" t="str">
        <f>CONCATENATE(B415,D415)</f>
        <v>71462737-008</v>
      </c>
      <c r="F415" s="22" t="s">
        <v>3551</v>
      </c>
      <c r="G415" s="22" t="s">
        <v>112</v>
      </c>
      <c r="H415" s="23">
        <v>7.6928999999999998</v>
      </c>
      <c r="I415" s="24">
        <v>55</v>
      </c>
      <c r="J415" s="24">
        <v>0</v>
      </c>
      <c r="K415" s="24">
        <v>0</v>
      </c>
      <c r="L415" s="41">
        <f>Table2[[#This Row],[Column1]]+Table2[[#This Row],[Column2]]</f>
        <v>0</v>
      </c>
      <c r="M415" s="42">
        <f>Table2[[#This Row],[OnHandQty]]-Table2[[#This Row],[Projection Nov/Dec]]</f>
        <v>55</v>
      </c>
      <c r="N415" s="35">
        <f>Table2[[#This Row],[OverStock]]*Table2[[#This Row],[RepCost]]</f>
        <v>423.10949999999997</v>
      </c>
      <c r="O415" s="25">
        <v>46203.393055555556</v>
      </c>
      <c r="P415" s="26" t="s">
        <v>1951</v>
      </c>
    </row>
    <row r="416" spans="1:16" x14ac:dyDescent="0.25">
      <c r="A416" s="20" t="s">
        <v>5211</v>
      </c>
      <c r="B416" s="21">
        <v>714</v>
      </c>
      <c r="C416" s="22" t="s">
        <v>1749</v>
      </c>
      <c r="D416" s="22" t="s">
        <v>3570</v>
      </c>
      <c r="E416" s="22" t="str">
        <f>CONCATENATE(B416,D416)</f>
        <v>71485865-102</v>
      </c>
      <c r="F416" s="22" t="s">
        <v>3571</v>
      </c>
      <c r="G416" s="22" t="s">
        <v>112</v>
      </c>
      <c r="H416" s="23">
        <v>15.5199</v>
      </c>
      <c r="I416" s="24">
        <v>2</v>
      </c>
      <c r="J416" s="24">
        <v>0</v>
      </c>
      <c r="K416" s="24">
        <v>0</v>
      </c>
      <c r="L416" s="41">
        <f>Table2[[#This Row],[Column1]]+Table2[[#This Row],[Column2]]</f>
        <v>0</v>
      </c>
      <c r="M416" s="42">
        <f>Table2[[#This Row],[OnHandQty]]-Table2[[#This Row],[Projection Nov/Dec]]</f>
        <v>2</v>
      </c>
      <c r="N416" s="35">
        <f>Table2[[#This Row],[OverStock]]*Table2[[#This Row],[RepCost]]</f>
        <v>31.0398</v>
      </c>
      <c r="O416" s="25">
        <v>46161.356249999997</v>
      </c>
      <c r="P416" s="26" t="s">
        <v>542</v>
      </c>
    </row>
    <row r="417" spans="1:16" x14ac:dyDescent="0.25">
      <c r="A417" s="20" t="s">
        <v>5211</v>
      </c>
      <c r="B417" s="21">
        <v>636</v>
      </c>
      <c r="C417" s="22" t="s">
        <v>126</v>
      </c>
      <c r="D417" s="22" t="s">
        <v>866</v>
      </c>
      <c r="E417" s="22" t="str">
        <f>CONCATENATE(B417,D417)</f>
        <v>63694483-PF4PFO</v>
      </c>
      <c r="F417" s="22" t="s">
        <v>867</v>
      </c>
      <c r="G417" s="22" t="s">
        <v>112</v>
      </c>
      <c r="H417" s="23">
        <v>6.6989999999999998</v>
      </c>
      <c r="I417" s="24">
        <v>12</v>
      </c>
      <c r="J417" s="24">
        <v>0</v>
      </c>
      <c r="K417" s="24">
        <v>0</v>
      </c>
      <c r="L417" s="41">
        <f>Table2[[#This Row],[Column1]]+Table2[[#This Row],[Column2]]</f>
        <v>0</v>
      </c>
      <c r="M417" s="42">
        <f>Table2[[#This Row],[OnHandQty]]-Table2[[#This Row],[Projection Nov/Dec]]</f>
        <v>12</v>
      </c>
      <c r="N417" s="35">
        <f>Table2[[#This Row],[OverStock]]*Table2[[#This Row],[RepCost]]</f>
        <v>80.388000000000005</v>
      </c>
      <c r="O417" s="25">
        <v>46149.36041666667</v>
      </c>
      <c r="P417" s="26" t="s">
        <v>542</v>
      </c>
    </row>
    <row r="418" spans="1:16" x14ac:dyDescent="0.25">
      <c r="A418" s="20" t="s">
        <v>5211</v>
      </c>
      <c r="B418" s="21">
        <v>714</v>
      </c>
      <c r="C418" s="22" t="s">
        <v>12</v>
      </c>
      <c r="D418" s="22" t="s">
        <v>1817</v>
      </c>
      <c r="E418" s="22" t="str">
        <f>CONCATENATE(B418,D418)</f>
        <v>71462778-101</v>
      </c>
      <c r="F418" s="22" t="s">
        <v>1818</v>
      </c>
      <c r="G418" s="22" t="s">
        <v>39</v>
      </c>
      <c r="H418" s="23">
        <v>10.155099999999999</v>
      </c>
      <c r="I418" s="24">
        <v>5</v>
      </c>
      <c r="J418" s="24">
        <v>0</v>
      </c>
      <c r="K418" s="24">
        <v>0</v>
      </c>
      <c r="L418" s="41">
        <f>Table2[[#This Row],[Column1]]+Table2[[#This Row],[Column2]]</f>
        <v>0</v>
      </c>
      <c r="M418" s="42">
        <f>Table2[[#This Row],[OnHandQty]]-Table2[[#This Row],[Projection Nov/Dec]]</f>
        <v>5</v>
      </c>
      <c r="N418" s="35">
        <f>Table2[[#This Row],[OverStock]]*Table2[[#This Row],[RepCost]]</f>
        <v>50.775499999999994</v>
      </c>
      <c r="O418" s="25">
        <v>46126.649305555555</v>
      </c>
      <c r="P418" s="26" t="s">
        <v>67</v>
      </c>
    </row>
    <row r="419" spans="1:16" x14ac:dyDescent="0.25">
      <c r="A419" s="20" t="s">
        <v>5211</v>
      </c>
      <c r="B419" s="21">
        <v>714</v>
      </c>
      <c r="C419" s="22" t="s">
        <v>12</v>
      </c>
      <c r="D419" s="22" t="s">
        <v>1808</v>
      </c>
      <c r="E419" s="22" t="str">
        <f>CONCATENATE(B419,D419)</f>
        <v>71479573-101</v>
      </c>
      <c r="F419" s="22" t="s">
        <v>1809</v>
      </c>
      <c r="G419" s="22" t="s">
        <v>29</v>
      </c>
      <c r="H419" s="23">
        <v>8.4336000000000002</v>
      </c>
      <c r="I419" s="24">
        <v>5</v>
      </c>
      <c r="J419" s="24">
        <v>0</v>
      </c>
      <c r="K419" s="24">
        <v>0</v>
      </c>
      <c r="L419" s="41">
        <f>Table2[[#This Row],[Column1]]+Table2[[#This Row],[Column2]]</f>
        <v>0</v>
      </c>
      <c r="M419" s="42">
        <f>Table2[[#This Row],[OnHandQty]]-Table2[[#This Row],[Projection Nov/Dec]]</f>
        <v>5</v>
      </c>
      <c r="N419" s="35">
        <f>Table2[[#This Row],[OverStock]]*Table2[[#This Row],[RepCost]]</f>
        <v>42.167999999999999</v>
      </c>
      <c r="O419" s="25">
        <v>45940.375</v>
      </c>
      <c r="P419" s="26" t="s">
        <v>44</v>
      </c>
    </row>
    <row r="420" spans="1:16" x14ac:dyDescent="0.25">
      <c r="A420" s="20" t="s">
        <v>5211</v>
      </c>
      <c r="B420" s="21">
        <v>634</v>
      </c>
      <c r="C420" s="22" t="s">
        <v>12</v>
      </c>
      <c r="D420" s="22" t="s">
        <v>45</v>
      </c>
      <c r="E420" s="22" t="str">
        <f>CONCATENATE(B420,D420)</f>
        <v>63462789-101</v>
      </c>
      <c r="F420" s="22" t="s">
        <v>46</v>
      </c>
      <c r="G420" s="22" t="s">
        <v>15</v>
      </c>
      <c r="H420" s="23">
        <v>6.0334000000000003</v>
      </c>
      <c r="I420" s="24">
        <v>35</v>
      </c>
      <c r="J420" s="24">
        <v>13</v>
      </c>
      <c r="K420" s="24">
        <v>0</v>
      </c>
      <c r="L420" s="41">
        <f>Table2[[#This Row],[Column1]]+Table2[[#This Row],[Column2]]</f>
        <v>13</v>
      </c>
      <c r="M420" s="42">
        <f>Table2[[#This Row],[OnHandQty]]-Table2[[#This Row],[Projection Nov/Dec]]</f>
        <v>22</v>
      </c>
      <c r="N420" s="35">
        <f>Table2[[#This Row],[OverStock]]*Table2[[#This Row],[RepCost]]</f>
        <v>132.73480000000001</v>
      </c>
      <c r="O420" s="25">
        <v>45807.574999999997</v>
      </c>
      <c r="P420" s="26" t="s">
        <v>47</v>
      </c>
    </row>
    <row r="421" spans="1:16" x14ac:dyDescent="0.25">
      <c r="A421" s="20" t="s">
        <v>5211</v>
      </c>
      <c r="B421" s="21">
        <v>634</v>
      </c>
      <c r="C421" s="22" t="s">
        <v>12</v>
      </c>
      <c r="D421" s="22" t="s">
        <v>56</v>
      </c>
      <c r="E421" s="22" t="str">
        <f>CONCATENATE(B421,D421)</f>
        <v>63482822-SP5</v>
      </c>
      <c r="F421" s="27" t="s">
        <v>57</v>
      </c>
      <c r="G421" s="27" t="s">
        <v>58</v>
      </c>
      <c r="H421" s="23">
        <v>6.4187000000000003</v>
      </c>
      <c r="I421" s="24">
        <v>13</v>
      </c>
      <c r="J421" s="24">
        <v>0</v>
      </c>
      <c r="K421" s="24">
        <v>0</v>
      </c>
      <c r="L421" s="41">
        <f>Table2[[#This Row],[Column1]]+Table2[[#This Row],[Column2]]</f>
        <v>0</v>
      </c>
      <c r="M421" s="42">
        <f>Table2[[#This Row],[OnHandQty]]-Table2[[#This Row],[Projection Nov/Dec]]</f>
        <v>13</v>
      </c>
      <c r="N421" s="35">
        <f>Table2[[#This Row],[OverStock]]*Table2[[#This Row],[RepCost]]</f>
        <v>83.443100000000001</v>
      </c>
      <c r="O421" s="25">
        <v>45050.396527777775</v>
      </c>
      <c r="P421" s="26" t="s">
        <v>40</v>
      </c>
    </row>
    <row r="422" spans="1:16" x14ac:dyDescent="0.25">
      <c r="A422" s="20" t="s">
        <v>5211</v>
      </c>
      <c r="B422" s="21">
        <v>636</v>
      </c>
      <c r="C422" s="22" t="s">
        <v>12</v>
      </c>
      <c r="D422" s="22" t="s">
        <v>529</v>
      </c>
      <c r="E422" s="22" t="str">
        <f>CONCATENATE(B422,D422)</f>
        <v>63662796-SP4</v>
      </c>
      <c r="F422" s="22" t="s">
        <v>530</v>
      </c>
      <c r="G422" s="22" t="s">
        <v>29</v>
      </c>
      <c r="H422" s="23">
        <v>2.8447</v>
      </c>
      <c r="I422" s="24">
        <v>14</v>
      </c>
      <c r="J422" s="24">
        <v>0</v>
      </c>
      <c r="K422" s="24">
        <v>0</v>
      </c>
      <c r="L422" s="41">
        <f>Table2[[#This Row],[Column1]]+Table2[[#This Row],[Column2]]</f>
        <v>0</v>
      </c>
      <c r="M422" s="42">
        <f>Table2[[#This Row],[OnHandQty]]-Table2[[#This Row],[Projection Nov/Dec]]</f>
        <v>14</v>
      </c>
      <c r="N422" s="35">
        <f>Table2[[#This Row],[OverStock]]*Table2[[#This Row],[RepCost]]</f>
        <v>39.825800000000001</v>
      </c>
      <c r="O422" s="25">
        <v>46231.592361111114</v>
      </c>
      <c r="P422" s="26" t="s">
        <v>531</v>
      </c>
    </row>
    <row r="423" spans="1:16" x14ac:dyDescent="0.25">
      <c r="A423" s="20" t="s">
        <v>5211</v>
      </c>
      <c r="B423" s="21">
        <v>636</v>
      </c>
      <c r="C423" s="22" t="s">
        <v>12</v>
      </c>
      <c r="D423" s="22" t="s">
        <v>518</v>
      </c>
      <c r="E423" s="22" t="str">
        <f>CONCATENATE(B423,D423)</f>
        <v>63690756-101</v>
      </c>
      <c r="F423" s="22" t="s">
        <v>519</v>
      </c>
      <c r="G423" s="22" t="s">
        <v>29</v>
      </c>
      <c r="H423" s="23">
        <v>7.1231999999999998</v>
      </c>
      <c r="I423" s="24">
        <v>1</v>
      </c>
      <c r="J423" s="24">
        <v>0</v>
      </c>
      <c r="K423" s="24">
        <v>0</v>
      </c>
      <c r="L423" s="41">
        <f>Table2[[#This Row],[Column1]]+Table2[[#This Row],[Column2]]</f>
        <v>0</v>
      </c>
      <c r="M423" s="42">
        <f>Table2[[#This Row],[OnHandQty]]-Table2[[#This Row],[Projection Nov/Dec]]</f>
        <v>1</v>
      </c>
      <c r="N423" s="35">
        <f>Table2[[#This Row],[OverStock]]*Table2[[#This Row],[RepCost]]</f>
        <v>7.1231999999999998</v>
      </c>
      <c r="O423" s="25">
        <v>46212.4375</v>
      </c>
      <c r="P423" s="26" t="s">
        <v>16</v>
      </c>
    </row>
    <row r="424" spans="1:16" x14ac:dyDescent="0.25">
      <c r="A424" s="20" t="s">
        <v>5211</v>
      </c>
      <c r="B424" s="21">
        <v>634</v>
      </c>
      <c r="C424" s="22" t="s">
        <v>126</v>
      </c>
      <c r="D424" s="22" t="s">
        <v>131</v>
      </c>
      <c r="E424" s="22" t="str">
        <f>CONCATENATE(B424,D424)</f>
        <v>63490756-PF4PFO</v>
      </c>
      <c r="F424" s="22" t="s">
        <v>132</v>
      </c>
      <c r="G424" s="22" t="s">
        <v>39</v>
      </c>
      <c r="H424" s="23">
        <v>7.8536000000000001</v>
      </c>
      <c r="I424" s="24">
        <v>20</v>
      </c>
      <c r="J424" s="24">
        <v>0</v>
      </c>
      <c r="K424" s="24">
        <v>0</v>
      </c>
      <c r="L424" s="41">
        <f>Table2[[#This Row],[Column1]]+Table2[[#This Row],[Column2]]</f>
        <v>0</v>
      </c>
      <c r="M424" s="42">
        <f>Table2[[#This Row],[OnHandQty]]-Table2[[#This Row],[Projection Nov/Dec]]</f>
        <v>20</v>
      </c>
      <c r="N424" s="35">
        <f>Table2[[#This Row],[OverStock]]*Table2[[#This Row],[RepCost]]</f>
        <v>157.072</v>
      </c>
      <c r="O424" s="25">
        <v>46161.400694444441</v>
      </c>
      <c r="P424" s="26" t="s">
        <v>16</v>
      </c>
    </row>
    <row r="425" spans="1:16" x14ac:dyDescent="0.25">
      <c r="A425" s="20" t="s">
        <v>5211</v>
      </c>
      <c r="B425" s="21">
        <v>636</v>
      </c>
      <c r="C425" s="22" t="s">
        <v>126</v>
      </c>
      <c r="D425" s="22" t="s">
        <v>131</v>
      </c>
      <c r="E425" s="22" t="str">
        <f>CONCATENATE(B425,D425)</f>
        <v>63690756-PF4PFO</v>
      </c>
      <c r="F425" s="22" t="s">
        <v>132</v>
      </c>
      <c r="G425" s="22" t="s">
        <v>112</v>
      </c>
      <c r="H425" s="23">
        <v>7.8708999999999998</v>
      </c>
      <c r="I425" s="24">
        <v>16</v>
      </c>
      <c r="J425" s="24">
        <v>0</v>
      </c>
      <c r="K425" s="24">
        <v>0</v>
      </c>
      <c r="L425" s="41">
        <f>Table2[[#This Row],[Column1]]+Table2[[#This Row],[Column2]]</f>
        <v>0</v>
      </c>
      <c r="M425" s="42">
        <f>Table2[[#This Row],[OnHandQty]]-Table2[[#This Row],[Projection Nov/Dec]]</f>
        <v>16</v>
      </c>
      <c r="N425" s="35">
        <f>Table2[[#This Row],[OverStock]]*Table2[[#This Row],[RepCost]]</f>
        <v>125.9344</v>
      </c>
      <c r="O425" s="25">
        <v>46225.4</v>
      </c>
      <c r="P425" s="26" t="s">
        <v>16</v>
      </c>
    </row>
    <row r="426" spans="1:16" x14ac:dyDescent="0.25">
      <c r="A426" s="20" t="s">
        <v>5211</v>
      </c>
      <c r="B426" s="21">
        <v>636</v>
      </c>
      <c r="C426" s="22" t="s">
        <v>12</v>
      </c>
      <c r="D426" s="22" t="s">
        <v>507</v>
      </c>
      <c r="E426" s="22" t="str">
        <f>CONCATENATE(B426,D426)</f>
        <v>63682256-SP2</v>
      </c>
      <c r="F426" s="22" t="s">
        <v>508</v>
      </c>
      <c r="G426" s="22" t="s">
        <v>29</v>
      </c>
      <c r="H426" s="23">
        <v>1.5609999999999999</v>
      </c>
      <c r="I426" s="24">
        <v>95</v>
      </c>
      <c r="J426" s="24">
        <v>50</v>
      </c>
      <c r="K426" s="24">
        <v>0</v>
      </c>
      <c r="L426" s="41">
        <f>Table2[[#This Row],[Column1]]+Table2[[#This Row],[Column2]]</f>
        <v>50</v>
      </c>
      <c r="M426" s="42">
        <f>Table2[[#This Row],[OnHandQty]]-Table2[[#This Row],[Projection Nov/Dec]]</f>
        <v>45</v>
      </c>
      <c r="N426" s="35">
        <f>Table2[[#This Row],[OverStock]]*Table2[[#This Row],[RepCost]]</f>
        <v>70.245000000000005</v>
      </c>
      <c r="O426" s="25">
        <v>46178.450694444444</v>
      </c>
      <c r="P426" s="26" t="s">
        <v>509</v>
      </c>
    </row>
    <row r="427" spans="1:16" x14ac:dyDescent="0.25">
      <c r="A427" s="20" t="s">
        <v>5211</v>
      </c>
      <c r="B427" s="21">
        <v>714</v>
      </c>
      <c r="C427" s="22" t="s">
        <v>323</v>
      </c>
      <c r="D427" s="22" t="s">
        <v>3111</v>
      </c>
      <c r="E427" s="22" t="str">
        <f>CONCATENATE(B427,D427)</f>
        <v>71489715-306</v>
      </c>
      <c r="F427" s="22" t="s">
        <v>3112</v>
      </c>
      <c r="G427" s="22" t="s">
        <v>29</v>
      </c>
      <c r="H427" s="23">
        <v>250.81319999999999</v>
      </c>
      <c r="I427" s="24">
        <v>1</v>
      </c>
      <c r="J427" s="24">
        <v>0</v>
      </c>
      <c r="K427" s="24">
        <v>0</v>
      </c>
      <c r="L427" s="41">
        <f>Table2[[#This Row],[Column1]]+Table2[[#This Row],[Column2]]</f>
        <v>0</v>
      </c>
      <c r="M427" s="42">
        <f>Table2[[#This Row],[OnHandQty]]-Table2[[#This Row],[Projection Nov/Dec]]</f>
        <v>1</v>
      </c>
      <c r="N427" s="35">
        <f>Table2[[#This Row],[OverStock]]*Table2[[#This Row],[RepCost]]</f>
        <v>250.81319999999999</v>
      </c>
      <c r="O427" s="25">
        <v>45749.493750000001</v>
      </c>
      <c r="P427" s="26" t="s">
        <v>2358</v>
      </c>
    </row>
    <row r="428" spans="1:16" x14ac:dyDescent="0.25">
      <c r="A428" s="20" t="s">
        <v>5211</v>
      </c>
      <c r="B428" s="21">
        <v>718</v>
      </c>
      <c r="C428" s="22" t="s">
        <v>323</v>
      </c>
      <c r="D428" s="22" t="s">
        <v>3881</v>
      </c>
      <c r="E428" s="22" t="str">
        <f>CONCATENATE(B428,D428)</f>
        <v>71884735-025</v>
      </c>
      <c r="F428" s="22" t="s">
        <v>3882</v>
      </c>
      <c r="G428" s="22" t="s">
        <v>29</v>
      </c>
      <c r="H428" s="23">
        <v>260.26229999999998</v>
      </c>
      <c r="I428" s="24">
        <v>10</v>
      </c>
      <c r="J428" s="24">
        <v>0</v>
      </c>
      <c r="K428" s="24">
        <v>0</v>
      </c>
      <c r="L428" s="41">
        <f>Table2[[#This Row],[Column1]]+Table2[[#This Row],[Column2]]</f>
        <v>0</v>
      </c>
      <c r="M428" s="42">
        <f>Table2[[#This Row],[OnHandQty]]-Table2[[#This Row],[Projection Nov/Dec]]</f>
        <v>10</v>
      </c>
      <c r="N428" s="35">
        <f>Table2[[#This Row],[OverStock]]*Table2[[#This Row],[RepCost]]</f>
        <v>2602.6229999999996</v>
      </c>
      <c r="O428" s="25">
        <v>45765.479861111111</v>
      </c>
      <c r="P428" s="26" t="s">
        <v>151</v>
      </c>
    </row>
    <row r="429" spans="1:16" x14ac:dyDescent="0.25">
      <c r="A429" s="20" t="s">
        <v>5211</v>
      </c>
      <c r="B429" s="21">
        <v>718</v>
      </c>
      <c r="C429" s="22" t="s">
        <v>323</v>
      </c>
      <c r="D429" s="22" t="s">
        <v>3851</v>
      </c>
      <c r="E429" s="22" t="str">
        <f>CONCATENATE(B429,D429)</f>
        <v>71862817-020</v>
      </c>
      <c r="F429" s="22" t="s">
        <v>3852</v>
      </c>
      <c r="G429" s="22" t="s">
        <v>29</v>
      </c>
      <c r="H429" s="23">
        <v>177.96510000000001</v>
      </c>
      <c r="I429" s="24">
        <v>2</v>
      </c>
      <c r="J429" s="24">
        <v>0</v>
      </c>
      <c r="K429" s="24">
        <v>0</v>
      </c>
      <c r="L429" s="41">
        <f>Table2[[#This Row],[Column1]]+Table2[[#This Row],[Column2]]</f>
        <v>0</v>
      </c>
      <c r="M429" s="42">
        <f>Table2[[#This Row],[OnHandQty]]-Table2[[#This Row],[Projection Nov/Dec]]</f>
        <v>2</v>
      </c>
      <c r="N429" s="35">
        <f>Table2[[#This Row],[OverStock]]*Table2[[#This Row],[RepCost]]</f>
        <v>355.93020000000001</v>
      </c>
      <c r="O429" s="25">
        <v>45442.457638888889</v>
      </c>
      <c r="P429" s="26" t="s">
        <v>151</v>
      </c>
    </row>
    <row r="430" spans="1:16" x14ac:dyDescent="0.25">
      <c r="A430" s="20" t="s">
        <v>5211</v>
      </c>
      <c r="B430" s="21">
        <v>714</v>
      </c>
      <c r="C430" s="22" t="s">
        <v>323</v>
      </c>
      <c r="D430" s="22" t="s">
        <v>3063</v>
      </c>
      <c r="E430" s="22" t="str">
        <f>CONCATENATE(B430,D430)</f>
        <v>71462817-307IH</v>
      </c>
      <c r="F430" s="27" t="s">
        <v>3064</v>
      </c>
      <c r="G430" s="27" t="s">
        <v>58</v>
      </c>
      <c r="H430" s="23">
        <v>121.02119999999999</v>
      </c>
      <c r="I430" s="24">
        <v>5</v>
      </c>
      <c r="J430" s="24">
        <v>0</v>
      </c>
      <c r="K430" s="24">
        <v>0</v>
      </c>
      <c r="L430" s="41">
        <f>Table2[[#This Row],[Column1]]+Table2[[#This Row],[Column2]]</f>
        <v>0</v>
      </c>
      <c r="M430" s="42">
        <f>Table2[[#This Row],[OnHandQty]]-Table2[[#This Row],[Projection Nov/Dec]]</f>
        <v>5</v>
      </c>
      <c r="N430" s="35">
        <f>Table2[[#This Row],[OverStock]]*Table2[[#This Row],[RepCost]]</f>
        <v>605.10599999999999</v>
      </c>
      <c r="O430" s="25">
        <v>46098.381249999999</v>
      </c>
      <c r="P430" s="26" t="s">
        <v>885</v>
      </c>
    </row>
    <row r="431" spans="1:16" x14ac:dyDescent="0.25">
      <c r="A431" s="20" t="s">
        <v>5211</v>
      </c>
      <c r="B431" s="21">
        <v>714</v>
      </c>
      <c r="C431" s="22" t="s">
        <v>323</v>
      </c>
      <c r="D431" s="22" t="s">
        <v>2871</v>
      </c>
      <c r="E431" s="22" t="str">
        <f>CONCATENATE(B431,D431)</f>
        <v>71462815-115</v>
      </c>
      <c r="F431" s="22" t="s">
        <v>2872</v>
      </c>
      <c r="G431" s="22" t="s">
        <v>23</v>
      </c>
      <c r="H431" s="23">
        <v>108.1562</v>
      </c>
      <c r="I431" s="24">
        <v>18</v>
      </c>
      <c r="J431" s="24">
        <v>0</v>
      </c>
      <c r="K431" s="24">
        <v>0</v>
      </c>
      <c r="L431" s="41">
        <f>Table2[[#This Row],[Column1]]+Table2[[#This Row],[Column2]]</f>
        <v>0</v>
      </c>
      <c r="M431" s="42">
        <f>Table2[[#This Row],[OnHandQty]]-Table2[[#This Row],[Projection Nov/Dec]]</f>
        <v>18</v>
      </c>
      <c r="N431" s="35">
        <f>Table2[[#This Row],[OverStock]]*Table2[[#This Row],[RepCost]]</f>
        <v>1946.8116</v>
      </c>
      <c r="O431" s="25">
        <v>45797.330555555556</v>
      </c>
      <c r="P431" s="26" t="s">
        <v>345</v>
      </c>
    </row>
    <row r="432" spans="1:16" x14ac:dyDescent="0.25">
      <c r="A432" s="20" t="s">
        <v>5211</v>
      </c>
      <c r="B432" s="21">
        <v>718</v>
      </c>
      <c r="C432" s="22" t="s">
        <v>323</v>
      </c>
      <c r="D432" s="22" t="s">
        <v>2871</v>
      </c>
      <c r="E432" s="22" t="str">
        <f>CONCATENATE(B432,D432)</f>
        <v>71862815-115</v>
      </c>
      <c r="F432" s="22" t="s">
        <v>2872</v>
      </c>
      <c r="G432" s="22" t="s">
        <v>43</v>
      </c>
      <c r="H432" s="23">
        <v>134.49119999999999</v>
      </c>
      <c r="I432" s="24">
        <v>12</v>
      </c>
      <c r="J432" s="24">
        <v>0</v>
      </c>
      <c r="K432" s="24">
        <v>0</v>
      </c>
      <c r="L432" s="41">
        <f>Table2[[#This Row],[Column1]]+Table2[[#This Row],[Column2]]</f>
        <v>0</v>
      </c>
      <c r="M432" s="42">
        <f>Table2[[#This Row],[OnHandQty]]-Table2[[#This Row],[Projection Nov/Dec]]</f>
        <v>12</v>
      </c>
      <c r="N432" s="35">
        <f>Table2[[#This Row],[OverStock]]*Table2[[#This Row],[RepCost]]</f>
        <v>1613.8943999999999</v>
      </c>
      <c r="O432" s="25">
        <v>46218.515277777777</v>
      </c>
      <c r="P432" s="26" t="s">
        <v>216</v>
      </c>
    </row>
    <row r="433" spans="1:16" x14ac:dyDescent="0.25">
      <c r="A433" s="20" t="s">
        <v>5211</v>
      </c>
      <c r="B433" s="21">
        <v>714</v>
      </c>
      <c r="C433" s="22" t="s">
        <v>323</v>
      </c>
      <c r="D433" s="22" t="s">
        <v>3462</v>
      </c>
      <c r="E433" s="22" t="str">
        <f>CONCATENATE(B433,D433)</f>
        <v>71462815-SC424-8FT</v>
      </c>
      <c r="F433" s="27" t="s">
        <v>3463</v>
      </c>
      <c r="G433" s="27" t="s">
        <v>58</v>
      </c>
      <c r="H433" s="23">
        <v>674.77269999999999</v>
      </c>
      <c r="I433" s="24">
        <v>2</v>
      </c>
      <c r="J433" s="24">
        <v>0</v>
      </c>
      <c r="K433" s="24">
        <v>0</v>
      </c>
      <c r="L433" s="41">
        <f>Table2[[#This Row],[Column1]]+Table2[[#This Row],[Column2]]</f>
        <v>0</v>
      </c>
      <c r="M433" s="42">
        <f>Table2[[#This Row],[OnHandQty]]-Table2[[#This Row],[Projection Nov/Dec]]</f>
        <v>2</v>
      </c>
      <c r="N433" s="35">
        <f>Table2[[#This Row],[OverStock]]*Table2[[#This Row],[RepCost]]</f>
        <v>1349.5454</v>
      </c>
      <c r="O433" s="25">
        <v>45797.421527777777</v>
      </c>
      <c r="P433" s="26" t="s">
        <v>885</v>
      </c>
    </row>
    <row r="434" spans="1:16" x14ac:dyDescent="0.25">
      <c r="A434" s="20" t="s">
        <v>5211</v>
      </c>
      <c r="B434" s="21">
        <v>714</v>
      </c>
      <c r="C434" s="22" t="s">
        <v>323</v>
      </c>
      <c r="D434" s="22" t="s">
        <v>3037</v>
      </c>
      <c r="E434" s="22" t="str">
        <f>CONCATENATE(B434,D434)</f>
        <v>71477748-115</v>
      </c>
      <c r="F434" s="22" t="s">
        <v>3038</v>
      </c>
      <c r="G434" s="22" t="s">
        <v>29</v>
      </c>
      <c r="H434" s="23">
        <v>109.49120000000001</v>
      </c>
      <c r="I434" s="24">
        <v>2</v>
      </c>
      <c r="J434" s="24">
        <v>0</v>
      </c>
      <c r="K434" s="24">
        <v>0</v>
      </c>
      <c r="L434" s="41">
        <f>Table2[[#This Row],[Column1]]+Table2[[#This Row],[Column2]]</f>
        <v>0</v>
      </c>
      <c r="M434" s="42">
        <f>Table2[[#This Row],[OnHandQty]]-Table2[[#This Row],[Projection Nov/Dec]]</f>
        <v>2</v>
      </c>
      <c r="N434" s="35">
        <f>Table2[[#This Row],[OverStock]]*Table2[[#This Row],[RepCost]]</f>
        <v>218.98240000000001</v>
      </c>
      <c r="O434" s="25">
        <v>45729.45</v>
      </c>
      <c r="P434" s="26" t="s">
        <v>2384</v>
      </c>
    </row>
    <row r="435" spans="1:16" x14ac:dyDescent="0.25">
      <c r="A435" s="20" t="s">
        <v>5211</v>
      </c>
      <c r="B435" s="21">
        <v>636</v>
      </c>
      <c r="C435" s="22" t="s">
        <v>323</v>
      </c>
      <c r="D435" s="22" t="s">
        <v>1548</v>
      </c>
      <c r="E435" s="22" t="str">
        <f>CONCATENATE(B435,D435)</f>
        <v>63677748-020</v>
      </c>
      <c r="F435" s="22" t="s">
        <v>1549</v>
      </c>
      <c r="G435" s="22" t="s">
        <v>29</v>
      </c>
      <c r="H435" s="23">
        <v>187.55179999999999</v>
      </c>
      <c r="I435" s="24">
        <v>1</v>
      </c>
      <c r="J435" s="24">
        <v>0</v>
      </c>
      <c r="K435" s="24">
        <v>0</v>
      </c>
      <c r="L435" s="41">
        <f>Table2[[#This Row],[Column1]]+Table2[[#This Row],[Column2]]</f>
        <v>0</v>
      </c>
      <c r="M435" s="42">
        <f>Table2[[#This Row],[OnHandQty]]-Table2[[#This Row],[Projection Nov/Dec]]</f>
        <v>1</v>
      </c>
      <c r="N435" s="35">
        <f>Table2[[#This Row],[OverStock]]*Table2[[#This Row],[RepCost]]</f>
        <v>187.55179999999999</v>
      </c>
      <c r="O435" s="25">
        <v>46176.42083333333</v>
      </c>
      <c r="P435" s="26" t="s">
        <v>151</v>
      </c>
    </row>
    <row r="436" spans="1:16" x14ac:dyDescent="0.25">
      <c r="A436" s="20" t="s">
        <v>5211</v>
      </c>
      <c r="B436" s="21">
        <v>636</v>
      </c>
      <c r="C436" s="22" t="s">
        <v>323</v>
      </c>
      <c r="D436" s="22" t="s">
        <v>1435</v>
      </c>
      <c r="E436" s="22" t="str">
        <f>CONCATENATE(B436,D436)</f>
        <v>63662818-030</v>
      </c>
      <c r="F436" s="22" t="s">
        <v>1436</v>
      </c>
      <c r="G436" s="22" t="s">
        <v>19</v>
      </c>
      <c r="H436" s="23">
        <v>573.84630000000004</v>
      </c>
      <c r="I436" s="24">
        <v>4</v>
      </c>
      <c r="J436" s="24">
        <v>0</v>
      </c>
      <c r="K436" s="24">
        <v>3</v>
      </c>
      <c r="L436" s="41">
        <f>Table2[[#This Row],[Column1]]+Table2[[#This Row],[Column2]]</f>
        <v>3</v>
      </c>
      <c r="M436" s="42">
        <f>Table2[[#This Row],[OnHandQty]]-Table2[[#This Row],[Projection Nov/Dec]]</f>
        <v>1</v>
      </c>
      <c r="N436" s="35">
        <f>Table2[[#This Row],[OverStock]]*Table2[[#This Row],[RepCost]]</f>
        <v>573.84630000000004</v>
      </c>
      <c r="O436" s="25">
        <v>45777.481249999997</v>
      </c>
      <c r="P436" s="26" t="s">
        <v>1437</v>
      </c>
    </row>
    <row r="437" spans="1:16" x14ac:dyDescent="0.25">
      <c r="A437" s="20" t="s">
        <v>5211</v>
      </c>
      <c r="B437" s="21">
        <v>714</v>
      </c>
      <c r="C437" s="22" t="s">
        <v>323</v>
      </c>
      <c r="D437" s="22" t="s">
        <v>3468</v>
      </c>
      <c r="E437" s="22" t="str">
        <f>CONCATENATE(B437,D437)</f>
        <v>71496383-025</v>
      </c>
      <c r="F437" s="22" t="s">
        <v>3469</v>
      </c>
      <c r="G437" s="22" t="s">
        <v>19</v>
      </c>
      <c r="H437" s="23">
        <v>208.07149999999999</v>
      </c>
      <c r="I437" s="24">
        <v>4</v>
      </c>
      <c r="J437" s="24">
        <v>0</v>
      </c>
      <c r="K437" s="24">
        <v>0</v>
      </c>
      <c r="L437" s="41">
        <f>Table2[[#This Row],[Column1]]+Table2[[#This Row],[Column2]]</f>
        <v>0</v>
      </c>
      <c r="M437" s="42">
        <f>Table2[[#This Row],[OnHandQty]]-Table2[[#This Row],[Projection Nov/Dec]]</f>
        <v>4</v>
      </c>
      <c r="N437" s="35">
        <f>Table2[[#This Row],[OverStock]]*Table2[[#This Row],[RepCost]]</f>
        <v>832.28599999999994</v>
      </c>
      <c r="O437" s="25">
        <v>46127.478472222225</v>
      </c>
      <c r="P437" s="26" t="s">
        <v>1224</v>
      </c>
    </row>
    <row r="438" spans="1:16" x14ac:dyDescent="0.25">
      <c r="A438" s="20" t="s">
        <v>5211</v>
      </c>
      <c r="B438" s="21">
        <v>636</v>
      </c>
      <c r="C438" s="22" t="s">
        <v>323</v>
      </c>
      <c r="D438" s="22" t="s">
        <v>1496</v>
      </c>
      <c r="E438" s="22" t="str">
        <f>CONCATENATE(B438,D438)</f>
        <v>63662835-0125</v>
      </c>
      <c r="F438" s="22" t="s">
        <v>1497</v>
      </c>
      <c r="G438" s="22" t="s">
        <v>29</v>
      </c>
      <c r="H438" s="23">
        <v>177.8527</v>
      </c>
      <c r="I438" s="24">
        <v>7</v>
      </c>
      <c r="J438" s="24">
        <v>0</v>
      </c>
      <c r="K438" s="24">
        <v>0</v>
      </c>
      <c r="L438" s="41">
        <f>Table2[[#This Row],[Column1]]+Table2[[#This Row],[Column2]]</f>
        <v>0</v>
      </c>
      <c r="M438" s="42">
        <f>Table2[[#This Row],[OnHandQty]]-Table2[[#This Row],[Projection Nov/Dec]]</f>
        <v>7</v>
      </c>
      <c r="N438" s="35">
        <f>Table2[[#This Row],[OverStock]]*Table2[[#This Row],[RepCost]]</f>
        <v>1244.9689000000001</v>
      </c>
      <c r="O438" s="25">
        <v>46125.407638888886</v>
      </c>
      <c r="P438" s="26" t="s">
        <v>295</v>
      </c>
    </row>
    <row r="439" spans="1:16" x14ac:dyDescent="0.25">
      <c r="A439" s="20" t="s">
        <v>5211</v>
      </c>
      <c r="B439" s="21">
        <v>718</v>
      </c>
      <c r="C439" s="22" t="s">
        <v>143</v>
      </c>
      <c r="D439" s="22" t="s">
        <v>3812</v>
      </c>
      <c r="E439" s="22" t="str">
        <f>CONCATENATE(B439,D439)</f>
        <v>71862845-103</v>
      </c>
      <c r="F439" s="22" t="s">
        <v>3813</v>
      </c>
      <c r="G439" s="22" t="s">
        <v>29</v>
      </c>
      <c r="H439" s="23">
        <v>14.1609</v>
      </c>
      <c r="I439" s="24">
        <v>3</v>
      </c>
      <c r="J439" s="24">
        <v>0</v>
      </c>
      <c r="K439" s="24">
        <v>2</v>
      </c>
      <c r="L439" s="41">
        <f>Table2[[#This Row],[Column1]]+Table2[[#This Row],[Column2]]</f>
        <v>2</v>
      </c>
      <c r="M439" s="42">
        <f>Table2[[#This Row],[OnHandQty]]-Table2[[#This Row],[Projection Nov/Dec]]</f>
        <v>1</v>
      </c>
      <c r="N439" s="35">
        <f>Table2[[#This Row],[OverStock]]*Table2[[#This Row],[RepCost]]</f>
        <v>14.1609</v>
      </c>
      <c r="O439" s="25">
        <v>45856.443055555559</v>
      </c>
      <c r="P439" s="26" t="s">
        <v>26</v>
      </c>
    </row>
    <row r="440" spans="1:16" x14ac:dyDescent="0.25">
      <c r="A440" s="20" t="s">
        <v>5211</v>
      </c>
      <c r="B440" s="21">
        <v>718</v>
      </c>
      <c r="C440" s="22" t="s">
        <v>143</v>
      </c>
      <c r="D440" s="22" t="s">
        <v>3782</v>
      </c>
      <c r="E440" s="22" t="str">
        <f>CONCATENATE(B440,D440)</f>
        <v>71862932-103</v>
      </c>
      <c r="F440" s="22" t="s">
        <v>3783</v>
      </c>
      <c r="G440" s="22" t="s">
        <v>15</v>
      </c>
      <c r="H440" s="23">
        <v>19.16</v>
      </c>
      <c r="I440" s="24">
        <v>5</v>
      </c>
      <c r="J440" s="24">
        <v>1</v>
      </c>
      <c r="K440" s="24">
        <v>0</v>
      </c>
      <c r="L440" s="41">
        <f>Table2[[#This Row],[Column1]]+Table2[[#This Row],[Column2]]</f>
        <v>1</v>
      </c>
      <c r="M440" s="42">
        <f>Table2[[#This Row],[OnHandQty]]-Table2[[#This Row],[Projection Nov/Dec]]</f>
        <v>4</v>
      </c>
      <c r="N440" s="35">
        <f>Table2[[#This Row],[OverStock]]*Table2[[#This Row],[RepCost]]</f>
        <v>76.64</v>
      </c>
      <c r="O440" s="25">
        <v>45868.397916666669</v>
      </c>
      <c r="P440" s="26" t="s">
        <v>40</v>
      </c>
    </row>
    <row r="441" spans="1:16" x14ac:dyDescent="0.25">
      <c r="A441" s="20" t="s">
        <v>5211</v>
      </c>
      <c r="B441" s="21">
        <v>714</v>
      </c>
      <c r="C441" s="22" t="s">
        <v>323</v>
      </c>
      <c r="D441" s="22" t="s">
        <v>3170</v>
      </c>
      <c r="E441" s="22" t="str">
        <f>CONCATENATE(B441,D441)</f>
        <v>71462979-305</v>
      </c>
      <c r="F441" s="22" t="s">
        <v>3171</v>
      </c>
      <c r="G441" s="22" t="s">
        <v>35</v>
      </c>
      <c r="H441" s="23">
        <v>108.3068</v>
      </c>
      <c r="I441" s="24">
        <v>4</v>
      </c>
      <c r="J441" s="24">
        <v>0</v>
      </c>
      <c r="K441" s="24">
        <v>0</v>
      </c>
      <c r="L441" s="41">
        <f>Table2[[#This Row],[Column1]]+Table2[[#This Row],[Column2]]</f>
        <v>0</v>
      </c>
      <c r="M441" s="42">
        <f>Table2[[#This Row],[OnHandQty]]-Table2[[#This Row],[Projection Nov/Dec]]</f>
        <v>4</v>
      </c>
      <c r="N441" s="35">
        <f>Table2[[#This Row],[OverStock]]*Table2[[#This Row],[RepCost]]</f>
        <v>433.22719999999998</v>
      </c>
      <c r="O441" s="25">
        <v>45776.32708333333</v>
      </c>
      <c r="P441" s="26" t="s">
        <v>2898</v>
      </c>
    </row>
    <row r="442" spans="1:16" x14ac:dyDescent="0.25">
      <c r="A442" s="20" t="s">
        <v>5211</v>
      </c>
      <c r="B442" s="21">
        <v>714</v>
      </c>
      <c r="C442" s="22" t="s">
        <v>323</v>
      </c>
      <c r="D442" s="22" t="s">
        <v>3302</v>
      </c>
      <c r="E442" s="22" t="str">
        <f>CONCATENATE(B442,D442)</f>
        <v>71462979-306</v>
      </c>
      <c r="F442" s="27" t="s">
        <v>3303</v>
      </c>
      <c r="G442" s="27" t="s">
        <v>58</v>
      </c>
      <c r="H442" s="23">
        <v>140.67519999999999</v>
      </c>
      <c r="I442" s="24">
        <v>7</v>
      </c>
      <c r="J442" s="24">
        <v>0</v>
      </c>
      <c r="K442" s="24">
        <v>0</v>
      </c>
      <c r="L442" s="41">
        <f>Table2[[#This Row],[Column1]]+Table2[[#This Row],[Column2]]</f>
        <v>0</v>
      </c>
      <c r="M442" s="42">
        <f>Table2[[#This Row],[OnHandQty]]-Table2[[#This Row],[Projection Nov/Dec]]</f>
        <v>7</v>
      </c>
      <c r="N442" s="35">
        <f>Table2[[#This Row],[OverStock]]*Table2[[#This Row],[RepCost]]</f>
        <v>984.7263999999999</v>
      </c>
      <c r="O442" s="25">
        <v>45006.34097222222</v>
      </c>
      <c r="P442" s="26" t="s">
        <v>3163</v>
      </c>
    </row>
    <row r="443" spans="1:16" x14ac:dyDescent="0.25">
      <c r="A443" s="20" t="s">
        <v>5211</v>
      </c>
      <c r="B443" s="21">
        <v>714</v>
      </c>
      <c r="C443" s="22" t="s">
        <v>323</v>
      </c>
      <c r="D443" s="22" t="s">
        <v>3161</v>
      </c>
      <c r="E443" s="22" t="str">
        <f>CONCATENATE(B443,D443)</f>
        <v>71462979-307</v>
      </c>
      <c r="F443" s="27" t="s">
        <v>3162</v>
      </c>
      <c r="G443" s="27" t="s">
        <v>58</v>
      </c>
      <c r="H443" s="23">
        <v>151.47839999999999</v>
      </c>
      <c r="I443" s="24">
        <v>16</v>
      </c>
      <c r="J443" s="24">
        <v>0</v>
      </c>
      <c r="K443" s="24">
        <v>0</v>
      </c>
      <c r="L443" s="41">
        <f>Table2[[#This Row],[Column1]]+Table2[[#This Row],[Column2]]</f>
        <v>0</v>
      </c>
      <c r="M443" s="42">
        <f>Table2[[#This Row],[OnHandQty]]-Table2[[#This Row],[Projection Nov/Dec]]</f>
        <v>16</v>
      </c>
      <c r="N443" s="35">
        <f>Table2[[#This Row],[OverStock]]*Table2[[#This Row],[RepCost]]</f>
        <v>2423.6543999999999</v>
      </c>
      <c r="O443" s="25">
        <v>45006.34097222222</v>
      </c>
      <c r="P443" s="26" t="s">
        <v>3163</v>
      </c>
    </row>
    <row r="444" spans="1:16" x14ac:dyDescent="0.25">
      <c r="A444" s="20" t="s">
        <v>5211</v>
      </c>
      <c r="B444" s="21">
        <v>714</v>
      </c>
      <c r="C444" s="22" t="s">
        <v>323</v>
      </c>
      <c r="D444" s="22" t="s">
        <v>3115</v>
      </c>
      <c r="E444" s="22" t="str">
        <f>CONCATENATE(B444,D444)</f>
        <v>71462979-120-8FT</v>
      </c>
      <c r="F444" s="22" t="s">
        <v>3116</v>
      </c>
      <c r="G444" s="22" t="s">
        <v>19</v>
      </c>
      <c r="H444" s="23">
        <v>246.63810000000001</v>
      </c>
      <c r="I444" s="24">
        <v>4</v>
      </c>
      <c r="J444" s="24">
        <v>0</v>
      </c>
      <c r="K444" s="24">
        <v>0</v>
      </c>
      <c r="L444" s="41">
        <f>Table2[[#This Row],[Column1]]+Table2[[#This Row],[Column2]]</f>
        <v>0</v>
      </c>
      <c r="M444" s="42">
        <f>Table2[[#This Row],[OnHandQty]]-Table2[[#This Row],[Projection Nov/Dec]]</f>
        <v>4</v>
      </c>
      <c r="N444" s="35">
        <f>Table2[[#This Row],[OverStock]]*Table2[[#This Row],[RepCost]]</f>
        <v>986.55240000000003</v>
      </c>
      <c r="O444" s="25">
        <v>46118.304861111108</v>
      </c>
      <c r="P444" s="26" t="s">
        <v>2423</v>
      </c>
    </row>
    <row r="445" spans="1:16" x14ac:dyDescent="0.25">
      <c r="A445" s="20" t="s">
        <v>5211</v>
      </c>
      <c r="B445" s="21">
        <v>714</v>
      </c>
      <c r="C445" s="22" t="s">
        <v>323</v>
      </c>
      <c r="D445" s="22" t="s">
        <v>3506</v>
      </c>
      <c r="E445" s="22" t="str">
        <f>CONCATENATE(B445,D445)</f>
        <v>71462980-110</v>
      </c>
      <c r="F445" s="27" t="s">
        <v>3507</v>
      </c>
      <c r="G445" s="27" t="s">
        <v>58</v>
      </c>
      <c r="H445" s="23">
        <v>109.8704</v>
      </c>
      <c r="I445" s="24">
        <v>1</v>
      </c>
      <c r="J445" s="24">
        <v>0</v>
      </c>
      <c r="K445" s="24">
        <v>0</v>
      </c>
      <c r="L445" s="41">
        <f>Table2[[#This Row],[Column1]]+Table2[[#This Row],[Column2]]</f>
        <v>0</v>
      </c>
      <c r="M445" s="42">
        <f>Table2[[#This Row],[OnHandQty]]-Table2[[#This Row],[Projection Nov/Dec]]</f>
        <v>1</v>
      </c>
      <c r="N445" s="35">
        <f>Table2[[#This Row],[OverStock]]*Table2[[#This Row],[RepCost]]</f>
        <v>109.8704</v>
      </c>
      <c r="O445" s="25">
        <v>45013.480555555558</v>
      </c>
      <c r="P445" s="26" t="s">
        <v>137</v>
      </c>
    </row>
    <row r="446" spans="1:16" x14ac:dyDescent="0.25">
      <c r="A446" s="20" t="s">
        <v>5211</v>
      </c>
      <c r="B446" s="21">
        <v>714</v>
      </c>
      <c r="C446" s="22" t="s">
        <v>323</v>
      </c>
      <c r="D446" s="22" t="s">
        <v>3081</v>
      </c>
      <c r="E446" s="22" t="str">
        <f>CONCATENATE(B446,D446)</f>
        <v>71462980-SE125</v>
      </c>
      <c r="F446" s="22" t="s">
        <v>3082</v>
      </c>
      <c r="G446" s="22" t="s">
        <v>29</v>
      </c>
      <c r="H446" s="23">
        <v>225.61250000000001</v>
      </c>
      <c r="I446" s="24">
        <v>1</v>
      </c>
      <c r="J446" s="24">
        <v>0</v>
      </c>
      <c r="K446" s="24">
        <v>0</v>
      </c>
      <c r="L446" s="41">
        <f>Table2[[#This Row],[Column1]]+Table2[[#This Row],[Column2]]</f>
        <v>0</v>
      </c>
      <c r="M446" s="42">
        <f>Table2[[#This Row],[OnHandQty]]-Table2[[#This Row],[Projection Nov/Dec]]</f>
        <v>1</v>
      </c>
      <c r="N446" s="35">
        <f>Table2[[#This Row],[OverStock]]*Table2[[#This Row],[RepCost]]</f>
        <v>225.61250000000001</v>
      </c>
      <c r="O446" s="25">
        <v>44674.905555555553</v>
      </c>
      <c r="P446" s="26" t="s">
        <v>137</v>
      </c>
    </row>
    <row r="447" spans="1:16" x14ac:dyDescent="0.25">
      <c r="A447" s="20" t="s">
        <v>5211</v>
      </c>
      <c r="B447" s="21">
        <v>714</v>
      </c>
      <c r="C447" s="22" t="s">
        <v>323</v>
      </c>
      <c r="D447" s="22" t="s">
        <v>3300</v>
      </c>
      <c r="E447" s="22" t="str">
        <f>CONCATENATE(B447,D447)</f>
        <v>71462980-SE305</v>
      </c>
      <c r="F447" s="22" t="s">
        <v>3301</v>
      </c>
      <c r="G447" s="22" t="s">
        <v>23</v>
      </c>
      <c r="H447" s="23">
        <v>181.56979999999999</v>
      </c>
      <c r="I447" s="24">
        <v>3</v>
      </c>
      <c r="J447" s="24">
        <v>0</v>
      </c>
      <c r="K447" s="24">
        <v>0</v>
      </c>
      <c r="L447" s="41">
        <f>Table2[[#This Row],[Column1]]+Table2[[#This Row],[Column2]]</f>
        <v>0</v>
      </c>
      <c r="M447" s="42">
        <f>Table2[[#This Row],[OnHandQty]]-Table2[[#This Row],[Projection Nov/Dec]]</f>
        <v>3</v>
      </c>
      <c r="N447" s="35">
        <f>Table2[[#This Row],[OverStock]]*Table2[[#This Row],[RepCost]]</f>
        <v>544.70939999999996</v>
      </c>
      <c r="O447" s="25">
        <v>46183.605555555558</v>
      </c>
      <c r="P447" s="26" t="s">
        <v>1535</v>
      </c>
    </row>
    <row r="448" spans="1:16" x14ac:dyDescent="0.25">
      <c r="A448" s="20" t="s">
        <v>5211</v>
      </c>
      <c r="B448" s="21">
        <v>714</v>
      </c>
      <c r="C448" s="22" t="s">
        <v>323</v>
      </c>
      <c r="D448" s="22" t="s">
        <v>3178</v>
      </c>
      <c r="E448" s="22" t="str">
        <f>CONCATENATE(B448,D448)</f>
        <v>71462980-SE105</v>
      </c>
      <c r="F448" s="22" t="s">
        <v>3179</v>
      </c>
      <c r="G448" s="22" t="s">
        <v>29</v>
      </c>
      <c r="H448" s="23">
        <v>89.373900000000006</v>
      </c>
      <c r="I448" s="24">
        <v>2</v>
      </c>
      <c r="J448" s="24">
        <v>0</v>
      </c>
      <c r="K448" s="24">
        <v>0</v>
      </c>
      <c r="L448" s="41">
        <f>Table2[[#This Row],[Column1]]+Table2[[#This Row],[Column2]]</f>
        <v>0</v>
      </c>
      <c r="M448" s="42">
        <f>Table2[[#This Row],[OnHandQty]]-Table2[[#This Row],[Projection Nov/Dec]]</f>
        <v>2</v>
      </c>
      <c r="N448" s="35">
        <f>Table2[[#This Row],[OverStock]]*Table2[[#This Row],[RepCost]]</f>
        <v>178.74780000000001</v>
      </c>
      <c r="O448" s="25">
        <v>45924.586805555555</v>
      </c>
      <c r="P448" s="26" t="s">
        <v>36</v>
      </c>
    </row>
    <row r="449" spans="1:16" x14ac:dyDescent="0.25">
      <c r="A449" s="20" t="s">
        <v>5211</v>
      </c>
      <c r="B449" s="21">
        <v>714</v>
      </c>
      <c r="C449" s="22" t="s">
        <v>323</v>
      </c>
      <c r="D449" s="22" t="s">
        <v>3338</v>
      </c>
      <c r="E449" s="22" t="str">
        <f>CONCATENATE(B449,D449)</f>
        <v>71462980-SE306</v>
      </c>
      <c r="F449" s="22" t="s">
        <v>3339</v>
      </c>
      <c r="G449" s="22" t="s">
        <v>29</v>
      </c>
      <c r="H449" s="23">
        <v>118.2852</v>
      </c>
      <c r="I449" s="24">
        <v>1</v>
      </c>
      <c r="J449" s="24">
        <v>0</v>
      </c>
      <c r="K449" s="24">
        <v>0</v>
      </c>
      <c r="L449" s="41">
        <f>Table2[[#This Row],[Column1]]+Table2[[#This Row],[Column2]]</f>
        <v>0</v>
      </c>
      <c r="M449" s="42">
        <f>Table2[[#This Row],[OnHandQty]]-Table2[[#This Row],[Projection Nov/Dec]]</f>
        <v>1</v>
      </c>
      <c r="N449" s="35">
        <f>Table2[[#This Row],[OverStock]]*Table2[[#This Row],[RepCost]]</f>
        <v>118.2852</v>
      </c>
      <c r="O449" s="25">
        <v>45000.415972222225</v>
      </c>
      <c r="P449" s="26" t="s">
        <v>363</v>
      </c>
    </row>
    <row r="450" spans="1:16" x14ac:dyDescent="0.25">
      <c r="A450" s="20" t="s">
        <v>5211</v>
      </c>
      <c r="B450" s="21">
        <v>714</v>
      </c>
      <c r="C450" s="22" t="s">
        <v>323</v>
      </c>
      <c r="D450" s="22" t="s">
        <v>2899</v>
      </c>
      <c r="E450" s="22" t="str">
        <f>CONCATENATE(B450,D450)</f>
        <v>71462980-SE107</v>
      </c>
      <c r="F450" s="22" t="s">
        <v>2900</v>
      </c>
      <c r="G450" s="22" t="s">
        <v>158</v>
      </c>
      <c r="H450" s="23">
        <v>154.5403</v>
      </c>
      <c r="I450" s="24">
        <v>3</v>
      </c>
      <c r="J450" s="24">
        <v>0</v>
      </c>
      <c r="K450" s="24">
        <v>0</v>
      </c>
      <c r="L450" s="41">
        <f>Table2[[#This Row],[Column1]]+Table2[[#This Row],[Column2]]</f>
        <v>0</v>
      </c>
      <c r="M450" s="42">
        <f>Table2[[#This Row],[OnHandQty]]-Table2[[#This Row],[Projection Nov/Dec]]</f>
        <v>3</v>
      </c>
      <c r="N450" s="35">
        <f>Table2[[#This Row],[OverStock]]*Table2[[#This Row],[RepCost]]</f>
        <v>463.62090000000001</v>
      </c>
      <c r="O450" s="25">
        <v>46143.318749999999</v>
      </c>
      <c r="P450" s="26" t="s">
        <v>36</v>
      </c>
    </row>
    <row r="451" spans="1:16" x14ac:dyDescent="0.25">
      <c r="A451" s="20" t="s">
        <v>5211</v>
      </c>
      <c r="B451" s="21">
        <v>714</v>
      </c>
      <c r="C451" s="22" t="s">
        <v>323</v>
      </c>
      <c r="D451" s="22" t="s">
        <v>3101</v>
      </c>
      <c r="E451" s="22" t="str">
        <f>CONCATENATE(B451,D451)</f>
        <v>71476248-115-48IN</v>
      </c>
      <c r="F451" s="22" t="s">
        <v>3102</v>
      </c>
      <c r="G451" s="22" t="s">
        <v>29</v>
      </c>
      <c r="H451" s="23">
        <v>109.7427</v>
      </c>
      <c r="I451" s="24">
        <v>1</v>
      </c>
      <c r="J451" s="24">
        <v>0</v>
      </c>
      <c r="K451" s="24">
        <v>0</v>
      </c>
      <c r="L451" s="41">
        <f>Table2[[#This Row],[Column1]]+Table2[[#This Row],[Column2]]</f>
        <v>0</v>
      </c>
      <c r="M451" s="42">
        <f>Table2[[#This Row],[OnHandQty]]-Table2[[#This Row],[Projection Nov/Dec]]</f>
        <v>1</v>
      </c>
      <c r="N451" s="35">
        <f>Table2[[#This Row],[OverStock]]*Table2[[#This Row],[RepCost]]</f>
        <v>109.7427</v>
      </c>
      <c r="O451" s="25">
        <v>46098.381249999999</v>
      </c>
      <c r="P451" s="26" t="s">
        <v>885</v>
      </c>
    </row>
    <row r="452" spans="1:16" x14ac:dyDescent="0.25">
      <c r="A452" s="20" t="s">
        <v>5211</v>
      </c>
      <c r="B452" s="21">
        <v>718</v>
      </c>
      <c r="C452" s="22" t="s">
        <v>323</v>
      </c>
      <c r="D452" s="22" t="s">
        <v>3101</v>
      </c>
      <c r="E452" s="22" t="str">
        <f>CONCATENATE(B452,D452)</f>
        <v>71876248-115-48IN</v>
      </c>
      <c r="F452" s="22" t="s">
        <v>3102</v>
      </c>
      <c r="G452" s="22" t="s">
        <v>23</v>
      </c>
      <c r="H452" s="23">
        <v>116.1601</v>
      </c>
      <c r="I452" s="24">
        <v>1</v>
      </c>
      <c r="J452" s="24">
        <v>0</v>
      </c>
      <c r="K452" s="24">
        <v>0</v>
      </c>
      <c r="L452" s="41">
        <f>Table2[[#This Row],[Column1]]+Table2[[#This Row],[Column2]]</f>
        <v>0</v>
      </c>
      <c r="M452" s="42">
        <f>Table2[[#This Row],[OnHandQty]]-Table2[[#This Row],[Projection Nov/Dec]]</f>
        <v>1</v>
      </c>
      <c r="N452" s="35">
        <f>Table2[[#This Row],[OverStock]]*Table2[[#This Row],[RepCost]]</f>
        <v>116.1601</v>
      </c>
      <c r="O452" s="25">
        <v>46139.576388888891</v>
      </c>
      <c r="P452" s="26" t="s">
        <v>885</v>
      </c>
    </row>
    <row r="453" spans="1:16" x14ac:dyDescent="0.25">
      <c r="A453" s="20" t="s">
        <v>5211</v>
      </c>
      <c r="B453" s="21">
        <v>636</v>
      </c>
      <c r="C453" s="22" t="s">
        <v>323</v>
      </c>
      <c r="D453" s="22" t="s">
        <v>1398</v>
      </c>
      <c r="E453" s="22" t="str">
        <f>CONCATENATE(B453,D453)</f>
        <v>63676248-305</v>
      </c>
      <c r="F453" s="22" t="s">
        <v>1399</v>
      </c>
      <c r="G453" s="22" t="s">
        <v>1400</v>
      </c>
      <c r="H453" s="23">
        <v>160.22710000000001</v>
      </c>
      <c r="I453" s="24">
        <v>3</v>
      </c>
      <c r="J453" s="24">
        <v>0</v>
      </c>
      <c r="K453" s="24">
        <v>1</v>
      </c>
      <c r="L453" s="41">
        <f>Table2[[#This Row],[Column1]]+Table2[[#This Row],[Column2]]</f>
        <v>1</v>
      </c>
      <c r="M453" s="42">
        <f>Table2[[#This Row],[OnHandQty]]-Table2[[#This Row],[Projection Nov/Dec]]</f>
        <v>2</v>
      </c>
      <c r="N453" s="35">
        <f>Table2[[#This Row],[OverStock]]*Table2[[#This Row],[RepCost]]</f>
        <v>320.45420000000001</v>
      </c>
      <c r="O453" s="25">
        <v>45755.520833333336</v>
      </c>
      <c r="P453" s="26" t="s">
        <v>501</v>
      </c>
    </row>
    <row r="454" spans="1:16" x14ac:dyDescent="0.25">
      <c r="A454" s="20" t="s">
        <v>5211</v>
      </c>
      <c r="B454" s="21">
        <v>714</v>
      </c>
      <c r="C454" s="22" t="s">
        <v>323</v>
      </c>
      <c r="D454" s="22" t="s">
        <v>1398</v>
      </c>
      <c r="E454" s="22" t="str">
        <f>CONCATENATE(B454,D454)</f>
        <v>71476248-305</v>
      </c>
      <c r="F454" s="22" t="s">
        <v>1399</v>
      </c>
      <c r="G454" s="22" t="s">
        <v>19</v>
      </c>
      <c r="H454" s="23">
        <v>191.97290000000001</v>
      </c>
      <c r="I454" s="24">
        <v>6</v>
      </c>
      <c r="J454" s="24">
        <v>0</v>
      </c>
      <c r="K454" s="24">
        <v>1</v>
      </c>
      <c r="L454" s="41">
        <f>Table2[[#This Row],[Column1]]+Table2[[#This Row],[Column2]]</f>
        <v>1</v>
      </c>
      <c r="M454" s="42">
        <f>Table2[[#This Row],[OnHandQty]]-Table2[[#This Row],[Projection Nov/Dec]]</f>
        <v>5</v>
      </c>
      <c r="N454" s="35">
        <f>Table2[[#This Row],[OverStock]]*Table2[[#This Row],[RepCost]]</f>
        <v>959.86450000000002</v>
      </c>
      <c r="O454" s="25">
        <v>45776.645833333336</v>
      </c>
      <c r="P454" s="26" t="s">
        <v>501</v>
      </c>
    </row>
    <row r="455" spans="1:16" x14ac:dyDescent="0.25">
      <c r="A455" s="20" t="s">
        <v>5211</v>
      </c>
      <c r="B455" s="21">
        <v>636</v>
      </c>
      <c r="C455" s="22" t="s">
        <v>323</v>
      </c>
      <c r="D455" s="22" t="s">
        <v>1382</v>
      </c>
      <c r="E455" s="22" t="str">
        <f>CONCATENATE(B455,D455)</f>
        <v>63662967-316</v>
      </c>
      <c r="F455" s="22" t="s">
        <v>1383</v>
      </c>
      <c r="G455" s="22" t="s">
        <v>29</v>
      </c>
      <c r="H455" s="23">
        <v>636.71479999999997</v>
      </c>
      <c r="I455" s="24">
        <v>1</v>
      </c>
      <c r="J455" s="24">
        <v>0</v>
      </c>
      <c r="K455" s="24">
        <v>0</v>
      </c>
      <c r="L455" s="41">
        <f>Table2[[#This Row],[Column1]]+Table2[[#This Row],[Column2]]</f>
        <v>0</v>
      </c>
      <c r="M455" s="42">
        <f>Table2[[#This Row],[OnHandQty]]-Table2[[#This Row],[Projection Nov/Dec]]</f>
        <v>1</v>
      </c>
      <c r="N455" s="35">
        <f>Table2[[#This Row],[OverStock]]*Table2[[#This Row],[RepCost]]</f>
        <v>636.71479999999997</v>
      </c>
      <c r="O455" s="25">
        <v>46128.310416666667</v>
      </c>
      <c r="P455" s="26" t="s">
        <v>178</v>
      </c>
    </row>
    <row r="456" spans="1:16" x14ac:dyDescent="0.25">
      <c r="A456" s="20" t="s">
        <v>5211</v>
      </c>
      <c r="B456" s="21">
        <v>714</v>
      </c>
      <c r="C456" s="22" t="s">
        <v>323</v>
      </c>
      <c r="D456" s="22" t="s">
        <v>2814</v>
      </c>
      <c r="E456" s="22" t="str">
        <f>CONCATENATE(B456,D456)</f>
        <v>71462967-306</v>
      </c>
      <c r="F456" s="27" t="s">
        <v>2815</v>
      </c>
      <c r="G456" s="27" t="s">
        <v>58</v>
      </c>
      <c r="H456" s="23">
        <v>135.96109999999999</v>
      </c>
      <c r="I456" s="24">
        <v>2</v>
      </c>
      <c r="J456" s="24">
        <v>0</v>
      </c>
      <c r="K456" s="24">
        <v>0</v>
      </c>
      <c r="L456" s="41">
        <f>Table2[[#This Row],[Column1]]+Table2[[#This Row],[Column2]]</f>
        <v>0</v>
      </c>
      <c r="M456" s="42">
        <f>Table2[[#This Row],[OnHandQty]]-Table2[[#This Row],[Projection Nov/Dec]]</f>
        <v>2</v>
      </c>
      <c r="N456" s="35">
        <f>Table2[[#This Row],[OverStock]]*Table2[[#This Row],[RepCost]]</f>
        <v>271.92219999999998</v>
      </c>
      <c r="O456" s="25">
        <v>44642.363888888889</v>
      </c>
      <c r="P456" s="26" t="s">
        <v>2816</v>
      </c>
    </row>
    <row r="457" spans="1:16" x14ac:dyDescent="0.25">
      <c r="A457" s="20" t="s">
        <v>5211</v>
      </c>
      <c r="B457" s="21">
        <v>718</v>
      </c>
      <c r="C457" s="22" t="s">
        <v>323</v>
      </c>
      <c r="D457" s="22" t="s">
        <v>3954</v>
      </c>
      <c r="E457" s="22" t="str">
        <f>CONCATENATE(B457,D457)</f>
        <v>71862967-307</v>
      </c>
      <c r="F457" s="22" t="s">
        <v>3955</v>
      </c>
      <c r="G457" s="22" t="s">
        <v>29</v>
      </c>
      <c r="H457" s="23">
        <v>129.16900000000001</v>
      </c>
      <c r="I457" s="24">
        <v>2</v>
      </c>
      <c r="J457" s="24">
        <v>0</v>
      </c>
      <c r="K457" s="24">
        <v>0</v>
      </c>
      <c r="L457" s="41">
        <f>Table2[[#This Row],[Column1]]+Table2[[#This Row],[Column2]]</f>
        <v>0</v>
      </c>
      <c r="M457" s="42">
        <f>Table2[[#This Row],[OnHandQty]]-Table2[[#This Row],[Projection Nov/Dec]]</f>
        <v>2</v>
      </c>
      <c r="N457" s="35">
        <f>Table2[[#This Row],[OverStock]]*Table2[[#This Row],[RepCost]]</f>
        <v>258.33800000000002</v>
      </c>
      <c r="O457" s="25">
        <v>45761.745833333334</v>
      </c>
      <c r="P457" s="26" t="s">
        <v>2898</v>
      </c>
    </row>
    <row r="458" spans="1:16" x14ac:dyDescent="0.25">
      <c r="A458" s="20" t="s">
        <v>5211</v>
      </c>
      <c r="B458" s="21">
        <v>718</v>
      </c>
      <c r="C458" s="22" t="s">
        <v>323</v>
      </c>
      <c r="D458" s="22" t="s">
        <v>3294</v>
      </c>
      <c r="E458" s="22" t="str">
        <f>CONCATENATE(B458,D458)</f>
        <v>71862975-307</v>
      </c>
      <c r="F458" s="22" t="s">
        <v>3295</v>
      </c>
      <c r="G458" s="22" t="s">
        <v>23</v>
      </c>
      <c r="H458" s="23">
        <v>144.96039999999999</v>
      </c>
      <c r="I458" s="24">
        <v>1</v>
      </c>
      <c r="J458" s="24">
        <v>0</v>
      </c>
      <c r="K458" s="24">
        <v>0</v>
      </c>
      <c r="L458" s="41">
        <f>Table2[[#This Row],[Column1]]+Table2[[#This Row],[Column2]]</f>
        <v>0</v>
      </c>
      <c r="M458" s="42">
        <f>Table2[[#This Row],[OnHandQty]]-Table2[[#This Row],[Projection Nov/Dec]]</f>
        <v>1</v>
      </c>
      <c r="N458" s="35">
        <f>Table2[[#This Row],[OverStock]]*Table2[[#This Row],[RepCost]]</f>
        <v>144.96039999999999</v>
      </c>
      <c r="O458" s="25">
        <v>46084.40347222222</v>
      </c>
      <c r="P458" s="26" t="s">
        <v>137</v>
      </c>
    </row>
    <row r="459" spans="1:16" x14ac:dyDescent="0.25">
      <c r="A459" s="20" t="s">
        <v>5211</v>
      </c>
      <c r="B459" s="21">
        <v>714</v>
      </c>
      <c r="C459" s="22" t="s">
        <v>323</v>
      </c>
      <c r="D459" s="22" t="s">
        <v>3294</v>
      </c>
      <c r="E459" s="22" t="str">
        <f>CONCATENATE(B459,D459)</f>
        <v>71462975-307</v>
      </c>
      <c r="F459" s="22" t="s">
        <v>3295</v>
      </c>
      <c r="G459" s="22" t="s">
        <v>29</v>
      </c>
      <c r="H459" s="23">
        <v>166.4898</v>
      </c>
      <c r="I459" s="24">
        <v>5</v>
      </c>
      <c r="J459" s="24">
        <v>0</v>
      </c>
      <c r="K459" s="24">
        <v>0</v>
      </c>
      <c r="L459" s="41">
        <f>Table2[[#This Row],[Column1]]+Table2[[#This Row],[Column2]]</f>
        <v>0</v>
      </c>
      <c r="M459" s="42">
        <f>Table2[[#This Row],[OnHandQty]]-Table2[[#This Row],[Projection Nov/Dec]]</f>
        <v>5</v>
      </c>
      <c r="N459" s="35">
        <f>Table2[[#This Row],[OverStock]]*Table2[[#This Row],[RepCost]]</f>
        <v>832.44900000000007</v>
      </c>
      <c r="O459" s="25">
        <v>46148.463888888888</v>
      </c>
      <c r="P459" s="26" t="s">
        <v>137</v>
      </c>
    </row>
    <row r="460" spans="1:16" x14ac:dyDescent="0.25">
      <c r="A460" s="20" t="s">
        <v>5211</v>
      </c>
      <c r="B460" s="21">
        <v>718</v>
      </c>
      <c r="C460" s="22" t="s">
        <v>323</v>
      </c>
      <c r="D460" s="22" t="s">
        <v>3830</v>
      </c>
      <c r="E460" s="22" t="str">
        <f>CONCATENATE(B460,D460)</f>
        <v>71876252-105</v>
      </c>
      <c r="F460" s="22" t="s">
        <v>3831</v>
      </c>
      <c r="G460" s="22" t="s">
        <v>35</v>
      </c>
      <c r="H460" s="23">
        <v>61.251399999999997</v>
      </c>
      <c r="I460" s="24">
        <v>7</v>
      </c>
      <c r="J460" s="24">
        <v>0</v>
      </c>
      <c r="K460" s="24">
        <v>0</v>
      </c>
      <c r="L460" s="41">
        <f>Table2[[#This Row],[Column1]]+Table2[[#This Row],[Column2]]</f>
        <v>0</v>
      </c>
      <c r="M460" s="42">
        <f>Table2[[#This Row],[OnHandQty]]-Table2[[#This Row],[Projection Nov/Dec]]</f>
        <v>7</v>
      </c>
      <c r="N460" s="35">
        <f>Table2[[#This Row],[OverStock]]*Table2[[#This Row],[RepCost]]</f>
        <v>428.75979999999998</v>
      </c>
      <c r="O460" s="25">
        <v>46112.350694444445</v>
      </c>
      <c r="P460" s="26" t="s">
        <v>36</v>
      </c>
    </row>
    <row r="461" spans="1:16" x14ac:dyDescent="0.25">
      <c r="A461" s="20" t="s">
        <v>5211</v>
      </c>
      <c r="B461" s="21">
        <v>714</v>
      </c>
      <c r="C461" s="22" t="s">
        <v>323</v>
      </c>
      <c r="D461" s="22" t="s">
        <v>3033</v>
      </c>
      <c r="E461" s="22" t="str">
        <f>CONCATENATE(B461,D461)</f>
        <v>71481722-105</v>
      </c>
      <c r="F461" s="22" t="s">
        <v>3034</v>
      </c>
      <c r="G461" s="22" t="s">
        <v>39</v>
      </c>
      <c r="H461" s="23">
        <v>62.985999999999997</v>
      </c>
      <c r="I461" s="24">
        <v>3</v>
      </c>
      <c r="J461" s="24">
        <v>1</v>
      </c>
      <c r="K461" s="24">
        <v>0</v>
      </c>
      <c r="L461" s="41">
        <f>Table2[[#This Row],[Column1]]+Table2[[#This Row],[Column2]]</f>
        <v>1</v>
      </c>
      <c r="M461" s="42">
        <f>Table2[[#This Row],[OnHandQty]]-Table2[[#This Row],[Projection Nov/Dec]]</f>
        <v>2</v>
      </c>
      <c r="N461" s="35">
        <f>Table2[[#This Row],[OverStock]]*Table2[[#This Row],[RepCost]]</f>
        <v>125.97199999999999</v>
      </c>
      <c r="O461" s="25">
        <v>46112.315972222219</v>
      </c>
      <c r="P461" s="26" t="s">
        <v>36</v>
      </c>
    </row>
    <row r="462" spans="1:16" x14ac:dyDescent="0.25">
      <c r="A462" s="20" t="s">
        <v>5211</v>
      </c>
      <c r="B462" s="21">
        <v>714</v>
      </c>
      <c r="C462" s="22" t="s">
        <v>323</v>
      </c>
      <c r="D462" s="22" t="s">
        <v>3029</v>
      </c>
      <c r="E462" s="22" t="str">
        <f>CONCATENATE(B462,D462)</f>
        <v>71476253-310</v>
      </c>
      <c r="F462" s="22" t="s">
        <v>3030</v>
      </c>
      <c r="G462" s="22" t="s">
        <v>29</v>
      </c>
      <c r="H462" s="23">
        <v>383.404</v>
      </c>
      <c r="I462" s="24">
        <v>2</v>
      </c>
      <c r="J462" s="24">
        <v>0</v>
      </c>
      <c r="K462" s="24">
        <v>0</v>
      </c>
      <c r="L462" s="41">
        <f>Table2[[#This Row],[Column1]]+Table2[[#This Row],[Column2]]</f>
        <v>0</v>
      </c>
      <c r="M462" s="42">
        <f>Table2[[#This Row],[OnHandQty]]-Table2[[#This Row],[Projection Nov/Dec]]</f>
        <v>2</v>
      </c>
      <c r="N462" s="35">
        <f>Table2[[#This Row],[OverStock]]*Table2[[#This Row],[RepCost]]</f>
        <v>766.80799999999999</v>
      </c>
      <c r="O462" s="25">
        <v>46126.711805555555</v>
      </c>
      <c r="P462" s="26" t="s">
        <v>178</v>
      </c>
    </row>
    <row r="463" spans="1:16" x14ac:dyDescent="0.25">
      <c r="A463" s="20" t="s">
        <v>5211</v>
      </c>
      <c r="B463" s="21">
        <v>714</v>
      </c>
      <c r="C463" s="22" t="s">
        <v>323</v>
      </c>
      <c r="D463" s="22" t="s">
        <v>2840</v>
      </c>
      <c r="E463" s="22" t="str">
        <f>CONCATENATE(B463,D463)</f>
        <v>71476253-312</v>
      </c>
      <c r="F463" s="22" t="s">
        <v>2841</v>
      </c>
      <c r="G463" s="22" t="s">
        <v>29</v>
      </c>
      <c r="H463" s="23">
        <v>444.26179999999999</v>
      </c>
      <c r="I463" s="24">
        <v>2</v>
      </c>
      <c r="J463" s="24">
        <v>0</v>
      </c>
      <c r="K463" s="24">
        <v>0</v>
      </c>
      <c r="L463" s="41">
        <f>Table2[[#This Row],[Column1]]+Table2[[#This Row],[Column2]]</f>
        <v>0</v>
      </c>
      <c r="M463" s="42">
        <f>Table2[[#This Row],[OnHandQty]]-Table2[[#This Row],[Projection Nov/Dec]]</f>
        <v>2</v>
      </c>
      <c r="N463" s="35">
        <f>Table2[[#This Row],[OverStock]]*Table2[[#This Row],[RepCost]]</f>
        <v>888.52359999999999</v>
      </c>
      <c r="O463" s="25">
        <v>46126.711805555555</v>
      </c>
      <c r="P463" s="26" t="s">
        <v>178</v>
      </c>
    </row>
    <row r="464" spans="1:16" x14ac:dyDescent="0.25">
      <c r="A464" s="20" t="s">
        <v>5211</v>
      </c>
      <c r="B464" s="21">
        <v>714</v>
      </c>
      <c r="C464" s="22" t="s">
        <v>323</v>
      </c>
      <c r="D464" s="22" t="s">
        <v>3466</v>
      </c>
      <c r="E464" s="22" t="str">
        <f>CONCATENATE(B464,D464)</f>
        <v>71476255-115-7FT</v>
      </c>
      <c r="F464" s="22" t="s">
        <v>3467</v>
      </c>
      <c r="G464" s="22" t="s">
        <v>29</v>
      </c>
      <c r="H464" s="23">
        <v>122.1093</v>
      </c>
      <c r="I464" s="24">
        <v>5</v>
      </c>
      <c r="J464" s="24">
        <v>0</v>
      </c>
      <c r="K464" s="24">
        <v>0</v>
      </c>
      <c r="L464" s="41">
        <f>Table2[[#This Row],[Column1]]+Table2[[#This Row],[Column2]]</f>
        <v>0</v>
      </c>
      <c r="M464" s="42">
        <f>Table2[[#This Row],[OnHandQty]]-Table2[[#This Row],[Projection Nov/Dec]]</f>
        <v>5</v>
      </c>
      <c r="N464" s="35">
        <f>Table2[[#This Row],[OverStock]]*Table2[[#This Row],[RepCost]]</f>
        <v>610.54650000000004</v>
      </c>
      <c r="O464" s="25">
        <v>46098.381249999999</v>
      </c>
      <c r="P464" s="26" t="s">
        <v>885</v>
      </c>
    </row>
    <row r="465" spans="1:16" x14ac:dyDescent="0.25">
      <c r="A465" s="20" t="s">
        <v>5211</v>
      </c>
      <c r="B465" s="21">
        <v>718</v>
      </c>
      <c r="C465" s="22" t="s">
        <v>323</v>
      </c>
      <c r="D465" s="22" t="s">
        <v>3466</v>
      </c>
      <c r="E465" s="22" t="str">
        <f>CONCATENATE(B465,D465)</f>
        <v>71876255-115-7FT</v>
      </c>
      <c r="F465" s="22" t="s">
        <v>3467</v>
      </c>
      <c r="G465" s="22" t="s">
        <v>29</v>
      </c>
      <c r="H465" s="23">
        <v>129.2499</v>
      </c>
      <c r="I465" s="24">
        <v>4</v>
      </c>
      <c r="J465" s="24">
        <v>0</v>
      </c>
      <c r="K465" s="24">
        <v>0</v>
      </c>
      <c r="L465" s="41">
        <f>Table2[[#This Row],[Column1]]+Table2[[#This Row],[Column2]]</f>
        <v>0</v>
      </c>
      <c r="M465" s="42">
        <f>Table2[[#This Row],[OnHandQty]]-Table2[[#This Row],[Projection Nov/Dec]]</f>
        <v>4</v>
      </c>
      <c r="N465" s="35">
        <f>Table2[[#This Row],[OverStock]]*Table2[[#This Row],[RepCost]]</f>
        <v>516.99959999999999</v>
      </c>
      <c r="O465" s="25">
        <v>46139.576388888891</v>
      </c>
      <c r="P465" s="26" t="s">
        <v>885</v>
      </c>
    </row>
    <row r="466" spans="1:16" x14ac:dyDescent="0.25">
      <c r="A466" s="20" t="s">
        <v>5211</v>
      </c>
      <c r="B466" s="21">
        <v>718</v>
      </c>
      <c r="C466" s="22" t="s">
        <v>323</v>
      </c>
      <c r="D466" s="22" t="s">
        <v>3020</v>
      </c>
      <c r="E466" s="22" t="str">
        <f>CONCATENATE(B466,D466)</f>
        <v>71876255-307</v>
      </c>
      <c r="F466" s="27" t="s">
        <v>3021</v>
      </c>
      <c r="G466" s="27" t="s">
        <v>58</v>
      </c>
      <c r="H466" s="23">
        <v>129.16900000000001</v>
      </c>
      <c r="I466" s="24">
        <v>2</v>
      </c>
      <c r="J466" s="24">
        <v>0</v>
      </c>
      <c r="K466" s="24">
        <v>0</v>
      </c>
      <c r="L466" s="41">
        <f>Table2[[#This Row],[Column1]]+Table2[[#This Row],[Column2]]</f>
        <v>0</v>
      </c>
      <c r="M466" s="42">
        <f>Table2[[#This Row],[OnHandQty]]-Table2[[#This Row],[Projection Nov/Dec]]</f>
        <v>2</v>
      </c>
      <c r="N466" s="35">
        <f>Table2[[#This Row],[OverStock]]*Table2[[#This Row],[RepCost]]</f>
        <v>258.33800000000002</v>
      </c>
      <c r="O466" s="25">
        <v>45761.745833333334</v>
      </c>
      <c r="P466" s="26" t="s">
        <v>2898</v>
      </c>
    </row>
    <row r="467" spans="1:16" x14ac:dyDescent="0.25">
      <c r="A467" s="20" t="s">
        <v>5211</v>
      </c>
      <c r="B467" s="21">
        <v>714</v>
      </c>
      <c r="C467" s="22" t="s">
        <v>323</v>
      </c>
      <c r="D467" s="22" t="s">
        <v>3020</v>
      </c>
      <c r="E467" s="22" t="str">
        <f>CONCATENATE(B467,D467)</f>
        <v>71476255-307</v>
      </c>
      <c r="F467" s="27" t="s">
        <v>3021</v>
      </c>
      <c r="G467" s="27" t="s">
        <v>58</v>
      </c>
      <c r="H467" s="23">
        <v>128.63460000000001</v>
      </c>
      <c r="I467" s="24">
        <v>3</v>
      </c>
      <c r="J467" s="24">
        <v>0</v>
      </c>
      <c r="K467" s="24">
        <v>0</v>
      </c>
      <c r="L467" s="41">
        <f>Table2[[#This Row],[Column1]]+Table2[[#This Row],[Column2]]</f>
        <v>0</v>
      </c>
      <c r="M467" s="42">
        <f>Table2[[#This Row],[OnHandQty]]-Table2[[#This Row],[Projection Nov/Dec]]</f>
        <v>3</v>
      </c>
      <c r="N467" s="35">
        <f>Table2[[#This Row],[OverStock]]*Table2[[#This Row],[RepCost]]</f>
        <v>385.90380000000005</v>
      </c>
      <c r="O467" s="25">
        <v>45776.32708333333</v>
      </c>
      <c r="P467" s="26" t="s">
        <v>2898</v>
      </c>
    </row>
    <row r="468" spans="1:16" x14ac:dyDescent="0.25">
      <c r="A468" s="20" t="s">
        <v>5211</v>
      </c>
      <c r="B468" s="21">
        <v>714</v>
      </c>
      <c r="C468" s="22" t="s">
        <v>323</v>
      </c>
      <c r="D468" s="22" t="s">
        <v>3355</v>
      </c>
      <c r="E468" s="22" t="str">
        <f>CONCATENATE(B468,D468)</f>
        <v>71476255-308</v>
      </c>
      <c r="F468" s="22" t="s">
        <v>3356</v>
      </c>
      <c r="G468" s="22" t="s">
        <v>29</v>
      </c>
      <c r="H468" s="23">
        <v>208.47239999999999</v>
      </c>
      <c r="I468" s="24">
        <v>7</v>
      </c>
      <c r="J468" s="24">
        <v>0</v>
      </c>
      <c r="K468" s="24">
        <v>0</v>
      </c>
      <c r="L468" s="41">
        <f>Table2[[#This Row],[Column1]]+Table2[[#This Row],[Column2]]</f>
        <v>0</v>
      </c>
      <c r="M468" s="42">
        <f>Table2[[#This Row],[OnHandQty]]-Table2[[#This Row],[Projection Nov/Dec]]</f>
        <v>7</v>
      </c>
      <c r="N468" s="35">
        <f>Table2[[#This Row],[OverStock]]*Table2[[#This Row],[RepCost]]</f>
        <v>1459.3067999999998</v>
      </c>
      <c r="O468" s="25">
        <v>46104.46597222222</v>
      </c>
      <c r="P468" s="26" t="s">
        <v>137</v>
      </c>
    </row>
    <row r="469" spans="1:16" x14ac:dyDescent="0.25">
      <c r="A469" s="20" t="s">
        <v>5211</v>
      </c>
      <c r="B469" s="21">
        <v>718</v>
      </c>
      <c r="C469" s="22" t="s">
        <v>323</v>
      </c>
      <c r="D469" s="22" t="s">
        <v>3355</v>
      </c>
      <c r="E469" s="22" t="str">
        <f>CONCATENATE(B469,D469)</f>
        <v>71876255-308</v>
      </c>
      <c r="F469" s="22" t="s">
        <v>3356</v>
      </c>
      <c r="G469" s="22" t="s">
        <v>29</v>
      </c>
      <c r="H469" s="23">
        <v>226.00210000000001</v>
      </c>
      <c r="I469" s="24">
        <v>6</v>
      </c>
      <c r="J469" s="24">
        <v>0</v>
      </c>
      <c r="K469" s="24">
        <v>0</v>
      </c>
      <c r="L469" s="41">
        <f>Table2[[#This Row],[Column1]]+Table2[[#This Row],[Column2]]</f>
        <v>0</v>
      </c>
      <c r="M469" s="42">
        <f>Table2[[#This Row],[OnHandQty]]-Table2[[#This Row],[Projection Nov/Dec]]</f>
        <v>6</v>
      </c>
      <c r="N469" s="35">
        <f>Table2[[#This Row],[OverStock]]*Table2[[#This Row],[RepCost]]</f>
        <v>1356.0126</v>
      </c>
      <c r="O469" s="25">
        <v>46169.374305555553</v>
      </c>
      <c r="P469" s="26" t="s">
        <v>137</v>
      </c>
    </row>
    <row r="470" spans="1:16" x14ac:dyDescent="0.25">
      <c r="A470" s="20" t="s">
        <v>5211</v>
      </c>
      <c r="B470" s="21">
        <v>636</v>
      </c>
      <c r="C470" s="22" t="s">
        <v>323</v>
      </c>
      <c r="D470" s="22" t="s">
        <v>1300</v>
      </c>
      <c r="E470" s="22" t="str">
        <f>CONCATENATE(B470,D470)</f>
        <v>63662971-310</v>
      </c>
      <c r="F470" s="22" t="s">
        <v>1301</v>
      </c>
      <c r="G470" s="22" t="s">
        <v>29</v>
      </c>
      <c r="H470" s="23">
        <v>445.66750000000002</v>
      </c>
      <c r="I470" s="24">
        <v>4</v>
      </c>
      <c r="J470" s="24">
        <v>0</v>
      </c>
      <c r="K470" s="24">
        <v>0</v>
      </c>
      <c r="L470" s="41">
        <f>Table2[[#This Row],[Column1]]+Table2[[#This Row],[Column2]]</f>
        <v>0</v>
      </c>
      <c r="M470" s="42">
        <f>Table2[[#This Row],[OnHandQty]]-Table2[[#This Row],[Projection Nov/Dec]]</f>
        <v>4</v>
      </c>
      <c r="N470" s="35">
        <f>Table2[[#This Row],[OverStock]]*Table2[[#This Row],[RepCost]]</f>
        <v>1782.67</v>
      </c>
      <c r="O470" s="25">
        <v>46140.29583333333</v>
      </c>
      <c r="P470" s="26" t="s">
        <v>501</v>
      </c>
    </row>
    <row r="471" spans="1:16" x14ac:dyDescent="0.25">
      <c r="A471" s="20" t="s">
        <v>5211</v>
      </c>
      <c r="B471" s="21">
        <v>636</v>
      </c>
      <c r="C471" s="22" t="s">
        <v>323</v>
      </c>
      <c r="D471" s="22" t="s">
        <v>1733</v>
      </c>
      <c r="E471" s="22" t="str">
        <f>CONCATENATE(B471,D471)</f>
        <v>63662971-316</v>
      </c>
      <c r="F471" s="22" t="s">
        <v>1734</v>
      </c>
      <c r="G471" s="22" t="s">
        <v>29</v>
      </c>
      <c r="H471" s="23">
        <v>636.71479999999997</v>
      </c>
      <c r="I471" s="24">
        <v>2</v>
      </c>
      <c r="J471" s="24">
        <v>0</v>
      </c>
      <c r="K471" s="24">
        <v>0</v>
      </c>
      <c r="L471" s="41">
        <f>Table2[[#This Row],[Column1]]+Table2[[#This Row],[Column2]]</f>
        <v>0</v>
      </c>
      <c r="M471" s="42">
        <f>Table2[[#This Row],[OnHandQty]]-Table2[[#This Row],[Projection Nov/Dec]]</f>
        <v>2</v>
      </c>
      <c r="N471" s="35">
        <f>Table2[[#This Row],[OverStock]]*Table2[[#This Row],[RepCost]]</f>
        <v>1273.4295999999999</v>
      </c>
      <c r="O471" s="25">
        <v>46128.310416666667</v>
      </c>
      <c r="P471" s="26" t="s">
        <v>178</v>
      </c>
    </row>
    <row r="472" spans="1:16" x14ac:dyDescent="0.25">
      <c r="A472" s="20" t="s">
        <v>5211</v>
      </c>
      <c r="B472" s="21">
        <v>718</v>
      </c>
      <c r="C472" s="22" t="s">
        <v>323</v>
      </c>
      <c r="D472" s="22" t="s">
        <v>3956</v>
      </c>
      <c r="E472" s="22" t="str">
        <f>CONCATENATE(B472,D472)</f>
        <v>71862971-308</v>
      </c>
      <c r="F472" s="22" t="s">
        <v>3957</v>
      </c>
      <c r="G472" s="22" t="s">
        <v>29</v>
      </c>
      <c r="H472" s="23">
        <v>377.87029999999999</v>
      </c>
      <c r="I472" s="24">
        <v>1</v>
      </c>
      <c r="J472" s="24">
        <v>0</v>
      </c>
      <c r="K472" s="24">
        <v>0</v>
      </c>
      <c r="L472" s="41">
        <f>Table2[[#This Row],[Column1]]+Table2[[#This Row],[Column2]]</f>
        <v>0</v>
      </c>
      <c r="M472" s="42">
        <f>Table2[[#This Row],[OnHandQty]]-Table2[[#This Row],[Projection Nov/Dec]]</f>
        <v>1</v>
      </c>
      <c r="N472" s="35">
        <f>Table2[[#This Row],[OverStock]]*Table2[[#This Row],[RepCost]]</f>
        <v>377.87029999999999</v>
      </c>
      <c r="O472" s="25">
        <v>46147.688194444447</v>
      </c>
      <c r="P472" s="26" t="s">
        <v>2066</v>
      </c>
    </row>
    <row r="473" spans="1:16" x14ac:dyDescent="0.25">
      <c r="A473" s="20" t="s">
        <v>5211</v>
      </c>
      <c r="B473" s="21">
        <v>718</v>
      </c>
      <c r="C473" s="22" t="s">
        <v>323</v>
      </c>
      <c r="D473" s="22" t="s">
        <v>3899</v>
      </c>
      <c r="E473" s="22" t="str">
        <f>CONCATENATE(B473,D473)</f>
        <v>71879961-309</v>
      </c>
      <c r="F473" s="22" t="s">
        <v>3900</v>
      </c>
      <c r="G473" s="22" t="s">
        <v>19</v>
      </c>
      <c r="H473" s="23">
        <v>245.70769999999999</v>
      </c>
      <c r="I473" s="24">
        <v>1</v>
      </c>
      <c r="J473" s="24">
        <v>0</v>
      </c>
      <c r="K473" s="24">
        <v>0</v>
      </c>
      <c r="L473" s="41">
        <f>Table2[[#This Row],[Column1]]+Table2[[#This Row],[Column2]]</f>
        <v>0</v>
      </c>
      <c r="M473" s="42">
        <f>Table2[[#This Row],[OnHandQty]]-Table2[[#This Row],[Projection Nov/Dec]]</f>
        <v>1</v>
      </c>
      <c r="N473" s="35">
        <f>Table2[[#This Row],[OverStock]]*Table2[[#This Row],[RepCost]]</f>
        <v>245.70769999999999</v>
      </c>
      <c r="O473" s="25">
        <v>46118.523611111108</v>
      </c>
      <c r="P473" s="26" t="s">
        <v>137</v>
      </c>
    </row>
    <row r="474" spans="1:16" x14ac:dyDescent="0.25">
      <c r="A474" s="20" t="s">
        <v>5211</v>
      </c>
      <c r="B474" s="21">
        <v>714</v>
      </c>
      <c r="C474" s="22" t="s">
        <v>323</v>
      </c>
      <c r="D474" s="22" t="s">
        <v>3470</v>
      </c>
      <c r="E474" s="22" t="str">
        <f>CONCATENATE(B474,D474)</f>
        <v>71490973-120</v>
      </c>
      <c r="F474" s="22" t="s">
        <v>3471</v>
      </c>
      <c r="G474" s="22" t="s">
        <v>29</v>
      </c>
      <c r="H474" s="23">
        <v>232.4556</v>
      </c>
      <c r="I474" s="24">
        <v>2</v>
      </c>
      <c r="J474" s="24">
        <v>0</v>
      </c>
      <c r="K474" s="24">
        <v>0</v>
      </c>
      <c r="L474" s="41">
        <f>Table2[[#This Row],[Column1]]+Table2[[#This Row],[Column2]]</f>
        <v>0</v>
      </c>
      <c r="M474" s="42">
        <f>Table2[[#This Row],[OnHandQty]]-Table2[[#This Row],[Projection Nov/Dec]]</f>
        <v>2</v>
      </c>
      <c r="N474" s="35">
        <f>Table2[[#This Row],[OverStock]]*Table2[[#This Row],[RepCost]]</f>
        <v>464.91120000000001</v>
      </c>
      <c r="O474" s="25">
        <v>46118.304861111108</v>
      </c>
      <c r="P474" s="26" t="s">
        <v>2423</v>
      </c>
    </row>
    <row r="475" spans="1:16" x14ac:dyDescent="0.25">
      <c r="A475" s="20" t="s">
        <v>5211</v>
      </c>
      <c r="B475" s="21">
        <v>718</v>
      </c>
      <c r="C475" s="22" t="s">
        <v>323</v>
      </c>
      <c r="D475" s="22" t="s">
        <v>3948</v>
      </c>
      <c r="E475" s="22" t="str">
        <f>CONCATENATE(B475,D475)</f>
        <v>71890973-308</v>
      </c>
      <c r="F475" s="22" t="s">
        <v>3949</v>
      </c>
      <c r="G475" s="22" t="s">
        <v>29</v>
      </c>
      <c r="H475" s="23">
        <v>201.07419999999999</v>
      </c>
      <c r="I475" s="24">
        <v>2</v>
      </c>
      <c r="J475" s="24">
        <v>0</v>
      </c>
      <c r="K475" s="24">
        <v>0</v>
      </c>
      <c r="L475" s="41">
        <f>Table2[[#This Row],[Column1]]+Table2[[#This Row],[Column2]]</f>
        <v>0</v>
      </c>
      <c r="M475" s="42">
        <f>Table2[[#This Row],[OnHandQty]]-Table2[[#This Row],[Projection Nov/Dec]]</f>
        <v>2</v>
      </c>
      <c r="N475" s="35">
        <f>Table2[[#This Row],[OverStock]]*Table2[[#This Row],[RepCost]]</f>
        <v>402.14839999999998</v>
      </c>
      <c r="O475" s="25">
        <v>46084.40347222222</v>
      </c>
      <c r="P475" s="26" t="s">
        <v>137</v>
      </c>
    </row>
    <row r="476" spans="1:16" x14ac:dyDescent="0.25">
      <c r="A476" s="20" t="s">
        <v>5211</v>
      </c>
      <c r="B476" s="21">
        <v>718</v>
      </c>
      <c r="C476" s="22" t="s">
        <v>70</v>
      </c>
      <c r="D476" s="22" t="s">
        <v>3651</v>
      </c>
      <c r="E476" s="22" t="str">
        <f>CONCATENATE(B476,D476)</f>
        <v>71863018-1201</v>
      </c>
      <c r="F476" s="22" t="s">
        <v>3652</v>
      </c>
      <c r="G476" s="22" t="s">
        <v>112</v>
      </c>
      <c r="H476" s="23">
        <v>10.75</v>
      </c>
      <c r="I476" s="24">
        <v>37</v>
      </c>
      <c r="J476" s="24">
        <v>0</v>
      </c>
      <c r="K476" s="24">
        <v>0</v>
      </c>
      <c r="L476" s="41">
        <f>Table2[[#This Row],[Column1]]+Table2[[#This Row],[Column2]]</f>
        <v>0</v>
      </c>
      <c r="M476" s="42">
        <f>Table2[[#This Row],[OnHandQty]]-Table2[[#This Row],[Projection Nov/Dec]]</f>
        <v>37</v>
      </c>
      <c r="N476" s="35">
        <f>Table2[[#This Row],[OverStock]]*Table2[[#This Row],[RepCost]]</f>
        <v>397.75</v>
      </c>
      <c r="O476" s="25">
        <v>46163.370833333334</v>
      </c>
      <c r="P476" s="26" t="s">
        <v>1932</v>
      </c>
    </row>
    <row r="477" spans="1:16" x14ac:dyDescent="0.25">
      <c r="A477" s="20" t="s">
        <v>5211</v>
      </c>
      <c r="B477" s="21">
        <v>714</v>
      </c>
      <c r="C477" s="22" t="s">
        <v>323</v>
      </c>
      <c r="D477" s="22" t="s">
        <v>2981</v>
      </c>
      <c r="E477" s="22" t="str">
        <f>CONCATENATE(B477,D477)</f>
        <v>71463036-102</v>
      </c>
      <c r="F477" s="22" t="s">
        <v>2982</v>
      </c>
      <c r="G477" s="22" t="s">
        <v>29</v>
      </c>
      <c r="H477" s="23">
        <v>16.152699999999999</v>
      </c>
      <c r="I477" s="24">
        <v>220</v>
      </c>
      <c r="J477" s="24">
        <v>0</v>
      </c>
      <c r="K477" s="24">
        <v>0</v>
      </c>
      <c r="L477" s="41">
        <f>Table2[[#This Row],[Column1]]+Table2[[#This Row],[Column2]]</f>
        <v>0</v>
      </c>
      <c r="M477" s="42">
        <f>Table2[[#This Row],[OnHandQty]]-Table2[[#This Row],[Projection Nov/Dec]]</f>
        <v>220</v>
      </c>
      <c r="N477" s="35">
        <f>Table2[[#This Row],[OverStock]]*Table2[[#This Row],[RepCost]]</f>
        <v>3553.5940000000001</v>
      </c>
      <c r="O477" s="25">
        <v>46149.571527777778</v>
      </c>
      <c r="P477" s="26" t="s">
        <v>2930</v>
      </c>
    </row>
    <row r="478" spans="1:16" x14ac:dyDescent="0.25">
      <c r="A478" s="20" t="s">
        <v>5211</v>
      </c>
      <c r="B478" s="21">
        <v>714</v>
      </c>
      <c r="C478" s="22" t="s">
        <v>323</v>
      </c>
      <c r="D478" s="22" t="s">
        <v>3239</v>
      </c>
      <c r="E478" s="22" t="str">
        <f>CONCATENATE(B478,D478)</f>
        <v>71463036-020</v>
      </c>
      <c r="F478" s="22" t="s">
        <v>3240</v>
      </c>
      <c r="G478" s="22" t="s">
        <v>1047</v>
      </c>
      <c r="H478" s="23">
        <v>98.183199999999999</v>
      </c>
      <c r="I478" s="24">
        <v>2</v>
      </c>
      <c r="J478" s="24">
        <v>0</v>
      </c>
      <c r="K478" s="24">
        <v>0</v>
      </c>
      <c r="L478" s="41">
        <f>Table2[[#This Row],[Column1]]+Table2[[#This Row],[Column2]]</f>
        <v>0</v>
      </c>
      <c r="M478" s="42">
        <f>Table2[[#This Row],[OnHandQty]]-Table2[[#This Row],[Projection Nov/Dec]]</f>
        <v>2</v>
      </c>
      <c r="N478" s="35">
        <f>Table2[[#This Row],[OverStock]]*Table2[[#This Row],[RepCost]]</f>
        <v>196.3664</v>
      </c>
      <c r="O478" s="25">
        <v>45959.618055555555</v>
      </c>
      <c r="P478" s="26" t="s">
        <v>1224</v>
      </c>
    </row>
    <row r="479" spans="1:16" x14ac:dyDescent="0.25">
      <c r="A479" s="20" t="s">
        <v>5211</v>
      </c>
      <c r="B479" s="21">
        <v>636</v>
      </c>
      <c r="C479" s="22" t="s">
        <v>12</v>
      </c>
      <c r="D479" s="22" t="s">
        <v>512</v>
      </c>
      <c r="E479" s="22" t="str">
        <f>CONCATENATE(B479,D479)</f>
        <v>63670066-105</v>
      </c>
      <c r="F479" s="22" t="s">
        <v>513</v>
      </c>
      <c r="G479" s="22" t="s">
        <v>39</v>
      </c>
      <c r="H479" s="23">
        <v>16.75</v>
      </c>
      <c r="I479" s="24">
        <v>1</v>
      </c>
      <c r="J479" s="24">
        <v>0</v>
      </c>
      <c r="K479" s="24">
        <v>0</v>
      </c>
      <c r="L479" s="41">
        <f>Table2[[#This Row],[Column1]]+Table2[[#This Row],[Column2]]</f>
        <v>0</v>
      </c>
      <c r="M479" s="42">
        <f>Table2[[#This Row],[OnHandQty]]-Table2[[#This Row],[Projection Nov/Dec]]</f>
        <v>1</v>
      </c>
      <c r="N479" s="35">
        <f>Table2[[#This Row],[OverStock]]*Table2[[#This Row],[RepCost]]</f>
        <v>16.75</v>
      </c>
      <c r="O479" s="25">
        <v>46241.476388888892</v>
      </c>
      <c r="P479" s="26" t="s">
        <v>26</v>
      </c>
    </row>
    <row r="480" spans="1:16" x14ac:dyDescent="0.25">
      <c r="A480" s="20" t="s">
        <v>5211</v>
      </c>
      <c r="B480" s="21">
        <v>634</v>
      </c>
      <c r="C480" s="22" t="s">
        <v>12</v>
      </c>
      <c r="D480" s="22" t="s">
        <v>41</v>
      </c>
      <c r="E480" s="22" t="str">
        <f>CONCATENATE(B480,D480)</f>
        <v>63470066-SP4</v>
      </c>
      <c r="F480" s="22" t="s">
        <v>42</v>
      </c>
      <c r="G480" s="22" t="s">
        <v>43</v>
      </c>
      <c r="H480" s="23">
        <v>4.6844000000000001</v>
      </c>
      <c r="I480" s="24">
        <v>237</v>
      </c>
      <c r="J480" s="24">
        <v>0</v>
      </c>
      <c r="K480" s="24">
        <v>0</v>
      </c>
      <c r="L480" s="41">
        <f>Table2[[#This Row],[Column1]]+Table2[[#This Row],[Column2]]</f>
        <v>0</v>
      </c>
      <c r="M480" s="42">
        <f>Table2[[#This Row],[OnHandQty]]-Table2[[#This Row],[Projection Nov/Dec]]</f>
        <v>237</v>
      </c>
      <c r="N480" s="35">
        <f>Table2[[#This Row],[OverStock]]*Table2[[#This Row],[RepCost]]</f>
        <v>1110.2028</v>
      </c>
      <c r="O480" s="25">
        <v>46148.584027777775</v>
      </c>
      <c r="P480" s="26" t="s">
        <v>44</v>
      </c>
    </row>
    <row r="481" spans="1:16" x14ac:dyDescent="0.25">
      <c r="A481" s="20" t="s">
        <v>5211</v>
      </c>
      <c r="B481" s="21">
        <v>718</v>
      </c>
      <c r="C481" s="22" t="s">
        <v>12</v>
      </c>
      <c r="D481" s="22" t="s">
        <v>3605</v>
      </c>
      <c r="E481" s="22" t="str">
        <f>CONCATENATE(B481,D481)</f>
        <v>71880071-101</v>
      </c>
      <c r="F481" s="22" t="s">
        <v>3606</v>
      </c>
      <c r="G481" s="22" t="s">
        <v>39</v>
      </c>
      <c r="H481" s="23">
        <v>5.8009000000000004</v>
      </c>
      <c r="I481" s="24">
        <v>3</v>
      </c>
      <c r="J481" s="24">
        <v>0</v>
      </c>
      <c r="K481" s="24">
        <v>0</v>
      </c>
      <c r="L481" s="41">
        <f>Table2[[#This Row],[Column1]]+Table2[[#This Row],[Column2]]</f>
        <v>0</v>
      </c>
      <c r="M481" s="42">
        <f>Table2[[#This Row],[OnHandQty]]-Table2[[#This Row],[Projection Nov/Dec]]</f>
        <v>3</v>
      </c>
      <c r="N481" s="35">
        <f>Table2[[#This Row],[OverStock]]*Table2[[#This Row],[RepCost]]</f>
        <v>17.402700000000003</v>
      </c>
      <c r="O481" s="25">
        <v>46190.654166666667</v>
      </c>
      <c r="P481" s="26" t="s">
        <v>47</v>
      </c>
    </row>
    <row r="482" spans="1:16" x14ac:dyDescent="0.25">
      <c r="A482" s="20" t="s">
        <v>5211</v>
      </c>
      <c r="B482" s="21">
        <v>714</v>
      </c>
      <c r="C482" s="22" t="s">
        <v>12</v>
      </c>
      <c r="D482" s="22" t="s">
        <v>1920</v>
      </c>
      <c r="E482" s="22" t="str">
        <f>CONCATENATE(B482,D482)</f>
        <v>71470076-103</v>
      </c>
      <c r="F482" s="22" t="s">
        <v>1921</v>
      </c>
      <c r="G482" s="22" t="s">
        <v>39</v>
      </c>
      <c r="H482" s="23">
        <v>12.4742</v>
      </c>
      <c r="I482" s="24">
        <v>10</v>
      </c>
      <c r="J482" s="24">
        <v>0</v>
      </c>
      <c r="K482" s="24">
        <v>0</v>
      </c>
      <c r="L482" s="41">
        <f>Table2[[#This Row],[Column1]]+Table2[[#This Row],[Column2]]</f>
        <v>0</v>
      </c>
      <c r="M482" s="42">
        <f>Table2[[#This Row],[OnHandQty]]-Table2[[#This Row],[Projection Nov/Dec]]</f>
        <v>10</v>
      </c>
      <c r="N482" s="35">
        <f>Table2[[#This Row],[OverStock]]*Table2[[#This Row],[RepCost]]</f>
        <v>124.74199999999999</v>
      </c>
      <c r="O482" s="25">
        <v>46193.431250000001</v>
      </c>
      <c r="P482" s="26" t="s">
        <v>26</v>
      </c>
    </row>
    <row r="483" spans="1:16" x14ac:dyDescent="0.25">
      <c r="A483" s="20" t="s">
        <v>5211</v>
      </c>
      <c r="B483" s="21">
        <v>714</v>
      </c>
      <c r="C483" s="22" t="s">
        <v>143</v>
      </c>
      <c r="D483" s="22" t="s">
        <v>2475</v>
      </c>
      <c r="E483" s="22" t="str">
        <f>CONCATENATE(B483,D483)</f>
        <v>71463072-103</v>
      </c>
      <c r="F483" s="22" t="s">
        <v>2476</v>
      </c>
      <c r="G483" s="22" t="s">
        <v>29</v>
      </c>
      <c r="H483" s="23">
        <v>17.959800000000001</v>
      </c>
      <c r="I483" s="24">
        <v>2</v>
      </c>
      <c r="J483" s="24">
        <v>0</v>
      </c>
      <c r="K483" s="24">
        <v>0</v>
      </c>
      <c r="L483" s="41">
        <f>Table2[[#This Row],[Column1]]+Table2[[#This Row],[Column2]]</f>
        <v>0</v>
      </c>
      <c r="M483" s="42">
        <f>Table2[[#This Row],[OnHandQty]]-Table2[[#This Row],[Projection Nov/Dec]]</f>
        <v>2</v>
      </c>
      <c r="N483" s="35">
        <f>Table2[[#This Row],[OverStock]]*Table2[[#This Row],[RepCost]]</f>
        <v>35.919600000000003</v>
      </c>
      <c r="O483" s="25">
        <v>46161.444444444445</v>
      </c>
      <c r="P483" s="26" t="s">
        <v>550</v>
      </c>
    </row>
    <row r="484" spans="1:16" x14ac:dyDescent="0.25">
      <c r="A484" s="20" t="s">
        <v>5211</v>
      </c>
      <c r="B484" s="21">
        <v>714</v>
      </c>
      <c r="C484" s="22" t="s">
        <v>143</v>
      </c>
      <c r="D484" s="22" t="s">
        <v>2306</v>
      </c>
      <c r="E484" s="22" t="str">
        <f>CONCATENATE(B484,D484)</f>
        <v>71482416-103</v>
      </c>
      <c r="F484" s="22" t="s">
        <v>2307</v>
      </c>
      <c r="G484" s="22" t="s">
        <v>35</v>
      </c>
      <c r="H484" s="23">
        <v>15.5313</v>
      </c>
      <c r="I484" s="24">
        <v>12</v>
      </c>
      <c r="J484" s="24">
        <v>0</v>
      </c>
      <c r="K484" s="24">
        <v>0</v>
      </c>
      <c r="L484" s="41">
        <f>Table2[[#This Row],[Column1]]+Table2[[#This Row],[Column2]]</f>
        <v>0</v>
      </c>
      <c r="M484" s="42">
        <f>Table2[[#This Row],[OnHandQty]]-Table2[[#This Row],[Projection Nov/Dec]]</f>
        <v>12</v>
      </c>
      <c r="N484" s="35">
        <f>Table2[[#This Row],[OverStock]]*Table2[[#This Row],[RepCost]]</f>
        <v>186.37559999999999</v>
      </c>
      <c r="O484" s="25">
        <v>45749.587500000001</v>
      </c>
      <c r="P484" s="26" t="s">
        <v>162</v>
      </c>
    </row>
    <row r="485" spans="1:16" x14ac:dyDescent="0.25">
      <c r="A485" s="20" t="s">
        <v>5211</v>
      </c>
      <c r="B485" s="21">
        <v>714</v>
      </c>
      <c r="C485" s="22" t="s">
        <v>143</v>
      </c>
      <c r="D485" s="22" t="s">
        <v>2622</v>
      </c>
      <c r="E485" s="22" t="str">
        <f>CONCATENATE(B485,D485)</f>
        <v>71463084-110</v>
      </c>
      <c r="F485" s="22" t="s">
        <v>2623</v>
      </c>
      <c r="G485" s="22" t="s">
        <v>29</v>
      </c>
      <c r="H485" s="23">
        <v>77.855000000000004</v>
      </c>
      <c r="I485" s="24">
        <v>3</v>
      </c>
      <c r="J485" s="24">
        <v>0</v>
      </c>
      <c r="K485" s="24">
        <v>0</v>
      </c>
      <c r="L485" s="41">
        <f>Table2[[#This Row],[Column1]]+Table2[[#This Row],[Column2]]</f>
        <v>0</v>
      </c>
      <c r="M485" s="42">
        <f>Table2[[#This Row],[OnHandQty]]-Table2[[#This Row],[Projection Nov/Dec]]</f>
        <v>3</v>
      </c>
      <c r="N485" s="35">
        <f>Table2[[#This Row],[OverStock]]*Table2[[#This Row],[RepCost]]</f>
        <v>233.565</v>
      </c>
      <c r="O485" s="25">
        <v>44670.691666666666</v>
      </c>
      <c r="P485" s="26" t="s">
        <v>195</v>
      </c>
    </row>
    <row r="486" spans="1:16" x14ac:dyDescent="0.25">
      <c r="A486" s="20" t="s">
        <v>5211</v>
      </c>
      <c r="B486" s="21">
        <v>714</v>
      </c>
      <c r="C486" s="22" t="s">
        <v>143</v>
      </c>
      <c r="D486" s="22" t="s">
        <v>2286</v>
      </c>
      <c r="E486" s="22" t="str">
        <f>CONCATENATE(B486,D486)</f>
        <v>71463084-103</v>
      </c>
      <c r="F486" s="22" t="s">
        <v>2287</v>
      </c>
      <c r="G486" s="22" t="s">
        <v>158</v>
      </c>
      <c r="H486" s="23">
        <v>29.933900000000001</v>
      </c>
      <c r="I486" s="24">
        <v>25</v>
      </c>
      <c r="J486" s="24">
        <v>0</v>
      </c>
      <c r="K486" s="24">
        <v>0</v>
      </c>
      <c r="L486" s="41">
        <f>Table2[[#This Row],[Column1]]+Table2[[#This Row],[Column2]]</f>
        <v>0</v>
      </c>
      <c r="M486" s="42">
        <f>Table2[[#This Row],[OnHandQty]]-Table2[[#This Row],[Projection Nov/Dec]]</f>
        <v>25</v>
      </c>
      <c r="N486" s="35">
        <f>Table2[[#This Row],[OverStock]]*Table2[[#This Row],[RepCost]]</f>
        <v>748.34750000000008</v>
      </c>
      <c r="O486" s="25">
        <v>46245.463194444441</v>
      </c>
      <c r="P486" s="26" t="s">
        <v>195</v>
      </c>
    </row>
    <row r="487" spans="1:16" x14ac:dyDescent="0.25">
      <c r="A487" s="20" t="s">
        <v>5211</v>
      </c>
      <c r="B487" s="21">
        <v>714</v>
      </c>
      <c r="C487" s="22" t="s">
        <v>143</v>
      </c>
      <c r="D487" s="22" t="s">
        <v>2421</v>
      </c>
      <c r="E487" s="22" t="str">
        <f>CONCATENATE(B487,D487)</f>
        <v>71463084-106</v>
      </c>
      <c r="F487" s="22" t="s">
        <v>2422</v>
      </c>
      <c r="G487" s="22" t="s">
        <v>29</v>
      </c>
      <c r="H487" s="23">
        <v>65.032200000000003</v>
      </c>
      <c r="I487" s="24">
        <v>3</v>
      </c>
      <c r="J487" s="24">
        <v>0</v>
      </c>
      <c r="K487" s="24">
        <v>0</v>
      </c>
      <c r="L487" s="41">
        <f>Table2[[#This Row],[Column1]]+Table2[[#This Row],[Column2]]</f>
        <v>0</v>
      </c>
      <c r="M487" s="42">
        <f>Table2[[#This Row],[OnHandQty]]-Table2[[#This Row],[Projection Nov/Dec]]</f>
        <v>3</v>
      </c>
      <c r="N487" s="35">
        <f>Table2[[#This Row],[OverStock]]*Table2[[#This Row],[RepCost]]</f>
        <v>195.09660000000002</v>
      </c>
      <c r="O487" s="25">
        <v>46118.304861111108</v>
      </c>
      <c r="P487" s="26" t="s">
        <v>2423</v>
      </c>
    </row>
    <row r="488" spans="1:16" x14ac:dyDescent="0.25">
      <c r="A488" s="20" t="s">
        <v>5211</v>
      </c>
      <c r="B488" s="21">
        <v>718</v>
      </c>
      <c r="C488" s="22" t="s">
        <v>143</v>
      </c>
      <c r="D488" s="22" t="s">
        <v>2800</v>
      </c>
      <c r="E488" s="22" t="str">
        <f>CONCATENATE(B488,D488)</f>
        <v>71863080-110</v>
      </c>
      <c r="F488" s="22" t="s">
        <v>2801</v>
      </c>
      <c r="G488" s="22" t="s">
        <v>29</v>
      </c>
      <c r="H488" s="23">
        <v>86.721900000000005</v>
      </c>
      <c r="I488" s="24">
        <v>1</v>
      </c>
      <c r="J488" s="24">
        <v>0</v>
      </c>
      <c r="K488" s="24">
        <v>0</v>
      </c>
      <c r="L488" s="41">
        <f>Table2[[#This Row],[Column1]]+Table2[[#This Row],[Column2]]</f>
        <v>0</v>
      </c>
      <c r="M488" s="42">
        <f>Table2[[#This Row],[OnHandQty]]-Table2[[#This Row],[Projection Nov/Dec]]</f>
        <v>1</v>
      </c>
      <c r="N488" s="35">
        <f>Table2[[#This Row],[OverStock]]*Table2[[#This Row],[RepCost]]</f>
        <v>86.721900000000005</v>
      </c>
      <c r="O488" s="25">
        <v>46178.599305555559</v>
      </c>
      <c r="P488" s="26" t="s">
        <v>216</v>
      </c>
    </row>
    <row r="489" spans="1:16" x14ac:dyDescent="0.25">
      <c r="A489" s="20" t="s">
        <v>5211</v>
      </c>
      <c r="B489" s="21">
        <v>714</v>
      </c>
      <c r="C489" s="22" t="s">
        <v>143</v>
      </c>
      <c r="D489" s="22" t="s">
        <v>997</v>
      </c>
      <c r="E489" s="22" t="str">
        <f>CONCATENATE(B489,D489)</f>
        <v>71463080-236</v>
      </c>
      <c r="F489" s="22" t="s">
        <v>998</v>
      </c>
      <c r="G489" s="22" t="s">
        <v>29</v>
      </c>
      <c r="H489" s="23">
        <v>133.35290000000001</v>
      </c>
      <c r="I489" s="24">
        <v>3</v>
      </c>
      <c r="J489" s="24">
        <v>0</v>
      </c>
      <c r="K489" s="24">
        <v>0</v>
      </c>
      <c r="L489" s="41">
        <f>Table2[[#This Row],[Column1]]+Table2[[#This Row],[Column2]]</f>
        <v>0</v>
      </c>
      <c r="M489" s="42">
        <f>Table2[[#This Row],[OnHandQty]]-Table2[[#This Row],[Projection Nov/Dec]]</f>
        <v>3</v>
      </c>
      <c r="N489" s="35">
        <f>Table2[[#This Row],[OverStock]]*Table2[[#This Row],[RepCost]]</f>
        <v>400.05870000000004</v>
      </c>
      <c r="O489" s="25">
        <v>46147.435416666667</v>
      </c>
      <c r="P489" s="26" t="s">
        <v>137</v>
      </c>
    </row>
    <row r="490" spans="1:16" x14ac:dyDescent="0.25">
      <c r="A490" s="20" t="s">
        <v>5211</v>
      </c>
      <c r="B490" s="21">
        <v>636</v>
      </c>
      <c r="C490" s="22" t="s">
        <v>143</v>
      </c>
      <c r="D490" s="22" t="s">
        <v>997</v>
      </c>
      <c r="E490" s="22" t="str">
        <f>CONCATENATE(B490,D490)</f>
        <v>63663080-236</v>
      </c>
      <c r="F490" s="22" t="s">
        <v>998</v>
      </c>
      <c r="G490" s="22" t="s">
        <v>19</v>
      </c>
      <c r="H490" s="23">
        <v>119.77200000000001</v>
      </c>
      <c r="I490" s="24">
        <v>8</v>
      </c>
      <c r="J490" s="24">
        <v>0</v>
      </c>
      <c r="K490" s="24">
        <v>0</v>
      </c>
      <c r="L490" s="41">
        <f>Table2[[#This Row],[Column1]]+Table2[[#This Row],[Column2]]</f>
        <v>0</v>
      </c>
      <c r="M490" s="42">
        <f>Table2[[#This Row],[OnHandQty]]-Table2[[#This Row],[Projection Nov/Dec]]</f>
        <v>8</v>
      </c>
      <c r="N490" s="35">
        <f>Table2[[#This Row],[OverStock]]*Table2[[#This Row],[RepCost]]</f>
        <v>958.17600000000004</v>
      </c>
      <c r="O490" s="25">
        <v>46149.512499999997</v>
      </c>
      <c r="P490" s="26" t="s">
        <v>195</v>
      </c>
    </row>
    <row r="491" spans="1:16" x14ac:dyDescent="0.25">
      <c r="A491" s="20" t="s">
        <v>5211</v>
      </c>
      <c r="B491" s="21">
        <v>636</v>
      </c>
      <c r="C491" s="22" t="s">
        <v>143</v>
      </c>
      <c r="D491" s="22" t="s">
        <v>1106</v>
      </c>
      <c r="E491" s="22" t="str">
        <f>CONCATENATE(B491,D491)</f>
        <v>63663080-248</v>
      </c>
      <c r="F491" s="22" t="s">
        <v>1107</v>
      </c>
      <c r="G491" s="22" t="s">
        <v>19</v>
      </c>
      <c r="H491" s="23">
        <v>179.43539999999999</v>
      </c>
      <c r="I491" s="24">
        <v>4</v>
      </c>
      <c r="J491" s="24">
        <v>0</v>
      </c>
      <c r="K491" s="24">
        <v>0</v>
      </c>
      <c r="L491" s="41">
        <f>Table2[[#This Row],[Column1]]+Table2[[#This Row],[Column2]]</f>
        <v>0</v>
      </c>
      <c r="M491" s="42">
        <f>Table2[[#This Row],[OnHandQty]]-Table2[[#This Row],[Projection Nov/Dec]]</f>
        <v>4</v>
      </c>
      <c r="N491" s="35">
        <f>Table2[[#This Row],[OverStock]]*Table2[[#This Row],[RepCost]]</f>
        <v>717.74159999999995</v>
      </c>
      <c r="O491" s="25">
        <v>46170.59097222222</v>
      </c>
      <c r="P491" s="26" t="s">
        <v>137</v>
      </c>
    </row>
    <row r="492" spans="1:16" x14ac:dyDescent="0.25">
      <c r="A492" s="20" t="s">
        <v>5211</v>
      </c>
      <c r="B492" s="21">
        <v>636</v>
      </c>
      <c r="C492" s="22" t="s">
        <v>70</v>
      </c>
      <c r="D492" s="22" t="s">
        <v>595</v>
      </c>
      <c r="E492" s="22" t="str">
        <f>CONCATENATE(B492,D492)</f>
        <v>63663092-101</v>
      </c>
      <c r="F492" s="22" t="s">
        <v>596</v>
      </c>
      <c r="G492" s="22" t="s">
        <v>39</v>
      </c>
      <c r="H492" s="23">
        <v>5.8784999999999998</v>
      </c>
      <c r="I492" s="24">
        <v>18</v>
      </c>
      <c r="J492" s="24">
        <v>0</v>
      </c>
      <c r="K492" s="24">
        <v>0</v>
      </c>
      <c r="L492" s="41">
        <f>Table2[[#This Row],[Column1]]+Table2[[#This Row],[Column2]]</f>
        <v>0</v>
      </c>
      <c r="M492" s="42">
        <f>Table2[[#This Row],[OnHandQty]]-Table2[[#This Row],[Projection Nov/Dec]]</f>
        <v>18</v>
      </c>
      <c r="N492" s="35">
        <f>Table2[[#This Row],[OverStock]]*Table2[[#This Row],[RepCost]]</f>
        <v>105.813</v>
      </c>
      <c r="O492" s="25">
        <v>46184.540277777778</v>
      </c>
      <c r="P492" s="26" t="s">
        <v>16</v>
      </c>
    </row>
    <row r="493" spans="1:16" x14ac:dyDescent="0.25">
      <c r="A493" s="20" t="s">
        <v>5211</v>
      </c>
      <c r="B493" s="21">
        <v>718</v>
      </c>
      <c r="C493" s="22" t="s">
        <v>323</v>
      </c>
      <c r="D493" s="22" t="s">
        <v>2912</v>
      </c>
      <c r="E493" s="22" t="str">
        <f>CONCATENATE(B493,D493)</f>
        <v>71863098-020</v>
      </c>
      <c r="F493" s="27" t="s">
        <v>2913</v>
      </c>
      <c r="G493" s="27" t="s">
        <v>58</v>
      </c>
      <c r="H493" s="23">
        <v>142.4</v>
      </c>
      <c r="I493" s="24">
        <v>3</v>
      </c>
      <c r="J493" s="24">
        <v>0</v>
      </c>
      <c r="K493" s="24">
        <v>0</v>
      </c>
      <c r="L493" s="41">
        <f>Table2[[#This Row],[Column1]]+Table2[[#This Row],[Column2]]</f>
        <v>0</v>
      </c>
      <c r="M493" s="42">
        <f>Table2[[#This Row],[OnHandQty]]-Table2[[#This Row],[Projection Nov/Dec]]</f>
        <v>3</v>
      </c>
      <c r="N493" s="35">
        <f>Table2[[#This Row],[OverStock]]*Table2[[#This Row],[RepCost]]</f>
        <v>427.20000000000005</v>
      </c>
      <c r="O493" s="25">
        <v>45707.484027777777</v>
      </c>
      <c r="P493" s="26" t="s">
        <v>159</v>
      </c>
    </row>
    <row r="494" spans="1:16" x14ac:dyDescent="0.25">
      <c r="A494" s="20" t="s">
        <v>5211</v>
      </c>
      <c r="B494" s="21">
        <v>714</v>
      </c>
      <c r="C494" s="22" t="s">
        <v>323</v>
      </c>
      <c r="D494" s="22" t="s">
        <v>2912</v>
      </c>
      <c r="E494" s="22" t="str">
        <f>CONCATENATE(B494,D494)</f>
        <v>71463098-020</v>
      </c>
      <c r="F494" s="22" t="s">
        <v>2913</v>
      </c>
      <c r="G494" s="22" t="s">
        <v>29</v>
      </c>
      <c r="H494" s="23">
        <v>145.22059999999999</v>
      </c>
      <c r="I494" s="24">
        <v>10</v>
      </c>
      <c r="J494" s="24">
        <v>0</v>
      </c>
      <c r="K494" s="24">
        <v>0</v>
      </c>
      <c r="L494" s="41">
        <f>Table2[[#This Row],[Column1]]+Table2[[#This Row],[Column2]]</f>
        <v>0</v>
      </c>
      <c r="M494" s="42">
        <f>Table2[[#This Row],[OnHandQty]]-Table2[[#This Row],[Projection Nov/Dec]]</f>
        <v>10</v>
      </c>
      <c r="N494" s="35">
        <f>Table2[[#This Row],[OverStock]]*Table2[[#This Row],[RepCost]]</f>
        <v>1452.2059999999999</v>
      </c>
      <c r="O494" s="25">
        <v>46073.629861111112</v>
      </c>
      <c r="P494" s="26" t="s">
        <v>159</v>
      </c>
    </row>
    <row r="495" spans="1:16" x14ac:dyDescent="0.25">
      <c r="A495" s="20" t="s">
        <v>5211</v>
      </c>
      <c r="B495" s="21">
        <v>636</v>
      </c>
      <c r="C495" s="22" t="s">
        <v>323</v>
      </c>
      <c r="D495" s="22" t="s">
        <v>1452</v>
      </c>
      <c r="E495" s="22" t="str">
        <f>CONCATENATE(B495,D495)</f>
        <v>63690900-106</v>
      </c>
      <c r="F495" s="22" t="s">
        <v>1453</v>
      </c>
      <c r="G495" s="22" t="s">
        <v>29</v>
      </c>
      <c r="H495" s="23">
        <v>132.3895</v>
      </c>
      <c r="I495" s="24">
        <v>10</v>
      </c>
      <c r="J495" s="24">
        <v>0</v>
      </c>
      <c r="K495" s="24">
        <v>0</v>
      </c>
      <c r="L495" s="41">
        <f>Table2[[#This Row],[Column1]]+Table2[[#This Row],[Column2]]</f>
        <v>0</v>
      </c>
      <c r="M495" s="42">
        <f>Table2[[#This Row],[OnHandQty]]-Table2[[#This Row],[Projection Nov/Dec]]</f>
        <v>10</v>
      </c>
      <c r="N495" s="35">
        <f>Table2[[#This Row],[OverStock]]*Table2[[#This Row],[RepCost]]</f>
        <v>1323.895</v>
      </c>
      <c r="O495" s="25">
        <v>46140.29583333333</v>
      </c>
      <c r="P495" s="26" t="s">
        <v>501</v>
      </c>
    </row>
    <row r="496" spans="1:16" x14ac:dyDescent="0.25">
      <c r="A496" s="20" t="s">
        <v>5211</v>
      </c>
      <c r="B496" s="21">
        <v>714</v>
      </c>
      <c r="C496" s="22" t="s">
        <v>323</v>
      </c>
      <c r="D496" s="22" t="s">
        <v>3437</v>
      </c>
      <c r="E496" s="22" t="str">
        <f>CONCATENATE(B496,D496)</f>
        <v>71482455-115</v>
      </c>
      <c r="F496" s="22" t="s">
        <v>3438</v>
      </c>
      <c r="G496" s="22" t="s">
        <v>29</v>
      </c>
      <c r="H496" s="23">
        <v>119.6386</v>
      </c>
      <c r="I496" s="24">
        <v>1</v>
      </c>
      <c r="J496" s="24">
        <v>0</v>
      </c>
      <c r="K496" s="24">
        <v>0</v>
      </c>
      <c r="L496" s="41">
        <f>Table2[[#This Row],[Column1]]+Table2[[#This Row],[Column2]]</f>
        <v>0</v>
      </c>
      <c r="M496" s="42">
        <f>Table2[[#This Row],[OnHandQty]]-Table2[[#This Row],[Projection Nov/Dec]]</f>
        <v>1</v>
      </c>
      <c r="N496" s="35">
        <f>Table2[[#This Row],[OverStock]]*Table2[[#This Row],[RepCost]]</f>
        <v>119.6386</v>
      </c>
      <c r="O496" s="25">
        <v>45777.836805555555</v>
      </c>
      <c r="P496" s="26" t="s">
        <v>3439</v>
      </c>
    </row>
    <row r="497" spans="1:16" x14ac:dyDescent="0.25">
      <c r="A497" s="20" t="s">
        <v>5211</v>
      </c>
      <c r="B497" s="21">
        <v>714</v>
      </c>
      <c r="C497" s="22" t="s">
        <v>323</v>
      </c>
      <c r="D497" s="22" t="s">
        <v>2901</v>
      </c>
      <c r="E497" s="22" t="str">
        <f>CONCATENATE(B497,D497)</f>
        <v>71463107-015</v>
      </c>
      <c r="F497" s="22" t="s">
        <v>2902</v>
      </c>
      <c r="G497" s="22" t="s">
        <v>29</v>
      </c>
      <c r="H497" s="23">
        <v>135.62309999999999</v>
      </c>
      <c r="I497" s="24">
        <v>9</v>
      </c>
      <c r="J497" s="24">
        <v>0</v>
      </c>
      <c r="K497" s="24">
        <v>0</v>
      </c>
      <c r="L497" s="41">
        <f>Table2[[#This Row],[Column1]]+Table2[[#This Row],[Column2]]</f>
        <v>0</v>
      </c>
      <c r="M497" s="42">
        <f>Table2[[#This Row],[OnHandQty]]-Table2[[#This Row],[Projection Nov/Dec]]</f>
        <v>9</v>
      </c>
      <c r="N497" s="35">
        <f>Table2[[#This Row],[OverStock]]*Table2[[#This Row],[RepCost]]</f>
        <v>1220.6079</v>
      </c>
      <c r="O497" s="25">
        <v>46085.367361111108</v>
      </c>
      <c r="P497" s="26" t="s">
        <v>2257</v>
      </c>
    </row>
    <row r="498" spans="1:16" x14ac:dyDescent="0.25">
      <c r="A498" s="20" t="s">
        <v>5211</v>
      </c>
      <c r="B498" s="21">
        <v>636</v>
      </c>
      <c r="C498" s="22" t="s">
        <v>323</v>
      </c>
      <c r="D498" s="22" t="s">
        <v>1707</v>
      </c>
      <c r="E498" s="22" t="str">
        <f>CONCATENATE(B498,D498)</f>
        <v>63663107-0175</v>
      </c>
      <c r="F498" s="22" t="s">
        <v>1708</v>
      </c>
      <c r="G498" s="22" t="s">
        <v>29</v>
      </c>
      <c r="H498" s="23">
        <v>161.08009999999999</v>
      </c>
      <c r="I498" s="24">
        <v>1</v>
      </c>
      <c r="J498" s="24">
        <v>0</v>
      </c>
      <c r="K498" s="24">
        <v>0</v>
      </c>
      <c r="L498" s="41">
        <f>Table2[[#This Row],[Column1]]+Table2[[#This Row],[Column2]]</f>
        <v>0</v>
      </c>
      <c r="M498" s="42">
        <f>Table2[[#This Row],[OnHandQty]]-Table2[[#This Row],[Projection Nov/Dec]]</f>
        <v>1</v>
      </c>
      <c r="N498" s="35">
        <f>Table2[[#This Row],[OverStock]]*Table2[[#This Row],[RepCost]]</f>
        <v>161.08009999999999</v>
      </c>
      <c r="O498" s="25">
        <v>45712.382638888892</v>
      </c>
      <c r="P498" s="26" t="s">
        <v>151</v>
      </c>
    </row>
    <row r="499" spans="1:16" x14ac:dyDescent="0.25">
      <c r="A499" s="20" t="s">
        <v>5211</v>
      </c>
      <c r="B499" s="21">
        <v>714</v>
      </c>
      <c r="C499" s="22" t="s">
        <v>323</v>
      </c>
      <c r="D499" s="22" t="s">
        <v>442</v>
      </c>
      <c r="E499" s="22" t="str">
        <f>CONCATENATE(B499,D499)</f>
        <v>71463107-050</v>
      </c>
      <c r="F499" s="22" t="s">
        <v>443</v>
      </c>
      <c r="G499" s="22" t="s">
        <v>29</v>
      </c>
      <c r="H499" s="23">
        <v>669.94550000000004</v>
      </c>
      <c r="I499" s="24">
        <v>10</v>
      </c>
      <c r="J499" s="24">
        <v>0</v>
      </c>
      <c r="K499" s="24">
        <v>0</v>
      </c>
      <c r="L499" s="41">
        <f>Table2[[#This Row],[Column1]]+Table2[[#This Row],[Column2]]</f>
        <v>0</v>
      </c>
      <c r="M499" s="42">
        <f>Table2[[#This Row],[OnHandQty]]-Table2[[#This Row],[Projection Nov/Dec]]</f>
        <v>10</v>
      </c>
      <c r="N499" s="35">
        <f>Table2[[#This Row],[OverStock]]*Table2[[#This Row],[RepCost]]</f>
        <v>6699.4549999999999</v>
      </c>
      <c r="O499" s="25">
        <v>46129.443055555559</v>
      </c>
      <c r="P499" s="26" t="s">
        <v>444</v>
      </c>
    </row>
    <row r="500" spans="1:16" x14ac:dyDescent="0.25">
      <c r="A500" s="20" t="s">
        <v>5211</v>
      </c>
      <c r="B500" s="21">
        <v>636</v>
      </c>
      <c r="C500" s="22" t="s">
        <v>323</v>
      </c>
      <c r="D500" s="22" t="s">
        <v>442</v>
      </c>
      <c r="E500" s="22" t="str">
        <f>CONCATENATE(B500,D500)</f>
        <v>63663107-050</v>
      </c>
      <c r="F500" s="22" t="s">
        <v>443</v>
      </c>
      <c r="G500" s="22" t="s">
        <v>19</v>
      </c>
      <c r="H500" s="23">
        <v>655.44460000000004</v>
      </c>
      <c r="I500" s="24">
        <v>4</v>
      </c>
      <c r="J500" s="24">
        <v>0</v>
      </c>
      <c r="K500" s="24">
        <v>0</v>
      </c>
      <c r="L500" s="41">
        <f>Table2[[#This Row],[Column1]]+Table2[[#This Row],[Column2]]</f>
        <v>0</v>
      </c>
      <c r="M500" s="42">
        <f>Table2[[#This Row],[OnHandQty]]-Table2[[#This Row],[Projection Nov/Dec]]</f>
        <v>4</v>
      </c>
      <c r="N500" s="35">
        <f>Table2[[#This Row],[OverStock]]*Table2[[#This Row],[RepCost]]</f>
        <v>2621.7784000000001</v>
      </c>
      <c r="O500" s="25">
        <v>46142.59375</v>
      </c>
      <c r="P500" s="26" t="s">
        <v>444</v>
      </c>
    </row>
    <row r="501" spans="1:16" x14ac:dyDescent="0.25">
      <c r="A501" s="20" t="s">
        <v>5211</v>
      </c>
      <c r="B501" s="21">
        <v>634</v>
      </c>
      <c r="C501" s="22" t="s">
        <v>323</v>
      </c>
      <c r="D501" s="22" t="s">
        <v>442</v>
      </c>
      <c r="E501" s="22" t="str">
        <f>CONCATENATE(B501,D501)</f>
        <v>63463107-050</v>
      </c>
      <c r="F501" s="22" t="s">
        <v>443</v>
      </c>
      <c r="G501" s="22" t="s">
        <v>19</v>
      </c>
      <c r="H501" s="23">
        <v>669.57399999999996</v>
      </c>
      <c r="I501" s="24">
        <v>4</v>
      </c>
      <c r="J501" s="24">
        <v>0</v>
      </c>
      <c r="K501" s="24">
        <v>0</v>
      </c>
      <c r="L501" s="41">
        <f>Table2[[#This Row],[Column1]]+Table2[[#This Row],[Column2]]</f>
        <v>0</v>
      </c>
      <c r="M501" s="42">
        <f>Table2[[#This Row],[OnHandQty]]-Table2[[#This Row],[Projection Nov/Dec]]</f>
        <v>4</v>
      </c>
      <c r="N501" s="35">
        <f>Table2[[#This Row],[OverStock]]*Table2[[#This Row],[RepCost]]</f>
        <v>2678.2959999999998</v>
      </c>
      <c r="O501" s="25">
        <v>46147.415277777778</v>
      </c>
      <c r="P501" s="26" t="s">
        <v>444</v>
      </c>
    </row>
    <row r="502" spans="1:16" x14ac:dyDescent="0.25">
      <c r="A502" s="20" t="s">
        <v>5211</v>
      </c>
      <c r="B502" s="21">
        <v>718</v>
      </c>
      <c r="C502" s="22" t="s">
        <v>323</v>
      </c>
      <c r="D502" s="22" t="s">
        <v>442</v>
      </c>
      <c r="E502" s="22" t="str">
        <f>CONCATENATE(B502,D502)</f>
        <v>71863107-050</v>
      </c>
      <c r="F502" s="22" t="s">
        <v>443</v>
      </c>
      <c r="G502" s="22" t="s">
        <v>29</v>
      </c>
      <c r="H502" s="23">
        <v>610.23699999999997</v>
      </c>
      <c r="I502" s="24">
        <v>5</v>
      </c>
      <c r="J502" s="24">
        <v>0</v>
      </c>
      <c r="K502" s="24">
        <v>0</v>
      </c>
      <c r="L502" s="41">
        <f>Table2[[#This Row],[Column1]]+Table2[[#This Row],[Column2]]</f>
        <v>0</v>
      </c>
      <c r="M502" s="42">
        <f>Table2[[#This Row],[OnHandQty]]-Table2[[#This Row],[Projection Nov/Dec]]</f>
        <v>5</v>
      </c>
      <c r="N502" s="35">
        <f>Table2[[#This Row],[OverStock]]*Table2[[#This Row],[RepCost]]</f>
        <v>3051.1849999999999</v>
      </c>
      <c r="O502" s="25">
        <v>46163.499305555553</v>
      </c>
      <c r="P502" s="26" t="s">
        <v>444</v>
      </c>
    </row>
    <row r="503" spans="1:16" x14ac:dyDescent="0.25">
      <c r="A503" s="20" t="s">
        <v>5211</v>
      </c>
      <c r="B503" s="21">
        <v>714</v>
      </c>
      <c r="C503" s="22" t="s">
        <v>323</v>
      </c>
      <c r="D503" s="22" t="s">
        <v>3478</v>
      </c>
      <c r="E503" s="22" t="str">
        <f>CONCATENATE(B503,D503)</f>
        <v>71463107-308</v>
      </c>
      <c r="F503" s="22" t="s">
        <v>3479</v>
      </c>
      <c r="G503" s="22" t="s">
        <v>29</v>
      </c>
      <c r="H503" s="23">
        <v>157.03729999999999</v>
      </c>
      <c r="I503" s="24">
        <v>4</v>
      </c>
      <c r="J503" s="24">
        <v>0</v>
      </c>
      <c r="K503" s="24">
        <v>0</v>
      </c>
      <c r="L503" s="41">
        <f>Table2[[#This Row],[Column1]]+Table2[[#This Row],[Column2]]</f>
        <v>0</v>
      </c>
      <c r="M503" s="42">
        <f>Table2[[#This Row],[OnHandQty]]-Table2[[#This Row],[Projection Nov/Dec]]</f>
        <v>4</v>
      </c>
      <c r="N503" s="35">
        <f>Table2[[#This Row],[OverStock]]*Table2[[#This Row],[RepCost]]</f>
        <v>628.14919999999995</v>
      </c>
      <c r="O503" s="25">
        <v>46085.367361111108</v>
      </c>
      <c r="P503" s="26" t="s">
        <v>2257</v>
      </c>
    </row>
    <row r="504" spans="1:16" x14ac:dyDescent="0.25">
      <c r="A504" s="20" t="s">
        <v>5211</v>
      </c>
      <c r="B504" s="21">
        <v>718</v>
      </c>
      <c r="C504" s="22" t="s">
        <v>323</v>
      </c>
      <c r="D504" s="22" t="s">
        <v>3855</v>
      </c>
      <c r="E504" s="22" t="str">
        <f>CONCATENATE(B504,D504)</f>
        <v>71863107-MS307</v>
      </c>
      <c r="F504" s="22" t="s">
        <v>3856</v>
      </c>
      <c r="G504" s="22" t="s">
        <v>19</v>
      </c>
      <c r="H504" s="23">
        <v>128.006</v>
      </c>
      <c r="I504" s="24">
        <v>1</v>
      </c>
      <c r="J504" s="24">
        <v>0</v>
      </c>
      <c r="K504" s="24">
        <v>0</v>
      </c>
      <c r="L504" s="41">
        <f>Table2[[#This Row],[Column1]]+Table2[[#This Row],[Column2]]</f>
        <v>0</v>
      </c>
      <c r="M504" s="42">
        <f>Table2[[#This Row],[OnHandQty]]-Table2[[#This Row],[Projection Nov/Dec]]</f>
        <v>1</v>
      </c>
      <c r="N504" s="35">
        <f>Table2[[#This Row],[OverStock]]*Table2[[#This Row],[RepCost]]</f>
        <v>128.006</v>
      </c>
      <c r="O504" s="25">
        <v>46091.34652777778</v>
      </c>
      <c r="P504" s="26" t="s">
        <v>159</v>
      </c>
    </row>
    <row r="505" spans="1:16" x14ac:dyDescent="0.25">
      <c r="A505" s="20" t="s">
        <v>5211</v>
      </c>
      <c r="B505" s="21">
        <v>636</v>
      </c>
      <c r="C505" s="22" t="s">
        <v>323</v>
      </c>
      <c r="D505" s="22" t="s">
        <v>491</v>
      </c>
      <c r="E505" s="22" t="str">
        <f>CONCATENATE(B505,D505)</f>
        <v>63663107-MS308</v>
      </c>
      <c r="F505" s="22" t="s">
        <v>492</v>
      </c>
      <c r="G505" s="22" t="s">
        <v>23</v>
      </c>
      <c r="H505" s="23">
        <v>152.8938</v>
      </c>
      <c r="I505" s="24">
        <v>1</v>
      </c>
      <c r="J505" s="24">
        <v>0</v>
      </c>
      <c r="K505" s="24">
        <v>0</v>
      </c>
      <c r="L505" s="41">
        <f>Table2[[#This Row],[Column1]]+Table2[[#This Row],[Column2]]</f>
        <v>0</v>
      </c>
      <c r="M505" s="42">
        <f>Table2[[#This Row],[OnHandQty]]-Table2[[#This Row],[Projection Nov/Dec]]</f>
        <v>1</v>
      </c>
      <c r="N505" s="35">
        <f>Table2[[#This Row],[OverStock]]*Table2[[#This Row],[RepCost]]</f>
        <v>152.8938</v>
      </c>
      <c r="O505" s="25">
        <v>46114.612500000003</v>
      </c>
      <c r="P505" s="26" t="s">
        <v>330</v>
      </c>
    </row>
    <row r="506" spans="1:16" x14ac:dyDescent="0.25">
      <c r="A506" s="20" t="s">
        <v>5211</v>
      </c>
      <c r="B506" s="21">
        <v>634</v>
      </c>
      <c r="C506" s="22" t="s">
        <v>323</v>
      </c>
      <c r="D506" s="22" t="s">
        <v>491</v>
      </c>
      <c r="E506" s="22" t="str">
        <f>CONCATENATE(B506,D506)</f>
        <v>63463107-MS308</v>
      </c>
      <c r="F506" s="22" t="s">
        <v>492</v>
      </c>
      <c r="G506" s="22" t="s">
        <v>19</v>
      </c>
      <c r="H506" s="23">
        <v>158.982</v>
      </c>
      <c r="I506" s="24">
        <v>1</v>
      </c>
      <c r="J506" s="24">
        <v>0</v>
      </c>
      <c r="K506" s="24">
        <v>0</v>
      </c>
      <c r="L506" s="41">
        <f>Table2[[#This Row],[Column1]]+Table2[[#This Row],[Column2]]</f>
        <v>0</v>
      </c>
      <c r="M506" s="42">
        <f>Table2[[#This Row],[OnHandQty]]-Table2[[#This Row],[Projection Nov/Dec]]</f>
        <v>1</v>
      </c>
      <c r="N506" s="35">
        <f>Table2[[#This Row],[OverStock]]*Table2[[#This Row],[RepCost]]</f>
        <v>158.982</v>
      </c>
      <c r="O506" s="25">
        <v>46119.536805555559</v>
      </c>
      <c r="P506" s="26" t="s">
        <v>371</v>
      </c>
    </row>
    <row r="507" spans="1:16" x14ac:dyDescent="0.25">
      <c r="A507" s="20" t="s">
        <v>5211</v>
      </c>
      <c r="B507" s="21">
        <v>714</v>
      </c>
      <c r="C507" s="22" t="s">
        <v>323</v>
      </c>
      <c r="D507" s="22" t="s">
        <v>3368</v>
      </c>
      <c r="E507" s="22" t="str">
        <f>CONCATENATE(B507,D507)</f>
        <v>71490886-115</v>
      </c>
      <c r="F507" s="22" t="s">
        <v>3369</v>
      </c>
      <c r="G507" s="22" t="s">
        <v>23</v>
      </c>
      <c r="H507" s="23">
        <v>86.517799999999994</v>
      </c>
      <c r="I507" s="24">
        <v>1</v>
      </c>
      <c r="J507" s="24">
        <v>0</v>
      </c>
      <c r="K507" s="24">
        <v>0</v>
      </c>
      <c r="L507" s="41">
        <f>Table2[[#This Row],[Column1]]+Table2[[#This Row],[Column2]]</f>
        <v>0</v>
      </c>
      <c r="M507" s="42">
        <f>Table2[[#This Row],[OnHandQty]]-Table2[[#This Row],[Projection Nov/Dec]]</f>
        <v>1</v>
      </c>
      <c r="N507" s="35">
        <f>Table2[[#This Row],[OverStock]]*Table2[[#This Row],[RepCost]]</f>
        <v>86.517799999999994</v>
      </c>
      <c r="O507" s="25">
        <v>46120.681250000001</v>
      </c>
      <c r="P507" s="26" t="s">
        <v>865</v>
      </c>
    </row>
    <row r="508" spans="1:16" x14ac:dyDescent="0.25">
      <c r="A508" s="20" t="s">
        <v>5211</v>
      </c>
      <c r="B508" s="21">
        <v>714</v>
      </c>
      <c r="C508" s="22" t="s">
        <v>323</v>
      </c>
      <c r="D508" s="22" t="s">
        <v>2945</v>
      </c>
      <c r="E508" s="22" t="str">
        <f>CONCATENATE(B508,D508)</f>
        <v>71490886-020</v>
      </c>
      <c r="F508" s="22" t="s">
        <v>2946</v>
      </c>
      <c r="G508" s="22" t="s">
        <v>23</v>
      </c>
      <c r="H508" s="23">
        <v>243.43219999999999</v>
      </c>
      <c r="I508" s="24">
        <v>7</v>
      </c>
      <c r="J508" s="24">
        <v>0</v>
      </c>
      <c r="K508" s="24">
        <v>0</v>
      </c>
      <c r="L508" s="41">
        <f>Table2[[#This Row],[Column1]]+Table2[[#This Row],[Column2]]</f>
        <v>0</v>
      </c>
      <c r="M508" s="42">
        <f>Table2[[#This Row],[OnHandQty]]-Table2[[#This Row],[Projection Nov/Dec]]</f>
        <v>7</v>
      </c>
      <c r="N508" s="35">
        <f>Table2[[#This Row],[OverStock]]*Table2[[#This Row],[RepCost]]</f>
        <v>1704.0254</v>
      </c>
      <c r="O508" s="25">
        <v>45987.597222222219</v>
      </c>
      <c r="P508" s="26" t="s">
        <v>2423</v>
      </c>
    </row>
    <row r="509" spans="1:16" x14ac:dyDescent="0.25">
      <c r="A509" s="20" t="s">
        <v>5211</v>
      </c>
      <c r="B509" s="21">
        <v>636</v>
      </c>
      <c r="C509" s="22" t="s">
        <v>323</v>
      </c>
      <c r="D509" s="22" t="s">
        <v>1564</v>
      </c>
      <c r="E509" s="22" t="str">
        <f>CONCATENATE(B509,D509)</f>
        <v>63674567-110</v>
      </c>
      <c r="F509" s="27" t="s">
        <v>1565</v>
      </c>
      <c r="G509" s="27" t="s">
        <v>58</v>
      </c>
      <c r="H509" s="23">
        <v>103.4028</v>
      </c>
      <c r="I509" s="24">
        <v>1</v>
      </c>
      <c r="J509" s="24">
        <v>0</v>
      </c>
      <c r="K509" s="24">
        <v>0</v>
      </c>
      <c r="L509" s="41">
        <f>Table2[[#This Row],[Column1]]+Table2[[#This Row],[Column2]]</f>
        <v>0</v>
      </c>
      <c r="M509" s="42">
        <f>Table2[[#This Row],[OnHandQty]]-Table2[[#This Row],[Projection Nov/Dec]]</f>
        <v>1</v>
      </c>
      <c r="N509" s="35">
        <f>Table2[[#This Row],[OverStock]]*Table2[[#This Row],[RepCost]]</f>
        <v>103.4028</v>
      </c>
      <c r="O509" s="25">
        <v>45419.637499999997</v>
      </c>
      <c r="P509" s="26" t="s">
        <v>1067</v>
      </c>
    </row>
    <row r="510" spans="1:16" x14ac:dyDescent="0.25">
      <c r="A510" s="20" t="s">
        <v>5211</v>
      </c>
      <c r="B510" s="21">
        <v>636</v>
      </c>
      <c r="C510" s="22" t="s">
        <v>323</v>
      </c>
      <c r="D510" s="22" t="s">
        <v>1697</v>
      </c>
      <c r="E510" s="22" t="str">
        <f>CONCATENATE(B510,D510)</f>
        <v>63674565-025</v>
      </c>
      <c r="F510" s="22" t="s">
        <v>1698</v>
      </c>
      <c r="G510" s="22" t="s">
        <v>29</v>
      </c>
      <c r="H510" s="23">
        <v>282.7559</v>
      </c>
      <c r="I510" s="24">
        <v>1</v>
      </c>
      <c r="J510" s="24">
        <v>0</v>
      </c>
      <c r="K510" s="24">
        <v>0</v>
      </c>
      <c r="L510" s="41">
        <f>Table2[[#This Row],[Column1]]+Table2[[#This Row],[Column2]]</f>
        <v>0</v>
      </c>
      <c r="M510" s="42">
        <f>Table2[[#This Row],[OnHandQty]]-Table2[[#This Row],[Projection Nov/Dec]]</f>
        <v>1</v>
      </c>
      <c r="N510" s="35">
        <f>Table2[[#This Row],[OverStock]]*Table2[[#This Row],[RepCost]]</f>
        <v>282.7559</v>
      </c>
      <c r="O510" s="25">
        <v>46114.612500000003</v>
      </c>
      <c r="P510" s="26" t="s">
        <v>330</v>
      </c>
    </row>
    <row r="511" spans="1:16" x14ac:dyDescent="0.25">
      <c r="A511" s="20" t="s">
        <v>5211</v>
      </c>
      <c r="B511" s="21">
        <v>634</v>
      </c>
      <c r="C511" s="22" t="s">
        <v>323</v>
      </c>
      <c r="D511" s="22" t="s">
        <v>343</v>
      </c>
      <c r="E511" s="22" t="str">
        <f>CONCATENATE(B511,D511)</f>
        <v>63474565-120</v>
      </c>
      <c r="F511" s="27" t="s">
        <v>344</v>
      </c>
      <c r="G511" s="27" t="s">
        <v>58</v>
      </c>
      <c r="H511" s="23">
        <v>134.30000000000001</v>
      </c>
      <c r="I511" s="24">
        <v>1</v>
      </c>
      <c r="J511" s="24">
        <v>0</v>
      </c>
      <c r="K511" s="24">
        <v>0</v>
      </c>
      <c r="L511" s="41">
        <f>Table2[[#This Row],[Column1]]+Table2[[#This Row],[Column2]]</f>
        <v>0</v>
      </c>
      <c r="M511" s="42">
        <f>Table2[[#This Row],[OnHandQty]]-Table2[[#This Row],[Projection Nov/Dec]]</f>
        <v>1</v>
      </c>
      <c r="N511" s="35">
        <f>Table2[[#This Row],[OverStock]]*Table2[[#This Row],[RepCost]]</f>
        <v>134.30000000000001</v>
      </c>
      <c r="O511" s="25">
        <v>45827.283333333333</v>
      </c>
      <c r="P511" s="26" t="s">
        <v>345</v>
      </c>
    </row>
    <row r="512" spans="1:16" x14ac:dyDescent="0.25">
      <c r="A512" s="20" t="s">
        <v>5211</v>
      </c>
      <c r="B512" s="21">
        <v>636</v>
      </c>
      <c r="C512" s="22" t="s">
        <v>323</v>
      </c>
      <c r="D512" s="22" t="s">
        <v>1417</v>
      </c>
      <c r="E512" s="22" t="str">
        <f>CONCATENATE(B512,D512)</f>
        <v>63681432-020</v>
      </c>
      <c r="F512" s="22" t="s">
        <v>1418</v>
      </c>
      <c r="G512" s="22" t="s">
        <v>23</v>
      </c>
      <c r="H512" s="23">
        <v>205.39689999999999</v>
      </c>
      <c r="I512" s="24">
        <v>1</v>
      </c>
      <c r="J512" s="24">
        <v>0</v>
      </c>
      <c r="K512" s="24">
        <v>0</v>
      </c>
      <c r="L512" s="41">
        <f>Table2[[#This Row],[Column1]]+Table2[[#This Row],[Column2]]</f>
        <v>0</v>
      </c>
      <c r="M512" s="42">
        <f>Table2[[#This Row],[OnHandQty]]-Table2[[#This Row],[Projection Nov/Dec]]</f>
        <v>1</v>
      </c>
      <c r="N512" s="35">
        <f>Table2[[#This Row],[OverStock]]*Table2[[#This Row],[RepCost]]</f>
        <v>205.39689999999999</v>
      </c>
      <c r="O512" s="25">
        <v>46106.444444444445</v>
      </c>
      <c r="P512" s="26" t="s">
        <v>357</v>
      </c>
    </row>
    <row r="513" spans="1:16" x14ac:dyDescent="0.25">
      <c r="A513" s="20" t="s">
        <v>5211</v>
      </c>
      <c r="B513" s="21">
        <v>714</v>
      </c>
      <c r="C513" s="22" t="s">
        <v>323</v>
      </c>
      <c r="D513" s="22" t="s">
        <v>3374</v>
      </c>
      <c r="E513" s="22" t="str">
        <f>CONCATENATE(B513,D513)</f>
        <v>71485085-025</v>
      </c>
      <c r="F513" s="22" t="s">
        <v>3375</v>
      </c>
      <c r="G513" s="22" t="s">
        <v>15</v>
      </c>
      <c r="H513" s="23">
        <v>238.4228</v>
      </c>
      <c r="I513" s="24">
        <v>2</v>
      </c>
      <c r="J513" s="24">
        <v>0</v>
      </c>
      <c r="K513" s="24">
        <v>0</v>
      </c>
      <c r="L513" s="41">
        <f>Table2[[#This Row],[Column1]]+Table2[[#This Row],[Column2]]</f>
        <v>0</v>
      </c>
      <c r="M513" s="42">
        <f>Table2[[#This Row],[OnHandQty]]-Table2[[#This Row],[Projection Nov/Dec]]</f>
        <v>2</v>
      </c>
      <c r="N513" s="35">
        <f>Table2[[#This Row],[OverStock]]*Table2[[#This Row],[RepCost]]</f>
        <v>476.84559999999999</v>
      </c>
      <c r="O513" s="25">
        <v>45922.579861111109</v>
      </c>
      <c r="P513" s="26" t="s">
        <v>2423</v>
      </c>
    </row>
    <row r="514" spans="1:16" x14ac:dyDescent="0.25">
      <c r="A514" s="20" t="s">
        <v>5211</v>
      </c>
      <c r="B514" s="21">
        <v>636</v>
      </c>
      <c r="C514" s="22" t="s">
        <v>323</v>
      </c>
      <c r="D514" s="22" t="s">
        <v>1527</v>
      </c>
      <c r="E514" s="22" t="str">
        <f>CONCATENATE(B514,D514)</f>
        <v>63679993-310</v>
      </c>
      <c r="F514" s="22" t="s">
        <v>1528</v>
      </c>
      <c r="G514" s="22" t="s">
        <v>29</v>
      </c>
      <c r="H514" s="23">
        <v>152.82759999999999</v>
      </c>
      <c r="I514" s="24">
        <v>3</v>
      </c>
      <c r="J514" s="24">
        <v>0</v>
      </c>
      <c r="K514" s="24">
        <v>0</v>
      </c>
      <c r="L514" s="41">
        <f>Table2[[#This Row],[Column1]]+Table2[[#This Row],[Column2]]</f>
        <v>0</v>
      </c>
      <c r="M514" s="42">
        <f>Table2[[#This Row],[OnHandQty]]-Table2[[#This Row],[Projection Nov/Dec]]</f>
        <v>3</v>
      </c>
      <c r="N514" s="35">
        <f>Table2[[#This Row],[OverStock]]*Table2[[#This Row],[RepCost]]</f>
        <v>458.4828</v>
      </c>
      <c r="O514" s="25">
        <v>46072.503472222219</v>
      </c>
      <c r="P514" s="26" t="s">
        <v>1229</v>
      </c>
    </row>
    <row r="515" spans="1:16" x14ac:dyDescent="0.25">
      <c r="A515" s="20" t="s">
        <v>5211</v>
      </c>
      <c r="B515" s="21">
        <v>718</v>
      </c>
      <c r="C515" s="22" t="s">
        <v>323</v>
      </c>
      <c r="D515" s="22" t="s">
        <v>3976</v>
      </c>
      <c r="E515" s="22" t="str">
        <f>CONCATENATE(B515,D515)</f>
        <v>71879993-115</v>
      </c>
      <c r="F515" s="22" t="s">
        <v>3977</v>
      </c>
      <c r="G515" s="22" t="s">
        <v>23</v>
      </c>
      <c r="H515" s="23">
        <v>117.0227</v>
      </c>
      <c r="I515" s="24">
        <v>3</v>
      </c>
      <c r="J515" s="24">
        <v>0</v>
      </c>
      <c r="K515" s="24">
        <v>0</v>
      </c>
      <c r="L515" s="41">
        <f>Table2[[#This Row],[Column1]]+Table2[[#This Row],[Column2]]</f>
        <v>0</v>
      </c>
      <c r="M515" s="42">
        <f>Table2[[#This Row],[OnHandQty]]-Table2[[#This Row],[Projection Nov/Dec]]</f>
        <v>3</v>
      </c>
      <c r="N515" s="35">
        <f>Table2[[#This Row],[OverStock]]*Table2[[#This Row],[RepCost]]</f>
        <v>351.06810000000002</v>
      </c>
      <c r="O515" s="25">
        <v>46209.574305555558</v>
      </c>
      <c r="P515" s="26" t="s">
        <v>1535</v>
      </c>
    </row>
    <row r="516" spans="1:16" x14ac:dyDescent="0.25">
      <c r="A516" s="20" t="s">
        <v>5211</v>
      </c>
      <c r="B516" s="21">
        <v>714</v>
      </c>
      <c r="C516" s="22" t="s">
        <v>143</v>
      </c>
      <c r="D516" s="22" t="s">
        <v>2752</v>
      </c>
      <c r="E516" s="22" t="str">
        <f>CONCATENATE(B516,D516)</f>
        <v>71480435-102</v>
      </c>
      <c r="F516" s="22" t="s">
        <v>2753</v>
      </c>
      <c r="G516" s="22" t="s">
        <v>29</v>
      </c>
      <c r="H516" s="23">
        <v>15.790800000000001</v>
      </c>
      <c r="I516" s="24">
        <v>6</v>
      </c>
      <c r="J516" s="24">
        <v>2</v>
      </c>
      <c r="K516" s="24">
        <v>0</v>
      </c>
      <c r="L516" s="41">
        <f>Table2[[#This Row],[Column1]]+Table2[[#This Row],[Column2]]</f>
        <v>2</v>
      </c>
      <c r="M516" s="42">
        <f>Table2[[#This Row],[OnHandQty]]-Table2[[#This Row],[Projection Nov/Dec]]</f>
        <v>4</v>
      </c>
      <c r="N516" s="35">
        <f>Table2[[#This Row],[OverStock]]*Table2[[#This Row],[RepCost]]</f>
        <v>63.163200000000003</v>
      </c>
      <c r="O516" s="25">
        <v>45805.370833333334</v>
      </c>
      <c r="P516" s="26" t="s">
        <v>40</v>
      </c>
    </row>
    <row r="517" spans="1:16" x14ac:dyDescent="0.25">
      <c r="A517" s="20" t="s">
        <v>5211</v>
      </c>
      <c r="B517" s="21">
        <v>636</v>
      </c>
      <c r="C517" s="22" t="s">
        <v>143</v>
      </c>
      <c r="D517" s="22" t="s">
        <v>991</v>
      </c>
      <c r="E517" s="22" t="str">
        <f>CONCATENATE(B517,D517)</f>
        <v>63680450-102</v>
      </c>
      <c r="F517" s="22" t="s">
        <v>992</v>
      </c>
      <c r="G517" s="22" t="s">
        <v>29</v>
      </c>
      <c r="H517" s="23">
        <v>15.5746</v>
      </c>
      <c r="I517" s="24">
        <v>2</v>
      </c>
      <c r="J517" s="24">
        <v>0</v>
      </c>
      <c r="K517" s="24">
        <v>0</v>
      </c>
      <c r="L517" s="41">
        <f>Table2[[#This Row],[Column1]]+Table2[[#This Row],[Column2]]</f>
        <v>0</v>
      </c>
      <c r="M517" s="42">
        <f>Table2[[#This Row],[OnHandQty]]-Table2[[#This Row],[Projection Nov/Dec]]</f>
        <v>2</v>
      </c>
      <c r="N517" s="35">
        <f>Table2[[#This Row],[OverStock]]*Table2[[#This Row],[RepCost]]</f>
        <v>31.1492</v>
      </c>
      <c r="O517" s="25">
        <v>45980.417361111111</v>
      </c>
      <c r="P517" s="26" t="s">
        <v>40</v>
      </c>
    </row>
    <row r="518" spans="1:16" x14ac:dyDescent="0.25">
      <c r="A518" s="20" t="s">
        <v>5211</v>
      </c>
      <c r="B518" s="21">
        <v>714</v>
      </c>
      <c r="C518" s="22" t="s">
        <v>323</v>
      </c>
      <c r="D518" s="22" t="s">
        <v>3510</v>
      </c>
      <c r="E518" s="22" t="str">
        <f>CONCATENATE(B518,D518)</f>
        <v>71463176-248</v>
      </c>
      <c r="F518" s="22" t="s">
        <v>3511</v>
      </c>
      <c r="G518" s="22" t="s">
        <v>19</v>
      </c>
      <c r="H518" s="23">
        <v>136.8723</v>
      </c>
      <c r="I518" s="24">
        <v>1</v>
      </c>
      <c r="J518" s="24">
        <v>0</v>
      </c>
      <c r="K518" s="24">
        <v>0</v>
      </c>
      <c r="L518" s="41">
        <f>Table2[[#This Row],[Column1]]+Table2[[#This Row],[Column2]]</f>
        <v>0</v>
      </c>
      <c r="M518" s="42">
        <f>Table2[[#This Row],[OnHandQty]]-Table2[[#This Row],[Projection Nov/Dec]]</f>
        <v>1</v>
      </c>
      <c r="N518" s="35">
        <f>Table2[[#This Row],[OverStock]]*Table2[[#This Row],[RepCost]]</f>
        <v>136.8723</v>
      </c>
      <c r="O518" s="25">
        <v>46083.444444444445</v>
      </c>
      <c r="P518" s="26" t="s">
        <v>137</v>
      </c>
    </row>
    <row r="519" spans="1:16" x14ac:dyDescent="0.25">
      <c r="A519" s="20" t="s">
        <v>5211</v>
      </c>
      <c r="B519" s="21">
        <v>714</v>
      </c>
      <c r="C519" s="22" t="s">
        <v>323</v>
      </c>
      <c r="D519" s="22" t="s">
        <v>3536</v>
      </c>
      <c r="E519" s="22" t="str">
        <f>CONCATENATE(B519,D519)</f>
        <v>71463176-305</v>
      </c>
      <c r="F519" s="22" t="s">
        <v>3537</v>
      </c>
      <c r="G519" s="22" t="s">
        <v>29</v>
      </c>
      <c r="H519" s="23">
        <v>142.51740000000001</v>
      </c>
      <c r="I519" s="24">
        <v>4</v>
      </c>
      <c r="J519" s="24">
        <v>0</v>
      </c>
      <c r="K519" s="24">
        <v>0</v>
      </c>
      <c r="L519" s="41">
        <f>Table2[[#This Row],[Column1]]+Table2[[#This Row],[Column2]]</f>
        <v>0</v>
      </c>
      <c r="M519" s="42">
        <f>Table2[[#This Row],[OnHandQty]]-Table2[[#This Row],[Projection Nov/Dec]]</f>
        <v>4</v>
      </c>
      <c r="N519" s="35">
        <f>Table2[[#This Row],[OverStock]]*Table2[[#This Row],[RepCost]]</f>
        <v>570.06960000000004</v>
      </c>
      <c r="O519" s="25">
        <v>46118.304861111108</v>
      </c>
      <c r="P519" s="26" t="s">
        <v>2423</v>
      </c>
    </row>
    <row r="520" spans="1:16" x14ac:dyDescent="0.25">
      <c r="A520" s="20" t="s">
        <v>5211</v>
      </c>
      <c r="B520" s="21">
        <v>714</v>
      </c>
      <c r="C520" s="22" t="s">
        <v>323</v>
      </c>
      <c r="D520" s="22" t="s">
        <v>3151</v>
      </c>
      <c r="E520" s="22" t="str">
        <f>CONCATENATE(B520,D520)</f>
        <v>71463176-306</v>
      </c>
      <c r="F520" s="22" t="s">
        <v>3152</v>
      </c>
      <c r="G520" s="22" t="s">
        <v>29</v>
      </c>
      <c r="H520" s="23">
        <v>154.97040000000001</v>
      </c>
      <c r="I520" s="24">
        <v>1</v>
      </c>
      <c r="J520" s="24">
        <v>0</v>
      </c>
      <c r="K520" s="24">
        <v>0</v>
      </c>
      <c r="L520" s="41">
        <f>Table2[[#This Row],[Column1]]+Table2[[#This Row],[Column2]]</f>
        <v>0</v>
      </c>
      <c r="M520" s="42">
        <f>Table2[[#This Row],[OnHandQty]]-Table2[[#This Row],[Projection Nov/Dec]]</f>
        <v>1</v>
      </c>
      <c r="N520" s="35">
        <f>Table2[[#This Row],[OverStock]]*Table2[[#This Row],[RepCost]]</f>
        <v>154.97040000000001</v>
      </c>
      <c r="O520" s="25">
        <v>46118.304861111108</v>
      </c>
      <c r="P520" s="26" t="s">
        <v>2423</v>
      </c>
    </row>
    <row r="521" spans="1:16" x14ac:dyDescent="0.25">
      <c r="A521" s="20" t="s">
        <v>5211</v>
      </c>
      <c r="B521" s="21">
        <v>714</v>
      </c>
      <c r="C521" s="22" t="s">
        <v>323</v>
      </c>
      <c r="D521" s="22" t="s">
        <v>3251</v>
      </c>
      <c r="E521" s="22" t="str">
        <f>CONCATENATE(B521,D521)</f>
        <v>71476385-236</v>
      </c>
      <c r="F521" s="22" t="s">
        <v>3252</v>
      </c>
      <c r="G521" s="22" t="s">
        <v>158</v>
      </c>
      <c r="H521" s="23">
        <v>100.0842</v>
      </c>
      <c r="I521" s="24">
        <v>1</v>
      </c>
      <c r="J521" s="24">
        <v>0</v>
      </c>
      <c r="K521" s="24">
        <v>0</v>
      </c>
      <c r="L521" s="41">
        <f>Table2[[#This Row],[Column1]]+Table2[[#This Row],[Column2]]</f>
        <v>0</v>
      </c>
      <c r="M521" s="42">
        <f>Table2[[#This Row],[OnHandQty]]-Table2[[#This Row],[Projection Nov/Dec]]</f>
        <v>1</v>
      </c>
      <c r="N521" s="35">
        <f>Table2[[#This Row],[OverStock]]*Table2[[#This Row],[RepCost]]</f>
        <v>100.0842</v>
      </c>
      <c r="O521" s="25">
        <v>46126.29791666667</v>
      </c>
      <c r="P521" s="26" t="s">
        <v>2379</v>
      </c>
    </row>
    <row r="522" spans="1:16" x14ac:dyDescent="0.25">
      <c r="A522" s="20" t="s">
        <v>5211</v>
      </c>
      <c r="B522" s="21">
        <v>718</v>
      </c>
      <c r="C522" s="22" t="s">
        <v>323</v>
      </c>
      <c r="D522" s="22" t="s">
        <v>3251</v>
      </c>
      <c r="E522" s="22" t="str">
        <f>CONCATENATE(B522,D522)</f>
        <v>71876385-236</v>
      </c>
      <c r="F522" s="22" t="s">
        <v>3252</v>
      </c>
      <c r="G522" s="22" t="s">
        <v>23</v>
      </c>
      <c r="H522" s="23">
        <v>102.9426</v>
      </c>
      <c r="I522" s="24">
        <v>1</v>
      </c>
      <c r="J522" s="24">
        <v>0</v>
      </c>
      <c r="K522" s="24">
        <v>0</v>
      </c>
      <c r="L522" s="41">
        <f>Table2[[#This Row],[Column1]]+Table2[[#This Row],[Column2]]</f>
        <v>0</v>
      </c>
      <c r="M522" s="42">
        <f>Table2[[#This Row],[OnHandQty]]-Table2[[#This Row],[Projection Nov/Dec]]</f>
        <v>1</v>
      </c>
      <c r="N522" s="35">
        <f>Table2[[#This Row],[OverStock]]*Table2[[#This Row],[RepCost]]</f>
        <v>102.9426</v>
      </c>
      <c r="O522" s="25">
        <v>46175.657638888886</v>
      </c>
      <c r="P522" s="26" t="s">
        <v>137</v>
      </c>
    </row>
    <row r="523" spans="1:16" x14ac:dyDescent="0.25">
      <c r="A523" s="20" t="s">
        <v>5211</v>
      </c>
      <c r="B523" s="21">
        <v>714</v>
      </c>
      <c r="C523" s="22" t="s">
        <v>323</v>
      </c>
      <c r="D523" s="22" t="s">
        <v>3496</v>
      </c>
      <c r="E523" s="22" t="str">
        <f>CONCATENATE(B523,D523)</f>
        <v>71476385-248</v>
      </c>
      <c r="F523" s="22" t="s">
        <v>3497</v>
      </c>
      <c r="G523" s="22" t="s">
        <v>158</v>
      </c>
      <c r="H523" s="23">
        <v>120.34520000000001</v>
      </c>
      <c r="I523" s="24">
        <v>2</v>
      </c>
      <c r="J523" s="24">
        <v>0</v>
      </c>
      <c r="K523" s="24">
        <v>0</v>
      </c>
      <c r="L523" s="41">
        <f>Table2[[#This Row],[Column1]]+Table2[[#This Row],[Column2]]</f>
        <v>0</v>
      </c>
      <c r="M523" s="42">
        <f>Table2[[#This Row],[OnHandQty]]-Table2[[#This Row],[Projection Nov/Dec]]</f>
        <v>2</v>
      </c>
      <c r="N523" s="35">
        <f>Table2[[#This Row],[OverStock]]*Table2[[#This Row],[RepCost]]</f>
        <v>240.69040000000001</v>
      </c>
      <c r="O523" s="25">
        <v>46118.304861111108</v>
      </c>
      <c r="P523" s="26" t="s">
        <v>2423</v>
      </c>
    </row>
    <row r="524" spans="1:16" x14ac:dyDescent="0.25">
      <c r="A524" s="20" t="s">
        <v>5211</v>
      </c>
      <c r="B524" s="21">
        <v>714</v>
      </c>
      <c r="C524" s="22" t="s">
        <v>323</v>
      </c>
      <c r="D524" s="22" t="s">
        <v>3247</v>
      </c>
      <c r="E524" s="22" t="str">
        <f>CONCATENATE(B524,D524)</f>
        <v>71476385-305</v>
      </c>
      <c r="F524" s="22" t="s">
        <v>3248</v>
      </c>
      <c r="G524" s="22" t="s">
        <v>29</v>
      </c>
      <c r="H524" s="23">
        <v>145.732</v>
      </c>
      <c r="I524" s="24">
        <v>7</v>
      </c>
      <c r="J524" s="24">
        <v>0</v>
      </c>
      <c r="K524" s="24">
        <v>0</v>
      </c>
      <c r="L524" s="41">
        <f>Table2[[#This Row],[Column1]]+Table2[[#This Row],[Column2]]</f>
        <v>0</v>
      </c>
      <c r="M524" s="42">
        <f>Table2[[#This Row],[OnHandQty]]-Table2[[#This Row],[Projection Nov/Dec]]</f>
        <v>7</v>
      </c>
      <c r="N524" s="35">
        <f>Table2[[#This Row],[OverStock]]*Table2[[#This Row],[RepCost]]</f>
        <v>1020.124</v>
      </c>
      <c r="O524" s="25">
        <v>46126.695833333331</v>
      </c>
      <c r="P524" s="26" t="s">
        <v>178</v>
      </c>
    </row>
    <row r="525" spans="1:16" x14ac:dyDescent="0.25">
      <c r="A525" s="20" t="s">
        <v>5211</v>
      </c>
      <c r="B525" s="21">
        <v>714</v>
      </c>
      <c r="C525" s="22" t="s">
        <v>323</v>
      </c>
      <c r="D525" s="22" t="s">
        <v>3435</v>
      </c>
      <c r="E525" s="22" t="str">
        <f>CONCATENATE(B525,D525)</f>
        <v>71476386-248</v>
      </c>
      <c r="F525" s="22" t="s">
        <v>3436</v>
      </c>
      <c r="G525" s="22" t="s">
        <v>19</v>
      </c>
      <c r="H525" s="23">
        <v>121.77</v>
      </c>
      <c r="I525" s="24">
        <v>6</v>
      </c>
      <c r="J525" s="24">
        <v>0</v>
      </c>
      <c r="K525" s="24">
        <v>0</v>
      </c>
      <c r="L525" s="41">
        <f>Table2[[#This Row],[Column1]]+Table2[[#This Row],[Column2]]</f>
        <v>0</v>
      </c>
      <c r="M525" s="42">
        <f>Table2[[#This Row],[OnHandQty]]-Table2[[#This Row],[Projection Nov/Dec]]</f>
        <v>6</v>
      </c>
      <c r="N525" s="35">
        <f>Table2[[#This Row],[OverStock]]*Table2[[#This Row],[RepCost]]</f>
        <v>730.62</v>
      </c>
      <c r="O525" s="25">
        <v>46118.304861111108</v>
      </c>
      <c r="P525" s="26" t="s">
        <v>2423</v>
      </c>
    </row>
    <row r="526" spans="1:16" x14ac:dyDescent="0.25">
      <c r="A526" s="20" t="s">
        <v>5211</v>
      </c>
      <c r="B526" s="21">
        <v>714</v>
      </c>
      <c r="C526" s="22" t="s">
        <v>323</v>
      </c>
      <c r="D526" s="22" t="s">
        <v>3415</v>
      </c>
      <c r="E526" s="22" t="str">
        <f>CONCATENATE(B526,D526)</f>
        <v>71476386-305</v>
      </c>
      <c r="F526" s="22" t="s">
        <v>3416</v>
      </c>
      <c r="G526" s="22" t="s">
        <v>19</v>
      </c>
      <c r="H526" s="23">
        <v>182.6353</v>
      </c>
      <c r="I526" s="24">
        <v>2</v>
      </c>
      <c r="J526" s="24">
        <v>0</v>
      </c>
      <c r="K526" s="24">
        <v>0</v>
      </c>
      <c r="L526" s="41">
        <f>Table2[[#This Row],[Column1]]+Table2[[#This Row],[Column2]]</f>
        <v>0</v>
      </c>
      <c r="M526" s="42">
        <f>Table2[[#This Row],[OnHandQty]]-Table2[[#This Row],[Projection Nov/Dec]]</f>
        <v>2</v>
      </c>
      <c r="N526" s="35">
        <f>Table2[[#This Row],[OverStock]]*Table2[[#This Row],[RepCost]]</f>
        <v>365.2706</v>
      </c>
      <c r="O526" s="25">
        <v>46148.463888888888</v>
      </c>
      <c r="P526" s="26" t="s">
        <v>137</v>
      </c>
    </row>
    <row r="527" spans="1:16" x14ac:dyDescent="0.25">
      <c r="A527" s="20" t="s">
        <v>5211</v>
      </c>
      <c r="B527" s="21">
        <v>714</v>
      </c>
      <c r="C527" s="22" t="s">
        <v>323</v>
      </c>
      <c r="D527" s="22" t="s">
        <v>2826</v>
      </c>
      <c r="E527" s="22" t="str">
        <f>CONCATENATE(B527,D527)</f>
        <v>71463178-103</v>
      </c>
      <c r="F527" s="27" t="s">
        <v>2827</v>
      </c>
      <c r="G527" s="27" t="s">
        <v>58</v>
      </c>
      <c r="H527" s="23">
        <v>11.962</v>
      </c>
      <c r="I527" s="24">
        <v>2</v>
      </c>
      <c r="J527" s="24">
        <v>0</v>
      </c>
      <c r="K527" s="24">
        <v>0</v>
      </c>
      <c r="L527" s="41">
        <f>Table2[[#This Row],[Column1]]+Table2[[#This Row],[Column2]]</f>
        <v>0</v>
      </c>
      <c r="M527" s="42">
        <f>Table2[[#This Row],[OnHandQty]]-Table2[[#This Row],[Projection Nov/Dec]]</f>
        <v>2</v>
      </c>
      <c r="N527" s="35">
        <f>Table2[[#This Row],[OverStock]]*Table2[[#This Row],[RepCost]]</f>
        <v>23.923999999999999</v>
      </c>
      <c r="O527" s="25">
        <v>45444.660416666666</v>
      </c>
      <c r="P527" s="26" t="s">
        <v>2225</v>
      </c>
    </row>
    <row r="528" spans="1:16" x14ac:dyDescent="0.25">
      <c r="A528" s="20" t="s">
        <v>5211</v>
      </c>
      <c r="B528" s="21">
        <v>636</v>
      </c>
      <c r="C528" s="22" t="s">
        <v>323</v>
      </c>
      <c r="D528" s="22" t="s">
        <v>1340</v>
      </c>
      <c r="E528" s="22" t="str">
        <f>CONCATENATE(B528,D528)</f>
        <v>63663178-308</v>
      </c>
      <c r="F528" s="22" t="s">
        <v>1341</v>
      </c>
      <c r="G528" s="22" t="s">
        <v>29</v>
      </c>
      <c r="H528" s="23">
        <v>361.99189999999999</v>
      </c>
      <c r="I528" s="24">
        <v>1</v>
      </c>
      <c r="J528" s="24">
        <v>0</v>
      </c>
      <c r="K528" s="24">
        <v>0</v>
      </c>
      <c r="L528" s="41">
        <f>Table2[[#This Row],[Column1]]+Table2[[#This Row],[Column2]]</f>
        <v>0</v>
      </c>
      <c r="M528" s="42">
        <f>Table2[[#This Row],[OnHandQty]]-Table2[[#This Row],[Projection Nov/Dec]]</f>
        <v>1</v>
      </c>
      <c r="N528" s="35">
        <f>Table2[[#This Row],[OverStock]]*Table2[[#This Row],[RepCost]]</f>
        <v>361.99189999999999</v>
      </c>
      <c r="O528" s="25">
        <v>46083.459722222222</v>
      </c>
      <c r="P528" s="26" t="s">
        <v>137</v>
      </c>
    </row>
    <row r="529" spans="1:16" x14ac:dyDescent="0.25">
      <c r="A529" s="20" t="s">
        <v>5211</v>
      </c>
      <c r="B529" s="21">
        <v>714</v>
      </c>
      <c r="C529" s="22" t="s">
        <v>323</v>
      </c>
      <c r="D529" s="22" t="s">
        <v>3147</v>
      </c>
      <c r="E529" s="22" t="str">
        <f>CONCATENATE(B529,D529)</f>
        <v>71463180-306</v>
      </c>
      <c r="F529" s="22" t="s">
        <v>3148</v>
      </c>
      <c r="G529" s="22" t="s">
        <v>23</v>
      </c>
      <c r="H529" s="23">
        <v>150.32169999999999</v>
      </c>
      <c r="I529" s="24">
        <v>1</v>
      </c>
      <c r="J529" s="24">
        <v>0</v>
      </c>
      <c r="K529" s="24">
        <v>0</v>
      </c>
      <c r="L529" s="41">
        <f>Table2[[#This Row],[Column1]]+Table2[[#This Row],[Column2]]</f>
        <v>0</v>
      </c>
      <c r="M529" s="42">
        <f>Table2[[#This Row],[OnHandQty]]-Table2[[#This Row],[Projection Nov/Dec]]</f>
        <v>1</v>
      </c>
      <c r="N529" s="35">
        <f>Table2[[#This Row],[OverStock]]*Table2[[#This Row],[RepCost]]</f>
        <v>150.32169999999999</v>
      </c>
      <c r="O529" s="25">
        <v>46086.355555555558</v>
      </c>
      <c r="P529" s="26" t="s">
        <v>2271</v>
      </c>
    </row>
    <row r="530" spans="1:16" x14ac:dyDescent="0.25">
      <c r="A530" s="20" t="s">
        <v>5211</v>
      </c>
      <c r="B530" s="21">
        <v>714</v>
      </c>
      <c r="C530" s="22" t="s">
        <v>323</v>
      </c>
      <c r="D530" s="22" t="s">
        <v>3109</v>
      </c>
      <c r="E530" s="22" t="str">
        <f>CONCATENATE(B530,D530)</f>
        <v>71463180-306PREM</v>
      </c>
      <c r="F530" s="22" t="s">
        <v>3110</v>
      </c>
      <c r="G530" s="22" t="s">
        <v>29</v>
      </c>
      <c r="H530" s="23">
        <v>348.2217</v>
      </c>
      <c r="I530" s="24">
        <v>1</v>
      </c>
      <c r="J530" s="24">
        <v>0</v>
      </c>
      <c r="K530" s="24">
        <v>0</v>
      </c>
      <c r="L530" s="41">
        <f>Table2[[#This Row],[Column1]]+Table2[[#This Row],[Column2]]</f>
        <v>0</v>
      </c>
      <c r="M530" s="42">
        <f>Table2[[#This Row],[OnHandQty]]-Table2[[#This Row],[Projection Nov/Dec]]</f>
        <v>1</v>
      </c>
      <c r="N530" s="35">
        <f>Table2[[#This Row],[OverStock]]*Table2[[#This Row],[RepCost]]</f>
        <v>348.2217</v>
      </c>
      <c r="O530" s="25">
        <v>45766.421527777777</v>
      </c>
      <c r="P530" s="26" t="s">
        <v>178</v>
      </c>
    </row>
    <row r="531" spans="1:16" x14ac:dyDescent="0.25">
      <c r="A531" s="20" t="s">
        <v>5211</v>
      </c>
      <c r="B531" s="21">
        <v>714</v>
      </c>
      <c r="C531" s="22" t="s">
        <v>323</v>
      </c>
      <c r="D531" s="22" t="s">
        <v>3460</v>
      </c>
      <c r="E531" s="22" t="str">
        <f>CONCATENATE(B531,D531)</f>
        <v>71476387-306PREM</v>
      </c>
      <c r="F531" s="22" t="s">
        <v>3461</v>
      </c>
      <c r="G531" s="22" t="s">
        <v>29</v>
      </c>
      <c r="H531" s="23">
        <v>350.07420000000002</v>
      </c>
      <c r="I531" s="24">
        <v>2</v>
      </c>
      <c r="J531" s="24">
        <v>0</v>
      </c>
      <c r="K531" s="24">
        <v>0</v>
      </c>
      <c r="L531" s="41">
        <f>Table2[[#This Row],[Column1]]+Table2[[#This Row],[Column2]]</f>
        <v>0</v>
      </c>
      <c r="M531" s="42">
        <f>Table2[[#This Row],[OnHandQty]]-Table2[[#This Row],[Projection Nov/Dec]]</f>
        <v>2</v>
      </c>
      <c r="N531" s="35">
        <f>Table2[[#This Row],[OverStock]]*Table2[[#This Row],[RepCost]]</f>
        <v>700.14840000000004</v>
      </c>
      <c r="O531" s="25">
        <v>46126.695833333331</v>
      </c>
      <c r="P531" s="26" t="s">
        <v>178</v>
      </c>
    </row>
    <row r="532" spans="1:16" x14ac:dyDescent="0.25">
      <c r="A532" s="20" t="s">
        <v>5211</v>
      </c>
      <c r="B532" s="21">
        <v>714</v>
      </c>
      <c r="C532" s="22" t="s">
        <v>323</v>
      </c>
      <c r="D532" s="22" t="s">
        <v>3145</v>
      </c>
      <c r="E532" s="22" t="str">
        <f>CONCATENATE(B532,D532)</f>
        <v>71484247-305</v>
      </c>
      <c r="F532" s="22" t="s">
        <v>3146</v>
      </c>
      <c r="G532" s="22" t="s">
        <v>19</v>
      </c>
      <c r="H532" s="23">
        <v>301.0052</v>
      </c>
      <c r="I532" s="24">
        <v>2</v>
      </c>
      <c r="J532" s="24">
        <v>0</v>
      </c>
      <c r="K532" s="24">
        <v>0</v>
      </c>
      <c r="L532" s="41">
        <f>Table2[[#This Row],[Column1]]+Table2[[#This Row],[Column2]]</f>
        <v>0</v>
      </c>
      <c r="M532" s="42">
        <f>Table2[[#This Row],[OnHandQty]]-Table2[[#This Row],[Projection Nov/Dec]]</f>
        <v>2</v>
      </c>
      <c r="N532" s="35">
        <f>Table2[[#This Row],[OverStock]]*Table2[[#This Row],[RepCost]]</f>
        <v>602.0104</v>
      </c>
      <c r="O532" s="25">
        <v>45766.421527777777</v>
      </c>
      <c r="P532" s="26" t="s">
        <v>178</v>
      </c>
    </row>
    <row r="533" spans="1:16" x14ac:dyDescent="0.25">
      <c r="A533" s="20" t="s">
        <v>5211</v>
      </c>
      <c r="B533" s="21">
        <v>714</v>
      </c>
      <c r="C533" s="22" t="s">
        <v>323</v>
      </c>
      <c r="D533" s="22" t="s">
        <v>3387</v>
      </c>
      <c r="E533" s="22" t="str">
        <f>CONCATENATE(B533,D533)</f>
        <v>71484247-306</v>
      </c>
      <c r="F533" s="27" t="s">
        <v>3388</v>
      </c>
      <c r="G533" s="27" t="s">
        <v>58</v>
      </c>
      <c r="H533" s="23">
        <v>348.2217</v>
      </c>
      <c r="I533" s="24">
        <v>1</v>
      </c>
      <c r="J533" s="24">
        <v>0</v>
      </c>
      <c r="K533" s="24">
        <v>0</v>
      </c>
      <c r="L533" s="41">
        <f>Table2[[#This Row],[Column1]]+Table2[[#This Row],[Column2]]</f>
        <v>0</v>
      </c>
      <c r="M533" s="42">
        <f>Table2[[#This Row],[OnHandQty]]-Table2[[#This Row],[Projection Nov/Dec]]</f>
        <v>1</v>
      </c>
      <c r="N533" s="35">
        <f>Table2[[#This Row],[OverStock]]*Table2[[#This Row],[RepCost]]</f>
        <v>348.2217</v>
      </c>
      <c r="O533" s="25">
        <v>45766.421527777777</v>
      </c>
      <c r="P533" s="26" t="s">
        <v>178</v>
      </c>
    </row>
    <row r="534" spans="1:16" x14ac:dyDescent="0.25">
      <c r="A534" s="20" t="s">
        <v>5211</v>
      </c>
      <c r="B534" s="21">
        <v>718</v>
      </c>
      <c r="C534" s="22" t="s">
        <v>323</v>
      </c>
      <c r="D534" s="22" t="s">
        <v>3931</v>
      </c>
      <c r="E534" s="22" t="str">
        <f>CONCATENATE(B534,D534)</f>
        <v>71863182-305</v>
      </c>
      <c r="F534" s="22" t="s">
        <v>3932</v>
      </c>
      <c r="G534" s="22" t="s">
        <v>29</v>
      </c>
      <c r="H534" s="23">
        <v>86.751499999999993</v>
      </c>
      <c r="I534" s="24">
        <v>9</v>
      </c>
      <c r="J534" s="24">
        <v>0</v>
      </c>
      <c r="K534" s="24">
        <v>0</v>
      </c>
      <c r="L534" s="41">
        <f>Table2[[#This Row],[Column1]]+Table2[[#This Row],[Column2]]</f>
        <v>0</v>
      </c>
      <c r="M534" s="42">
        <f>Table2[[#This Row],[OnHandQty]]-Table2[[#This Row],[Projection Nov/Dec]]</f>
        <v>9</v>
      </c>
      <c r="N534" s="35">
        <f>Table2[[#This Row],[OverStock]]*Table2[[#This Row],[RepCost]]</f>
        <v>780.76349999999991</v>
      </c>
      <c r="O534" s="25">
        <v>46175.657638888886</v>
      </c>
      <c r="P534" s="26" t="s">
        <v>3755</v>
      </c>
    </row>
    <row r="535" spans="1:16" x14ac:dyDescent="0.25">
      <c r="A535" s="20" t="s">
        <v>5211</v>
      </c>
      <c r="B535" s="21">
        <v>634</v>
      </c>
      <c r="C535" s="22" t="s">
        <v>323</v>
      </c>
      <c r="D535" s="22" t="s">
        <v>462</v>
      </c>
      <c r="E535" s="22" t="str">
        <f>CONCATENATE(B535,D535)</f>
        <v>63463182-105</v>
      </c>
      <c r="F535" s="22" t="s">
        <v>463</v>
      </c>
      <c r="G535" s="22" t="s">
        <v>29</v>
      </c>
      <c r="H535" s="23">
        <v>30.223199999999999</v>
      </c>
      <c r="I535" s="24">
        <v>2</v>
      </c>
      <c r="J535" s="24">
        <v>0</v>
      </c>
      <c r="K535" s="24">
        <v>0</v>
      </c>
      <c r="L535" s="41">
        <f>Table2[[#This Row],[Column1]]+Table2[[#This Row],[Column2]]</f>
        <v>0</v>
      </c>
      <c r="M535" s="42">
        <f>Table2[[#This Row],[OnHandQty]]-Table2[[#This Row],[Projection Nov/Dec]]</f>
        <v>2</v>
      </c>
      <c r="N535" s="35">
        <f>Table2[[#This Row],[OverStock]]*Table2[[#This Row],[RepCost]]</f>
        <v>60.446399999999997</v>
      </c>
      <c r="O535" s="25">
        <v>46121.577777777777</v>
      </c>
      <c r="P535" s="26" t="s">
        <v>40</v>
      </c>
    </row>
    <row r="536" spans="1:16" x14ac:dyDescent="0.25">
      <c r="A536" s="20" t="s">
        <v>5211</v>
      </c>
      <c r="B536" s="21">
        <v>714</v>
      </c>
      <c r="C536" s="22" t="s">
        <v>323</v>
      </c>
      <c r="D536" s="22" t="s">
        <v>3334</v>
      </c>
      <c r="E536" s="22" t="str">
        <f>CONCATENATE(B536,D536)</f>
        <v>71463182-307</v>
      </c>
      <c r="F536" s="27" t="s">
        <v>3335</v>
      </c>
      <c r="G536" s="27" t="s">
        <v>58</v>
      </c>
      <c r="H536" s="23">
        <v>210.18020000000001</v>
      </c>
      <c r="I536" s="24">
        <v>4</v>
      </c>
      <c r="J536" s="24">
        <v>0</v>
      </c>
      <c r="K536" s="24">
        <v>0</v>
      </c>
      <c r="L536" s="41">
        <f>Table2[[#This Row],[Column1]]+Table2[[#This Row],[Column2]]</f>
        <v>0</v>
      </c>
      <c r="M536" s="42">
        <f>Table2[[#This Row],[OnHandQty]]-Table2[[#This Row],[Projection Nov/Dec]]</f>
        <v>4</v>
      </c>
      <c r="N536" s="35">
        <f>Table2[[#This Row],[OverStock]]*Table2[[#This Row],[RepCost]]</f>
        <v>840.72080000000005</v>
      </c>
      <c r="O536" s="25">
        <v>46113.330555555556</v>
      </c>
      <c r="P536" s="26" t="s">
        <v>2379</v>
      </c>
    </row>
    <row r="537" spans="1:16" x14ac:dyDescent="0.25">
      <c r="A537" s="20" t="s">
        <v>5211</v>
      </c>
      <c r="B537" s="21">
        <v>718</v>
      </c>
      <c r="C537" s="22" t="s">
        <v>323</v>
      </c>
      <c r="D537" s="22" t="s">
        <v>3334</v>
      </c>
      <c r="E537" s="22" t="str">
        <f>CONCATENATE(B537,D537)</f>
        <v>71863182-307</v>
      </c>
      <c r="F537" s="22" t="s">
        <v>3335</v>
      </c>
      <c r="G537" s="22" t="s">
        <v>29</v>
      </c>
      <c r="H537" s="23">
        <v>215.39</v>
      </c>
      <c r="I537" s="24">
        <v>1</v>
      </c>
      <c r="J537" s="24">
        <v>0</v>
      </c>
      <c r="K537" s="24">
        <v>0</v>
      </c>
      <c r="L537" s="41">
        <f>Table2[[#This Row],[Column1]]+Table2[[#This Row],[Column2]]</f>
        <v>0</v>
      </c>
      <c r="M537" s="42">
        <f>Table2[[#This Row],[OnHandQty]]-Table2[[#This Row],[Projection Nov/Dec]]</f>
        <v>1</v>
      </c>
      <c r="N537" s="35">
        <f>Table2[[#This Row],[OverStock]]*Table2[[#This Row],[RepCost]]</f>
        <v>215.39</v>
      </c>
      <c r="O537" s="25">
        <v>46118.605555555558</v>
      </c>
      <c r="P537" s="26" t="s">
        <v>2379</v>
      </c>
    </row>
    <row r="538" spans="1:16" x14ac:dyDescent="0.25">
      <c r="A538" s="20" t="s">
        <v>5211</v>
      </c>
      <c r="B538" s="21">
        <v>714</v>
      </c>
      <c r="C538" s="22" t="s">
        <v>323</v>
      </c>
      <c r="D538" s="22" t="s">
        <v>3364</v>
      </c>
      <c r="E538" s="22" t="str">
        <f>CONCATENATE(B538,D538)</f>
        <v>71486606-115</v>
      </c>
      <c r="F538" s="22" t="s">
        <v>3365</v>
      </c>
      <c r="G538" s="22" t="s">
        <v>19</v>
      </c>
      <c r="H538" s="23">
        <v>239.161</v>
      </c>
      <c r="I538" s="24">
        <v>4</v>
      </c>
      <c r="J538" s="24">
        <v>0</v>
      </c>
      <c r="K538" s="24">
        <v>0</v>
      </c>
      <c r="L538" s="41">
        <f>Table2[[#This Row],[Column1]]+Table2[[#This Row],[Column2]]</f>
        <v>0</v>
      </c>
      <c r="M538" s="42">
        <f>Table2[[#This Row],[OnHandQty]]-Table2[[#This Row],[Projection Nov/Dec]]</f>
        <v>4</v>
      </c>
      <c r="N538" s="35">
        <f>Table2[[#This Row],[OverStock]]*Table2[[#This Row],[RepCost]]</f>
        <v>956.64400000000001</v>
      </c>
      <c r="O538" s="25">
        <v>46147.435416666667</v>
      </c>
      <c r="P538" s="26" t="s">
        <v>501</v>
      </c>
    </row>
    <row r="539" spans="1:16" x14ac:dyDescent="0.25">
      <c r="A539" s="20" t="s">
        <v>5211</v>
      </c>
      <c r="B539" s="21">
        <v>714</v>
      </c>
      <c r="C539" s="22" t="s">
        <v>323</v>
      </c>
      <c r="D539" s="22" t="s">
        <v>2951</v>
      </c>
      <c r="E539" s="22" t="str">
        <f>CONCATENATE(B539,D539)</f>
        <v>71486606-305</v>
      </c>
      <c r="F539" s="22" t="s">
        <v>2952</v>
      </c>
      <c r="G539" s="22" t="s">
        <v>29</v>
      </c>
      <c r="H539" s="23">
        <v>211.62119999999999</v>
      </c>
      <c r="I539" s="24">
        <v>3</v>
      </c>
      <c r="J539" s="24">
        <v>0</v>
      </c>
      <c r="K539" s="24">
        <v>0</v>
      </c>
      <c r="L539" s="41">
        <f>Table2[[#This Row],[Column1]]+Table2[[#This Row],[Column2]]</f>
        <v>0</v>
      </c>
      <c r="M539" s="42">
        <f>Table2[[#This Row],[OnHandQty]]-Table2[[#This Row],[Projection Nov/Dec]]</f>
        <v>3</v>
      </c>
      <c r="N539" s="35">
        <f>Table2[[#This Row],[OverStock]]*Table2[[#This Row],[RepCost]]</f>
        <v>634.86359999999991</v>
      </c>
      <c r="O539" s="25">
        <v>46147.435416666667</v>
      </c>
      <c r="P539" s="26" t="s">
        <v>501</v>
      </c>
    </row>
    <row r="540" spans="1:16" x14ac:dyDescent="0.25">
      <c r="A540" s="20" t="s">
        <v>5211</v>
      </c>
      <c r="B540" s="21">
        <v>714</v>
      </c>
      <c r="C540" s="22" t="s">
        <v>143</v>
      </c>
      <c r="D540" s="22" t="s">
        <v>262</v>
      </c>
      <c r="E540" s="22" t="str">
        <f>CONCATENATE(B540,D540)</f>
        <v>71482465-248</v>
      </c>
      <c r="F540" s="22" t="s">
        <v>263</v>
      </c>
      <c r="G540" s="22" t="s">
        <v>29</v>
      </c>
      <c r="H540" s="23">
        <v>91.52</v>
      </c>
      <c r="I540" s="24">
        <v>1</v>
      </c>
      <c r="J540" s="24">
        <v>0</v>
      </c>
      <c r="K540" s="24">
        <v>0</v>
      </c>
      <c r="L540" s="41">
        <f>Table2[[#This Row],[Column1]]+Table2[[#This Row],[Column2]]</f>
        <v>0</v>
      </c>
      <c r="M540" s="42">
        <f>Table2[[#This Row],[OnHandQty]]-Table2[[#This Row],[Projection Nov/Dec]]</f>
        <v>1</v>
      </c>
      <c r="N540" s="35">
        <f>Table2[[#This Row],[OverStock]]*Table2[[#This Row],[RepCost]]</f>
        <v>91.52</v>
      </c>
      <c r="O540" s="25">
        <v>44662.895833333336</v>
      </c>
      <c r="P540" s="26" t="s">
        <v>890</v>
      </c>
    </row>
    <row r="541" spans="1:16" x14ac:dyDescent="0.25">
      <c r="A541" s="20" t="s">
        <v>5211</v>
      </c>
      <c r="B541" s="21">
        <v>634</v>
      </c>
      <c r="C541" s="22" t="s">
        <v>143</v>
      </c>
      <c r="D541" s="22" t="s">
        <v>262</v>
      </c>
      <c r="E541" s="22" t="str">
        <f>CONCATENATE(B541,D541)</f>
        <v>63482465-248</v>
      </c>
      <c r="F541" s="27" t="s">
        <v>263</v>
      </c>
      <c r="G541" s="27" t="s">
        <v>58</v>
      </c>
      <c r="H541" s="23">
        <v>275.5308</v>
      </c>
      <c r="I541" s="24">
        <v>1</v>
      </c>
      <c r="J541" s="24">
        <v>0</v>
      </c>
      <c r="K541" s="24">
        <v>0</v>
      </c>
      <c r="L541" s="41">
        <f>Table2[[#This Row],[Column1]]+Table2[[#This Row],[Column2]]</f>
        <v>0</v>
      </c>
      <c r="M541" s="42">
        <f>Table2[[#This Row],[OnHandQty]]-Table2[[#This Row],[Projection Nov/Dec]]</f>
        <v>1</v>
      </c>
      <c r="N541" s="35">
        <f>Table2[[#This Row],[OverStock]]*Table2[[#This Row],[RepCost]]</f>
        <v>275.5308</v>
      </c>
      <c r="O541" s="25">
        <v>45030.322222222225</v>
      </c>
      <c r="P541" s="26" t="s">
        <v>178</v>
      </c>
    </row>
    <row r="542" spans="1:16" x14ac:dyDescent="0.25">
      <c r="A542" s="20" t="s">
        <v>5211</v>
      </c>
      <c r="B542" s="21">
        <v>714</v>
      </c>
      <c r="C542" s="22" t="s">
        <v>143</v>
      </c>
      <c r="D542" s="22" t="s">
        <v>2310</v>
      </c>
      <c r="E542" s="22" t="str">
        <f>CONCATENATE(B542,D542)</f>
        <v>71482465-305</v>
      </c>
      <c r="F542" s="22" t="s">
        <v>2311</v>
      </c>
      <c r="G542" s="22" t="s">
        <v>29</v>
      </c>
      <c r="H542" s="23">
        <v>330.6592</v>
      </c>
      <c r="I542" s="24">
        <v>1</v>
      </c>
      <c r="J542" s="24">
        <v>0</v>
      </c>
      <c r="K542" s="24">
        <v>0</v>
      </c>
      <c r="L542" s="41">
        <f>Table2[[#This Row],[Column1]]+Table2[[#This Row],[Column2]]</f>
        <v>0</v>
      </c>
      <c r="M542" s="42">
        <f>Table2[[#This Row],[OnHandQty]]-Table2[[#This Row],[Projection Nov/Dec]]</f>
        <v>1</v>
      </c>
      <c r="N542" s="35">
        <f>Table2[[#This Row],[OverStock]]*Table2[[#This Row],[RepCost]]</f>
        <v>330.6592</v>
      </c>
      <c r="O542" s="25">
        <v>44662.895833333336</v>
      </c>
      <c r="P542" s="26" t="s">
        <v>890</v>
      </c>
    </row>
    <row r="543" spans="1:16" x14ac:dyDescent="0.25">
      <c r="A543" s="20" t="s">
        <v>5211</v>
      </c>
      <c r="B543" s="21">
        <v>718</v>
      </c>
      <c r="C543" s="22" t="s">
        <v>323</v>
      </c>
      <c r="D543" s="22" t="s">
        <v>3966</v>
      </c>
      <c r="E543" s="22" t="str">
        <f>CONCATENATE(B543,D543)</f>
        <v>71863187-236</v>
      </c>
      <c r="F543" s="27" t="s">
        <v>3967</v>
      </c>
      <c r="G543" s="27" t="s">
        <v>58</v>
      </c>
      <c r="H543" s="23">
        <v>145.8948</v>
      </c>
      <c r="I543" s="24">
        <v>1</v>
      </c>
      <c r="J543" s="24">
        <v>0</v>
      </c>
      <c r="K543" s="24">
        <v>0</v>
      </c>
      <c r="L543" s="41">
        <f>Table2[[#This Row],[Column1]]+Table2[[#This Row],[Column2]]</f>
        <v>0</v>
      </c>
      <c r="M543" s="42">
        <f>Table2[[#This Row],[OnHandQty]]-Table2[[#This Row],[Projection Nov/Dec]]</f>
        <v>1</v>
      </c>
      <c r="N543" s="35">
        <f>Table2[[#This Row],[OverStock]]*Table2[[#This Row],[RepCost]]</f>
        <v>145.8948</v>
      </c>
      <c r="O543" s="25">
        <v>45765.5</v>
      </c>
      <c r="P543" s="26" t="s">
        <v>2271</v>
      </c>
    </row>
    <row r="544" spans="1:16" x14ac:dyDescent="0.25">
      <c r="A544" s="20" t="s">
        <v>5211</v>
      </c>
      <c r="B544" s="21">
        <v>636</v>
      </c>
      <c r="C544" s="22" t="s">
        <v>323</v>
      </c>
      <c r="D544" s="22" t="s">
        <v>1456</v>
      </c>
      <c r="E544" s="22" t="str">
        <f>CONCATENATE(B544,D544)</f>
        <v>63663187-SPEC</v>
      </c>
      <c r="F544" s="22" t="s">
        <v>1457</v>
      </c>
      <c r="G544" s="22" t="s">
        <v>29</v>
      </c>
      <c r="H544" s="23">
        <v>731.14449999999999</v>
      </c>
      <c r="I544" s="24">
        <v>2</v>
      </c>
      <c r="J544" s="24">
        <v>0</v>
      </c>
      <c r="K544" s="24">
        <v>0</v>
      </c>
      <c r="L544" s="41">
        <f>Table2[[#This Row],[Column1]]+Table2[[#This Row],[Column2]]</f>
        <v>0</v>
      </c>
      <c r="M544" s="42">
        <f>Table2[[#This Row],[OnHandQty]]-Table2[[#This Row],[Projection Nov/Dec]]</f>
        <v>2</v>
      </c>
      <c r="N544" s="35">
        <f>Table2[[#This Row],[OverStock]]*Table2[[#This Row],[RepCost]]</f>
        <v>1462.289</v>
      </c>
      <c r="O544" s="25">
        <v>46169.423611111109</v>
      </c>
      <c r="P544" s="26" t="s">
        <v>890</v>
      </c>
    </row>
    <row r="545" spans="1:16" x14ac:dyDescent="0.25">
      <c r="A545" s="20" t="s">
        <v>5211</v>
      </c>
      <c r="B545" s="21">
        <v>718</v>
      </c>
      <c r="C545" s="22" t="s">
        <v>143</v>
      </c>
      <c r="D545" s="22" t="s">
        <v>2495</v>
      </c>
      <c r="E545" s="22" t="str">
        <f>CONCATENATE(B545,D545)</f>
        <v>71863188-218</v>
      </c>
      <c r="F545" s="22" t="s">
        <v>2496</v>
      </c>
      <c r="G545" s="22" t="s">
        <v>23</v>
      </c>
      <c r="H545" s="23">
        <v>50.604999999999997</v>
      </c>
      <c r="I545" s="24">
        <v>3</v>
      </c>
      <c r="J545" s="24">
        <v>0</v>
      </c>
      <c r="K545" s="24">
        <v>0</v>
      </c>
      <c r="L545" s="41">
        <f>Table2[[#This Row],[Column1]]+Table2[[#This Row],[Column2]]</f>
        <v>0</v>
      </c>
      <c r="M545" s="42">
        <f>Table2[[#This Row],[OnHandQty]]-Table2[[#This Row],[Projection Nov/Dec]]</f>
        <v>3</v>
      </c>
      <c r="N545" s="35">
        <f>Table2[[#This Row],[OverStock]]*Table2[[#This Row],[RepCost]]</f>
        <v>151.815</v>
      </c>
      <c r="O545" s="25">
        <v>46175.657638888886</v>
      </c>
      <c r="P545" s="26" t="s">
        <v>3755</v>
      </c>
    </row>
    <row r="546" spans="1:16" x14ac:dyDescent="0.25">
      <c r="A546" s="20" t="s">
        <v>5211</v>
      </c>
      <c r="B546" s="21">
        <v>714</v>
      </c>
      <c r="C546" s="22" t="s">
        <v>143</v>
      </c>
      <c r="D546" s="22" t="s">
        <v>2673</v>
      </c>
      <c r="E546" s="22" t="str">
        <f>CONCATENATE(B546,D546)</f>
        <v>71463188-110-21IN</v>
      </c>
      <c r="F546" s="22" t="s">
        <v>2674</v>
      </c>
      <c r="G546" s="22" t="s">
        <v>35</v>
      </c>
      <c r="H546" s="23">
        <v>120.5594</v>
      </c>
      <c r="I546" s="24">
        <v>1</v>
      </c>
      <c r="J546" s="24">
        <v>0</v>
      </c>
      <c r="K546" s="24">
        <v>0</v>
      </c>
      <c r="L546" s="41">
        <f>Table2[[#This Row],[Column1]]+Table2[[#This Row],[Column2]]</f>
        <v>0</v>
      </c>
      <c r="M546" s="42">
        <f>Table2[[#This Row],[OnHandQty]]-Table2[[#This Row],[Projection Nov/Dec]]</f>
        <v>1</v>
      </c>
      <c r="N546" s="35">
        <f>Table2[[#This Row],[OverStock]]*Table2[[#This Row],[RepCost]]</f>
        <v>120.5594</v>
      </c>
      <c r="O546" s="25">
        <v>45749.506249999999</v>
      </c>
      <c r="P546" s="26" t="s">
        <v>137</v>
      </c>
    </row>
    <row r="547" spans="1:16" x14ac:dyDescent="0.25">
      <c r="A547" s="20" t="s">
        <v>5211</v>
      </c>
      <c r="B547" s="21">
        <v>636</v>
      </c>
      <c r="C547" s="22" t="s">
        <v>143</v>
      </c>
      <c r="D547" s="22" t="s">
        <v>966</v>
      </c>
      <c r="E547" s="22" t="str">
        <f>CONCATENATE(B547,D547)</f>
        <v>63663188-224</v>
      </c>
      <c r="F547" s="22" t="s">
        <v>967</v>
      </c>
      <c r="G547" s="22" t="s">
        <v>23</v>
      </c>
      <c r="H547" s="23">
        <v>57.834299999999999</v>
      </c>
      <c r="I547" s="24">
        <v>2</v>
      </c>
      <c r="J547" s="24">
        <v>0</v>
      </c>
      <c r="K547" s="24">
        <v>0</v>
      </c>
      <c r="L547" s="41">
        <f>Table2[[#This Row],[Column1]]+Table2[[#This Row],[Column2]]</f>
        <v>0</v>
      </c>
      <c r="M547" s="42">
        <f>Table2[[#This Row],[OnHandQty]]-Table2[[#This Row],[Projection Nov/Dec]]</f>
        <v>2</v>
      </c>
      <c r="N547" s="35">
        <f>Table2[[#This Row],[OverStock]]*Table2[[#This Row],[RepCost]]</f>
        <v>115.6686</v>
      </c>
      <c r="O547" s="25">
        <v>46142.609027777777</v>
      </c>
      <c r="P547" s="26" t="s">
        <v>137</v>
      </c>
    </row>
    <row r="548" spans="1:16" x14ac:dyDescent="0.25">
      <c r="A548" s="20" t="s">
        <v>5211</v>
      </c>
      <c r="B548" s="21">
        <v>718</v>
      </c>
      <c r="C548" s="22" t="s">
        <v>143</v>
      </c>
      <c r="D548" s="22" t="s">
        <v>966</v>
      </c>
      <c r="E548" s="22" t="str">
        <f>CONCATENATE(B548,D548)</f>
        <v>71863188-224</v>
      </c>
      <c r="F548" s="22" t="s">
        <v>967</v>
      </c>
      <c r="G548" s="22" t="s">
        <v>29</v>
      </c>
      <c r="H548" s="23">
        <v>57.834299999999999</v>
      </c>
      <c r="I548" s="24">
        <v>7</v>
      </c>
      <c r="J548" s="24">
        <v>0</v>
      </c>
      <c r="K548" s="24">
        <v>0</v>
      </c>
      <c r="L548" s="41">
        <f>Table2[[#This Row],[Column1]]+Table2[[#This Row],[Column2]]</f>
        <v>0</v>
      </c>
      <c r="M548" s="42">
        <f>Table2[[#This Row],[OnHandQty]]-Table2[[#This Row],[Projection Nov/Dec]]</f>
        <v>7</v>
      </c>
      <c r="N548" s="35">
        <f>Table2[[#This Row],[OverStock]]*Table2[[#This Row],[RepCost]]</f>
        <v>404.84010000000001</v>
      </c>
      <c r="O548" s="25">
        <v>46175.657638888886</v>
      </c>
      <c r="P548" s="26" t="s">
        <v>3755</v>
      </c>
    </row>
    <row r="549" spans="1:16" x14ac:dyDescent="0.25">
      <c r="A549" s="20" t="s">
        <v>5211</v>
      </c>
      <c r="B549" s="21">
        <v>714</v>
      </c>
      <c r="C549" s="22" t="s">
        <v>143</v>
      </c>
      <c r="D549" s="22" t="s">
        <v>253</v>
      </c>
      <c r="E549" s="22" t="str">
        <f>CONCATENATE(B549,D549)</f>
        <v>71463188-230</v>
      </c>
      <c r="F549" s="22" t="s">
        <v>254</v>
      </c>
      <c r="G549" s="22" t="s">
        <v>29</v>
      </c>
      <c r="H549" s="23">
        <v>108.94880000000001</v>
      </c>
      <c r="I549" s="24">
        <v>6</v>
      </c>
      <c r="J549" s="24">
        <v>0</v>
      </c>
      <c r="K549" s="24">
        <v>0</v>
      </c>
      <c r="L549" s="41">
        <f>Table2[[#This Row],[Column1]]+Table2[[#This Row],[Column2]]</f>
        <v>0</v>
      </c>
      <c r="M549" s="42">
        <f>Table2[[#This Row],[OnHandQty]]-Table2[[#This Row],[Projection Nov/Dec]]</f>
        <v>6</v>
      </c>
      <c r="N549" s="35">
        <f>Table2[[#This Row],[OverStock]]*Table2[[#This Row],[RepCost]]</f>
        <v>653.69280000000003</v>
      </c>
      <c r="O549" s="25">
        <v>46126.29791666667</v>
      </c>
      <c r="P549" s="26" t="s">
        <v>2379</v>
      </c>
    </row>
    <row r="550" spans="1:16" x14ac:dyDescent="0.25">
      <c r="A550" s="20" t="s">
        <v>5211</v>
      </c>
      <c r="B550" s="21">
        <v>634</v>
      </c>
      <c r="C550" s="22" t="s">
        <v>143</v>
      </c>
      <c r="D550" s="22" t="s">
        <v>253</v>
      </c>
      <c r="E550" s="22" t="str">
        <f>CONCATENATE(B550,D550)</f>
        <v>63463188-230</v>
      </c>
      <c r="F550" s="22" t="s">
        <v>254</v>
      </c>
      <c r="G550" s="22" t="s">
        <v>29</v>
      </c>
      <c r="H550" s="23">
        <v>150.78100000000001</v>
      </c>
      <c r="I550" s="24">
        <v>1</v>
      </c>
      <c r="J550" s="24">
        <v>0</v>
      </c>
      <c r="K550" s="24">
        <v>0</v>
      </c>
      <c r="L550" s="41">
        <f>Table2[[#This Row],[Column1]]+Table2[[#This Row],[Column2]]</f>
        <v>0</v>
      </c>
      <c r="M550" s="42">
        <f>Table2[[#This Row],[OnHandQty]]-Table2[[#This Row],[Projection Nov/Dec]]</f>
        <v>1</v>
      </c>
      <c r="N550" s="35">
        <f>Table2[[#This Row],[OverStock]]*Table2[[#This Row],[RepCost]]</f>
        <v>150.78100000000001</v>
      </c>
      <c r="O550" s="25">
        <v>46154.572222222225</v>
      </c>
      <c r="P550" s="26" t="s">
        <v>137</v>
      </c>
    </row>
    <row r="551" spans="1:16" x14ac:dyDescent="0.25">
      <c r="A551" s="20" t="s">
        <v>5211</v>
      </c>
      <c r="B551" s="21">
        <v>714</v>
      </c>
      <c r="C551" s="22" t="s">
        <v>143</v>
      </c>
      <c r="D551" s="22" t="s">
        <v>2657</v>
      </c>
      <c r="E551" s="22" t="str">
        <f>CONCATENATE(B551,D551)</f>
        <v>71463189-105</v>
      </c>
      <c r="F551" s="22" t="s">
        <v>2658</v>
      </c>
      <c r="G551" s="22" t="s">
        <v>29</v>
      </c>
      <c r="H551" s="23">
        <v>65.8536</v>
      </c>
      <c r="I551" s="24">
        <v>1</v>
      </c>
      <c r="J551" s="24">
        <v>0</v>
      </c>
      <c r="K551" s="24">
        <v>0</v>
      </c>
      <c r="L551" s="41">
        <f>Table2[[#This Row],[Column1]]+Table2[[#This Row],[Column2]]</f>
        <v>0</v>
      </c>
      <c r="M551" s="42">
        <f>Table2[[#This Row],[OnHandQty]]-Table2[[#This Row],[Projection Nov/Dec]]</f>
        <v>1</v>
      </c>
      <c r="N551" s="35">
        <f>Table2[[#This Row],[OverStock]]*Table2[[#This Row],[RepCost]]</f>
        <v>65.8536</v>
      </c>
      <c r="O551" s="25">
        <v>46119.573611111111</v>
      </c>
      <c r="P551" s="26" t="s">
        <v>137</v>
      </c>
    </row>
    <row r="552" spans="1:16" x14ac:dyDescent="0.25">
      <c r="A552" s="20" t="s">
        <v>5211</v>
      </c>
      <c r="B552" s="21">
        <v>636</v>
      </c>
      <c r="C552" s="22" t="s">
        <v>323</v>
      </c>
      <c r="D552" s="22" t="s">
        <v>1735</v>
      </c>
      <c r="E552" s="22" t="str">
        <f>CONCATENATE(B552,D552)</f>
        <v>63682915-236</v>
      </c>
      <c r="F552" s="22" t="s">
        <v>1736</v>
      </c>
      <c r="G552" s="22" t="s">
        <v>19</v>
      </c>
      <c r="H552" s="23">
        <v>138.89259999999999</v>
      </c>
      <c r="I552" s="24">
        <v>2</v>
      </c>
      <c r="J552" s="24">
        <v>0</v>
      </c>
      <c r="K552" s="24">
        <v>0</v>
      </c>
      <c r="L552" s="41">
        <f>Table2[[#This Row],[Column1]]+Table2[[#This Row],[Column2]]</f>
        <v>0</v>
      </c>
      <c r="M552" s="42">
        <f>Table2[[#This Row],[OnHandQty]]-Table2[[#This Row],[Projection Nov/Dec]]</f>
        <v>2</v>
      </c>
      <c r="N552" s="35">
        <f>Table2[[#This Row],[OverStock]]*Table2[[#This Row],[RepCost]]</f>
        <v>277.78519999999997</v>
      </c>
      <c r="O552" s="25">
        <v>46104.520833333336</v>
      </c>
      <c r="P552" s="26" t="s">
        <v>137</v>
      </c>
    </row>
    <row r="553" spans="1:16" x14ac:dyDescent="0.25">
      <c r="A553" s="20" t="s">
        <v>5211</v>
      </c>
      <c r="B553" s="21">
        <v>714</v>
      </c>
      <c r="C553" s="22" t="s">
        <v>143</v>
      </c>
      <c r="D553" s="22" t="s">
        <v>2677</v>
      </c>
      <c r="E553" s="22" t="str">
        <f>CONCATENATE(B553,D553)</f>
        <v>71476392-106</v>
      </c>
      <c r="F553" s="22" t="s">
        <v>2678</v>
      </c>
      <c r="G553" s="22" t="s">
        <v>29</v>
      </c>
      <c r="H553" s="23">
        <v>90.088099999999997</v>
      </c>
      <c r="I553" s="24">
        <v>2</v>
      </c>
      <c r="J553" s="24">
        <v>0</v>
      </c>
      <c r="K553" s="24">
        <v>0</v>
      </c>
      <c r="L553" s="41">
        <f>Table2[[#This Row],[Column1]]+Table2[[#This Row],[Column2]]</f>
        <v>0</v>
      </c>
      <c r="M553" s="42">
        <f>Table2[[#This Row],[OnHandQty]]-Table2[[#This Row],[Projection Nov/Dec]]</f>
        <v>2</v>
      </c>
      <c r="N553" s="35">
        <f>Table2[[#This Row],[OverStock]]*Table2[[#This Row],[RepCost]]</f>
        <v>180.17619999999999</v>
      </c>
      <c r="O553" s="25">
        <v>46111.46597222222</v>
      </c>
      <c r="P553" s="26" t="s">
        <v>2358</v>
      </c>
    </row>
    <row r="554" spans="1:16" x14ac:dyDescent="0.25">
      <c r="A554" s="20" t="s">
        <v>5211</v>
      </c>
      <c r="B554" s="21">
        <v>718</v>
      </c>
      <c r="C554" s="22" t="s">
        <v>143</v>
      </c>
      <c r="D554" s="22" t="s">
        <v>2677</v>
      </c>
      <c r="E554" s="22" t="str">
        <f>CONCATENATE(B554,D554)</f>
        <v>71876392-106</v>
      </c>
      <c r="F554" s="27" t="s">
        <v>2678</v>
      </c>
      <c r="G554" s="27" t="s">
        <v>58</v>
      </c>
      <c r="H554" s="23">
        <v>90.487700000000004</v>
      </c>
      <c r="I554" s="24">
        <v>5</v>
      </c>
      <c r="J554" s="24">
        <v>0</v>
      </c>
      <c r="K554" s="24">
        <v>0</v>
      </c>
      <c r="L554" s="41">
        <f>Table2[[#This Row],[Column1]]+Table2[[#This Row],[Column2]]</f>
        <v>0</v>
      </c>
      <c r="M554" s="42">
        <f>Table2[[#This Row],[OnHandQty]]-Table2[[#This Row],[Projection Nov/Dec]]</f>
        <v>5</v>
      </c>
      <c r="N554" s="35">
        <f>Table2[[#This Row],[OverStock]]*Table2[[#This Row],[RepCost]]</f>
        <v>452.43850000000003</v>
      </c>
      <c r="O554" s="25">
        <v>46172.410416666666</v>
      </c>
      <c r="P554" s="26" t="s">
        <v>2358</v>
      </c>
    </row>
    <row r="555" spans="1:16" x14ac:dyDescent="0.25">
      <c r="A555" s="20" t="s">
        <v>5211</v>
      </c>
      <c r="B555" s="21">
        <v>714</v>
      </c>
      <c r="C555" s="22" t="s">
        <v>143</v>
      </c>
      <c r="D555" s="22" t="s">
        <v>2387</v>
      </c>
      <c r="E555" s="22" t="str">
        <f>CONCATENATE(B555,D555)</f>
        <v>71463198-242</v>
      </c>
      <c r="F555" s="22" t="s">
        <v>2388</v>
      </c>
      <c r="G555" s="22" t="s">
        <v>29</v>
      </c>
      <c r="H555" s="23">
        <v>168.8091</v>
      </c>
      <c r="I555" s="24">
        <v>3</v>
      </c>
      <c r="J555" s="24">
        <v>0</v>
      </c>
      <c r="K555" s="24">
        <v>0</v>
      </c>
      <c r="L555" s="41">
        <f>Table2[[#This Row],[Column1]]+Table2[[#This Row],[Column2]]</f>
        <v>0</v>
      </c>
      <c r="M555" s="42">
        <f>Table2[[#This Row],[OnHandQty]]-Table2[[#This Row],[Projection Nov/Dec]]</f>
        <v>3</v>
      </c>
      <c r="N555" s="35">
        <f>Table2[[#This Row],[OverStock]]*Table2[[#This Row],[RepCost]]</f>
        <v>506.4273</v>
      </c>
      <c r="O555" s="25">
        <v>46083.444444444445</v>
      </c>
      <c r="P555" s="26" t="s">
        <v>137</v>
      </c>
    </row>
    <row r="556" spans="1:16" x14ac:dyDescent="0.25">
      <c r="A556" s="20" t="s">
        <v>5211</v>
      </c>
      <c r="B556" s="21">
        <v>636</v>
      </c>
      <c r="C556" s="22" t="s">
        <v>143</v>
      </c>
      <c r="D556" s="22" t="s">
        <v>1058</v>
      </c>
      <c r="E556" s="22" t="str">
        <f>CONCATENATE(B556,D556)</f>
        <v>63663198-308</v>
      </c>
      <c r="F556" s="22" t="s">
        <v>1059</v>
      </c>
      <c r="G556" s="22" t="s">
        <v>29</v>
      </c>
      <c r="H556" s="23">
        <v>658.03009999999995</v>
      </c>
      <c r="I556" s="24">
        <v>1</v>
      </c>
      <c r="J556" s="24">
        <v>0</v>
      </c>
      <c r="K556" s="24">
        <v>0</v>
      </c>
      <c r="L556" s="41">
        <f>Table2[[#This Row],[Column1]]+Table2[[#This Row],[Column2]]</f>
        <v>0</v>
      </c>
      <c r="M556" s="42">
        <f>Table2[[#This Row],[OnHandQty]]-Table2[[#This Row],[Projection Nov/Dec]]</f>
        <v>1</v>
      </c>
      <c r="N556" s="35">
        <f>Table2[[#This Row],[OverStock]]*Table2[[#This Row],[RepCost]]</f>
        <v>658.03009999999995</v>
      </c>
      <c r="O556" s="25">
        <v>46169.423611111109</v>
      </c>
      <c r="P556" s="26" t="s">
        <v>890</v>
      </c>
    </row>
    <row r="557" spans="1:16" x14ac:dyDescent="0.25">
      <c r="A557" s="20" t="s">
        <v>5211</v>
      </c>
      <c r="B557" s="21">
        <v>636</v>
      </c>
      <c r="C557" s="22" t="s">
        <v>323</v>
      </c>
      <c r="D557" s="22" t="s">
        <v>474</v>
      </c>
      <c r="E557" s="22" t="str">
        <f>CONCATENATE(B557,D557)</f>
        <v>63676399-248</v>
      </c>
      <c r="F557" s="22" t="s">
        <v>475</v>
      </c>
      <c r="G557" s="22" t="s">
        <v>29</v>
      </c>
      <c r="H557" s="23">
        <v>109.866</v>
      </c>
      <c r="I557" s="24">
        <v>1</v>
      </c>
      <c r="J557" s="24">
        <v>0</v>
      </c>
      <c r="K557" s="24">
        <v>0</v>
      </c>
      <c r="L557" s="41">
        <f>Table2[[#This Row],[Column1]]+Table2[[#This Row],[Column2]]</f>
        <v>0</v>
      </c>
      <c r="M557" s="42">
        <f>Table2[[#This Row],[OnHandQty]]-Table2[[#This Row],[Projection Nov/Dec]]</f>
        <v>1</v>
      </c>
      <c r="N557" s="35">
        <f>Table2[[#This Row],[OverStock]]*Table2[[#This Row],[RepCost]]</f>
        <v>109.866</v>
      </c>
      <c r="O557" s="25">
        <v>46083.459722222222</v>
      </c>
      <c r="P557" s="26" t="s">
        <v>137</v>
      </c>
    </row>
    <row r="558" spans="1:16" x14ac:dyDescent="0.25">
      <c r="A558" s="20" t="s">
        <v>5211</v>
      </c>
      <c r="B558" s="21">
        <v>634</v>
      </c>
      <c r="C558" s="22" t="s">
        <v>323</v>
      </c>
      <c r="D558" s="22" t="s">
        <v>474</v>
      </c>
      <c r="E558" s="22" t="str">
        <f>CONCATENATE(B558,D558)</f>
        <v>63476399-248</v>
      </c>
      <c r="F558" s="22" t="s">
        <v>475</v>
      </c>
      <c r="G558" s="22" t="s">
        <v>19</v>
      </c>
      <c r="H558" s="23">
        <v>109.866</v>
      </c>
      <c r="I558" s="24">
        <v>6</v>
      </c>
      <c r="J558" s="24">
        <v>0</v>
      </c>
      <c r="K558" s="24">
        <v>0</v>
      </c>
      <c r="L558" s="41">
        <f>Table2[[#This Row],[Column1]]+Table2[[#This Row],[Column2]]</f>
        <v>0</v>
      </c>
      <c r="M558" s="42">
        <f>Table2[[#This Row],[OnHandQty]]-Table2[[#This Row],[Projection Nov/Dec]]</f>
        <v>6</v>
      </c>
      <c r="N558" s="35">
        <f>Table2[[#This Row],[OverStock]]*Table2[[#This Row],[RepCost]]</f>
        <v>659.19600000000003</v>
      </c>
      <c r="O558" s="25">
        <v>46113.665277777778</v>
      </c>
      <c r="P558" s="26" t="s">
        <v>137</v>
      </c>
    </row>
    <row r="559" spans="1:16" x14ac:dyDescent="0.25">
      <c r="A559" s="20" t="s">
        <v>5211</v>
      </c>
      <c r="B559" s="21">
        <v>714</v>
      </c>
      <c r="C559" s="22" t="s">
        <v>323</v>
      </c>
      <c r="D559" s="22" t="s">
        <v>2842</v>
      </c>
      <c r="E559" s="22" t="str">
        <f>CONCATENATE(B559,D559)</f>
        <v>71476394-105</v>
      </c>
      <c r="F559" s="22" t="s">
        <v>2843</v>
      </c>
      <c r="G559" s="22" t="s">
        <v>19</v>
      </c>
      <c r="H559" s="23">
        <v>55.382399999999997</v>
      </c>
      <c r="I559" s="24">
        <v>4</v>
      </c>
      <c r="J559" s="24">
        <v>2</v>
      </c>
      <c r="K559" s="24">
        <v>0</v>
      </c>
      <c r="L559" s="41">
        <f>Table2[[#This Row],[Column1]]+Table2[[#This Row],[Column2]]</f>
        <v>2</v>
      </c>
      <c r="M559" s="42">
        <f>Table2[[#This Row],[OnHandQty]]-Table2[[#This Row],[Projection Nov/Dec]]</f>
        <v>2</v>
      </c>
      <c r="N559" s="35">
        <f>Table2[[#This Row],[OverStock]]*Table2[[#This Row],[RepCost]]</f>
        <v>110.76479999999999</v>
      </c>
      <c r="O559" s="25">
        <v>46112.315972222219</v>
      </c>
      <c r="P559" s="26" t="s">
        <v>36</v>
      </c>
    </row>
    <row r="560" spans="1:16" x14ac:dyDescent="0.25">
      <c r="A560" s="20" t="s">
        <v>5211</v>
      </c>
      <c r="B560" s="21">
        <v>636</v>
      </c>
      <c r="C560" s="22" t="s">
        <v>143</v>
      </c>
      <c r="D560" s="22" t="s">
        <v>888</v>
      </c>
      <c r="E560" s="22" t="str">
        <f>CONCATENATE(B560,D560)</f>
        <v>63663201-PM125</v>
      </c>
      <c r="F560" s="22" t="s">
        <v>889</v>
      </c>
      <c r="G560" s="22" t="s">
        <v>29</v>
      </c>
      <c r="H560" s="23">
        <v>285.14640000000003</v>
      </c>
      <c r="I560" s="24">
        <v>3</v>
      </c>
      <c r="J560" s="24">
        <v>0</v>
      </c>
      <c r="K560" s="24">
        <v>0</v>
      </c>
      <c r="L560" s="41">
        <f>Table2[[#This Row],[Column1]]+Table2[[#This Row],[Column2]]</f>
        <v>0</v>
      </c>
      <c r="M560" s="42">
        <f>Table2[[#This Row],[OnHandQty]]-Table2[[#This Row],[Projection Nov/Dec]]</f>
        <v>3</v>
      </c>
      <c r="N560" s="35">
        <f>Table2[[#This Row],[OverStock]]*Table2[[#This Row],[RepCost]]</f>
        <v>855.43920000000003</v>
      </c>
      <c r="O560" s="25">
        <v>46169.423611111109</v>
      </c>
      <c r="P560" s="26" t="s">
        <v>890</v>
      </c>
    </row>
    <row r="561" spans="1:16" x14ac:dyDescent="0.25">
      <c r="A561" s="20" t="s">
        <v>5211</v>
      </c>
      <c r="B561" s="21">
        <v>636</v>
      </c>
      <c r="C561" s="22" t="s">
        <v>143</v>
      </c>
      <c r="D561" s="22" t="s">
        <v>961</v>
      </c>
      <c r="E561" s="22" t="str">
        <f>CONCATENATE(B561,D561)</f>
        <v>63663201-PM165</v>
      </c>
      <c r="F561" s="22" t="s">
        <v>962</v>
      </c>
      <c r="G561" s="22" t="s">
        <v>455</v>
      </c>
      <c r="H561" s="23">
        <v>999.19449999999995</v>
      </c>
      <c r="I561" s="24">
        <v>1</v>
      </c>
      <c r="J561" s="24">
        <v>0</v>
      </c>
      <c r="K561" s="24">
        <v>0</v>
      </c>
      <c r="L561" s="41">
        <f>Table2[[#This Row],[Column1]]+Table2[[#This Row],[Column2]]</f>
        <v>0</v>
      </c>
      <c r="M561" s="42">
        <f>Table2[[#This Row],[OnHandQty]]-Table2[[#This Row],[Projection Nov/Dec]]</f>
        <v>1</v>
      </c>
      <c r="N561" s="35">
        <f>Table2[[#This Row],[OverStock]]*Table2[[#This Row],[RepCost]]</f>
        <v>999.19449999999995</v>
      </c>
      <c r="O561" s="25">
        <v>46164.324305555558</v>
      </c>
      <c r="P561" s="26" t="s">
        <v>963</v>
      </c>
    </row>
    <row r="562" spans="1:16" x14ac:dyDescent="0.25">
      <c r="A562" s="20" t="s">
        <v>5211</v>
      </c>
      <c r="B562" s="21">
        <v>636</v>
      </c>
      <c r="C562" s="22" t="s">
        <v>143</v>
      </c>
      <c r="D562" s="22" t="s">
        <v>1063</v>
      </c>
      <c r="E562" s="22" t="str">
        <f>CONCATENATE(B562,D562)</f>
        <v>63663201-SP195</v>
      </c>
      <c r="F562" s="22" t="s">
        <v>1064</v>
      </c>
      <c r="G562" s="22" t="s">
        <v>19</v>
      </c>
      <c r="H562" s="23">
        <v>999.19439999999997</v>
      </c>
      <c r="I562" s="24">
        <v>4</v>
      </c>
      <c r="J562" s="24">
        <v>0</v>
      </c>
      <c r="K562" s="24">
        <v>0</v>
      </c>
      <c r="L562" s="41">
        <f>Table2[[#This Row],[Column1]]+Table2[[#This Row],[Column2]]</f>
        <v>0</v>
      </c>
      <c r="M562" s="42">
        <f>Table2[[#This Row],[OnHandQty]]-Table2[[#This Row],[Projection Nov/Dec]]</f>
        <v>4</v>
      </c>
      <c r="N562" s="35">
        <f>Table2[[#This Row],[OverStock]]*Table2[[#This Row],[RepCost]]</f>
        <v>3996.7775999999999</v>
      </c>
      <c r="O562" s="25">
        <v>46164.324305555558</v>
      </c>
      <c r="P562" s="26" t="s">
        <v>963</v>
      </c>
    </row>
    <row r="563" spans="1:16" x14ac:dyDescent="0.25">
      <c r="A563" s="20" t="s">
        <v>5211</v>
      </c>
      <c r="B563" s="21">
        <v>714</v>
      </c>
      <c r="C563" s="22" t="s">
        <v>143</v>
      </c>
      <c r="D563" s="22" t="s">
        <v>2356</v>
      </c>
      <c r="E563" s="22" t="str">
        <f>CONCATENATE(B563,D563)</f>
        <v>71476395-103</v>
      </c>
      <c r="F563" s="22" t="s">
        <v>2357</v>
      </c>
      <c r="G563" s="22" t="s">
        <v>29</v>
      </c>
      <c r="H563" s="23">
        <v>39.3842</v>
      </c>
      <c r="I563" s="24">
        <v>2</v>
      </c>
      <c r="J563" s="24">
        <v>0</v>
      </c>
      <c r="K563" s="24">
        <v>0</v>
      </c>
      <c r="L563" s="41">
        <f>Table2[[#This Row],[Column1]]+Table2[[#This Row],[Column2]]</f>
        <v>0</v>
      </c>
      <c r="M563" s="42">
        <f>Table2[[#This Row],[OnHandQty]]-Table2[[#This Row],[Projection Nov/Dec]]</f>
        <v>2</v>
      </c>
      <c r="N563" s="35">
        <f>Table2[[#This Row],[OverStock]]*Table2[[#This Row],[RepCost]]</f>
        <v>78.7684</v>
      </c>
      <c r="O563" s="25">
        <v>45749.493750000001</v>
      </c>
      <c r="P563" s="26" t="s">
        <v>2358</v>
      </c>
    </row>
    <row r="564" spans="1:16" x14ac:dyDescent="0.25">
      <c r="A564" s="20" t="s">
        <v>5211</v>
      </c>
      <c r="B564" s="21">
        <v>636</v>
      </c>
      <c r="C564" s="22" t="s">
        <v>143</v>
      </c>
      <c r="D564" s="22" t="s">
        <v>968</v>
      </c>
      <c r="E564" s="22" t="str">
        <f>CONCATENATE(B564,D564)</f>
        <v>63663203-242</v>
      </c>
      <c r="F564" s="22" t="s">
        <v>969</v>
      </c>
      <c r="G564" s="22" t="s">
        <v>19</v>
      </c>
      <c r="H564" s="23">
        <v>209.66380000000001</v>
      </c>
      <c r="I564" s="24">
        <v>1</v>
      </c>
      <c r="J564" s="24">
        <v>0</v>
      </c>
      <c r="K564" s="24">
        <v>0</v>
      </c>
      <c r="L564" s="41">
        <f>Table2[[#This Row],[Column1]]+Table2[[#This Row],[Column2]]</f>
        <v>0</v>
      </c>
      <c r="M564" s="42">
        <f>Table2[[#This Row],[OnHandQty]]-Table2[[#This Row],[Projection Nov/Dec]]</f>
        <v>1</v>
      </c>
      <c r="N564" s="35">
        <f>Table2[[#This Row],[OverStock]]*Table2[[#This Row],[RepCost]]</f>
        <v>209.66380000000001</v>
      </c>
      <c r="O564" s="25">
        <v>46132.304166666669</v>
      </c>
      <c r="P564" s="26" t="s">
        <v>178</v>
      </c>
    </row>
    <row r="565" spans="1:16" x14ac:dyDescent="0.25">
      <c r="A565" s="20" t="s">
        <v>5211</v>
      </c>
      <c r="B565" s="21">
        <v>714</v>
      </c>
      <c r="C565" s="22" t="s">
        <v>143</v>
      </c>
      <c r="D565" s="22" t="s">
        <v>2724</v>
      </c>
      <c r="E565" s="22" t="str">
        <f>CONCATENATE(B565,D565)</f>
        <v>71476393-105</v>
      </c>
      <c r="F565" s="22" t="s">
        <v>2725</v>
      </c>
      <c r="G565" s="22" t="s">
        <v>23</v>
      </c>
      <c r="H565" s="23">
        <v>37.921300000000002</v>
      </c>
      <c r="I565" s="24">
        <v>15</v>
      </c>
      <c r="J565" s="24">
        <v>1</v>
      </c>
      <c r="K565" s="24">
        <v>0</v>
      </c>
      <c r="L565" s="41">
        <f>Table2[[#This Row],[Column1]]+Table2[[#This Row],[Column2]]</f>
        <v>1</v>
      </c>
      <c r="M565" s="42">
        <f>Table2[[#This Row],[OnHandQty]]-Table2[[#This Row],[Projection Nov/Dec]]</f>
        <v>14</v>
      </c>
      <c r="N565" s="35">
        <f>Table2[[#This Row],[OverStock]]*Table2[[#This Row],[RepCost]]</f>
        <v>530.89820000000009</v>
      </c>
      <c r="O565" s="25">
        <v>46224.59652777778</v>
      </c>
      <c r="P565" s="26" t="s">
        <v>36</v>
      </c>
    </row>
    <row r="566" spans="1:16" x14ac:dyDescent="0.25">
      <c r="A566" s="20" t="s">
        <v>5211</v>
      </c>
      <c r="B566" s="21">
        <v>714</v>
      </c>
      <c r="C566" s="22" t="s">
        <v>143</v>
      </c>
      <c r="D566" s="22" t="s">
        <v>2397</v>
      </c>
      <c r="E566" s="22" t="str">
        <f>CONCATENATE(B566,D566)</f>
        <v>71463207-110</v>
      </c>
      <c r="F566" s="22" t="s">
        <v>2398</v>
      </c>
      <c r="G566" s="22" t="s">
        <v>29</v>
      </c>
      <c r="H566" s="23">
        <v>68.642399999999995</v>
      </c>
      <c r="I566" s="24">
        <v>2</v>
      </c>
      <c r="J566" s="24">
        <v>0</v>
      </c>
      <c r="K566" s="24">
        <v>0</v>
      </c>
      <c r="L566" s="41">
        <f>Table2[[#This Row],[Column1]]+Table2[[#This Row],[Column2]]</f>
        <v>0</v>
      </c>
      <c r="M566" s="42">
        <f>Table2[[#This Row],[OnHandQty]]-Table2[[#This Row],[Projection Nov/Dec]]</f>
        <v>2</v>
      </c>
      <c r="N566" s="35">
        <f>Table2[[#This Row],[OverStock]]*Table2[[#This Row],[RepCost]]</f>
        <v>137.28479999999999</v>
      </c>
      <c r="O566" s="25">
        <v>45009.468055555553</v>
      </c>
      <c r="P566" s="26" t="s">
        <v>195</v>
      </c>
    </row>
    <row r="567" spans="1:16" x14ac:dyDescent="0.25">
      <c r="A567" s="20" t="s">
        <v>5211</v>
      </c>
      <c r="B567" s="21">
        <v>718</v>
      </c>
      <c r="C567" s="22" t="s">
        <v>143</v>
      </c>
      <c r="D567" s="22" t="s">
        <v>2466</v>
      </c>
      <c r="E567" s="22" t="str">
        <f>CONCATENATE(B567,D567)</f>
        <v>71863220-102</v>
      </c>
      <c r="F567" s="22" t="s">
        <v>2467</v>
      </c>
      <c r="G567" s="22" t="s">
        <v>15</v>
      </c>
      <c r="H567" s="23">
        <v>17.8551</v>
      </c>
      <c r="I567" s="24">
        <v>2</v>
      </c>
      <c r="J567" s="24">
        <v>0</v>
      </c>
      <c r="K567" s="24">
        <v>0</v>
      </c>
      <c r="L567" s="41">
        <f>Table2[[#This Row],[Column1]]+Table2[[#This Row],[Column2]]</f>
        <v>0</v>
      </c>
      <c r="M567" s="42">
        <f>Table2[[#This Row],[OnHandQty]]-Table2[[#This Row],[Projection Nov/Dec]]</f>
        <v>2</v>
      </c>
      <c r="N567" s="35">
        <f>Table2[[#This Row],[OverStock]]*Table2[[#This Row],[RepCost]]</f>
        <v>35.7102</v>
      </c>
      <c r="O567" s="25">
        <v>45793.486111111109</v>
      </c>
      <c r="P567" s="26" t="s">
        <v>2468</v>
      </c>
    </row>
    <row r="568" spans="1:16" x14ac:dyDescent="0.25">
      <c r="A568" s="20" t="s">
        <v>5211</v>
      </c>
      <c r="B568" s="21">
        <v>714</v>
      </c>
      <c r="C568" s="22" t="s">
        <v>143</v>
      </c>
      <c r="D568" s="22" t="s">
        <v>2466</v>
      </c>
      <c r="E568" s="22" t="str">
        <f>CONCATENATE(B568,D568)</f>
        <v>71463220-102</v>
      </c>
      <c r="F568" s="22" t="s">
        <v>2467</v>
      </c>
      <c r="G568" s="22" t="s">
        <v>35</v>
      </c>
      <c r="H568" s="23">
        <v>17.744199999999999</v>
      </c>
      <c r="I568" s="24">
        <v>20</v>
      </c>
      <c r="J568" s="24">
        <v>0</v>
      </c>
      <c r="K568" s="24">
        <v>0</v>
      </c>
      <c r="L568" s="41">
        <f>Table2[[#This Row],[Column1]]+Table2[[#This Row],[Column2]]</f>
        <v>0</v>
      </c>
      <c r="M568" s="42">
        <f>Table2[[#This Row],[OnHandQty]]-Table2[[#This Row],[Projection Nov/Dec]]</f>
        <v>20</v>
      </c>
      <c r="N568" s="35">
        <f>Table2[[#This Row],[OverStock]]*Table2[[#This Row],[RepCost]]</f>
        <v>354.88400000000001</v>
      </c>
      <c r="O568" s="25">
        <v>45799.356249999997</v>
      </c>
      <c r="P568" s="26" t="s">
        <v>2468</v>
      </c>
    </row>
    <row r="569" spans="1:16" x14ac:dyDescent="0.25">
      <c r="A569" s="20" t="s">
        <v>5211</v>
      </c>
      <c r="B569" s="21">
        <v>714</v>
      </c>
      <c r="C569" s="22" t="s">
        <v>323</v>
      </c>
      <c r="D569" s="22" t="s">
        <v>3139</v>
      </c>
      <c r="E569" s="22" t="str">
        <f>CONCATENATE(B569,D569)</f>
        <v>71478519-0010</v>
      </c>
      <c r="F569" s="22" t="s">
        <v>3140</v>
      </c>
      <c r="G569" s="22" t="s">
        <v>112</v>
      </c>
      <c r="H569" s="23">
        <v>22.338100000000001</v>
      </c>
      <c r="I569" s="24">
        <v>17</v>
      </c>
      <c r="J569" s="24">
        <v>0</v>
      </c>
      <c r="K569" s="24">
        <v>0</v>
      </c>
      <c r="L569" s="41">
        <f>Table2[[#This Row],[Column1]]+Table2[[#This Row],[Column2]]</f>
        <v>0</v>
      </c>
      <c r="M569" s="42">
        <f>Table2[[#This Row],[OnHandQty]]-Table2[[#This Row],[Projection Nov/Dec]]</f>
        <v>17</v>
      </c>
      <c r="N569" s="35">
        <f>Table2[[#This Row],[OverStock]]*Table2[[#This Row],[RepCost]]</f>
        <v>379.74770000000001</v>
      </c>
      <c r="O569" s="25">
        <v>46185.630555555559</v>
      </c>
      <c r="P569" s="26" t="s">
        <v>1825</v>
      </c>
    </row>
    <row r="570" spans="1:16" x14ac:dyDescent="0.25">
      <c r="A570" s="20" t="s">
        <v>5211</v>
      </c>
      <c r="B570" s="21">
        <v>714</v>
      </c>
      <c r="C570" s="22" t="s">
        <v>12</v>
      </c>
      <c r="D570" s="22" t="s">
        <v>1906</v>
      </c>
      <c r="E570" s="22" t="str">
        <f>CONCATENATE(B570,D570)</f>
        <v>71463238-101</v>
      </c>
      <c r="F570" s="22" t="s">
        <v>1907</v>
      </c>
      <c r="G570" s="22" t="s">
        <v>19</v>
      </c>
      <c r="H570" s="23">
        <v>7.2785000000000002</v>
      </c>
      <c r="I570" s="24">
        <v>62</v>
      </c>
      <c r="J570" s="24">
        <v>0</v>
      </c>
      <c r="K570" s="24">
        <v>0</v>
      </c>
      <c r="L570" s="41">
        <f>Table2[[#This Row],[Column1]]+Table2[[#This Row],[Column2]]</f>
        <v>0</v>
      </c>
      <c r="M570" s="42">
        <f>Table2[[#This Row],[OnHandQty]]-Table2[[#This Row],[Projection Nov/Dec]]</f>
        <v>62</v>
      </c>
      <c r="N570" s="35">
        <f>Table2[[#This Row],[OverStock]]*Table2[[#This Row],[RepCost]]</f>
        <v>451.267</v>
      </c>
      <c r="O570" s="25">
        <v>46119.337500000001</v>
      </c>
      <c r="P570" s="26" t="s">
        <v>94</v>
      </c>
    </row>
    <row r="571" spans="1:16" x14ac:dyDescent="0.25">
      <c r="A571" s="20" t="s">
        <v>5211</v>
      </c>
      <c r="B571" s="21">
        <v>634</v>
      </c>
      <c r="C571" s="22" t="s">
        <v>70</v>
      </c>
      <c r="D571" s="22" t="s">
        <v>124</v>
      </c>
      <c r="E571" s="22" t="str">
        <f>CONCATENATE(B571,D571)</f>
        <v>63463247-101</v>
      </c>
      <c r="F571" s="27" t="s">
        <v>125</v>
      </c>
      <c r="G571" s="27" t="s">
        <v>58</v>
      </c>
      <c r="H571" s="23">
        <v>5.8616999999999999</v>
      </c>
      <c r="I571" s="24">
        <v>20</v>
      </c>
      <c r="J571" s="24">
        <v>0</v>
      </c>
      <c r="K571" s="24">
        <v>0</v>
      </c>
      <c r="L571" s="41">
        <f>Table2[[#This Row],[Column1]]+Table2[[#This Row],[Column2]]</f>
        <v>0</v>
      </c>
      <c r="M571" s="42">
        <f>Table2[[#This Row],[OnHandQty]]-Table2[[#This Row],[Projection Nov/Dec]]</f>
        <v>20</v>
      </c>
      <c r="N571" s="35">
        <f>Table2[[#This Row],[OverStock]]*Table2[[#This Row],[RepCost]]</f>
        <v>117.23399999999999</v>
      </c>
      <c r="O571" s="25">
        <v>45807.578472222223</v>
      </c>
      <c r="P571" s="26" t="s">
        <v>16</v>
      </c>
    </row>
    <row r="572" spans="1:16" x14ac:dyDescent="0.25">
      <c r="A572" s="20" t="s">
        <v>5211</v>
      </c>
      <c r="B572" s="21">
        <v>636</v>
      </c>
      <c r="C572" s="22" t="s">
        <v>70</v>
      </c>
      <c r="D572" s="22" t="s">
        <v>124</v>
      </c>
      <c r="E572" s="22" t="str">
        <f>CONCATENATE(B572,D572)</f>
        <v>63663247-101</v>
      </c>
      <c r="F572" s="22" t="s">
        <v>125</v>
      </c>
      <c r="G572" s="22" t="s">
        <v>29</v>
      </c>
      <c r="H572" s="23">
        <v>6.5282999999999998</v>
      </c>
      <c r="I572" s="24">
        <v>1</v>
      </c>
      <c r="J572" s="24">
        <v>0</v>
      </c>
      <c r="K572" s="24">
        <v>0</v>
      </c>
      <c r="L572" s="41">
        <f>Table2[[#This Row],[Column1]]+Table2[[#This Row],[Column2]]</f>
        <v>0</v>
      </c>
      <c r="M572" s="42">
        <f>Table2[[#This Row],[OnHandQty]]-Table2[[#This Row],[Projection Nov/Dec]]</f>
        <v>1</v>
      </c>
      <c r="N572" s="35">
        <f>Table2[[#This Row],[OverStock]]*Table2[[#This Row],[RepCost]]</f>
        <v>6.5282999999999998</v>
      </c>
      <c r="O572" s="25">
        <v>46232.470833333333</v>
      </c>
      <c r="P572" s="26" t="s">
        <v>522</v>
      </c>
    </row>
    <row r="573" spans="1:16" x14ac:dyDescent="0.25">
      <c r="A573" s="20" t="s">
        <v>5211</v>
      </c>
      <c r="B573" s="21">
        <v>718</v>
      </c>
      <c r="C573" s="22" t="s">
        <v>70</v>
      </c>
      <c r="D573" s="22" t="s">
        <v>3645</v>
      </c>
      <c r="E573" s="22" t="str">
        <f>CONCATENATE(B573,D573)</f>
        <v>71863247-102</v>
      </c>
      <c r="F573" s="22" t="s">
        <v>3646</v>
      </c>
      <c r="G573" s="22" t="s">
        <v>29</v>
      </c>
      <c r="H573" s="23">
        <v>7.0248999999999997</v>
      </c>
      <c r="I573" s="24">
        <v>9</v>
      </c>
      <c r="J573" s="24">
        <v>8</v>
      </c>
      <c r="K573" s="24">
        <v>0</v>
      </c>
      <c r="L573" s="41">
        <f>Table2[[#This Row],[Column1]]+Table2[[#This Row],[Column2]]</f>
        <v>8</v>
      </c>
      <c r="M573" s="42">
        <f>Table2[[#This Row],[OnHandQty]]-Table2[[#This Row],[Projection Nov/Dec]]</f>
        <v>1</v>
      </c>
      <c r="N573" s="35">
        <f>Table2[[#This Row],[OverStock]]*Table2[[#This Row],[RepCost]]</f>
        <v>7.0248999999999997</v>
      </c>
      <c r="O573" s="25">
        <v>45210.365277777775</v>
      </c>
      <c r="P573" s="26" t="s">
        <v>40</v>
      </c>
    </row>
    <row r="574" spans="1:16" x14ac:dyDescent="0.25">
      <c r="A574" s="20" t="s">
        <v>5211</v>
      </c>
      <c r="B574" s="21">
        <v>636</v>
      </c>
      <c r="C574" s="22" t="s">
        <v>323</v>
      </c>
      <c r="D574" s="22" t="s">
        <v>1600</v>
      </c>
      <c r="E574" s="22" t="str">
        <f>CONCATENATE(B574,D574)</f>
        <v>63682929-020</v>
      </c>
      <c r="F574" s="22" t="s">
        <v>1601</v>
      </c>
      <c r="G574" s="22" t="s">
        <v>29</v>
      </c>
      <c r="H574" s="23">
        <v>280.26139999999998</v>
      </c>
      <c r="I574" s="24">
        <v>3</v>
      </c>
      <c r="J574" s="24">
        <v>0</v>
      </c>
      <c r="K574" s="24">
        <v>0</v>
      </c>
      <c r="L574" s="41">
        <f>Table2[[#This Row],[Column1]]+Table2[[#This Row],[Column2]]</f>
        <v>0</v>
      </c>
      <c r="M574" s="42">
        <f>Table2[[#This Row],[OnHandQty]]-Table2[[#This Row],[Projection Nov/Dec]]</f>
        <v>3</v>
      </c>
      <c r="N574" s="35">
        <f>Table2[[#This Row],[OverStock]]*Table2[[#This Row],[RepCost]]</f>
        <v>840.78419999999994</v>
      </c>
      <c r="O574" s="25">
        <v>46107.522222222222</v>
      </c>
      <c r="P574" s="26" t="s">
        <v>178</v>
      </c>
    </row>
    <row r="575" spans="1:16" x14ac:dyDescent="0.25">
      <c r="A575" s="20" t="s">
        <v>5211</v>
      </c>
      <c r="B575" s="21">
        <v>636</v>
      </c>
      <c r="C575" s="22" t="s">
        <v>323</v>
      </c>
      <c r="D575" s="22" t="s">
        <v>1346</v>
      </c>
      <c r="E575" s="22" t="str">
        <f>CONCATENATE(B575,D575)</f>
        <v>63682929-025</v>
      </c>
      <c r="F575" s="22" t="s">
        <v>1347</v>
      </c>
      <c r="G575" s="22" t="s">
        <v>29</v>
      </c>
      <c r="H575" s="23">
        <v>271.4144</v>
      </c>
      <c r="I575" s="24">
        <v>4</v>
      </c>
      <c r="J575" s="24">
        <v>0</v>
      </c>
      <c r="K575" s="24">
        <v>0</v>
      </c>
      <c r="L575" s="41">
        <f>Table2[[#This Row],[Column1]]+Table2[[#This Row],[Column2]]</f>
        <v>0</v>
      </c>
      <c r="M575" s="42">
        <f>Table2[[#This Row],[OnHandQty]]-Table2[[#This Row],[Projection Nov/Dec]]</f>
        <v>4</v>
      </c>
      <c r="N575" s="35">
        <f>Table2[[#This Row],[OverStock]]*Table2[[#This Row],[RepCost]]</f>
        <v>1085.6576</v>
      </c>
      <c r="O575" s="25">
        <v>46114.394444444442</v>
      </c>
      <c r="P575" s="26" t="s">
        <v>486</v>
      </c>
    </row>
    <row r="576" spans="1:16" x14ac:dyDescent="0.25">
      <c r="A576" s="20" t="s">
        <v>5211</v>
      </c>
      <c r="B576" s="21">
        <v>714</v>
      </c>
      <c r="C576" s="22" t="s">
        <v>323</v>
      </c>
      <c r="D576" s="22" t="s">
        <v>3093</v>
      </c>
      <c r="E576" s="22" t="str">
        <f>CONCATENATE(B576,D576)</f>
        <v>71463259-305</v>
      </c>
      <c r="F576" s="22" t="s">
        <v>3094</v>
      </c>
      <c r="G576" s="22" t="s">
        <v>29</v>
      </c>
      <c r="H576" s="23">
        <v>156.0984</v>
      </c>
      <c r="I576" s="24">
        <v>1</v>
      </c>
      <c r="J576" s="24">
        <v>0</v>
      </c>
      <c r="K576" s="24">
        <v>0</v>
      </c>
      <c r="L576" s="41">
        <f>Table2[[#This Row],[Column1]]+Table2[[#This Row],[Column2]]</f>
        <v>0</v>
      </c>
      <c r="M576" s="42">
        <f>Table2[[#This Row],[OnHandQty]]-Table2[[#This Row],[Projection Nov/Dec]]</f>
        <v>1</v>
      </c>
      <c r="N576" s="35">
        <f>Table2[[#This Row],[OverStock]]*Table2[[#This Row],[RepCost]]</f>
        <v>156.0984</v>
      </c>
      <c r="O576" s="25">
        <v>46153.668749999997</v>
      </c>
      <c r="P576" s="26" t="s">
        <v>2271</v>
      </c>
    </row>
    <row r="577" spans="1:16" x14ac:dyDescent="0.25">
      <c r="A577" s="20" t="s">
        <v>5211</v>
      </c>
      <c r="B577" s="21">
        <v>636</v>
      </c>
      <c r="C577" s="22" t="s">
        <v>323</v>
      </c>
      <c r="D577" s="22" t="s">
        <v>1375</v>
      </c>
      <c r="E577" s="22" t="str">
        <f>CONCATENATE(B577,D577)</f>
        <v>63663259-307</v>
      </c>
      <c r="F577" s="22" t="s">
        <v>1376</v>
      </c>
      <c r="G577" s="22" t="s">
        <v>19</v>
      </c>
      <c r="H577" s="23">
        <v>327.96550000000002</v>
      </c>
      <c r="I577" s="24">
        <v>1</v>
      </c>
      <c r="J577" s="24">
        <v>0</v>
      </c>
      <c r="K577" s="24">
        <v>0</v>
      </c>
      <c r="L577" s="41">
        <f>Table2[[#This Row],[Column1]]+Table2[[#This Row],[Column2]]</f>
        <v>0</v>
      </c>
      <c r="M577" s="42">
        <f>Table2[[#This Row],[OnHandQty]]-Table2[[#This Row],[Projection Nov/Dec]]</f>
        <v>1</v>
      </c>
      <c r="N577" s="35">
        <f>Table2[[#This Row],[OverStock]]*Table2[[#This Row],[RepCost]]</f>
        <v>327.96550000000002</v>
      </c>
      <c r="O577" s="25">
        <v>46107.522222222222</v>
      </c>
      <c r="P577" s="26" t="s">
        <v>178</v>
      </c>
    </row>
    <row r="578" spans="1:16" x14ac:dyDescent="0.25">
      <c r="A578" s="20" t="s">
        <v>5211</v>
      </c>
      <c r="B578" s="21">
        <v>714</v>
      </c>
      <c r="C578" s="22" t="s">
        <v>323</v>
      </c>
      <c r="D578" s="22" t="s">
        <v>3012</v>
      </c>
      <c r="E578" s="22" t="str">
        <f>CONCATENATE(B578,D578)</f>
        <v>71463344-103</v>
      </c>
      <c r="F578" s="22" t="s">
        <v>3013</v>
      </c>
      <c r="G578" s="22" t="s">
        <v>29</v>
      </c>
      <c r="H578" s="23">
        <v>27.3446</v>
      </c>
      <c r="I578" s="24">
        <v>5</v>
      </c>
      <c r="J578" s="24">
        <v>0</v>
      </c>
      <c r="K578" s="24">
        <v>0</v>
      </c>
      <c r="L578" s="41">
        <f>Table2[[#This Row],[Column1]]+Table2[[#This Row],[Column2]]</f>
        <v>0</v>
      </c>
      <c r="M578" s="42">
        <f>Table2[[#This Row],[OnHandQty]]-Table2[[#This Row],[Projection Nov/Dec]]</f>
        <v>5</v>
      </c>
      <c r="N578" s="35">
        <f>Table2[[#This Row],[OverStock]]*Table2[[#This Row],[RepCost]]</f>
        <v>136.72300000000001</v>
      </c>
      <c r="O578" s="25">
        <v>46185.630555555559</v>
      </c>
      <c r="P578" s="26" t="s">
        <v>1825</v>
      </c>
    </row>
    <row r="579" spans="1:16" x14ac:dyDescent="0.25">
      <c r="A579" s="20" t="s">
        <v>5211</v>
      </c>
      <c r="B579" s="21">
        <v>636</v>
      </c>
      <c r="C579" s="22" t="s">
        <v>126</v>
      </c>
      <c r="D579" s="22" t="s">
        <v>879</v>
      </c>
      <c r="E579" s="22" t="str">
        <f>CONCATENATE(B579,D579)</f>
        <v>63695004-STD105PFO</v>
      </c>
      <c r="F579" s="22" t="s">
        <v>880</v>
      </c>
      <c r="G579" s="22" t="s">
        <v>39</v>
      </c>
      <c r="H579" s="23">
        <v>47.112499999999997</v>
      </c>
      <c r="I579" s="24">
        <v>1</v>
      </c>
      <c r="J579" s="24">
        <v>0</v>
      </c>
      <c r="K579" s="24">
        <v>0</v>
      </c>
      <c r="L579" s="41">
        <f>Table2[[#This Row],[Column1]]+Table2[[#This Row],[Column2]]</f>
        <v>0</v>
      </c>
      <c r="M579" s="42">
        <f>Table2[[#This Row],[OnHandQty]]-Table2[[#This Row],[Projection Nov/Dec]]</f>
        <v>1</v>
      </c>
      <c r="N579" s="35">
        <f>Table2[[#This Row],[OverStock]]*Table2[[#This Row],[RepCost]]</f>
        <v>47.112499999999997</v>
      </c>
      <c r="O579" s="25">
        <v>46125.313194444447</v>
      </c>
      <c r="P579" s="26" t="s">
        <v>140</v>
      </c>
    </row>
    <row r="580" spans="1:16" x14ac:dyDescent="0.25">
      <c r="A580" s="20" t="s">
        <v>5211</v>
      </c>
      <c r="B580" s="21">
        <v>718</v>
      </c>
      <c r="C580" s="22" t="s">
        <v>126</v>
      </c>
      <c r="D580" s="22" t="s">
        <v>879</v>
      </c>
      <c r="E580" s="22" t="str">
        <f>CONCATENATE(B580,D580)</f>
        <v>71895004-STD105PFO</v>
      </c>
      <c r="F580" s="22" t="s">
        <v>880</v>
      </c>
      <c r="G580" s="22" t="s">
        <v>29</v>
      </c>
      <c r="H580" s="23">
        <v>47.043900000000001</v>
      </c>
      <c r="I580" s="24">
        <v>1</v>
      </c>
      <c r="J580" s="24">
        <v>0</v>
      </c>
      <c r="K580" s="24">
        <v>0</v>
      </c>
      <c r="L580" s="41">
        <f>Table2[[#This Row],[Column1]]+Table2[[#This Row],[Column2]]</f>
        <v>0</v>
      </c>
      <c r="M580" s="42">
        <f>Table2[[#This Row],[OnHandQty]]-Table2[[#This Row],[Projection Nov/Dec]]</f>
        <v>1</v>
      </c>
      <c r="N580" s="35">
        <f>Table2[[#This Row],[OverStock]]*Table2[[#This Row],[RepCost]]</f>
        <v>47.043900000000001</v>
      </c>
      <c r="O580" s="25">
        <v>46142.573611111111</v>
      </c>
      <c r="P580" s="26" t="s">
        <v>140</v>
      </c>
    </row>
    <row r="581" spans="1:16" x14ac:dyDescent="0.25">
      <c r="A581" s="20" t="s">
        <v>5211</v>
      </c>
      <c r="B581" s="21">
        <v>636</v>
      </c>
      <c r="C581" s="22" t="s">
        <v>323</v>
      </c>
      <c r="D581" s="22" t="s">
        <v>1688</v>
      </c>
      <c r="E581" s="22" t="str">
        <f>CONCATENATE(B581,D581)</f>
        <v>63681419-025</v>
      </c>
      <c r="F581" s="22" t="s">
        <v>1689</v>
      </c>
      <c r="G581" s="22" t="s">
        <v>29</v>
      </c>
      <c r="H581" s="23">
        <v>223.44159999999999</v>
      </c>
      <c r="I581" s="24">
        <v>1</v>
      </c>
      <c r="J581" s="24">
        <v>0</v>
      </c>
      <c r="K581" s="24">
        <v>0</v>
      </c>
      <c r="L581" s="41">
        <f>Table2[[#This Row],[Column1]]+Table2[[#This Row],[Column2]]</f>
        <v>0</v>
      </c>
      <c r="M581" s="42">
        <f>Table2[[#This Row],[OnHandQty]]-Table2[[#This Row],[Projection Nov/Dec]]</f>
        <v>1</v>
      </c>
      <c r="N581" s="35">
        <f>Table2[[#This Row],[OverStock]]*Table2[[#This Row],[RepCost]]</f>
        <v>223.44159999999999</v>
      </c>
      <c r="O581" s="25">
        <v>44497.370833333334</v>
      </c>
      <c r="P581" s="26" t="s">
        <v>1690</v>
      </c>
    </row>
    <row r="582" spans="1:16" x14ac:dyDescent="0.25">
      <c r="A582" s="20" t="s">
        <v>5211</v>
      </c>
      <c r="B582" s="21">
        <v>634</v>
      </c>
      <c r="C582" s="22" t="s">
        <v>12</v>
      </c>
      <c r="D582" s="22" t="s">
        <v>33</v>
      </c>
      <c r="E582" s="22" t="str">
        <f>CONCATENATE(B582,D582)</f>
        <v>63463371-STK101</v>
      </c>
      <c r="F582" s="22" t="s">
        <v>34</v>
      </c>
      <c r="G582" s="22" t="s">
        <v>35</v>
      </c>
      <c r="H582" s="23">
        <v>9.7100000000000009</v>
      </c>
      <c r="I582" s="24">
        <v>2</v>
      </c>
      <c r="J582" s="24">
        <v>0</v>
      </c>
      <c r="K582" s="24">
        <v>0</v>
      </c>
      <c r="L582" s="41">
        <f>Table2[[#This Row],[Column1]]+Table2[[#This Row],[Column2]]</f>
        <v>0</v>
      </c>
      <c r="M582" s="42">
        <f>Table2[[#This Row],[OnHandQty]]-Table2[[#This Row],[Projection Nov/Dec]]</f>
        <v>2</v>
      </c>
      <c r="N582" s="35">
        <f>Table2[[#This Row],[OverStock]]*Table2[[#This Row],[RepCost]]</f>
        <v>19.420000000000002</v>
      </c>
      <c r="O582" s="25">
        <v>45777.59652777778</v>
      </c>
      <c r="P582" s="26" t="s">
        <v>36</v>
      </c>
    </row>
    <row r="583" spans="1:16" x14ac:dyDescent="0.25">
      <c r="A583" s="20" t="s">
        <v>5211</v>
      </c>
      <c r="B583" s="21">
        <v>634</v>
      </c>
      <c r="C583" s="22" t="s">
        <v>12</v>
      </c>
      <c r="D583" s="22" t="s">
        <v>54</v>
      </c>
      <c r="E583" s="22" t="str">
        <f>CONCATENATE(B583,D583)</f>
        <v>63463441-STK101</v>
      </c>
      <c r="F583" s="22" t="s">
        <v>55</v>
      </c>
      <c r="G583" s="22" t="s">
        <v>29</v>
      </c>
      <c r="H583" s="23">
        <v>13.5952</v>
      </c>
      <c r="I583" s="24">
        <v>11</v>
      </c>
      <c r="J583" s="24">
        <v>0</v>
      </c>
      <c r="K583" s="24">
        <v>0</v>
      </c>
      <c r="L583" s="41">
        <f>Table2[[#This Row],[Column1]]+Table2[[#This Row],[Column2]]</f>
        <v>0</v>
      </c>
      <c r="M583" s="42">
        <f>Table2[[#This Row],[OnHandQty]]-Table2[[#This Row],[Projection Nov/Dec]]</f>
        <v>11</v>
      </c>
      <c r="N583" s="35">
        <f>Table2[[#This Row],[OverStock]]*Table2[[#This Row],[RepCost]]</f>
        <v>149.5472</v>
      </c>
      <c r="O583" s="25">
        <v>46161.400694444441</v>
      </c>
      <c r="P583" s="26" t="s">
        <v>16</v>
      </c>
    </row>
    <row r="584" spans="1:16" x14ac:dyDescent="0.25">
      <c r="A584" s="20" t="s">
        <v>5211</v>
      </c>
      <c r="B584" s="21">
        <v>634</v>
      </c>
      <c r="C584" s="22" t="s">
        <v>12</v>
      </c>
      <c r="D584" s="22" t="s">
        <v>68</v>
      </c>
      <c r="E584" s="22" t="str">
        <f>CONCATENATE(B584,D584)</f>
        <v>63463441-STK101PREM</v>
      </c>
      <c r="F584" s="27" t="s">
        <v>69</v>
      </c>
      <c r="G584" s="27" t="s">
        <v>58</v>
      </c>
      <c r="H584" s="23">
        <v>9.7100000000000009</v>
      </c>
      <c r="I584" s="24">
        <v>6</v>
      </c>
      <c r="J584" s="24">
        <v>0</v>
      </c>
      <c r="K584" s="24">
        <v>0</v>
      </c>
      <c r="L584" s="41">
        <f>Table2[[#This Row],[Column1]]+Table2[[#This Row],[Column2]]</f>
        <v>0</v>
      </c>
      <c r="M584" s="42">
        <f>Table2[[#This Row],[OnHandQty]]-Table2[[#This Row],[Projection Nov/Dec]]</f>
        <v>6</v>
      </c>
      <c r="N584" s="35">
        <f>Table2[[#This Row],[OverStock]]*Table2[[#This Row],[RepCost]]</f>
        <v>58.260000000000005</v>
      </c>
      <c r="O584" s="25">
        <v>45777.59652777778</v>
      </c>
      <c r="P584" s="26" t="s">
        <v>36</v>
      </c>
    </row>
    <row r="585" spans="1:16" x14ac:dyDescent="0.25">
      <c r="A585" s="20" t="s">
        <v>5211</v>
      </c>
      <c r="B585" s="21">
        <v>714</v>
      </c>
      <c r="C585" s="22" t="s">
        <v>12</v>
      </c>
      <c r="D585" s="22" t="s">
        <v>1892</v>
      </c>
      <c r="E585" s="22" t="str">
        <f>CONCATENATE(B585,D585)</f>
        <v>71484810-STK101</v>
      </c>
      <c r="F585" s="22" t="s">
        <v>1893</v>
      </c>
      <c r="G585" s="22" t="s">
        <v>29</v>
      </c>
      <c r="H585" s="23">
        <v>13.0944</v>
      </c>
      <c r="I585" s="24">
        <v>4</v>
      </c>
      <c r="J585" s="24">
        <v>0</v>
      </c>
      <c r="K585" s="24">
        <v>0</v>
      </c>
      <c r="L585" s="41">
        <f>Table2[[#This Row],[Column1]]+Table2[[#This Row],[Column2]]</f>
        <v>0</v>
      </c>
      <c r="M585" s="42">
        <f>Table2[[#This Row],[OnHandQty]]-Table2[[#This Row],[Projection Nov/Dec]]</f>
        <v>4</v>
      </c>
      <c r="N585" s="35">
        <f>Table2[[#This Row],[OverStock]]*Table2[[#This Row],[RepCost]]</f>
        <v>52.377600000000001</v>
      </c>
      <c r="O585" s="25">
        <v>46143.318749999999</v>
      </c>
      <c r="P585" s="26" t="s">
        <v>36</v>
      </c>
    </row>
    <row r="586" spans="1:16" x14ac:dyDescent="0.25">
      <c r="A586" s="20" t="s">
        <v>5211</v>
      </c>
      <c r="B586" s="21">
        <v>714</v>
      </c>
      <c r="C586" s="22" t="s">
        <v>12</v>
      </c>
      <c r="D586" s="22" t="s">
        <v>1890</v>
      </c>
      <c r="E586" s="22" t="str">
        <f>CONCATENATE(B586,D586)</f>
        <v>71484810-STK105</v>
      </c>
      <c r="F586" s="22" t="s">
        <v>1891</v>
      </c>
      <c r="G586" s="22" t="s">
        <v>39</v>
      </c>
      <c r="H586" s="23">
        <v>45.209099999999999</v>
      </c>
      <c r="I586" s="24">
        <v>4</v>
      </c>
      <c r="J586" s="24">
        <v>0</v>
      </c>
      <c r="K586" s="24">
        <v>0</v>
      </c>
      <c r="L586" s="41">
        <f>Table2[[#This Row],[Column1]]+Table2[[#This Row],[Column2]]</f>
        <v>0</v>
      </c>
      <c r="M586" s="42">
        <f>Table2[[#This Row],[OnHandQty]]-Table2[[#This Row],[Projection Nov/Dec]]</f>
        <v>4</v>
      </c>
      <c r="N586" s="35">
        <f>Table2[[#This Row],[OverStock]]*Table2[[#This Row],[RepCost]]</f>
        <v>180.8364</v>
      </c>
      <c r="O586" s="25">
        <v>46143.318749999999</v>
      </c>
      <c r="P586" s="26" t="s">
        <v>36</v>
      </c>
    </row>
    <row r="587" spans="1:16" x14ac:dyDescent="0.25">
      <c r="A587" s="20" t="s">
        <v>5211</v>
      </c>
      <c r="B587" s="21">
        <v>714</v>
      </c>
      <c r="C587" s="22" t="s">
        <v>126</v>
      </c>
      <c r="D587" s="22" t="s">
        <v>2203</v>
      </c>
      <c r="E587" s="22" t="str">
        <f>CONCATENATE(B587,D587)</f>
        <v>71484810-STK105PFO</v>
      </c>
      <c r="F587" s="22" t="s">
        <v>2204</v>
      </c>
      <c r="G587" s="22" t="s">
        <v>29</v>
      </c>
      <c r="H587" s="23">
        <v>27.753499999999999</v>
      </c>
      <c r="I587" s="24">
        <v>4</v>
      </c>
      <c r="J587" s="24">
        <v>0</v>
      </c>
      <c r="K587" s="24">
        <v>0</v>
      </c>
      <c r="L587" s="41">
        <f>Table2[[#This Row],[Column1]]+Table2[[#This Row],[Column2]]</f>
        <v>0</v>
      </c>
      <c r="M587" s="42">
        <f>Table2[[#This Row],[OnHandQty]]-Table2[[#This Row],[Projection Nov/Dec]]</f>
        <v>4</v>
      </c>
      <c r="N587" s="35">
        <f>Table2[[#This Row],[OverStock]]*Table2[[#This Row],[RepCost]]</f>
        <v>111.014</v>
      </c>
      <c r="O587" s="25">
        <v>46128.664583333331</v>
      </c>
      <c r="P587" s="26" t="s">
        <v>140</v>
      </c>
    </row>
    <row r="588" spans="1:16" x14ac:dyDescent="0.25">
      <c r="A588" s="20" t="s">
        <v>5211</v>
      </c>
      <c r="B588" s="21">
        <v>718</v>
      </c>
      <c r="C588" s="22" t="s">
        <v>12</v>
      </c>
      <c r="D588" s="22" t="s">
        <v>3627</v>
      </c>
      <c r="E588" s="22" t="str">
        <f>CONCATENATE(B588,D588)</f>
        <v>71863385-STK105</v>
      </c>
      <c r="F588" s="22" t="s">
        <v>3628</v>
      </c>
      <c r="G588" s="22" t="s">
        <v>39</v>
      </c>
      <c r="H588" s="23">
        <v>46.738300000000002</v>
      </c>
      <c r="I588" s="24">
        <v>1</v>
      </c>
      <c r="J588" s="24">
        <v>0</v>
      </c>
      <c r="K588" s="24">
        <v>0</v>
      </c>
      <c r="L588" s="41">
        <f>Table2[[#This Row],[Column1]]+Table2[[#This Row],[Column2]]</f>
        <v>0</v>
      </c>
      <c r="M588" s="42">
        <f>Table2[[#This Row],[OnHandQty]]-Table2[[#This Row],[Projection Nov/Dec]]</f>
        <v>1</v>
      </c>
      <c r="N588" s="35">
        <f>Table2[[#This Row],[OverStock]]*Table2[[#This Row],[RepCost]]</f>
        <v>46.738300000000002</v>
      </c>
      <c r="O588" s="25">
        <v>46140.671527777777</v>
      </c>
      <c r="P588" s="26" t="s">
        <v>36</v>
      </c>
    </row>
    <row r="589" spans="1:16" x14ac:dyDescent="0.25">
      <c r="A589" s="20" t="s">
        <v>5211</v>
      </c>
      <c r="B589" s="21">
        <v>714</v>
      </c>
      <c r="C589" s="22" t="s">
        <v>12</v>
      </c>
      <c r="D589" s="22" t="s">
        <v>1916</v>
      </c>
      <c r="E589" s="22" t="str">
        <f>CONCATENATE(B589,D589)</f>
        <v>71463459-101</v>
      </c>
      <c r="F589" s="22" t="s">
        <v>1917</v>
      </c>
      <c r="G589" s="22" t="s">
        <v>15</v>
      </c>
      <c r="H589" s="23">
        <v>12.5905</v>
      </c>
      <c r="I589" s="24">
        <v>1</v>
      </c>
      <c r="J589" s="24">
        <v>0</v>
      </c>
      <c r="K589" s="24">
        <v>0</v>
      </c>
      <c r="L589" s="41">
        <f>Table2[[#This Row],[Column1]]+Table2[[#This Row],[Column2]]</f>
        <v>0</v>
      </c>
      <c r="M589" s="42">
        <f>Table2[[#This Row],[OnHandQty]]-Table2[[#This Row],[Projection Nov/Dec]]</f>
        <v>1</v>
      </c>
      <c r="N589" s="35">
        <f>Table2[[#This Row],[OverStock]]*Table2[[#This Row],[RepCost]]</f>
        <v>12.5905</v>
      </c>
      <c r="O589" s="25">
        <v>45835.335416666669</v>
      </c>
      <c r="P589" s="26" t="s">
        <v>36</v>
      </c>
    </row>
    <row r="590" spans="1:16" x14ac:dyDescent="0.25">
      <c r="A590" s="20" t="s">
        <v>5211</v>
      </c>
      <c r="B590" s="21">
        <v>714</v>
      </c>
      <c r="C590" s="22" t="s">
        <v>12</v>
      </c>
      <c r="D590" s="22" t="s">
        <v>1949</v>
      </c>
      <c r="E590" s="22" t="str">
        <f>CONCATENATE(B590,D590)</f>
        <v>71463459-105</v>
      </c>
      <c r="F590" s="22" t="s">
        <v>1950</v>
      </c>
      <c r="G590" s="22" t="s">
        <v>35</v>
      </c>
      <c r="H590" s="23">
        <v>43.7102</v>
      </c>
      <c r="I590" s="24">
        <v>2</v>
      </c>
      <c r="J590" s="24">
        <v>0</v>
      </c>
      <c r="K590" s="24">
        <v>0</v>
      </c>
      <c r="L590" s="41">
        <f>Table2[[#This Row],[Column1]]+Table2[[#This Row],[Column2]]</f>
        <v>0</v>
      </c>
      <c r="M590" s="42">
        <f>Table2[[#This Row],[OnHandQty]]-Table2[[#This Row],[Projection Nov/Dec]]</f>
        <v>2</v>
      </c>
      <c r="N590" s="35">
        <f>Table2[[#This Row],[OverStock]]*Table2[[#This Row],[RepCost]]</f>
        <v>87.420400000000001</v>
      </c>
      <c r="O590" s="25">
        <v>45835.335416666669</v>
      </c>
      <c r="P590" s="26" t="s">
        <v>36</v>
      </c>
    </row>
    <row r="591" spans="1:16" x14ac:dyDescent="0.25">
      <c r="A591" s="20" t="s">
        <v>5211</v>
      </c>
      <c r="B591" s="21">
        <v>714</v>
      </c>
      <c r="C591" s="22" t="s">
        <v>12</v>
      </c>
      <c r="D591" s="22" t="s">
        <v>1896</v>
      </c>
      <c r="E591" s="22" t="str">
        <f>CONCATENATE(B591,D591)</f>
        <v>71482739-STK105</v>
      </c>
      <c r="F591" s="22" t="s">
        <v>1897</v>
      </c>
      <c r="G591" s="22" t="s">
        <v>29</v>
      </c>
      <c r="H591" s="23">
        <v>44.6417</v>
      </c>
      <c r="I591" s="24">
        <v>1</v>
      </c>
      <c r="J591" s="24">
        <v>0</v>
      </c>
      <c r="K591" s="24">
        <v>0</v>
      </c>
      <c r="L591" s="41">
        <f>Table2[[#This Row],[Column1]]+Table2[[#This Row],[Column2]]</f>
        <v>0</v>
      </c>
      <c r="M591" s="42">
        <f>Table2[[#This Row],[OnHandQty]]-Table2[[#This Row],[Projection Nov/Dec]]</f>
        <v>1</v>
      </c>
      <c r="N591" s="35">
        <f>Table2[[#This Row],[OverStock]]*Table2[[#This Row],[RepCost]]</f>
        <v>44.6417</v>
      </c>
      <c r="O591" s="25">
        <v>46143.318749999999</v>
      </c>
      <c r="P591" s="26" t="s">
        <v>36</v>
      </c>
    </row>
    <row r="592" spans="1:16" x14ac:dyDescent="0.25">
      <c r="A592" s="20" t="s">
        <v>5211</v>
      </c>
      <c r="B592" s="21">
        <v>718</v>
      </c>
      <c r="C592" s="22" t="s">
        <v>12</v>
      </c>
      <c r="D592" s="22" t="s">
        <v>1930</v>
      </c>
      <c r="E592" s="22" t="str">
        <f>CONCATENATE(B592,D592)</f>
        <v>71880764-STK105PREM</v>
      </c>
      <c r="F592" s="22" t="s">
        <v>1931</v>
      </c>
      <c r="G592" s="22" t="s">
        <v>29</v>
      </c>
      <c r="H592" s="23">
        <v>46.738300000000002</v>
      </c>
      <c r="I592" s="24">
        <v>1</v>
      </c>
      <c r="J592" s="24">
        <v>0</v>
      </c>
      <c r="K592" s="24">
        <v>0</v>
      </c>
      <c r="L592" s="41">
        <f>Table2[[#This Row],[Column1]]+Table2[[#This Row],[Column2]]</f>
        <v>0</v>
      </c>
      <c r="M592" s="42">
        <f>Table2[[#This Row],[OnHandQty]]-Table2[[#This Row],[Projection Nov/Dec]]</f>
        <v>1</v>
      </c>
      <c r="N592" s="35">
        <f>Table2[[#This Row],[OverStock]]*Table2[[#This Row],[RepCost]]</f>
        <v>46.738300000000002</v>
      </c>
      <c r="O592" s="25">
        <v>46140.671527777777</v>
      </c>
      <c r="P592" s="26" t="s">
        <v>36</v>
      </c>
    </row>
    <row r="593" spans="1:16" x14ac:dyDescent="0.25">
      <c r="A593" s="20" t="s">
        <v>5211</v>
      </c>
      <c r="B593" s="21">
        <v>714</v>
      </c>
      <c r="C593" s="22" t="s">
        <v>12</v>
      </c>
      <c r="D593" s="22" t="s">
        <v>1930</v>
      </c>
      <c r="E593" s="22" t="str">
        <f>CONCATENATE(B593,D593)</f>
        <v>71480764-STK105PREM</v>
      </c>
      <c r="F593" s="22" t="s">
        <v>1931</v>
      </c>
      <c r="G593" s="22" t="s">
        <v>29</v>
      </c>
      <c r="H593" s="23">
        <v>45.209099999999999</v>
      </c>
      <c r="I593" s="24">
        <v>2</v>
      </c>
      <c r="J593" s="24">
        <v>0</v>
      </c>
      <c r="K593" s="24">
        <v>0</v>
      </c>
      <c r="L593" s="41">
        <f>Table2[[#This Row],[Column1]]+Table2[[#This Row],[Column2]]</f>
        <v>0</v>
      </c>
      <c r="M593" s="42">
        <f>Table2[[#This Row],[OnHandQty]]-Table2[[#This Row],[Projection Nov/Dec]]</f>
        <v>2</v>
      </c>
      <c r="N593" s="35">
        <f>Table2[[#This Row],[OverStock]]*Table2[[#This Row],[RepCost]]</f>
        <v>90.418199999999999</v>
      </c>
      <c r="O593" s="25">
        <v>46143.318749999999</v>
      </c>
      <c r="P593" s="26" t="s">
        <v>36</v>
      </c>
    </row>
    <row r="594" spans="1:16" x14ac:dyDescent="0.25">
      <c r="A594" s="20" t="s">
        <v>5211</v>
      </c>
      <c r="B594" s="21">
        <v>718</v>
      </c>
      <c r="C594" s="22" t="s">
        <v>12</v>
      </c>
      <c r="D594" s="22" t="s">
        <v>3607</v>
      </c>
      <c r="E594" s="22" t="str">
        <f>CONCATENATE(B594,D594)</f>
        <v>71863397-101</v>
      </c>
      <c r="F594" s="22" t="s">
        <v>3608</v>
      </c>
      <c r="G594" s="22" t="s">
        <v>29</v>
      </c>
      <c r="H594" s="23">
        <v>15.392899999999999</v>
      </c>
      <c r="I594" s="24">
        <v>25</v>
      </c>
      <c r="J594" s="24">
        <v>0</v>
      </c>
      <c r="K594" s="24">
        <v>0</v>
      </c>
      <c r="L594" s="41">
        <f>Table2[[#This Row],[Column1]]+Table2[[#This Row],[Column2]]</f>
        <v>0</v>
      </c>
      <c r="M594" s="42">
        <f>Table2[[#This Row],[OnHandQty]]-Table2[[#This Row],[Projection Nov/Dec]]</f>
        <v>25</v>
      </c>
      <c r="N594" s="35">
        <f>Table2[[#This Row],[OverStock]]*Table2[[#This Row],[RepCost]]</f>
        <v>384.82249999999999</v>
      </c>
      <c r="O594" s="25">
        <v>46232.6</v>
      </c>
      <c r="P594" s="26" t="s">
        <v>573</v>
      </c>
    </row>
    <row r="595" spans="1:16" x14ac:dyDescent="0.25">
      <c r="A595" s="20" t="s">
        <v>5211</v>
      </c>
      <c r="B595" s="21">
        <v>636</v>
      </c>
      <c r="C595" s="22" t="s">
        <v>126</v>
      </c>
      <c r="D595" s="22" t="s">
        <v>872</v>
      </c>
      <c r="E595" s="22" t="str">
        <f>CONCATENATE(B595,D595)</f>
        <v>63676485-STK105PFO</v>
      </c>
      <c r="F595" s="22" t="s">
        <v>873</v>
      </c>
      <c r="G595" s="22" t="s">
        <v>29</v>
      </c>
      <c r="H595" s="23">
        <v>26.267199999999999</v>
      </c>
      <c r="I595" s="24">
        <v>2</v>
      </c>
      <c r="J595" s="24">
        <v>0</v>
      </c>
      <c r="K595" s="24">
        <v>0</v>
      </c>
      <c r="L595" s="41">
        <f>Table2[[#This Row],[Column1]]+Table2[[#This Row],[Column2]]</f>
        <v>0</v>
      </c>
      <c r="M595" s="42">
        <f>Table2[[#This Row],[OnHandQty]]-Table2[[#This Row],[Projection Nov/Dec]]</f>
        <v>2</v>
      </c>
      <c r="N595" s="35">
        <f>Table2[[#This Row],[OverStock]]*Table2[[#This Row],[RepCost]]</f>
        <v>52.534399999999998</v>
      </c>
      <c r="O595" s="25">
        <v>46143.447916666664</v>
      </c>
      <c r="P595" s="26" t="s">
        <v>140</v>
      </c>
    </row>
    <row r="596" spans="1:16" x14ac:dyDescent="0.25">
      <c r="A596" s="20" t="s">
        <v>5211</v>
      </c>
      <c r="B596" s="21">
        <v>714</v>
      </c>
      <c r="C596" s="22" t="s">
        <v>12</v>
      </c>
      <c r="D596" s="22" t="s">
        <v>1962</v>
      </c>
      <c r="E596" s="22" t="str">
        <f>CONCATENATE(B596,D596)</f>
        <v>71463412-STK102PREM</v>
      </c>
      <c r="F596" s="22" t="s">
        <v>1963</v>
      </c>
      <c r="G596" s="22" t="s">
        <v>29</v>
      </c>
      <c r="H596" s="23">
        <v>30.481000000000002</v>
      </c>
      <c r="I596" s="24">
        <v>2</v>
      </c>
      <c r="J596" s="24">
        <v>0</v>
      </c>
      <c r="K596" s="24">
        <v>0</v>
      </c>
      <c r="L596" s="41">
        <f>Table2[[#This Row],[Column1]]+Table2[[#This Row],[Column2]]</f>
        <v>0</v>
      </c>
      <c r="M596" s="42">
        <f>Table2[[#This Row],[OnHandQty]]-Table2[[#This Row],[Projection Nov/Dec]]</f>
        <v>2</v>
      </c>
      <c r="N596" s="35">
        <f>Table2[[#This Row],[OverStock]]*Table2[[#This Row],[RepCost]]</f>
        <v>60.962000000000003</v>
      </c>
      <c r="O596" s="25">
        <v>46224.59652777778</v>
      </c>
      <c r="P596" s="26" t="s">
        <v>36</v>
      </c>
    </row>
    <row r="597" spans="1:16" x14ac:dyDescent="0.25">
      <c r="A597" s="20" t="s">
        <v>5211</v>
      </c>
      <c r="B597" s="21">
        <v>718</v>
      </c>
      <c r="C597" s="22" t="s">
        <v>12</v>
      </c>
      <c r="D597" s="22" t="s">
        <v>1837</v>
      </c>
      <c r="E597" s="22" t="str">
        <f>CONCATENATE(B597,D597)</f>
        <v>71875491-STK105</v>
      </c>
      <c r="F597" s="22" t="s">
        <v>1838</v>
      </c>
      <c r="G597" s="22" t="s">
        <v>29</v>
      </c>
      <c r="H597" s="23">
        <v>46.738300000000002</v>
      </c>
      <c r="I597" s="24">
        <v>2</v>
      </c>
      <c r="J597" s="24">
        <v>0</v>
      </c>
      <c r="K597" s="24">
        <v>0</v>
      </c>
      <c r="L597" s="41">
        <f>Table2[[#This Row],[Column1]]+Table2[[#This Row],[Column2]]</f>
        <v>0</v>
      </c>
      <c r="M597" s="42">
        <f>Table2[[#This Row],[OnHandQty]]-Table2[[#This Row],[Projection Nov/Dec]]</f>
        <v>2</v>
      </c>
      <c r="N597" s="35">
        <f>Table2[[#This Row],[OverStock]]*Table2[[#This Row],[RepCost]]</f>
        <v>93.476600000000005</v>
      </c>
      <c r="O597" s="25">
        <v>46140.671527777777</v>
      </c>
      <c r="P597" s="26" t="s">
        <v>36</v>
      </c>
    </row>
    <row r="598" spans="1:16" x14ac:dyDescent="0.25">
      <c r="A598" s="20" t="s">
        <v>5211</v>
      </c>
      <c r="B598" s="21">
        <v>714</v>
      </c>
      <c r="C598" s="22" t="s">
        <v>12</v>
      </c>
      <c r="D598" s="22" t="s">
        <v>1837</v>
      </c>
      <c r="E598" s="22" t="str">
        <f>CONCATENATE(B598,D598)</f>
        <v>71475491-STK105</v>
      </c>
      <c r="F598" s="22" t="s">
        <v>1838</v>
      </c>
      <c r="G598" s="22" t="s">
        <v>29</v>
      </c>
      <c r="H598" s="23">
        <v>45.209099999999999</v>
      </c>
      <c r="I598" s="24">
        <v>3</v>
      </c>
      <c r="J598" s="24">
        <v>0</v>
      </c>
      <c r="K598" s="24">
        <v>0</v>
      </c>
      <c r="L598" s="41">
        <f>Table2[[#This Row],[Column1]]+Table2[[#This Row],[Column2]]</f>
        <v>0</v>
      </c>
      <c r="M598" s="42">
        <f>Table2[[#This Row],[OnHandQty]]-Table2[[#This Row],[Projection Nov/Dec]]</f>
        <v>3</v>
      </c>
      <c r="N598" s="35">
        <f>Table2[[#This Row],[OverStock]]*Table2[[#This Row],[RepCost]]</f>
        <v>135.62729999999999</v>
      </c>
      <c r="O598" s="25">
        <v>46143.318749999999</v>
      </c>
      <c r="P598" s="26" t="s">
        <v>36</v>
      </c>
    </row>
    <row r="599" spans="1:16" x14ac:dyDescent="0.25">
      <c r="A599" s="20" t="s">
        <v>5211</v>
      </c>
      <c r="B599" s="21">
        <v>718</v>
      </c>
      <c r="C599" s="22" t="s">
        <v>12</v>
      </c>
      <c r="D599" s="22" t="s">
        <v>3611</v>
      </c>
      <c r="E599" s="22" t="str">
        <f>CONCATENATE(B599,D599)</f>
        <v>71883090-STK101</v>
      </c>
      <c r="F599" s="22" t="s">
        <v>3612</v>
      </c>
      <c r="G599" s="22" t="s">
        <v>29</v>
      </c>
      <c r="H599" s="23">
        <v>16.734000000000002</v>
      </c>
      <c r="I599" s="24">
        <v>1</v>
      </c>
      <c r="J599" s="24">
        <v>0</v>
      </c>
      <c r="K599" s="24">
        <v>0</v>
      </c>
      <c r="L599" s="41">
        <f>Table2[[#This Row],[Column1]]+Table2[[#This Row],[Column2]]</f>
        <v>0</v>
      </c>
      <c r="M599" s="42">
        <f>Table2[[#This Row],[OnHandQty]]-Table2[[#This Row],[Projection Nov/Dec]]</f>
        <v>1</v>
      </c>
      <c r="N599" s="35">
        <f>Table2[[#This Row],[OverStock]]*Table2[[#This Row],[RepCost]]</f>
        <v>16.734000000000002</v>
      </c>
      <c r="O599" s="25">
        <v>46232.6</v>
      </c>
      <c r="P599" s="26" t="s">
        <v>573</v>
      </c>
    </row>
    <row r="600" spans="1:16" x14ac:dyDescent="0.25">
      <c r="A600" s="20" t="s">
        <v>5211</v>
      </c>
      <c r="B600" s="21">
        <v>714</v>
      </c>
      <c r="C600" s="22" t="s">
        <v>12</v>
      </c>
      <c r="D600" s="22" t="s">
        <v>1844</v>
      </c>
      <c r="E600" s="22" t="str">
        <f>CONCATENATE(B600,D600)</f>
        <v>71486884-STK105PREM</v>
      </c>
      <c r="F600" s="22" t="s">
        <v>1845</v>
      </c>
      <c r="G600" s="22" t="s">
        <v>29</v>
      </c>
      <c r="H600" s="23">
        <v>45.209099999999999</v>
      </c>
      <c r="I600" s="24">
        <v>5</v>
      </c>
      <c r="J600" s="24">
        <v>0</v>
      </c>
      <c r="K600" s="24">
        <v>0</v>
      </c>
      <c r="L600" s="41">
        <f>Table2[[#This Row],[Column1]]+Table2[[#This Row],[Column2]]</f>
        <v>0</v>
      </c>
      <c r="M600" s="42">
        <f>Table2[[#This Row],[OnHandQty]]-Table2[[#This Row],[Projection Nov/Dec]]</f>
        <v>5</v>
      </c>
      <c r="N600" s="35">
        <f>Table2[[#This Row],[OverStock]]*Table2[[#This Row],[RepCost]]</f>
        <v>226.0455</v>
      </c>
      <c r="O600" s="25">
        <v>46143.318749999999</v>
      </c>
      <c r="P600" s="26" t="s">
        <v>36</v>
      </c>
    </row>
    <row r="601" spans="1:16" x14ac:dyDescent="0.25">
      <c r="A601" s="20" t="s">
        <v>5211</v>
      </c>
      <c r="B601" s="21">
        <v>636</v>
      </c>
      <c r="C601" s="22" t="s">
        <v>143</v>
      </c>
      <c r="D601" s="22" t="s">
        <v>1021</v>
      </c>
      <c r="E601" s="22" t="str">
        <f>CONCATENATE(B601,D601)</f>
        <v>63663497-105</v>
      </c>
      <c r="F601" s="22" t="s">
        <v>1022</v>
      </c>
      <c r="G601" s="22" t="s">
        <v>29</v>
      </c>
      <c r="H601" s="23">
        <v>32.0167</v>
      </c>
      <c r="I601" s="24">
        <v>1</v>
      </c>
      <c r="J601" s="24">
        <v>0</v>
      </c>
      <c r="K601" s="24">
        <v>0</v>
      </c>
      <c r="L601" s="41">
        <f>Table2[[#This Row],[Column1]]+Table2[[#This Row],[Column2]]</f>
        <v>0</v>
      </c>
      <c r="M601" s="42">
        <f>Table2[[#This Row],[OnHandQty]]-Table2[[#This Row],[Projection Nov/Dec]]</f>
        <v>1</v>
      </c>
      <c r="N601" s="35">
        <f>Table2[[#This Row],[OverStock]]*Table2[[#This Row],[RepCost]]</f>
        <v>32.0167</v>
      </c>
      <c r="O601" s="25">
        <v>45959.526388888888</v>
      </c>
      <c r="P601" s="26" t="s">
        <v>40</v>
      </c>
    </row>
    <row r="602" spans="1:16" x14ac:dyDescent="0.25">
      <c r="A602" s="20" t="s">
        <v>5211</v>
      </c>
      <c r="B602" s="21">
        <v>636</v>
      </c>
      <c r="C602" s="22" t="s">
        <v>143</v>
      </c>
      <c r="D602" s="22" t="s">
        <v>955</v>
      </c>
      <c r="E602" s="22" t="str">
        <f>CONCATENATE(B602,D602)</f>
        <v>63676413-103</v>
      </c>
      <c r="F602" s="22" t="s">
        <v>956</v>
      </c>
      <c r="G602" s="22" t="s">
        <v>29</v>
      </c>
      <c r="H602" s="23">
        <v>20.191700000000001</v>
      </c>
      <c r="I602" s="24">
        <v>2</v>
      </c>
      <c r="J602" s="24">
        <v>0</v>
      </c>
      <c r="K602" s="24">
        <v>0</v>
      </c>
      <c r="L602" s="41">
        <f>Table2[[#This Row],[Column1]]+Table2[[#This Row],[Column2]]</f>
        <v>0</v>
      </c>
      <c r="M602" s="42">
        <f>Table2[[#This Row],[OnHandQty]]-Table2[[#This Row],[Projection Nov/Dec]]</f>
        <v>2</v>
      </c>
      <c r="N602" s="35">
        <f>Table2[[#This Row],[OverStock]]*Table2[[#This Row],[RepCost]]</f>
        <v>40.383400000000002</v>
      </c>
      <c r="O602" s="25">
        <v>46162.611805555556</v>
      </c>
      <c r="P602" s="26" t="s">
        <v>562</v>
      </c>
    </row>
    <row r="603" spans="1:16" x14ac:dyDescent="0.25">
      <c r="A603" s="20" t="s">
        <v>5211</v>
      </c>
      <c r="B603" s="21">
        <v>714</v>
      </c>
      <c r="C603" s="22" t="s">
        <v>143</v>
      </c>
      <c r="D603" s="22" t="s">
        <v>955</v>
      </c>
      <c r="E603" s="22" t="str">
        <f>CONCATENATE(B603,D603)</f>
        <v>71476413-103</v>
      </c>
      <c r="F603" s="22" t="s">
        <v>956</v>
      </c>
      <c r="G603" s="22" t="s">
        <v>29</v>
      </c>
      <c r="H603" s="23">
        <v>16.391100000000002</v>
      </c>
      <c r="I603" s="24">
        <v>6</v>
      </c>
      <c r="J603" s="24">
        <v>0</v>
      </c>
      <c r="K603" s="24">
        <v>0</v>
      </c>
      <c r="L603" s="41">
        <f>Table2[[#This Row],[Column1]]+Table2[[#This Row],[Column2]]</f>
        <v>0</v>
      </c>
      <c r="M603" s="42">
        <f>Table2[[#This Row],[OnHandQty]]-Table2[[#This Row],[Projection Nov/Dec]]</f>
        <v>6</v>
      </c>
      <c r="N603" s="35">
        <f>Table2[[#This Row],[OverStock]]*Table2[[#This Row],[RepCost]]</f>
        <v>98.346600000000009</v>
      </c>
      <c r="O603" s="25">
        <v>46195.50277777778</v>
      </c>
      <c r="P603" s="26" t="s">
        <v>665</v>
      </c>
    </row>
    <row r="604" spans="1:16" x14ac:dyDescent="0.25">
      <c r="A604" s="20" t="s">
        <v>5211</v>
      </c>
      <c r="B604" s="21">
        <v>714</v>
      </c>
      <c r="C604" s="22" t="s">
        <v>1749</v>
      </c>
      <c r="D604" s="22" t="s">
        <v>3554</v>
      </c>
      <c r="E604" s="22" t="str">
        <f>CONCATENATE(B604,D604)</f>
        <v>71476420-0010</v>
      </c>
      <c r="F604" s="22" t="s">
        <v>3555</v>
      </c>
      <c r="G604" s="22" t="s">
        <v>112</v>
      </c>
      <c r="H604" s="23">
        <v>14.474500000000001</v>
      </c>
      <c r="I604" s="24">
        <v>3</v>
      </c>
      <c r="J604" s="24">
        <v>0</v>
      </c>
      <c r="K604" s="24">
        <v>0</v>
      </c>
      <c r="L604" s="41">
        <f>Table2[[#This Row],[Column1]]+Table2[[#This Row],[Column2]]</f>
        <v>0</v>
      </c>
      <c r="M604" s="42">
        <f>Table2[[#This Row],[OnHandQty]]-Table2[[#This Row],[Projection Nov/Dec]]</f>
        <v>3</v>
      </c>
      <c r="N604" s="35">
        <f>Table2[[#This Row],[OverStock]]*Table2[[#This Row],[RepCost]]</f>
        <v>43.423500000000004</v>
      </c>
      <c r="O604" s="25">
        <v>46185.630555555559</v>
      </c>
      <c r="P604" s="26" t="s">
        <v>1825</v>
      </c>
    </row>
    <row r="605" spans="1:16" x14ac:dyDescent="0.25">
      <c r="A605" s="20" t="s">
        <v>5211</v>
      </c>
      <c r="B605" s="21">
        <v>718</v>
      </c>
      <c r="C605" s="22" t="s">
        <v>1749</v>
      </c>
      <c r="D605" s="22" t="s">
        <v>3554</v>
      </c>
      <c r="E605" s="22" t="str">
        <f>CONCATENATE(B605,D605)</f>
        <v>71876420-0010</v>
      </c>
      <c r="F605" s="22" t="s">
        <v>3555</v>
      </c>
      <c r="G605" s="22" t="s">
        <v>43</v>
      </c>
      <c r="H605" s="23">
        <v>14.8087</v>
      </c>
      <c r="I605" s="24">
        <v>14</v>
      </c>
      <c r="J605" s="24">
        <v>0</v>
      </c>
      <c r="K605" s="24">
        <v>0</v>
      </c>
      <c r="L605" s="41">
        <f>Table2[[#This Row],[Column1]]+Table2[[#This Row],[Column2]]</f>
        <v>0</v>
      </c>
      <c r="M605" s="42">
        <f>Table2[[#This Row],[OnHandQty]]-Table2[[#This Row],[Projection Nov/Dec]]</f>
        <v>14</v>
      </c>
      <c r="N605" s="35">
        <f>Table2[[#This Row],[OverStock]]*Table2[[#This Row],[RepCost]]</f>
        <v>207.3218</v>
      </c>
      <c r="O605" s="25">
        <v>46189.361805555556</v>
      </c>
      <c r="P605" s="26" t="s">
        <v>1825</v>
      </c>
    </row>
    <row r="606" spans="1:16" x14ac:dyDescent="0.25">
      <c r="A606" s="20" t="s">
        <v>5211</v>
      </c>
      <c r="B606" s="21">
        <v>714</v>
      </c>
      <c r="C606" s="22" t="s">
        <v>1749</v>
      </c>
      <c r="D606" s="22" t="s">
        <v>3562</v>
      </c>
      <c r="E606" s="22" t="str">
        <f>CONCATENATE(B606,D606)</f>
        <v>71476420-006</v>
      </c>
      <c r="F606" s="22" t="s">
        <v>3563</v>
      </c>
      <c r="G606" s="22" t="s">
        <v>112</v>
      </c>
      <c r="H606" s="23">
        <v>6.6092000000000004</v>
      </c>
      <c r="I606" s="24">
        <v>23</v>
      </c>
      <c r="J606" s="24">
        <v>0</v>
      </c>
      <c r="K606" s="24">
        <v>0</v>
      </c>
      <c r="L606" s="41">
        <f>Table2[[#This Row],[Column1]]+Table2[[#This Row],[Column2]]</f>
        <v>0</v>
      </c>
      <c r="M606" s="42">
        <f>Table2[[#This Row],[OnHandQty]]-Table2[[#This Row],[Projection Nov/Dec]]</f>
        <v>23</v>
      </c>
      <c r="N606" s="35">
        <f>Table2[[#This Row],[OverStock]]*Table2[[#This Row],[RepCost]]</f>
        <v>152.01160000000002</v>
      </c>
      <c r="O606" s="25">
        <v>46140.479166666664</v>
      </c>
      <c r="P606" s="26" t="s">
        <v>1841</v>
      </c>
    </row>
    <row r="607" spans="1:16" x14ac:dyDescent="0.25">
      <c r="A607" s="20" t="s">
        <v>5211</v>
      </c>
      <c r="B607" s="21">
        <v>714</v>
      </c>
      <c r="C607" s="22" t="s">
        <v>126</v>
      </c>
      <c r="D607" s="22" t="s">
        <v>2197</v>
      </c>
      <c r="E607" s="22" t="str">
        <f>CONCATENATE(B607,D607)</f>
        <v>71494476-PF4PFO</v>
      </c>
      <c r="F607" s="22" t="s">
        <v>2198</v>
      </c>
      <c r="G607" s="22" t="s">
        <v>29</v>
      </c>
      <c r="H607" s="23">
        <v>4.3686999999999996</v>
      </c>
      <c r="I607" s="24">
        <v>29</v>
      </c>
      <c r="J607" s="24">
        <v>0</v>
      </c>
      <c r="K607" s="24">
        <v>0</v>
      </c>
      <c r="L607" s="41">
        <f>Table2[[#This Row],[Column1]]+Table2[[#This Row],[Column2]]</f>
        <v>0</v>
      </c>
      <c r="M607" s="42">
        <f>Table2[[#This Row],[OnHandQty]]-Table2[[#This Row],[Projection Nov/Dec]]</f>
        <v>29</v>
      </c>
      <c r="N607" s="35">
        <f>Table2[[#This Row],[OverStock]]*Table2[[#This Row],[RepCost]]</f>
        <v>126.69229999999999</v>
      </c>
      <c r="O607" s="25">
        <v>46204.464583333334</v>
      </c>
      <c r="P607" s="26" t="s">
        <v>878</v>
      </c>
    </row>
    <row r="608" spans="1:16" x14ac:dyDescent="0.25">
      <c r="A608" s="20" t="s">
        <v>5211</v>
      </c>
      <c r="B608" s="21">
        <v>714</v>
      </c>
      <c r="C608" s="22" t="s">
        <v>1749</v>
      </c>
      <c r="D608" s="22" t="s">
        <v>3544</v>
      </c>
      <c r="E608" s="22" t="str">
        <f>CONCATENATE(B608,D608)</f>
        <v>71463558-102</v>
      </c>
      <c r="F608" s="22" t="s">
        <v>3545</v>
      </c>
      <c r="G608" s="22" t="s">
        <v>112</v>
      </c>
      <c r="H608" s="23">
        <v>19.909700000000001</v>
      </c>
      <c r="I608" s="24">
        <v>25</v>
      </c>
      <c r="J608" s="24">
        <v>0</v>
      </c>
      <c r="K608" s="24">
        <v>0</v>
      </c>
      <c r="L608" s="41">
        <f>Table2[[#This Row],[Column1]]+Table2[[#This Row],[Column2]]</f>
        <v>0</v>
      </c>
      <c r="M608" s="42">
        <f>Table2[[#This Row],[OnHandQty]]-Table2[[#This Row],[Projection Nov/Dec]]</f>
        <v>25</v>
      </c>
      <c r="N608" s="35">
        <f>Table2[[#This Row],[OverStock]]*Table2[[#This Row],[RepCost]]</f>
        <v>497.74250000000001</v>
      </c>
      <c r="O608" s="25">
        <v>46185.630555555559</v>
      </c>
      <c r="P608" s="26" t="s">
        <v>1825</v>
      </c>
    </row>
    <row r="609" spans="1:16" x14ac:dyDescent="0.25">
      <c r="A609" s="20" t="s">
        <v>5211</v>
      </c>
      <c r="B609" s="21">
        <v>636</v>
      </c>
      <c r="C609" s="22" t="s">
        <v>70</v>
      </c>
      <c r="D609" s="22" t="s">
        <v>704</v>
      </c>
      <c r="E609" s="22" t="str">
        <f>CONCATENATE(B609,D609)</f>
        <v>63682105-1801</v>
      </c>
      <c r="F609" s="22" t="s">
        <v>705</v>
      </c>
      <c r="G609" s="22" t="s">
        <v>43</v>
      </c>
      <c r="H609" s="23">
        <v>8.8657000000000004</v>
      </c>
      <c r="I609" s="24">
        <v>29</v>
      </c>
      <c r="J609" s="24">
        <v>0</v>
      </c>
      <c r="K609" s="24">
        <v>0</v>
      </c>
      <c r="L609" s="41">
        <f>Table2[[#This Row],[Column1]]+Table2[[#This Row],[Column2]]</f>
        <v>0</v>
      </c>
      <c r="M609" s="42">
        <f>Table2[[#This Row],[OnHandQty]]-Table2[[#This Row],[Projection Nov/Dec]]</f>
        <v>29</v>
      </c>
      <c r="N609" s="35">
        <f>Table2[[#This Row],[OverStock]]*Table2[[#This Row],[RepCost]]</f>
        <v>257.1053</v>
      </c>
      <c r="O609" s="25">
        <v>46176.499305555553</v>
      </c>
      <c r="P609" s="26" t="s">
        <v>576</v>
      </c>
    </row>
    <row r="610" spans="1:16" x14ac:dyDescent="0.25">
      <c r="A610" s="20" t="s">
        <v>5211</v>
      </c>
      <c r="B610" s="21">
        <v>636</v>
      </c>
      <c r="C610" s="22" t="s">
        <v>70</v>
      </c>
      <c r="D610" s="22" t="s">
        <v>751</v>
      </c>
      <c r="E610" s="22" t="str">
        <f>CONCATENATE(B610,D610)</f>
        <v>63682105-006</v>
      </c>
      <c r="F610" s="22" t="s">
        <v>752</v>
      </c>
      <c r="G610" s="22" t="s">
        <v>43</v>
      </c>
      <c r="H610" s="23">
        <v>2.5987</v>
      </c>
      <c r="I610" s="24">
        <v>77</v>
      </c>
      <c r="J610" s="24">
        <v>0</v>
      </c>
      <c r="K610" s="24">
        <v>0</v>
      </c>
      <c r="L610" s="41">
        <f>Table2[[#This Row],[Column1]]+Table2[[#This Row],[Column2]]</f>
        <v>0</v>
      </c>
      <c r="M610" s="42">
        <f>Table2[[#This Row],[OnHandQty]]-Table2[[#This Row],[Projection Nov/Dec]]</f>
        <v>77</v>
      </c>
      <c r="N610" s="35">
        <f>Table2[[#This Row],[OverStock]]*Table2[[#This Row],[RepCost]]</f>
        <v>200.09989999999999</v>
      </c>
      <c r="O610" s="25">
        <v>46216.310416666667</v>
      </c>
      <c r="P610" s="26" t="s">
        <v>99</v>
      </c>
    </row>
    <row r="611" spans="1:16" x14ac:dyDescent="0.25">
      <c r="A611" s="20" t="s">
        <v>5211</v>
      </c>
      <c r="B611" s="21">
        <v>636</v>
      </c>
      <c r="C611" s="22" t="s">
        <v>70</v>
      </c>
      <c r="D611" s="22" t="s">
        <v>751</v>
      </c>
      <c r="E611" s="22" t="str">
        <f>CONCATENATE(B611,D611)</f>
        <v>63682105-006</v>
      </c>
      <c r="F611" s="22" t="s">
        <v>752</v>
      </c>
      <c r="G611" s="22" t="s">
        <v>43</v>
      </c>
      <c r="H611" s="23">
        <v>2.5987</v>
      </c>
      <c r="I611" s="24">
        <v>77</v>
      </c>
      <c r="J611" s="24">
        <v>0</v>
      </c>
      <c r="K611" s="24">
        <v>0</v>
      </c>
      <c r="L611" s="41">
        <f>Table2[[#This Row],[Column1]]+Table2[[#This Row],[Column2]]</f>
        <v>0</v>
      </c>
      <c r="M611" s="42">
        <f>Table2[[#This Row],[OnHandQty]]-Table2[[#This Row],[Projection Nov/Dec]]</f>
        <v>77</v>
      </c>
      <c r="N611" s="35">
        <f>Table2[[#This Row],[OverStock]]*Table2[[#This Row],[RepCost]]</f>
        <v>200.09989999999999</v>
      </c>
      <c r="O611" s="25">
        <v>46216.310416666667</v>
      </c>
      <c r="P611" s="26" t="s">
        <v>99</v>
      </c>
    </row>
    <row r="612" spans="1:16" x14ac:dyDescent="0.25">
      <c r="A612" s="20" t="s">
        <v>5211</v>
      </c>
      <c r="B612" s="21">
        <v>714</v>
      </c>
      <c r="C612" s="22" t="s">
        <v>70</v>
      </c>
      <c r="D612" s="22" t="s">
        <v>2022</v>
      </c>
      <c r="E612" s="22" t="str">
        <f>CONCATENATE(B612,D612)</f>
        <v>71480000-0010</v>
      </c>
      <c r="F612" s="22" t="s">
        <v>2023</v>
      </c>
      <c r="G612" s="22" t="s">
        <v>43</v>
      </c>
      <c r="H612" s="23">
        <v>10.510300000000001</v>
      </c>
      <c r="I612" s="24">
        <v>8</v>
      </c>
      <c r="J612" s="24">
        <v>0</v>
      </c>
      <c r="K612" s="24">
        <v>0</v>
      </c>
      <c r="L612" s="41">
        <f>Table2[[#This Row],[Column1]]+Table2[[#This Row],[Column2]]</f>
        <v>0</v>
      </c>
      <c r="M612" s="42">
        <f>Table2[[#This Row],[OnHandQty]]-Table2[[#This Row],[Projection Nov/Dec]]</f>
        <v>8</v>
      </c>
      <c r="N612" s="35">
        <f>Table2[[#This Row],[OverStock]]*Table2[[#This Row],[RepCost]]</f>
        <v>84.082400000000007</v>
      </c>
      <c r="O612" s="25">
        <v>46196.578472222223</v>
      </c>
      <c r="P612" s="26" t="s">
        <v>2007</v>
      </c>
    </row>
    <row r="613" spans="1:16" x14ac:dyDescent="0.25">
      <c r="A613" s="20" t="s">
        <v>5211</v>
      </c>
      <c r="B613" s="21">
        <v>714</v>
      </c>
      <c r="C613" s="22" t="s">
        <v>1749</v>
      </c>
      <c r="D613" s="22" t="s">
        <v>3558</v>
      </c>
      <c r="E613" s="22" t="str">
        <f>CONCATENATE(B613,D613)</f>
        <v>71477258-101</v>
      </c>
      <c r="F613" s="22" t="s">
        <v>3559</v>
      </c>
      <c r="G613" s="22" t="s">
        <v>112</v>
      </c>
      <c r="H613" s="23">
        <v>13.318099999999999</v>
      </c>
      <c r="I613" s="24">
        <v>7</v>
      </c>
      <c r="J613" s="24">
        <v>0</v>
      </c>
      <c r="K613" s="24">
        <v>0</v>
      </c>
      <c r="L613" s="41">
        <f>Table2[[#This Row],[Column1]]+Table2[[#This Row],[Column2]]</f>
        <v>0</v>
      </c>
      <c r="M613" s="42">
        <f>Table2[[#This Row],[OnHandQty]]-Table2[[#This Row],[Projection Nov/Dec]]</f>
        <v>7</v>
      </c>
      <c r="N613" s="35">
        <f>Table2[[#This Row],[OverStock]]*Table2[[#This Row],[RepCost]]</f>
        <v>93.226699999999994</v>
      </c>
      <c r="O613" s="25">
        <v>46151.379166666666</v>
      </c>
      <c r="P613" s="26" t="s">
        <v>1062</v>
      </c>
    </row>
    <row r="614" spans="1:16" x14ac:dyDescent="0.25">
      <c r="A614" s="20" t="s">
        <v>5211</v>
      </c>
      <c r="B614" s="21">
        <v>714</v>
      </c>
      <c r="C614" s="22" t="s">
        <v>1749</v>
      </c>
      <c r="D614" s="22" t="s">
        <v>3564</v>
      </c>
      <c r="E614" s="22" t="str">
        <f>CONCATENATE(B614,D614)</f>
        <v>71477260-101</v>
      </c>
      <c r="F614" s="22" t="s">
        <v>3565</v>
      </c>
      <c r="G614" s="22" t="s">
        <v>23</v>
      </c>
      <c r="H614" s="23">
        <v>13.318099999999999</v>
      </c>
      <c r="I614" s="24">
        <v>18</v>
      </c>
      <c r="J614" s="24">
        <v>0</v>
      </c>
      <c r="K614" s="24">
        <v>0</v>
      </c>
      <c r="L614" s="41">
        <f>Table2[[#This Row],[Column1]]+Table2[[#This Row],[Column2]]</f>
        <v>0</v>
      </c>
      <c r="M614" s="42">
        <f>Table2[[#This Row],[OnHandQty]]-Table2[[#This Row],[Projection Nov/Dec]]</f>
        <v>18</v>
      </c>
      <c r="N614" s="35">
        <f>Table2[[#This Row],[OverStock]]*Table2[[#This Row],[RepCost]]</f>
        <v>239.72579999999999</v>
      </c>
      <c r="O614" s="25">
        <v>46151.379166666666</v>
      </c>
      <c r="P614" s="26" t="s">
        <v>1062</v>
      </c>
    </row>
    <row r="615" spans="1:16" x14ac:dyDescent="0.25">
      <c r="A615" s="20" t="s">
        <v>5211</v>
      </c>
      <c r="B615" s="21">
        <v>714</v>
      </c>
      <c r="C615" s="22" t="s">
        <v>1749</v>
      </c>
      <c r="D615" s="22" t="s">
        <v>3560</v>
      </c>
      <c r="E615" s="22" t="str">
        <f>CONCATENATE(B615,D615)</f>
        <v>71463612-0010</v>
      </c>
      <c r="F615" s="22" t="s">
        <v>3561</v>
      </c>
      <c r="G615" s="22" t="s">
        <v>43</v>
      </c>
      <c r="H615" s="23">
        <v>13.7659</v>
      </c>
      <c r="I615" s="24">
        <v>30</v>
      </c>
      <c r="J615" s="24">
        <v>0</v>
      </c>
      <c r="K615" s="24">
        <v>0</v>
      </c>
      <c r="L615" s="41">
        <f>Table2[[#This Row],[Column1]]+Table2[[#This Row],[Column2]]</f>
        <v>0</v>
      </c>
      <c r="M615" s="42">
        <f>Table2[[#This Row],[OnHandQty]]-Table2[[#This Row],[Projection Nov/Dec]]</f>
        <v>30</v>
      </c>
      <c r="N615" s="35">
        <f>Table2[[#This Row],[OverStock]]*Table2[[#This Row],[RepCost]]</f>
        <v>412.97700000000003</v>
      </c>
      <c r="O615" s="25">
        <v>46185.630555555559</v>
      </c>
      <c r="P615" s="26" t="s">
        <v>1825</v>
      </c>
    </row>
    <row r="616" spans="1:16" x14ac:dyDescent="0.25">
      <c r="A616" s="20" t="s">
        <v>5211</v>
      </c>
      <c r="B616" s="21">
        <v>718</v>
      </c>
      <c r="C616" s="22" t="s">
        <v>1749</v>
      </c>
      <c r="D616" s="22" t="s">
        <v>3560</v>
      </c>
      <c r="E616" s="22" t="str">
        <f>CONCATENATE(B616,D616)</f>
        <v>71863612-0010</v>
      </c>
      <c r="F616" s="22" t="s">
        <v>3561</v>
      </c>
      <c r="G616" s="22" t="s">
        <v>43</v>
      </c>
      <c r="H616" s="23">
        <v>16.7072</v>
      </c>
      <c r="I616" s="24">
        <v>22</v>
      </c>
      <c r="J616" s="24">
        <v>0</v>
      </c>
      <c r="K616" s="24">
        <v>0</v>
      </c>
      <c r="L616" s="41">
        <f>Table2[[#This Row],[Column1]]+Table2[[#This Row],[Column2]]</f>
        <v>0</v>
      </c>
      <c r="M616" s="42">
        <f>Table2[[#This Row],[OnHandQty]]-Table2[[#This Row],[Projection Nov/Dec]]</f>
        <v>22</v>
      </c>
      <c r="N616" s="35">
        <f>Table2[[#This Row],[OverStock]]*Table2[[#This Row],[RepCost]]</f>
        <v>367.55840000000001</v>
      </c>
      <c r="O616" s="25">
        <v>46189.361805555556</v>
      </c>
      <c r="P616" s="26" t="s">
        <v>1825</v>
      </c>
    </row>
    <row r="617" spans="1:16" x14ac:dyDescent="0.25">
      <c r="A617" s="20" t="s">
        <v>5211</v>
      </c>
      <c r="B617" s="21">
        <v>714</v>
      </c>
      <c r="C617" s="22" t="s">
        <v>1749</v>
      </c>
      <c r="D617" s="22" t="s">
        <v>3576</v>
      </c>
      <c r="E617" s="22" t="str">
        <f>CONCATENATE(B617,D617)</f>
        <v>71477011-101</v>
      </c>
      <c r="F617" s="22" t="s">
        <v>3577</v>
      </c>
      <c r="G617" s="22" t="s">
        <v>23</v>
      </c>
      <c r="H617" s="23">
        <v>13.318099999999999</v>
      </c>
      <c r="I617" s="24">
        <v>18</v>
      </c>
      <c r="J617" s="24">
        <v>0</v>
      </c>
      <c r="K617" s="24">
        <v>0</v>
      </c>
      <c r="L617" s="41">
        <f>Table2[[#This Row],[Column1]]+Table2[[#This Row],[Column2]]</f>
        <v>0</v>
      </c>
      <c r="M617" s="42">
        <f>Table2[[#This Row],[OnHandQty]]-Table2[[#This Row],[Projection Nov/Dec]]</f>
        <v>18</v>
      </c>
      <c r="N617" s="35">
        <f>Table2[[#This Row],[OverStock]]*Table2[[#This Row],[RepCost]]</f>
        <v>239.72579999999999</v>
      </c>
      <c r="O617" s="25">
        <v>46151.379166666666</v>
      </c>
      <c r="P617" s="26" t="s">
        <v>1062</v>
      </c>
    </row>
    <row r="618" spans="1:16" x14ac:dyDescent="0.25">
      <c r="A618" s="20" t="s">
        <v>5211</v>
      </c>
      <c r="B618" s="21">
        <v>714</v>
      </c>
      <c r="C618" s="22" t="s">
        <v>1749</v>
      </c>
      <c r="D618" s="22" t="s">
        <v>3552</v>
      </c>
      <c r="E618" s="22" t="str">
        <f>CONCATENATE(B618,D618)</f>
        <v>71477011-SP4</v>
      </c>
      <c r="F618" s="22" t="s">
        <v>3553</v>
      </c>
      <c r="G618" s="22" t="s">
        <v>112</v>
      </c>
      <c r="H618" s="23">
        <v>2.2429999999999999</v>
      </c>
      <c r="I618" s="24">
        <v>22</v>
      </c>
      <c r="J618" s="24">
        <v>0</v>
      </c>
      <c r="K618" s="24">
        <v>0</v>
      </c>
      <c r="L618" s="41">
        <f>Table2[[#This Row],[Column1]]+Table2[[#This Row],[Column2]]</f>
        <v>0</v>
      </c>
      <c r="M618" s="42">
        <f>Table2[[#This Row],[OnHandQty]]-Table2[[#This Row],[Projection Nov/Dec]]</f>
        <v>22</v>
      </c>
      <c r="N618" s="35">
        <f>Table2[[#This Row],[OverStock]]*Table2[[#This Row],[RepCost]]</f>
        <v>49.345999999999997</v>
      </c>
      <c r="O618" s="25">
        <v>46163.637499999997</v>
      </c>
      <c r="P618" s="26" t="s">
        <v>1836</v>
      </c>
    </row>
    <row r="619" spans="1:16" x14ac:dyDescent="0.25">
      <c r="A619" s="20" t="s">
        <v>5211</v>
      </c>
      <c r="B619" s="21">
        <v>634</v>
      </c>
      <c r="C619" s="22" t="s">
        <v>126</v>
      </c>
      <c r="D619" s="22" t="s">
        <v>127</v>
      </c>
      <c r="E619" s="22" t="str">
        <f>CONCATENATE(B619,D619)</f>
        <v>63481875-PF4PFO</v>
      </c>
      <c r="F619" s="22" t="s">
        <v>128</v>
      </c>
      <c r="G619" s="22" t="s">
        <v>112</v>
      </c>
      <c r="H619" s="23">
        <v>6.7214999999999998</v>
      </c>
      <c r="I619" s="24">
        <v>19</v>
      </c>
      <c r="J619" s="24">
        <v>0</v>
      </c>
      <c r="K619" s="24">
        <v>0</v>
      </c>
      <c r="L619" s="41">
        <f>Table2[[#This Row],[Column1]]+Table2[[#This Row],[Column2]]</f>
        <v>0</v>
      </c>
      <c r="M619" s="42">
        <f>Table2[[#This Row],[OnHandQty]]-Table2[[#This Row],[Projection Nov/Dec]]</f>
        <v>19</v>
      </c>
      <c r="N619" s="35">
        <f>Table2[[#This Row],[OverStock]]*Table2[[#This Row],[RepCost]]</f>
        <v>127.7085</v>
      </c>
      <c r="O619" s="25">
        <v>46177.4</v>
      </c>
      <c r="P619" s="26" t="s">
        <v>16</v>
      </c>
    </row>
    <row r="620" spans="1:16" x14ac:dyDescent="0.25">
      <c r="A620" s="20" t="s">
        <v>5211</v>
      </c>
      <c r="B620" s="21">
        <v>636</v>
      </c>
      <c r="C620" s="22" t="s">
        <v>126</v>
      </c>
      <c r="D620" s="22" t="s">
        <v>127</v>
      </c>
      <c r="E620" s="22" t="str">
        <f>CONCATENATE(B620,D620)</f>
        <v>63681875-PF4PFO</v>
      </c>
      <c r="F620" s="22" t="s">
        <v>128</v>
      </c>
      <c r="G620" s="22" t="s">
        <v>39</v>
      </c>
      <c r="H620" s="23">
        <v>6.7240000000000002</v>
      </c>
      <c r="I620" s="24">
        <v>48</v>
      </c>
      <c r="J620" s="24">
        <v>0</v>
      </c>
      <c r="K620" s="24">
        <v>0</v>
      </c>
      <c r="L620" s="41">
        <f>Table2[[#This Row],[Column1]]+Table2[[#This Row],[Column2]]</f>
        <v>0</v>
      </c>
      <c r="M620" s="42">
        <f>Table2[[#This Row],[OnHandQty]]-Table2[[#This Row],[Projection Nov/Dec]]</f>
        <v>48</v>
      </c>
      <c r="N620" s="35">
        <f>Table2[[#This Row],[OverStock]]*Table2[[#This Row],[RepCost]]</f>
        <v>322.75200000000001</v>
      </c>
      <c r="O620" s="25">
        <v>46225.4</v>
      </c>
      <c r="P620" s="26" t="s">
        <v>16</v>
      </c>
    </row>
    <row r="621" spans="1:16" x14ac:dyDescent="0.25">
      <c r="A621" s="20" t="s">
        <v>5211</v>
      </c>
      <c r="B621" s="21">
        <v>714</v>
      </c>
      <c r="C621" s="22" t="s">
        <v>70</v>
      </c>
      <c r="D621" s="22" t="s">
        <v>2058</v>
      </c>
      <c r="E621" s="22" t="str">
        <f>CONCATENATE(B621,D621)</f>
        <v>71463634-101</v>
      </c>
      <c r="F621" s="22" t="s">
        <v>2059</v>
      </c>
      <c r="G621" s="22" t="s">
        <v>29</v>
      </c>
      <c r="H621" s="23">
        <v>6.5298999999999996</v>
      </c>
      <c r="I621" s="24">
        <v>17</v>
      </c>
      <c r="J621" s="24">
        <v>0</v>
      </c>
      <c r="K621" s="24">
        <v>0</v>
      </c>
      <c r="L621" s="41">
        <f>Table2[[#This Row],[Column1]]+Table2[[#This Row],[Column2]]</f>
        <v>0</v>
      </c>
      <c r="M621" s="42">
        <f>Table2[[#This Row],[OnHandQty]]-Table2[[#This Row],[Projection Nov/Dec]]</f>
        <v>17</v>
      </c>
      <c r="N621" s="35">
        <f>Table2[[#This Row],[OverStock]]*Table2[[#This Row],[RepCost]]</f>
        <v>111.00829999999999</v>
      </c>
      <c r="O621" s="25">
        <v>46183.611805555556</v>
      </c>
      <c r="P621" s="26" t="s">
        <v>44</v>
      </c>
    </row>
    <row r="622" spans="1:16" x14ac:dyDescent="0.25">
      <c r="A622" s="20" t="s">
        <v>5211</v>
      </c>
      <c r="B622" s="21">
        <v>714</v>
      </c>
      <c r="C622" s="22" t="s">
        <v>143</v>
      </c>
      <c r="D622" s="22" t="s">
        <v>2705</v>
      </c>
      <c r="E622" s="22" t="str">
        <f>CONCATENATE(B622,D622)</f>
        <v>71463649-103</v>
      </c>
      <c r="F622" s="22" t="s">
        <v>2706</v>
      </c>
      <c r="G622" s="22" t="s">
        <v>15</v>
      </c>
      <c r="H622" s="23">
        <v>13.624499999999999</v>
      </c>
      <c r="I622" s="24">
        <v>30</v>
      </c>
      <c r="J622" s="24">
        <v>0</v>
      </c>
      <c r="K622" s="24">
        <v>0</v>
      </c>
      <c r="L622" s="41">
        <f>Table2[[#This Row],[Column1]]+Table2[[#This Row],[Column2]]</f>
        <v>0</v>
      </c>
      <c r="M622" s="42">
        <f>Table2[[#This Row],[OnHandQty]]-Table2[[#This Row],[Projection Nov/Dec]]</f>
        <v>30</v>
      </c>
      <c r="N622" s="35">
        <f>Table2[[#This Row],[OverStock]]*Table2[[#This Row],[RepCost]]</f>
        <v>408.73499999999996</v>
      </c>
      <c r="O622" s="25">
        <v>45444.660416666666</v>
      </c>
      <c r="P622" s="26" t="s">
        <v>2225</v>
      </c>
    </row>
    <row r="623" spans="1:16" x14ac:dyDescent="0.25">
      <c r="A623" s="20" t="s">
        <v>5211</v>
      </c>
      <c r="B623" s="21">
        <v>634</v>
      </c>
      <c r="C623" s="22" t="s">
        <v>143</v>
      </c>
      <c r="D623" s="22" t="s">
        <v>269</v>
      </c>
      <c r="E623" s="22" t="str">
        <f>CONCATENATE(B623,D623)</f>
        <v>63477266-103</v>
      </c>
      <c r="F623" s="22" t="s">
        <v>270</v>
      </c>
      <c r="G623" s="22" t="s">
        <v>29</v>
      </c>
      <c r="H623" s="23">
        <v>15.152799999999999</v>
      </c>
      <c r="I623" s="24">
        <v>22</v>
      </c>
      <c r="J623" s="24">
        <v>0</v>
      </c>
      <c r="K623" s="24">
        <v>0</v>
      </c>
      <c r="L623" s="41">
        <f>Table2[[#This Row],[Column1]]+Table2[[#This Row],[Column2]]</f>
        <v>0</v>
      </c>
      <c r="M623" s="42">
        <f>Table2[[#This Row],[OnHandQty]]-Table2[[#This Row],[Projection Nov/Dec]]</f>
        <v>22</v>
      </c>
      <c r="N623" s="35">
        <f>Table2[[#This Row],[OverStock]]*Table2[[#This Row],[RepCost]]</f>
        <v>333.36159999999995</v>
      </c>
      <c r="O623" s="25">
        <v>46106.424305555556</v>
      </c>
      <c r="P623" s="26" t="s">
        <v>159</v>
      </c>
    </row>
    <row r="624" spans="1:16" x14ac:dyDescent="0.25">
      <c r="A624" s="20" t="s">
        <v>5211</v>
      </c>
      <c r="B624" s="21">
        <v>714</v>
      </c>
      <c r="C624" s="22" t="s">
        <v>143</v>
      </c>
      <c r="D624" s="22" t="s">
        <v>2391</v>
      </c>
      <c r="E624" s="22" t="str">
        <f>CONCATENATE(B624,D624)</f>
        <v>71463650-103</v>
      </c>
      <c r="F624" s="22" t="s">
        <v>2392</v>
      </c>
      <c r="G624" s="22" t="s">
        <v>19</v>
      </c>
      <c r="H624" s="23">
        <v>27.095300000000002</v>
      </c>
      <c r="I624" s="24">
        <v>14</v>
      </c>
      <c r="J624" s="24">
        <v>0</v>
      </c>
      <c r="K624" s="24">
        <v>0</v>
      </c>
      <c r="L624" s="41">
        <f>Table2[[#This Row],[Column1]]+Table2[[#This Row],[Column2]]</f>
        <v>0</v>
      </c>
      <c r="M624" s="42">
        <f>Table2[[#This Row],[OnHandQty]]-Table2[[#This Row],[Projection Nov/Dec]]</f>
        <v>14</v>
      </c>
      <c r="N624" s="35">
        <f>Table2[[#This Row],[OverStock]]*Table2[[#This Row],[RepCost]]</f>
        <v>379.33420000000001</v>
      </c>
      <c r="O624" s="25">
        <v>46175.715277777781</v>
      </c>
      <c r="P624" s="26" t="s">
        <v>2268</v>
      </c>
    </row>
    <row r="625" spans="1:16" x14ac:dyDescent="0.25">
      <c r="A625" s="20" t="s">
        <v>5211</v>
      </c>
      <c r="B625" s="21">
        <v>714</v>
      </c>
      <c r="C625" s="22" t="s">
        <v>143</v>
      </c>
      <c r="D625" s="22" t="s">
        <v>2632</v>
      </c>
      <c r="E625" s="22" t="str">
        <f>CONCATENATE(B625,D625)</f>
        <v>71463650-105</v>
      </c>
      <c r="F625" s="22" t="s">
        <v>2633</v>
      </c>
      <c r="G625" s="22" t="s">
        <v>39</v>
      </c>
      <c r="H625" s="23">
        <v>22.989799999999999</v>
      </c>
      <c r="I625" s="24">
        <v>28</v>
      </c>
      <c r="J625" s="24">
        <v>0</v>
      </c>
      <c r="K625" s="24">
        <v>0</v>
      </c>
      <c r="L625" s="41">
        <f>Table2[[#This Row],[Column1]]+Table2[[#This Row],[Column2]]</f>
        <v>0</v>
      </c>
      <c r="M625" s="42">
        <f>Table2[[#This Row],[OnHandQty]]-Table2[[#This Row],[Projection Nov/Dec]]</f>
        <v>28</v>
      </c>
      <c r="N625" s="35">
        <f>Table2[[#This Row],[OverStock]]*Table2[[#This Row],[RepCost]]</f>
        <v>643.71439999999996</v>
      </c>
      <c r="O625" s="25">
        <v>46188.35</v>
      </c>
      <c r="P625" s="26" t="s">
        <v>26</v>
      </c>
    </row>
    <row r="626" spans="1:16" x14ac:dyDescent="0.25">
      <c r="A626" s="20" t="s">
        <v>5211</v>
      </c>
      <c r="B626" s="21">
        <v>634</v>
      </c>
      <c r="C626" s="22" t="s">
        <v>143</v>
      </c>
      <c r="D626" s="22" t="s">
        <v>271</v>
      </c>
      <c r="E626" s="22" t="str">
        <f>CONCATENATE(B626,D626)</f>
        <v>63495366-103</v>
      </c>
      <c r="F626" s="22" t="s">
        <v>272</v>
      </c>
      <c r="G626" s="22" t="s">
        <v>39</v>
      </c>
      <c r="H626" s="23">
        <v>20.048300000000001</v>
      </c>
      <c r="I626" s="24">
        <v>1</v>
      </c>
      <c r="J626" s="24">
        <v>0</v>
      </c>
      <c r="K626" s="24">
        <v>0</v>
      </c>
      <c r="L626" s="41">
        <f>Table2[[#This Row],[Column1]]+Table2[[#This Row],[Column2]]</f>
        <v>0</v>
      </c>
      <c r="M626" s="42">
        <f>Table2[[#This Row],[OnHandQty]]-Table2[[#This Row],[Projection Nov/Dec]]</f>
        <v>1</v>
      </c>
      <c r="N626" s="35">
        <f>Table2[[#This Row],[OverStock]]*Table2[[#This Row],[RepCost]]</f>
        <v>20.048300000000001</v>
      </c>
      <c r="O626" s="25">
        <v>45827.561805555553</v>
      </c>
      <c r="P626" s="26" t="s">
        <v>40</v>
      </c>
    </row>
    <row r="627" spans="1:16" x14ac:dyDescent="0.25">
      <c r="A627" s="20" t="s">
        <v>5211</v>
      </c>
      <c r="B627" s="21">
        <v>636</v>
      </c>
      <c r="C627" s="22" t="s">
        <v>323</v>
      </c>
      <c r="D627" s="22" t="s">
        <v>1280</v>
      </c>
      <c r="E627" s="22" t="str">
        <f>CONCATENATE(B627,D627)</f>
        <v>63663657-103</v>
      </c>
      <c r="F627" s="22" t="s">
        <v>1281</v>
      </c>
      <c r="G627" s="22" t="s">
        <v>29</v>
      </c>
      <c r="H627" s="23">
        <v>29.037600000000001</v>
      </c>
      <c r="I627" s="24">
        <v>9</v>
      </c>
      <c r="J627" s="24">
        <v>0</v>
      </c>
      <c r="K627" s="24">
        <v>0</v>
      </c>
      <c r="L627" s="41">
        <f>Table2[[#This Row],[Column1]]+Table2[[#This Row],[Column2]]</f>
        <v>0</v>
      </c>
      <c r="M627" s="42">
        <f>Table2[[#This Row],[OnHandQty]]-Table2[[#This Row],[Projection Nov/Dec]]</f>
        <v>9</v>
      </c>
      <c r="N627" s="35">
        <f>Table2[[#This Row],[OverStock]]*Table2[[#This Row],[RepCost]]</f>
        <v>261.33840000000004</v>
      </c>
      <c r="O627" s="25">
        <v>46216.52847222222</v>
      </c>
      <c r="P627" s="26" t="s">
        <v>40</v>
      </c>
    </row>
    <row r="628" spans="1:16" x14ac:dyDescent="0.25">
      <c r="A628" s="20" t="s">
        <v>5211</v>
      </c>
      <c r="B628" s="21">
        <v>636</v>
      </c>
      <c r="C628" s="22" t="s">
        <v>323</v>
      </c>
      <c r="D628" s="22" t="s">
        <v>1263</v>
      </c>
      <c r="E628" s="22" t="str">
        <f>CONCATENATE(B628,D628)</f>
        <v>63663685-0125</v>
      </c>
      <c r="F628" s="22" t="s">
        <v>1264</v>
      </c>
      <c r="G628" s="22" t="s">
        <v>19</v>
      </c>
      <c r="H628" s="23">
        <v>201.3193</v>
      </c>
      <c r="I628" s="24">
        <v>2</v>
      </c>
      <c r="J628" s="24">
        <v>0</v>
      </c>
      <c r="K628" s="24">
        <v>0</v>
      </c>
      <c r="L628" s="41">
        <f>Table2[[#This Row],[Column1]]+Table2[[#This Row],[Column2]]</f>
        <v>0</v>
      </c>
      <c r="M628" s="42">
        <f>Table2[[#This Row],[OnHandQty]]-Table2[[#This Row],[Projection Nov/Dec]]</f>
        <v>2</v>
      </c>
      <c r="N628" s="35">
        <f>Table2[[#This Row],[OverStock]]*Table2[[#This Row],[RepCost]]</f>
        <v>402.6386</v>
      </c>
      <c r="O628" s="25">
        <v>46125.407638888886</v>
      </c>
      <c r="P628" s="26" t="s">
        <v>295</v>
      </c>
    </row>
    <row r="629" spans="1:16" x14ac:dyDescent="0.25">
      <c r="A629" s="20" t="s">
        <v>5211</v>
      </c>
      <c r="B629" s="21">
        <v>714</v>
      </c>
      <c r="C629" s="22" t="s">
        <v>323</v>
      </c>
      <c r="D629" s="22" t="s">
        <v>3484</v>
      </c>
      <c r="E629" s="22" t="str">
        <f>CONCATENATE(B629,D629)</f>
        <v>71463667-0175</v>
      </c>
      <c r="F629" s="22" t="s">
        <v>3485</v>
      </c>
      <c r="G629" s="22" t="s">
        <v>19</v>
      </c>
      <c r="H629" s="23">
        <v>148.9676</v>
      </c>
      <c r="I629" s="24">
        <v>3</v>
      </c>
      <c r="J629" s="24">
        <v>0</v>
      </c>
      <c r="K629" s="24">
        <v>0</v>
      </c>
      <c r="L629" s="41">
        <f>Table2[[#This Row],[Column1]]+Table2[[#This Row],[Column2]]</f>
        <v>0</v>
      </c>
      <c r="M629" s="42">
        <f>Table2[[#This Row],[OnHandQty]]-Table2[[#This Row],[Projection Nov/Dec]]</f>
        <v>3</v>
      </c>
      <c r="N629" s="35">
        <f>Table2[[#This Row],[OverStock]]*Table2[[#This Row],[RepCost]]</f>
        <v>446.90280000000001</v>
      </c>
      <c r="O629" s="25">
        <v>46101.384722222225</v>
      </c>
      <c r="P629" s="26" t="s">
        <v>2257</v>
      </c>
    </row>
    <row r="630" spans="1:16" x14ac:dyDescent="0.25">
      <c r="A630" s="20" t="s">
        <v>5211</v>
      </c>
      <c r="B630" s="21">
        <v>714</v>
      </c>
      <c r="C630" s="22" t="s">
        <v>323</v>
      </c>
      <c r="D630" s="22" t="s">
        <v>3166</v>
      </c>
      <c r="E630" s="22" t="str">
        <f>CONCATENATE(B630,D630)</f>
        <v>71463667-102</v>
      </c>
      <c r="F630" s="22" t="s">
        <v>3167</v>
      </c>
      <c r="G630" s="22" t="s">
        <v>29</v>
      </c>
      <c r="H630" s="23">
        <v>22.505400000000002</v>
      </c>
      <c r="I630" s="24">
        <v>269</v>
      </c>
      <c r="J630" s="24">
        <v>0</v>
      </c>
      <c r="K630" s="24">
        <v>0</v>
      </c>
      <c r="L630" s="41">
        <f>Table2[[#This Row],[Column1]]+Table2[[#This Row],[Column2]]</f>
        <v>0</v>
      </c>
      <c r="M630" s="42">
        <f>Table2[[#This Row],[OnHandQty]]-Table2[[#This Row],[Projection Nov/Dec]]</f>
        <v>269</v>
      </c>
      <c r="N630" s="35">
        <f>Table2[[#This Row],[OverStock]]*Table2[[#This Row],[RepCost]]</f>
        <v>6053.9526000000005</v>
      </c>
      <c r="O630" s="25">
        <v>46149.570138888892</v>
      </c>
      <c r="P630" s="26" t="s">
        <v>2930</v>
      </c>
    </row>
    <row r="631" spans="1:16" x14ac:dyDescent="0.25">
      <c r="A631" s="20" t="s">
        <v>5211</v>
      </c>
      <c r="B631" s="21">
        <v>718</v>
      </c>
      <c r="C631" s="22" t="s">
        <v>323</v>
      </c>
      <c r="D631" s="22" t="s">
        <v>1580</v>
      </c>
      <c r="E631" s="22" t="str">
        <f>CONCATENATE(B631,D631)</f>
        <v>71863667-020</v>
      </c>
      <c r="F631" s="22" t="s">
        <v>1581</v>
      </c>
      <c r="G631" s="22" t="s">
        <v>158</v>
      </c>
      <c r="H631" s="23">
        <v>190.0924</v>
      </c>
      <c r="I631" s="24">
        <v>6</v>
      </c>
      <c r="J631" s="24">
        <v>4</v>
      </c>
      <c r="K631" s="24">
        <v>0</v>
      </c>
      <c r="L631" s="41">
        <f>Table2[[#This Row],[Column1]]+Table2[[#This Row],[Column2]]</f>
        <v>4</v>
      </c>
      <c r="M631" s="42">
        <f>Table2[[#This Row],[OnHandQty]]-Table2[[#This Row],[Projection Nov/Dec]]</f>
        <v>2</v>
      </c>
      <c r="N631" s="35">
        <f>Table2[[#This Row],[OverStock]]*Table2[[#This Row],[RepCost]]</f>
        <v>380.1848</v>
      </c>
      <c r="O631" s="25">
        <v>46077.418055555558</v>
      </c>
      <c r="P631" s="26" t="s">
        <v>151</v>
      </c>
    </row>
    <row r="632" spans="1:16" x14ac:dyDescent="0.25">
      <c r="A632" s="20" t="s">
        <v>5211</v>
      </c>
      <c r="B632" s="21">
        <v>636</v>
      </c>
      <c r="C632" s="22" t="s">
        <v>323</v>
      </c>
      <c r="D632" s="22" t="s">
        <v>1580</v>
      </c>
      <c r="E632" s="22" t="str">
        <f>CONCATENATE(B632,D632)</f>
        <v>63663667-020</v>
      </c>
      <c r="F632" s="22" t="s">
        <v>1581</v>
      </c>
      <c r="G632" s="22" t="s">
        <v>43</v>
      </c>
      <c r="H632" s="23">
        <v>177.70169999999999</v>
      </c>
      <c r="I632" s="24">
        <v>10</v>
      </c>
      <c r="J632" s="24">
        <v>4</v>
      </c>
      <c r="K632" s="24">
        <v>0</v>
      </c>
      <c r="L632" s="41">
        <f>Table2[[#This Row],[Column1]]+Table2[[#This Row],[Column2]]</f>
        <v>4</v>
      </c>
      <c r="M632" s="42">
        <f>Table2[[#This Row],[OnHandQty]]-Table2[[#This Row],[Projection Nov/Dec]]</f>
        <v>6</v>
      </c>
      <c r="N632" s="35">
        <f>Table2[[#This Row],[OverStock]]*Table2[[#This Row],[RepCost]]</f>
        <v>1066.2102</v>
      </c>
      <c r="O632" s="25">
        <v>46084.367361111108</v>
      </c>
      <c r="P632" s="26" t="s">
        <v>151</v>
      </c>
    </row>
    <row r="633" spans="1:16" x14ac:dyDescent="0.25">
      <c r="A633" s="20" t="s">
        <v>5211</v>
      </c>
      <c r="B633" s="21">
        <v>718</v>
      </c>
      <c r="C633" s="22" t="s">
        <v>323</v>
      </c>
      <c r="D633" s="22" t="s">
        <v>3853</v>
      </c>
      <c r="E633" s="22" t="str">
        <f>CONCATENATE(B633,D633)</f>
        <v>71863667-030</v>
      </c>
      <c r="F633" s="22" t="s">
        <v>3854</v>
      </c>
      <c r="G633" s="22" t="s">
        <v>29</v>
      </c>
      <c r="H633" s="23">
        <v>381.51049999999998</v>
      </c>
      <c r="I633" s="24">
        <v>3</v>
      </c>
      <c r="J633" s="24">
        <v>0</v>
      </c>
      <c r="K633" s="24">
        <v>0</v>
      </c>
      <c r="L633" s="41">
        <f>Table2[[#This Row],[Column1]]+Table2[[#This Row],[Column2]]</f>
        <v>0</v>
      </c>
      <c r="M633" s="42">
        <f>Table2[[#This Row],[OnHandQty]]-Table2[[#This Row],[Projection Nov/Dec]]</f>
        <v>3</v>
      </c>
      <c r="N633" s="35">
        <f>Table2[[#This Row],[OverStock]]*Table2[[#This Row],[RepCost]]</f>
        <v>1144.5315000000001</v>
      </c>
      <c r="O633" s="25">
        <v>46134.54791666667</v>
      </c>
      <c r="P633" s="26" t="s">
        <v>2423</v>
      </c>
    </row>
    <row r="634" spans="1:16" x14ac:dyDescent="0.25">
      <c r="A634" s="20" t="s">
        <v>5211</v>
      </c>
      <c r="B634" s="21">
        <v>714</v>
      </c>
      <c r="C634" s="22" t="s">
        <v>323</v>
      </c>
      <c r="D634" s="22" t="s">
        <v>2830</v>
      </c>
      <c r="E634" s="22" t="str">
        <f>CONCATENATE(B634,D634)</f>
        <v>71463667-306</v>
      </c>
      <c r="F634" s="22" t="s">
        <v>2831</v>
      </c>
      <c r="G634" s="22" t="s">
        <v>29</v>
      </c>
      <c r="H634" s="23">
        <v>114.5471</v>
      </c>
      <c r="I634" s="24">
        <v>8</v>
      </c>
      <c r="J634" s="24">
        <v>0</v>
      </c>
      <c r="K634" s="24">
        <v>0</v>
      </c>
      <c r="L634" s="41">
        <f>Table2[[#This Row],[Column1]]+Table2[[#This Row],[Column2]]</f>
        <v>0</v>
      </c>
      <c r="M634" s="42">
        <f>Table2[[#This Row],[OnHandQty]]-Table2[[#This Row],[Projection Nov/Dec]]</f>
        <v>8</v>
      </c>
      <c r="N634" s="35">
        <f>Table2[[#This Row],[OverStock]]*Table2[[#This Row],[RepCost]]</f>
        <v>916.3768</v>
      </c>
      <c r="O634" s="25">
        <v>46162.505555555559</v>
      </c>
      <c r="P634" s="26" t="s">
        <v>1234</v>
      </c>
    </row>
    <row r="635" spans="1:16" x14ac:dyDescent="0.25">
      <c r="A635" s="20" t="s">
        <v>5211</v>
      </c>
      <c r="B635" s="21">
        <v>634</v>
      </c>
      <c r="C635" s="22" t="s">
        <v>323</v>
      </c>
      <c r="D635" s="22" t="s">
        <v>409</v>
      </c>
      <c r="E635" s="22" t="str">
        <f>CONCATENATE(B635,D635)</f>
        <v>63463667-308</v>
      </c>
      <c r="F635" s="22" t="s">
        <v>410</v>
      </c>
      <c r="G635" s="22" t="s">
        <v>23</v>
      </c>
      <c r="H635" s="23">
        <v>148.34030000000001</v>
      </c>
      <c r="I635" s="24">
        <v>2</v>
      </c>
      <c r="J635" s="24">
        <v>0</v>
      </c>
      <c r="K635" s="24">
        <v>0</v>
      </c>
      <c r="L635" s="41">
        <f>Table2[[#This Row],[Column1]]+Table2[[#This Row],[Column2]]</f>
        <v>0</v>
      </c>
      <c r="M635" s="42">
        <f>Table2[[#This Row],[OnHandQty]]-Table2[[#This Row],[Projection Nov/Dec]]</f>
        <v>2</v>
      </c>
      <c r="N635" s="35">
        <f>Table2[[#This Row],[OverStock]]*Table2[[#This Row],[RepCost]]</f>
        <v>296.68060000000003</v>
      </c>
      <c r="O635" s="25">
        <v>46119.536805555559</v>
      </c>
      <c r="P635" s="26" t="s">
        <v>371</v>
      </c>
    </row>
    <row r="636" spans="1:16" x14ac:dyDescent="0.25">
      <c r="A636" s="20" t="s">
        <v>5211</v>
      </c>
      <c r="B636" s="21">
        <v>636</v>
      </c>
      <c r="C636" s="22" t="s">
        <v>323</v>
      </c>
      <c r="D636" s="22" t="s">
        <v>1743</v>
      </c>
      <c r="E636" s="22" t="str">
        <f>CONCATENATE(B636,D636)</f>
        <v>63681676-020PREM</v>
      </c>
      <c r="F636" s="22" t="s">
        <v>1744</v>
      </c>
      <c r="G636" s="22" t="s">
        <v>19</v>
      </c>
      <c r="H636" s="23">
        <v>304.11340000000001</v>
      </c>
      <c r="I636" s="24">
        <v>1</v>
      </c>
      <c r="J636" s="24">
        <v>0</v>
      </c>
      <c r="K636" s="24">
        <v>0</v>
      </c>
      <c r="L636" s="41">
        <f>Table2[[#This Row],[Column1]]+Table2[[#This Row],[Column2]]</f>
        <v>0</v>
      </c>
      <c r="M636" s="42">
        <f>Table2[[#This Row],[OnHandQty]]-Table2[[#This Row],[Projection Nov/Dec]]</f>
        <v>1</v>
      </c>
      <c r="N636" s="35">
        <f>Table2[[#This Row],[OverStock]]*Table2[[#This Row],[RepCost]]</f>
        <v>304.11340000000001</v>
      </c>
      <c r="O636" s="25">
        <v>46107.522222222222</v>
      </c>
      <c r="P636" s="26" t="s">
        <v>178</v>
      </c>
    </row>
    <row r="637" spans="1:16" x14ac:dyDescent="0.25">
      <c r="A637" s="20" t="s">
        <v>5211</v>
      </c>
      <c r="B637" s="21">
        <v>636</v>
      </c>
      <c r="C637" s="22" t="s">
        <v>323</v>
      </c>
      <c r="D637" s="22" t="s">
        <v>1425</v>
      </c>
      <c r="E637" s="22" t="str">
        <f>CONCATENATE(B637,D637)</f>
        <v>63663687-0175</v>
      </c>
      <c r="F637" s="22" t="s">
        <v>1426</v>
      </c>
      <c r="G637" s="22" t="s">
        <v>23</v>
      </c>
      <c r="H637" s="23">
        <v>174.29949999999999</v>
      </c>
      <c r="I637" s="24">
        <v>1</v>
      </c>
      <c r="J637" s="24">
        <v>0</v>
      </c>
      <c r="K637" s="24">
        <v>0</v>
      </c>
      <c r="L637" s="41">
        <f>Table2[[#This Row],[Column1]]+Table2[[#This Row],[Column2]]</f>
        <v>0</v>
      </c>
      <c r="M637" s="42">
        <f>Table2[[#This Row],[OnHandQty]]-Table2[[#This Row],[Projection Nov/Dec]]</f>
        <v>1</v>
      </c>
      <c r="N637" s="35">
        <f>Table2[[#This Row],[OverStock]]*Table2[[#This Row],[RepCost]]</f>
        <v>174.29949999999999</v>
      </c>
      <c r="O637" s="25">
        <v>46177.558333333334</v>
      </c>
      <c r="P637" s="26" t="s">
        <v>357</v>
      </c>
    </row>
    <row r="638" spans="1:16" x14ac:dyDescent="0.25">
      <c r="A638" s="20" t="s">
        <v>5211</v>
      </c>
      <c r="B638" s="21">
        <v>636</v>
      </c>
      <c r="C638" s="22" t="s">
        <v>323</v>
      </c>
      <c r="D638" s="22" t="s">
        <v>1296</v>
      </c>
      <c r="E638" s="22" t="str">
        <f>CONCATENATE(B638,D638)</f>
        <v>63663687-307</v>
      </c>
      <c r="F638" s="22" t="s">
        <v>1297</v>
      </c>
      <c r="G638" s="22" t="s">
        <v>158</v>
      </c>
      <c r="H638" s="23">
        <v>119.58240000000001</v>
      </c>
      <c r="I638" s="24">
        <v>14</v>
      </c>
      <c r="J638" s="24">
        <v>0</v>
      </c>
      <c r="K638" s="24">
        <v>0</v>
      </c>
      <c r="L638" s="41">
        <f>Table2[[#This Row],[Column1]]+Table2[[#This Row],[Column2]]</f>
        <v>0</v>
      </c>
      <c r="M638" s="42">
        <f>Table2[[#This Row],[OnHandQty]]-Table2[[#This Row],[Projection Nov/Dec]]</f>
        <v>14</v>
      </c>
      <c r="N638" s="35">
        <f>Table2[[#This Row],[OverStock]]*Table2[[#This Row],[RepCost]]</f>
        <v>1674.1536000000001</v>
      </c>
      <c r="O638" s="25">
        <v>46079.574305555558</v>
      </c>
      <c r="P638" s="26" t="s">
        <v>1234</v>
      </c>
    </row>
    <row r="639" spans="1:16" x14ac:dyDescent="0.25">
      <c r="A639" s="20" t="s">
        <v>5211</v>
      </c>
      <c r="B639" s="21">
        <v>636</v>
      </c>
      <c r="C639" s="22" t="s">
        <v>323</v>
      </c>
      <c r="D639" s="22" t="s">
        <v>1296</v>
      </c>
      <c r="E639" s="22" t="str">
        <f>CONCATENATE(B639,D639)</f>
        <v>63663687-307</v>
      </c>
      <c r="F639" s="22" t="s">
        <v>1297</v>
      </c>
      <c r="G639" s="22" t="s">
        <v>158</v>
      </c>
      <c r="H639" s="23">
        <v>119.58240000000001</v>
      </c>
      <c r="I639" s="24">
        <v>14</v>
      </c>
      <c r="J639" s="24">
        <v>0</v>
      </c>
      <c r="K639" s="24">
        <v>0</v>
      </c>
      <c r="L639" s="41">
        <f>Table2[[#This Row],[Column1]]+Table2[[#This Row],[Column2]]</f>
        <v>0</v>
      </c>
      <c r="M639" s="42">
        <f>Table2[[#This Row],[OnHandQty]]-Table2[[#This Row],[Projection Nov/Dec]]</f>
        <v>14</v>
      </c>
      <c r="N639" s="35">
        <f>Table2[[#This Row],[OverStock]]*Table2[[#This Row],[RepCost]]</f>
        <v>1674.1536000000001</v>
      </c>
      <c r="O639" s="25">
        <v>46079.574305555558</v>
      </c>
      <c r="P639" s="26" t="s">
        <v>1234</v>
      </c>
    </row>
    <row r="640" spans="1:16" x14ac:dyDescent="0.25">
      <c r="A640" s="20" t="s">
        <v>5211</v>
      </c>
      <c r="B640" s="21">
        <v>714</v>
      </c>
      <c r="C640" s="22" t="s">
        <v>323</v>
      </c>
      <c r="D640" s="22" t="s">
        <v>2965</v>
      </c>
      <c r="E640" s="22" t="str">
        <f>CONCATENATE(B640,D640)</f>
        <v>71463679-020</v>
      </c>
      <c r="F640" s="22" t="s">
        <v>2966</v>
      </c>
      <c r="G640" s="22" t="s">
        <v>19</v>
      </c>
      <c r="H640" s="23">
        <v>169.28139999999999</v>
      </c>
      <c r="I640" s="24">
        <v>5</v>
      </c>
      <c r="J640" s="24">
        <v>0</v>
      </c>
      <c r="K640" s="24">
        <v>0</v>
      </c>
      <c r="L640" s="41">
        <f>Table2[[#This Row],[Column1]]+Table2[[#This Row],[Column2]]</f>
        <v>0</v>
      </c>
      <c r="M640" s="42">
        <f>Table2[[#This Row],[OnHandQty]]-Table2[[#This Row],[Projection Nov/Dec]]</f>
        <v>5</v>
      </c>
      <c r="N640" s="35">
        <f>Table2[[#This Row],[OverStock]]*Table2[[#This Row],[RepCost]]</f>
        <v>846.40699999999993</v>
      </c>
      <c r="O640" s="25">
        <v>46101.384722222225</v>
      </c>
      <c r="P640" s="26" t="s">
        <v>2257</v>
      </c>
    </row>
    <row r="641" spans="1:16" x14ac:dyDescent="0.25">
      <c r="A641" s="20" t="s">
        <v>5211</v>
      </c>
      <c r="B641" s="21">
        <v>714</v>
      </c>
      <c r="C641" s="22" t="s">
        <v>323</v>
      </c>
      <c r="D641" s="22" t="s">
        <v>3209</v>
      </c>
      <c r="E641" s="22" t="str">
        <f>CONCATENATE(B641,D641)</f>
        <v>71495088-020</v>
      </c>
      <c r="F641" s="22" t="s">
        <v>3210</v>
      </c>
      <c r="G641" s="22" t="s">
        <v>29</v>
      </c>
      <c r="H641" s="23">
        <v>169.28139999999999</v>
      </c>
      <c r="I641" s="24">
        <v>5</v>
      </c>
      <c r="J641" s="24">
        <v>0</v>
      </c>
      <c r="K641" s="24">
        <v>0</v>
      </c>
      <c r="L641" s="41">
        <f>Table2[[#This Row],[Column1]]+Table2[[#This Row],[Column2]]</f>
        <v>0</v>
      </c>
      <c r="M641" s="42">
        <f>Table2[[#This Row],[OnHandQty]]-Table2[[#This Row],[Projection Nov/Dec]]</f>
        <v>5</v>
      </c>
      <c r="N641" s="35">
        <f>Table2[[#This Row],[OverStock]]*Table2[[#This Row],[RepCost]]</f>
        <v>846.40699999999993</v>
      </c>
      <c r="O641" s="25">
        <v>46101.384722222225</v>
      </c>
      <c r="P641" s="26" t="s">
        <v>2257</v>
      </c>
    </row>
    <row r="642" spans="1:16" x14ac:dyDescent="0.25">
      <c r="A642" s="20" t="s">
        <v>5211</v>
      </c>
      <c r="B642" s="21">
        <v>634</v>
      </c>
      <c r="C642" s="22" t="s">
        <v>323</v>
      </c>
      <c r="D642" s="22" t="s">
        <v>324</v>
      </c>
      <c r="E642" s="22" t="str">
        <f>CONCATENATE(B642,D642)</f>
        <v>63463699-310</v>
      </c>
      <c r="F642" s="22" t="s">
        <v>325</v>
      </c>
      <c r="G642" s="22" t="s">
        <v>29</v>
      </c>
      <c r="H642" s="23">
        <v>193.05070000000001</v>
      </c>
      <c r="I642" s="24">
        <v>5</v>
      </c>
      <c r="J642" s="24">
        <v>0</v>
      </c>
      <c r="K642" s="24">
        <v>0</v>
      </c>
      <c r="L642" s="41">
        <f>Table2[[#This Row],[Column1]]+Table2[[#This Row],[Column2]]</f>
        <v>0</v>
      </c>
      <c r="M642" s="42">
        <f>Table2[[#This Row],[OnHandQty]]-Table2[[#This Row],[Projection Nov/Dec]]</f>
        <v>5</v>
      </c>
      <c r="N642" s="35">
        <f>Table2[[#This Row],[OverStock]]*Table2[[#This Row],[RepCost]]</f>
        <v>965.25350000000003</v>
      </c>
      <c r="O642" s="25">
        <v>46209.655555555553</v>
      </c>
      <c r="P642" s="26" t="s">
        <v>151</v>
      </c>
    </row>
    <row r="643" spans="1:16" x14ac:dyDescent="0.25">
      <c r="A643" s="20" t="s">
        <v>5211</v>
      </c>
      <c r="B643" s="21">
        <v>714</v>
      </c>
      <c r="C643" s="22" t="s">
        <v>323</v>
      </c>
      <c r="D643" s="22" t="s">
        <v>3298</v>
      </c>
      <c r="E643" s="22" t="str">
        <f>CONCATENATE(B643,D643)</f>
        <v>71463699-115</v>
      </c>
      <c r="F643" s="22" t="s">
        <v>3299</v>
      </c>
      <c r="G643" s="22" t="s">
        <v>29</v>
      </c>
      <c r="H643" s="23">
        <v>106.27160000000001</v>
      </c>
      <c r="I643" s="24">
        <v>1</v>
      </c>
      <c r="J643" s="24">
        <v>0</v>
      </c>
      <c r="K643" s="24">
        <v>0</v>
      </c>
      <c r="L643" s="41">
        <f>Table2[[#This Row],[Column1]]+Table2[[#This Row],[Column2]]</f>
        <v>0</v>
      </c>
      <c r="M643" s="42">
        <f>Table2[[#This Row],[OnHandQty]]-Table2[[#This Row],[Projection Nov/Dec]]</f>
        <v>1</v>
      </c>
      <c r="N643" s="35">
        <f>Table2[[#This Row],[OverStock]]*Table2[[#This Row],[RepCost]]</f>
        <v>106.27160000000001</v>
      </c>
      <c r="O643" s="25">
        <v>44883.382638888892</v>
      </c>
      <c r="P643" s="26" t="s">
        <v>1870</v>
      </c>
    </row>
    <row r="644" spans="1:16" x14ac:dyDescent="0.25">
      <c r="A644" s="20" t="s">
        <v>5211</v>
      </c>
      <c r="B644" s="21">
        <v>718</v>
      </c>
      <c r="C644" s="22" t="s">
        <v>323</v>
      </c>
      <c r="D644" s="22" t="s">
        <v>3298</v>
      </c>
      <c r="E644" s="22" t="str">
        <f>CONCATENATE(B644,D644)</f>
        <v>71863699-115</v>
      </c>
      <c r="F644" s="22" t="s">
        <v>3299</v>
      </c>
      <c r="G644" s="22" t="s">
        <v>29</v>
      </c>
      <c r="H644" s="23">
        <v>75.985500000000002</v>
      </c>
      <c r="I644" s="24">
        <v>2</v>
      </c>
      <c r="J644" s="24">
        <v>0</v>
      </c>
      <c r="K644" s="24">
        <v>0</v>
      </c>
      <c r="L644" s="41">
        <f>Table2[[#This Row],[Column1]]+Table2[[#This Row],[Column2]]</f>
        <v>0</v>
      </c>
      <c r="M644" s="42">
        <f>Table2[[#This Row],[OnHandQty]]-Table2[[#This Row],[Projection Nov/Dec]]</f>
        <v>2</v>
      </c>
      <c r="N644" s="35">
        <f>Table2[[#This Row],[OverStock]]*Table2[[#This Row],[RepCost]]</f>
        <v>151.971</v>
      </c>
      <c r="O644" s="25">
        <v>46224.686805555553</v>
      </c>
      <c r="P644" s="26" t="s">
        <v>2225</v>
      </c>
    </row>
    <row r="645" spans="1:16" x14ac:dyDescent="0.25">
      <c r="A645" s="20" t="s">
        <v>5211</v>
      </c>
      <c r="B645" s="21">
        <v>718</v>
      </c>
      <c r="C645" s="22" t="s">
        <v>323</v>
      </c>
      <c r="D645" s="22" t="s">
        <v>3861</v>
      </c>
      <c r="E645" s="22" t="str">
        <f>CONCATENATE(B645,D645)</f>
        <v>71863699-025</v>
      </c>
      <c r="F645" s="22" t="s">
        <v>3862</v>
      </c>
      <c r="G645" s="22" t="s">
        <v>158</v>
      </c>
      <c r="H645" s="23">
        <v>228.46199999999999</v>
      </c>
      <c r="I645" s="24">
        <v>9</v>
      </c>
      <c r="J645" s="24">
        <v>1</v>
      </c>
      <c r="K645" s="24">
        <v>0</v>
      </c>
      <c r="L645" s="41">
        <f>Table2[[#This Row],[Column1]]+Table2[[#This Row],[Column2]]</f>
        <v>1</v>
      </c>
      <c r="M645" s="42">
        <f>Table2[[#This Row],[OnHandQty]]-Table2[[#This Row],[Projection Nov/Dec]]</f>
        <v>8</v>
      </c>
      <c r="N645" s="35">
        <f>Table2[[#This Row],[OverStock]]*Table2[[#This Row],[RepCost]]</f>
        <v>1827.6959999999999</v>
      </c>
      <c r="O645" s="25">
        <v>46134.54791666667</v>
      </c>
      <c r="P645" s="26" t="s">
        <v>2423</v>
      </c>
    </row>
    <row r="646" spans="1:16" x14ac:dyDescent="0.25">
      <c r="A646" s="20" t="s">
        <v>5211</v>
      </c>
      <c r="B646" s="21">
        <v>636</v>
      </c>
      <c r="C646" s="22" t="s">
        <v>323</v>
      </c>
      <c r="D646" s="22" t="s">
        <v>1401</v>
      </c>
      <c r="E646" s="22" t="str">
        <f>CONCATENATE(B646,D646)</f>
        <v>63663699-030</v>
      </c>
      <c r="F646" s="22" t="s">
        <v>1402</v>
      </c>
      <c r="G646" s="22" t="s">
        <v>29</v>
      </c>
      <c r="H646" s="23">
        <v>279.34399999999999</v>
      </c>
      <c r="I646" s="24">
        <v>2</v>
      </c>
      <c r="J646" s="24">
        <v>1</v>
      </c>
      <c r="K646" s="24">
        <v>0</v>
      </c>
      <c r="L646" s="41">
        <f>Table2[[#This Row],[Column1]]+Table2[[#This Row],[Column2]]</f>
        <v>1</v>
      </c>
      <c r="M646" s="42">
        <f>Table2[[#This Row],[OnHandQty]]-Table2[[#This Row],[Projection Nov/Dec]]</f>
        <v>1</v>
      </c>
      <c r="N646" s="35">
        <f>Table2[[#This Row],[OverStock]]*Table2[[#This Row],[RepCost]]</f>
        <v>279.34399999999999</v>
      </c>
      <c r="O646" s="25">
        <v>46105.497916666667</v>
      </c>
      <c r="P646" s="26" t="s">
        <v>165</v>
      </c>
    </row>
    <row r="647" spans="1:16" x14ac:dyDescent="0.25">
      <c r="A647" s="20" t="s">
        <v>5211</v>
      </c>
      <c r="B647" s="21">
        <v>718</v>
      </c>
      <c r="C647" s="22" t="s">
        <v>323</v>
      </c>
      <c r="D647" s="22" t="s">
        <v>1401</v>
      </c>
      <c r="E647" s="22" t="str">
        <f>CONCATENATE(B647,D647)</f>
        <v>71863699-030</v>
      </c>
      <c r="F647" s="22" t="s">
        <v>1402</v>
      </c>
      <c r="G647" s="22" t="s">
        <v>19</v>
      </c>
      <c r="H647" s="23">
        <v>244</v>
      </c>
      <c r="I647" s="24">
        <v>2</v>
      </c>
      <c r="J647" s="24">
        <v>1</v>
      </c>
      <c r="K647" s="24">
        <v>0</v>
      </c>
      <c r="L647" s="41">
        <f>Table2[[#This Row],[Column1]]+Table2[[#This Row],[Column2]]</f>
        <v>1</v>
      </c>
      <c r="M647" s="42">
        <f>Table2[[#This Row],[OnHandQty]]-Table2[[#This Row],[Projection Nov/Dec]]</f>
        <v>1</v>
      </c>
      <c r="N647" s="35">
        <f>Table2[[#This Row],[OverStock]]*Table2[[#This Row],[RepCost]]</f>
        <v>244</v>
      </c>
      <c r="O647" s="25">
        <v>46125.690972222219</v>
      </c>
      <c r="P647" s="26" t="s">
        <v>2423</v>
      </c>
    </row>
    <row r="648" spans="1:16" x14ac:dyDescent="0.25">
      <c r="A648" s="20" t="s">
        <v>5211</v>
      </c>
      <c r="B648" s="21">
        <v>714</v>
      </c>
      <c r="C648" s="22" t="s">
        <v>323</v>
      </c>
      <c r="D648" s="22" t="s">
        <v>1401</v>
      </c>
      <c r="E648" s="22" t="str">
        <f>CONCATENATE(B648,D648)</f>
        <v>71463699-030</v>
      </c>
      <c r="F648" s="22" t="s">
        <v>1402</v>
      </c>
      <c r="G648" s="22" t="s">
        <v>158</v>
      </c>
      <c r="H648" s="23">
        <v>228.38929999999999</v>
      </c>
      <c r="I648" s="24">
        <v>2</v>
      </c>
      <c r="J648" s="24">
        <v>1</v>
      </c>
      <c r="K648" s="24">
        <v>0</v>
      </c>
      <c r="L648" s="41">
        <f>Table2[[#This Row],[Column1]]+Table2[[#This Row],[Column2]]</f>
        <v>1</v>
      </c>
      <c r="M648" s="42">
        <f>Table2[[#This Row],[OnHandQty]]-Table2[[#This Row],[Projection Nov/Dec]]</f>
        <v>1</v>
      </c>
      <c r="N648" s="35">
        <f>Table2[[#This Row],[OverStock]]*Table2[[#This Row],[RepCost]]</f>
        <v>228.38929999999999</v>
      </c>
      <c r="O648" s="25">
        <v>46132.39166666667</v>
      </c>
      <c r="P648" s="26" t="s">
        <v>2423</v>
      </c>
    </row>
    <row r="649" spans="1:16" x14ac:dyDescent="0.25">
      <c r="A649" s="20" t="s">
        <v>5211</v>
      </c>
      <c r="B649" s="21">
        <v>634</v>
      </c>
      <c r="C649" s="22" t="s">
        <v>323</v>
      </c>
      <c r="D649" s="22" t="s">
        <v>403</v>
      </c>
      <c r="E649" s="22" t="str">
        <f>CONCATENATE(B649,D649)</f>
        <v>63463699-306</v>
      </c>
      <c r="F649" s="22" t="s">
        <v>404</v>
      </c>
      <c r="G649" s="22" t="s">
        <v>23</v>
      </c>
      <c r="H649" s="23">
        <v>130.07499999999999</v>
      </c>
      <c r="I649" s="24">
        <v>3</v>
      </c>
      <c r="J649" s="24">
        <v>0</v>
      </c>
      <c r="K649" s="24">
        <v>0</v>
      </c>
      <c r="L649" s="41">
        <f>Table2[[#This Row],[Column1]]+Table2[[#This Row],[Column2]]</f>
        <v>0</v>
      </c>
      <c r="M649" s="42">
        <f>Table2[[#This Row],[OnHandQty]]-Table2[[#This Row],[Projection Nov/Dec]]</f>
        <v>3</v>
      </c>
      <c r="N649" s="35">
        <f>Table2[[#This Row],[OverStock]]*Table2[[#This Row],[RepCost]]</f>
        <v>390.22499999999997</v>
      </c>
      <c r="O649" s="25">
        <v>46169.459027777775</v>
      </c>
      <c r="P649" s="26" t="s">
        <v>151</v>
      </c>
    </row>
    <row r="650" spans="1:16" x14ac:dyDescent="0.25">
      <c r="A650" s="20" t="s">
        <v>5211</v>
      </c>
      <c r="B650" s="21">
        <v>636</v>
      </c>
      <c r="C650" s="22" t="s">
        <v>323</v>
      </c>
      <c r="D650" s="22" t="s">
        <v>1703</v>
      </c>
      <c r="E650" s="22" t="str">
        <f>CONCATENATE(B650,D650)</f>
        <v>63663699-107</v>
      </c>
      <c r="F650" s="27" t="s">
        <v>1704</v>
      </c>
      <c r="G650" s="27" t="s">
        <v>58</v>
      </c>
      <c r="H650" s="23">
        <v>54.132599999999996</v>
      </c>
      <c r="I650" s="24">
        <v>1</v>
      </c>
      <c r="J650" s="24">
        <v>0</v>
      </c>
      <c r="K650" s="24">
        <v>0</v>
      </c>
      <c r="L650" s="41">
        <f>Table2[[#This Row],[Column1]]+Table2[[#This Row],[Column2]]</f>
        <v>0</v>
      </c>
      <c r="M650" s="42">
        <f>Table2[[#This Row],[OnHandQty]]-Table2[[#This Row],[Projection Nov/Dec]]</f>
        <v>1</v>
      </c>
      <c r="N650" s="35">
        <f>Table2[[#This Row],[OverStock]]*Table2[[#This Row],[RepCost]]</f>
        <v>54.132599999999996</v>
      </c>
      <c r="O650" s="25">
        <v>45791.495138888888</v>
      </c>
      <c r="P650" s="26" t="s">
        <v>40</v>
      </c>
    </row>
    <row r="651" spans="1:16" x14ac:dyDescent="0.25">
      <c r="A651" s="20" t="s">
        <v>5211</v>
      </c>
      <c r="B651" s="21">
        <v>718</v>
      </c>
      <c r="C651" s="22" t="s">
        <v>323</v>
      </c>
      <c r="D651" s="22" t="s">
        <v>3512</v>
      </c>
      <c r="E651" s="22" t="str">
        <f>CONCATENATE(B651,D651)</f>
        <v>71863699-308</v>
      </c>
      <c r="F651" s="22" t="s">
        <v>3513</v>
      </c>
      <c r="G651" s="22" t="s">
        <v>19</v>
      </c>
      <c r="H651" s="23">
        <v>144.17910000000001</v>
      </c>
      <c r="I651" s="24">
        <v>5</v>
      </c>
      <c r="J651" s="24">
        <v>0</v>
      </c>
      <c r="K651" s="24">
        <v>0</v>
      </c>
      <c r="L651" s="41">
        <f>Table2[[#This Row],[Column1]]+Table2[[#This Row],[Column2]]</f>
        <v>0</v>
      </c>
      <c r="M651" s="42">
        <f>Table2[[#This Row],[OnHandQty]]-Table2[[#This Row],[Projection Nov/Dec]]</f>
        <v>5</v>
      </c>
      <c r="N651" s="35">
        <f>Table2[[#This Row],[OverStock]]*Table2[[#This Row],[RepCost]]</f>
        <v>720.89550000000008</v>
      </c>
      <c r="O651" s="25">
        <v>46092.524305555555</v>
      </c>
      <c r="P651" s="26" t="s">
        <v>2257</v>
      </c>
    </row>
    <row r="652" spans="1:16" x14ac:dyDescent="0.25">
      <c r="A652" s="20" t="s">
        <v>5211</v>
      </c>
      <c r="B652" s="21">
        <v>714</v>
      </c>
      <c r="C652" s="22" t="s">
        <v>323</v>
      </c>
      <c r="D652" s="22" t="s">
        <v>3512</v>
      </c>
      <c r="E652" s="22" t="str">
        <f>CONCATENATE(B652,D652)</f>
        <v>71463699-308</v>
      </c>
      <c r="F652" s="22" t="s">
        <v>3513</v>
      </c>
      <c r="G652" s="22" t="s">
        <v>29</v>
      </c>
      <c r="H652" s="23">
        <v>140.89859999999999</v>
      </c>
      <c r="I652" s="24">
        <v>6</v>
      </c>
      <c r="J652" s="24">
        <v>0</v>
      </c>
      <c r="K652" s="24">
        <v>0</v>
      </c>
      <c r="L652" s="41">
        <f>Table2[[#This Row],[Column1]]+Table2[[#This Row],[Column2]]</f>
        <v>0</v>
      </c>
      <c r="M652" s="42">
        <f>Table2[[#This Row],[OnHandQty]]-Table2[[#This Row],[Projection Nov/Dec]]</f>
        <v>6</v>
      </c>
      <c r="N652" s="35">
        <f>Table2[[#This Row],[OverStock]]*Table2[[#This Row],[RepCost]]</f>
        <v>845.39159999999993</v>
      </c>
      <c r="O652" s="25">
        <v>46093.634722222225</v>
      </c>
      <c r="P652" s="26" t="s">
        <v>2257</v>
      </c>
    </row>
    <row r="653" spans="1:16" x14ac:dyDescent="0.25">
      <c r="A653" s="20" t="s">
        <v>5211</v>
      </c>
      <c r="B653" s="21">
        <v>718</v>
      </c>
      <c r="C653" s="22" t="s">
        <v>323</v>
      </c>
      <c r="D653" s="22" t="s">
        <v>2856</v>
      </c>
      <c r="E653" s="22" t="str">
        <f>CONCATENATE(B653,D653)</f>
        <v>71863699-309</v>
      </c>
      <c r="F653" s="22" t="s">
        <v>2857</v>
      </c>
      <c r="G653" s="22" t="s">
        <v>29</v>
      </c>
      <c r="H653" s="23">
        <v>164.77610000000001</v>
      </c>
      <c r="I653" s="24">
        <v>1</v>
      </c>
      <c r="J653" s="24">
        <v>0</v>
      </c>
      <c r="K653" s="24">
        <v>0</v>
      </c>
      <c r="L653" s="41">
        <f>Table2[[#This Row],[Column1]]+Table2[[#This Row],[Column2]]</f>
        <v>0</v>
      </c>
      <c r="M653" s="42">
        <f>Table2[[#This Row],[OnHandQty]]-Table2[[#This Row],[Projection Nov/Dec]]</f>
        <v>1</v>
      </c>
      <c r="N653" s="35">
        <f>Table2[[#This Row],[OverStock]]*Table2[[#This Row],[RepCost]]</f>
        <v>164.77610000000001</v>
      </c>
      <c r="O653" s="25">
        <v>46092.524305555555</v>
      </c>
      <c r="P653" s="26" t="s">
        <v>2257</v>
      </c>
    </row>
    <row r="654" spans="1:16" x14ac:dyDescent="0.25">
      <c r="A654" s="20" t="s">
        <v>5211</v>
      </c>
      <c r="B654" s="21">
        <v>714</v>
      </c>
      <c r="C654" s="22" t="s">
        <v>323</v>
      </c>
      <c r="D654" s="22" t="s">
        <v>2856</v>
      </c>
      <c r="E654" s="22" t="str">
        <f>CONCATENATE(B654,D654)</f>
        <v>71463699-309</v>
      </c>
      <c r="F654" s="22" t="s">
        <v>2857</v>
      </c>
      <c r="G654" s="22" t="s">
        <v>19</v>
      </c>
      <c r="H654" s="23">
        <v>162.51009999999999</v>
      </c>
      <c r="I654" s="24">
        <v>2</v>
      </c>
      <c r="J654" s="24">
        <v>0</v>
      </c>
      <c r="K654" s="24">
        <v>0</v>
      </c>
      <c r="L654" s="41">
        <f>Table2[[#This Row],[Column1]]+Table2[[#This Row],[Column2]]</f>
        <v>0</v>
      </c>
      <c r="M654" s="42">
        <f>Table2[[#This Row],[OnHandQty]]-Table2[[#This Row],[Projection Nov/Dec]]</f>
        <v>2</v>
      </c>
      <c r="N654" s="35">
        <f>Table2[[#This Row],[OverStock]]*Table2[[#This Row],[RepCost]]</f>
        <v>325.02019999999999</v>
      </c>
      <c r="O654" s="25">
        <v>46101.384722222225</v>
      </c>
      <c r="P654" s="26" t="s">
        <v>2257</v>
      </c>
    </row>
    <row r="655" spans="1:16" x14ac:dyDescent="0.25">
      <c r="A655" s="20" t="s">
        <v>5211</v>
      </c>
      <c r="B655" s="21">
        <v>714</v>
      </c>
      <c r="C655" s="22" t="s">
        <v>323</v>
      </c>
      <c r="D655" s="22" t="s">
        <v>2864</v>
      </c>
      <c r="E655" s="22" t="str">
        <f>CONCATENATE(B655,D655)</f>
        <v>71463699-MS306</v>
      </c>
      <c r="F655" s="22" t="s">
        <v>2865</v>
      </c>
      <c r="G655" s="22" t="s">
        <v>43</v>
      </c>
      <c r="H655" s="23">
        <v>104.0947</v>
      </c>
      <c r="I655" s="24">
        <v>35</v>
      </c>
      <c r="J655" s="24">
        <v>0</v>
      </c>
      <c r="K655" s="24">
        <v>0</v>
      </c>
      <c r="L655" s="41">
        <f>Table2[[#This Row],[Column1]]+Table2[[#This Row],[Column2]]</f>
        <v>0</v>
      </c>
      <c r="M655" s="42">
        <f>Table2[[#This Row],[OnHandQty]]-Table2[[#This Row],[Projection Nov/Dec]]</f>
        <v>35</v>
      </c>
      <c r="N655" s="35">
        <f>Table2[[#This Row],[OverStock]]*Table2[[#This Row],[RepCost]]</f>
        <v>3643.3145</v>
      </c>
      <c r="O655" s="25">
        <v>46086.458333333336</v>
      </c>
      <c r="P655" s="26" t="s">
        <v>151</v>
      </c>
    </row>
    <row r="656" spans="1:16" x14ac:dyDescent="0.25">
      <c r="A656" s="20" t="s">
        <v>5211</v>
      </c>
      <c r="B656" s="21">
        <v>714</v>
      </c>
      <c r="C656" s="22" t="s">
        <v>323</v>
      </c>
      <c r="D656" s="22" t="s">
        <v>3419</v>
      </c>
      <c r="E656" s="22" t="str">
        <f>CONCATENATE(B656,D656)</f>
        <v>71463699-MS307</v>
      </c>
      <c r="F656" s="22" t="s">
        <v>3420</v>
      </c>
      <c r="G656" s="22" t="s">
        <v>158</v>
      </c>
      <c r="H656" s="23">
        <v>123.9431</v>
      </c>
      <c r="I656" s="24">
        <v>28</v>
      </c>
      <c r="J656" s="24">
        <v>3</v>
      </c>
      <c r="K656" s="24">
        <v>0</v>
      </c>
      <c r="L656" s="41">
        <f>Table2[[#This Row],[Column1]]+Table2[[#This Row],[Column2]]</f>
        <v>3</v>
      </c>
      <c r="M656" s="42">
        <f>Table2[[#This Row],[OnHandQty]]-Table2[[#This Row],[Projection Nov/Dec]]</f>
        <v>25</v>
      </c>
      <c r="N656" s="35">
        <f>Table2[[#This Row],[OverStock]]*Table2[[#This Row],[RepCost]]</f>
        <v>3098.5774999999999</v>
      </c>
      <c r="O656" s="25">
        <v>46086.458333333336</v>
      </c>
      <c r="P656" s="26" t="s">
        <v>151</v>
      </c>
    </row>
    <row r="657" spans="1:16" x14ac:dyDescent="0.25">
      <c r="A657" s="20" t="s">
        <v>5211</v>
      </c>
      <c r="B657" s="21">
        <v>714</v>
      </c>
      <c r="C657" s="22" t="s">
        <v>323</v>
      </c>
      <c r="D657" s="22" t="s">
        <v>2869</v>
      </c>
      <c r="E657" s="22" t="str">
        <f>CONCATENATE(B657,D657)</f>
        <v>71463699-MS308</v>
      </c>
      <c r="F657" s="22" t="s">
        <v>2870</v>
      </c>
      <c r="G657" s="22" t="s">
        <v>43</v>
      </c>
      <c r="H657" s="23">
        <v>158.1284</v>
      </c>
      <c r="I657" s="24">
        <v>17</v>
      </c>
      <c r="J657" s="24">
        <v>6</v>
      </c>
      <c r="K657" s="24">
        <v>0</v>
      </c>
      <c r="L657" s="41">
        <f>Table2[[#This Row],[Column1]]+Table2[[#This Row],[Column2]]</f>
        <v>6</v>
      </c>
      <c r="M657" s="42">
        <f>Table2[[#This Row],[OnHandQty]]-Table2[[#This Row],[Projection Nov/Dec]]</f>
        <v>11</v>
      </c>
      <c r="N657" s="35">
        <f>Table2[[#This Row],[OverStock]]*Table2[[#This Row],[RepCost]]</f>
        <v>1739.4123999999999</v>
      </c>
      <c r="O657" s="25">
        <v>46080.489583333336</v>
      </c>
      <c r="P657" s="26" t="s">
        <v>151</v>
      </c>
    </row>
    <row r="658" spans="1:16" x14ac:dyDescent="0.25">
      <c r="A658" s="20" t="s">
        <v>5211</v>
      </c>
      <c r="B658" s="21">
        <v>636</v>
      </c>
      <c r="C658" s="22" t="s">
        <v>323</v>
      </c>
      <c r="D658" s="22" t="s">
        <v>1672</v>
      </c>
      <c r="E658" s="22" t="str">
        <f>CONCATENATE(B658,D658)</f>
        <v>63663694-030</v>
      </c>
      <c r="F658" s="22" t="s">
        <v>1673</v>
      </c>
      <c r="G658" s="22" t="s">
        <v>29</v>
      </c>
      <c r="H658" s="23">
        <v>298.16149999999999</v>
      </c>
      <c r="I658" s="24">
        <v>8</v>
      </c>
      <c r="J658" s="24">
        <v>0</v>
      </c>
      <c r="K658" s="24">
        <v>0</v>
      </c>
      <c r="L658" s="41">
        <f>Table2[[#This Row],[Column1]]+Table2[[#This Row],[Column2]]</f>
        <v>0</v>
      </c>
      <c r="M658" s="42">
        <f>Table2[[#This Row],[OnHandQty]]-Table2[[#This Row],[Projection Nov/Dec]]</f>
        <v>8</v>
      </c>
      <c r="N658" s="35">
        <f>Table2[[#This Row],[OverStock]]*Table2[[#This Row],[RepCost]]</f>
        <v>2385.2919999999999</v>
      </c>
      <c r="O658" s="25">
        <v>46106.444444444445</v>
      </c>
      <c r="P658" s="26" t="s">
        <v>357</v>
      </c>
    </row>
    <row r="659" spans="1:16" x14ac:dyDescent="0.25">
      <c r="A659" s="20" t="s">
        <v>5211</v>
      </c>
      <c r="B659" s="21">
        <v>636</v>
      </c>
      <c r="C659" s="22" t="s">
        <v>323</v>
      </c>
      <c r="D659" s="22" t="s">
        <v>1682</v>
      </c>
      <c r="E659" s="22" t="str">
        <f>CONCATENATE(B659,D659)</f>
        <v>63687141-020</v>
      </c>
      <c r="F659" s="22" t="s">
        <v>1683</v>
      </c>
      <c r="G659" s="22" t="s">
        <v>23</v>
      </c>
      <c r="H659" s="23">
        <v>232.01060000000001</v>
      </c>
      <c r="I659" s="24">
        <v>6</v>
      </c>
      <c r="J659" s="24">
        <v>0</v>
      </c>
      <c r="K659" s="24">
        <v>0</v>
      </c>
      <c r="L659" s="41">
        <f>Table2[[#This Row],[Column1]]+Table2[[#This Row],[Column2]]</f>
        <v>0</v>
      </c>
      <c r="M659" s="42">
        <f>Table2[[#This Row],[OnHandQty]]-Table2[[#This Row],[Projection Nov/Dec]]</f>
        <v>6</v>
      </c>
      <c r="N659" s="35">
        <f>Table2[[#This Row],[OverStock]]*Table2[[#This Row],[RepCost]]</f>
        <v>1392.0636</v>
      </c>
      <c r="O659" s="25">
        <v>46114.394444444442</v>
      </c>
      <c r="P659" s="26" t="s">
        <v>486</v>
      </c>
    </row>
    <row r="660" spans="1:16" x14ac:dyDescent="0.25">
      <c r="A660" s="20" t="s">
        <v>5211</v>
      </c>
      <c r="B660" s="21">
        <v>636</v>
      </c>
      <c r="C660" s="22" t="s">
        <v>323</v>
      </c>
      <c r="D660" s="22" t="s">
        <v>1411</v>
      </c>
      <c r="E660" s="22" t="str">
        <f>CONCATENATE(B660,D660)</f>
        <v>63687141-025</v>
      </c>
      <c r="F660" s="22" t="s">
        <v>1412</v>
      </c>
      <c r="G660" s="22" t="s">
        <v>29</v>
      </c>
      <c r="H660" s="23">
        <v>318.5566</v>
      </c>
      <c r="I660" s="24">
        <v>7</v>
      </c>
      <c r="J660" s="24">
        <v>0</v>
      </c>
      <c r="K660" s="24">
        <v>0</v>
      </c>
      <c r="L660" s="41">
        <f>Table2[[#This Row],[Column1]]+Table2[[#This Row],[Column2]]</f>
        <v>0</v>
      </c>
      <c r="M660" s="42">
        <f>Table2[[#This Row],[OnHandQty]]-Table2[[#This Row],[Projection Nov/Dec]]</f>
        <v>7</v>
      </c>
      <c r="N660" s="35">
        <f>Table2[[#This Row],[OverStock]]*Table2[[#This Row],[RepCost]]</f>
        <v>2229.8962000000001</v>
      </c>
      <c r="O660" s="25">
        <v>46114.394444444442</v>
      </c>
      <c r="P660" s="26" t="s">
        <v>486</v>
      </c>
    </row>
    <row r="661" spans="1:16" x14ac:dyDescent="0.25">
      <c r="A661" s="20" t="s">
        <v>5211</v>
      </c>
      <c r="B661" s="21">
        <v>636</v>
      </c>
      <c r="C661" s="22" t="s">
        <v>323</v>
      </c>
      <c r="D661" s="22" t="s">
        <v>1664</v>
      </c>
      <c r="E661" s="22" t="str">
        <f>CONCATENATE(B661,D661)</f>
        <v>63687141-107</v>
      </c>
      <c r="F661" s="27" t="s">
        <v>1665</v>
      </c>
      <c r="G661" s="27" t="s">
        <v>58</v>
      </c>
      <c r="H661" s="23">
        <v>57.2194</v>
      </c>
      <c r="I661" s="24">
        <v>2</v>
      </c>
      <c r="J661" s="24">
        <v>0</v>
      </c>
      <c r="K661" s="24">
        <v>0</v>
      </c>
      <c r="L661" s="41">
        <f>Table2[[#This Row],[Column1]]+Table2[[#This Row],[Column2]]</f>
        <v>0</v>
      </c>
      <c r="M661" s="42">
        <f>Table2[[#This Row],[OnHandQty]]-Table2[[#This Row],[Projection Nov/Dec]]</f>
        <v>2</v>
      </c>
      <c r="N661" s="35">
        <f>Table2[[#This Row],[OverStock]]*Table2[[#This Row],[RepCost]]</f>
        <v>114.4388</v>
      </c>
      <c r="O661" s="25">
        <v>45791.495138888888</v>
      </c>
      <c r="P661" s="26" t="s">
        <v>40</v>
      </c>
    </row>
    <row r="662" spans="1:16" x14ac:dyDescent="0.25">
      <c r="A662" s="20" t="s">
        <v>5211</v>
      </c>
      <c r="B662" s="21">
        <v>636</v>
      </c>
      <c r="C662" s="22" t="s">
        <v>323</v>
      </c>
      <c r="D662" s="22" t="s">
        <v>1448</v>
      </c>
      <c r="E662" s="22" t="str">
        <f>CONCATENATE(B662,D662)</f>
        <v>63681442-306PREM</v>
      </c>
      <c r="F662" s="22" t="s">
        <v>1449</v>
      </c>
      <c r="G662" s="22" t="s">
        <v>29</v>
      </c>
      <c r="H662" s="23">
        <v>355.26369999999997</v>
      </c>
      <c r="I662" s="24">
        <v>4</v>
      </c>
      <c r="J662" s="24">
        <v>0</v>
      </c>
      <c r="K662" s="24">
        <v>0</v>
      </c>
      <c r="L662" s="41">
        <f>Table2[[#This Row],[Column1]]+Table2[[#This Row],[Column2]]</f>
        <v>0</v>
      </c>
      <c r="M662" s="42">
        <f>Table2[[#This Row],[OnHandQty]]-Table2[[#This Row],[Projection Nov/Dec]]</f>
        <v>4</v>
      </c>
      <c r="N662" s="35">
        <f>Table2[[#This Row],[OverStock]]*Table2[[#This Row],[RepCost]]</f>
        <v>1421.0547999999999</v>
      </c>
      <c r="O662" s="25">
        <v>46132.304166666669</v>
      </c>
      <c r="P662" s="26" t="s">
        <v>178</v>
      </c>
    </row>
    <row r="663" spans="1:16" x14ac:dyDescent="0.25">
      <c r="A663" s="20" t="s">
        <v>5211</v>
      </c>
      <c r="B663" s="21">
        <v>636</v>
      </c>
      <c r="C663" s="22" t="s">
        <v>323</v>
      </c>
      <c r="D663" s="22" t="s">
        <v>1403</v>
      </c>
      <c r="E663" s="22" t="str">
        <f>CONCATENATE(B663,D663)</f>
        <v>63663701-310</v>
      </c>
      <c r="F663" s="22" t="s">
        <v>1404</v>
      </c>
      <c r="G663" s="22" t="s">
        <v>29</v>
      </c>
      <c r="H663" s="23">
        <v>272.49220000000003</v>
      </c>
      <c r="I663" s="24">
        <v>4</v>
      </c>
      <c r="J663" s="24">
        <v>0</v>
      </c>
      <c r="K663" s="24">
        <v>0</v>
      </c>
      <c r="L663" s="41">
        <f>Table2[[#This Row],[Column1]]+Table2[[#This Row],[Column2]]</f>
        <v>0</v>
      </c>
      <c r="M663" s="42">
        <f>Table2[[#This Row],[OnHandQty]]-Table2[[#This Row],[Projection Nov/Dec]]</f>
        <v>4</v>
      </c>
      <c r="N663" s="35">
        <f>Table2[[#This Row],[OverStock]]*Table2[[#This Row],[RepCost]]</f>
        <v>1089.9688000000001</v>
      </c>
      <c r="O663" s="25">
        <v>46086.3125</v>
      </c>
      <c r="P663" s="26" t="s">
        <v>1229</v>
      </c>
    </row>
    <row r="664" spans="1:16" x14ac:dyDescent="0.25">
      <c r="A664" s="20" t="s">
        <v>5211</v>
      </c>
      <c r="B664" s="21">
        <v>636</v>
      </c>
      <c r="C664" s="22" t="s">
        <v>323</v>
      </c>
      <c r="D664" s="22" t="s">
        <v>1484</v>
      </c>
      <c r="E664" s="22" t="str">
        <f>CONCATENATE(B664,D664)</f>
        <v>63663701-309</v>
      </c>
      <c r="F664" s="22" t="s">
        <v>1485</v>
      </c>
      <c r="G664" s="22" t="s">
        <v>29</v>
      </c>
      <c r="H664" s="23">
        <v>238.1</v>
      </c>
      <c r="I664" s="24">
        <v>1</v>
      </c>
      <c r="J664" s="24">
        <v>0</v>
      </c>
      <c r="K664" s="24">
        <v>0</v>
      </c>
      <c r="L664" s="41">
        <f>Table2[[#This Row],[Column1]]+Table2[[#This Row],[Column2]]</f>
        <v>0</v>
      </c>
      <c r="M664" s="42">
        <f>Table2[[#This Row],[OnHandQty]]-Table2[[#This Row],[Projection Nov/Dec]]</f>
        <v>1</v>
      </c>
      <c r="N664" s="35">
        <f>Table2[[#This Row],[OverStock]]*Table2[[#This Row],[RepCost]]</f>
        <v>238.1</v>
      </c>
      <c r="O664" s="25">
        <v>46086.3125</v>
      </c>
      <c r="P664" s="26" t="s">
        <v>1229</v>
      </c>
    </row>
    <row r="665" spans="1:16" x14ac:dyDescent="0.25">
      <c r="A665" s="20" t="s">
        <v>5211</v>
      </c>
      <c r="B665" s="21">
        <v>718</v>
      </c>
      <c r="C665" s="22" t="s">
        <v>323</v>
      </c>
      <c r="D665" s="22" t="s">
        <v>3452</v>
      </c>
      <c r="E665" s="22" t="str">
        <f>CONCATENATE(B665,D665)</f>
        <v>71886391-0175</v>
      </c>
      <c r="F665" s="22" t="s">
        <v>3453</v>
      </c>
      <c r="G665" s="22" t="s">
        <v>29</v>
      </c>
      <c r="H665" s="23">
        <v>164.77610000000001</v>
      </c>
      <c r="I665" s="24">
        <v>1</v>
      </c>
      <c r="J665" s="24">
        <v>0</v>
      </c>
      <c r="K665" s="24">
        <v>0</v>
      </c>
      <c r="L665" s="41">
        <f>Table2[[#This Row],[Column1]]+Table2[[#This Row],[Column2]]</f>
        <v>0</v>
      </c>
      <c r="M665" s="42">
        <f>Table2[[#This Row],[OnHandQty]]-Table2[[#This Row],[Projection Nov/Dec]]</f>
        <v>1</v>
      </c>
      <c r="N665" s="35">
        <f>Table2[[#This Row],[OverStock]]*Table2[[#This Row],[RepCost]]</f>
        <v>164.77610000000001</v>
      </c>
      <c r="O665" s="25">
        <v>46092.524305555555</v>
      </c>
      <c r="P665" s="26" t="s">
        <v>2257</v>
      </c>
    </row>
    <row r="666" spans="1:16" x14ac:dyDescent="0.25">
      <c r="A666" s="20" t="s">
        <v>5211</v>
      </c>
      <c r="B666" s="21">
        <v>714</v>
      </c>
      <c r="C666" s="22" t="s">
        <v>323</v>
      </c>
      <c r="D666" s="22" t="s">
        <v>3452</v>
      </c>
      <c r="E666" s="22" t="str">
        <f>CONCATENATE(B666,D666)</f>
        <v>71486391-0175</v>
      </c>
      <c r="F666" s="22" t="s">
        <v>3453</v>
      </c>
      <c r="G666" s="22" t="s">
        <v>29</v>
      </c>
      <c r="H666" s="23">
        <v>162.51009999999999</v>
      </c>
      <c r="I666" s="24">
        <v>3</v>
      </c>
      <c r="J666" s="24">
        <v>0</v>
      </c>
      <c r="K666" s="24">
        <v>0</v>
      </c>
      <c r="L666" s="41">
        <f>Table2[[#This Row],[Column1]]+Table2[[#This Row],[Column2]]</f>
        <v>0</v>
      </c>
      <c r="M666" s="42">
        <f>Table2[[#This Row],[OnHandQty]]-Table2[[#This Row],[Projection Nov/Dec]]</f>
        <v>3</v>
      </c>
      <c r="N666" s="35">
        <f>Table2[[#This Row],[OverStock]]*Table2[[#This Row],[RepCost]]</f>
        <v>487.53030000000001</v>
      </c>
      <c r="O666" s="25">
        <v>46101.384722222225</v>
      </c>
      <c r="P666" s="26" t="s">
        <v>2257</v>
      </c>
    </row>
    <row r="667" spans="1:16" x14ac:dyDescent="0.25">
      <c r="A667" s="20" t="s">
        <v>5211</v>
      </c>
      <c r="B667" s="21">
        <v>636</v>
      </c>
      <c r="C667" s="22" t="s">
        <v>323</v>
      </c>
      <c r="D667" s="22" t="s">
        <v>1458</v>
      </c>
      <c r="E667" s="22" t="str">
        <f>CONCATENATE(B667,D667)</f>
        <v>63695030-020</v>
      </c>
      <c r="F667" s="22" t="s">
        <v>1459</v>
      </c>
      <c r="G667" s="22" t="s">
        <v>29</v>
      </c>
      <c r="H667" s="23">
        <v>209.20939999999999</v>
      </c>
      <c r="I667" s="24">
        <v>3</v>
      </c>
      <c r="J667" s="24">
        <v>0</v>
      </c>
      <c r="K667" s="24">
        <v>0</v>
      </c>
      <c r="L667" s="41">
        <f>Table2[[#This Row],[Column1]]+Table2[[#This Row],[Column2]]</f>
        <v>0</v>
      </c>
      <c r="M667" s="42">
        <f>Table2[[#This Row],[OnHandQty]]-Table2[[#This Row],[Projection Nov/Dec]]</f>
        <v>3</v>
      </c>
      <c r="N667" s="35">
        <f>Table2[[#This Row],[OverStock]]*Table2[[#This Row],[RepCost]]</f>
        <v>627.62819999999999</v>
      </c>
      <c r="O667" s="25">
        <v>46098.375694444447</v>
      </c>
      <c r="P667" s="26" t="s">
        <v>1229</v>
      </c>
    </row>
    <row r="668" spans="1:16" x14ac:dyDescent="0.25">
      <c r="A668" s="20" t="s">
        <v>5211</v>
      </c>
      <c r="B668" s="21">
        <v>714</v>
      </c>
      <c r="C668" s="22" t="s">
        <v>143</v>
      </c>
      <c r="D668" s="22" t="s">
        <v>198</v>
      </c>
      <c r="E668" s="22" t="str">
        <f>CONCATENATE(B668,D668)</f>
        <v>71477278-103</v>
      </c>
      <c r="F668" s="27" t="s">
        <v>199</v>
      </c>
      <c r="G668" s="27" t="s">
        <v>58</v>
      </c>
      <c r="H668" s="23">
        <v>19.487200000000001</v>
      </c>
      <c r="I668" s="24">
        <v>7</v>
      </c>
      <c r="J668" s="24">
        <v>0</v>
      </c>
      <c r="K668" s="24">
        <v>0</v>
      </c>
      <c r="L668" s="41">
        <f>Table2[[#This Row],[Column1]]+Table2[[#This Row],[Column2]]</f>
        <v>0</v>
      </c>
      <c r="M668" s="42">
        <f>Table2[[#This Row],[OnHandQty]]-Table2[[#This Row],[Projection Nov/Dec]]</f>
        <v>7</v>
      </c>
      <c r="N668" s="35">
        <f>Table2[[#This Row],[OverStock]]*Table2[[#This Row],[RepCost]]</f>
        <v>136.41040000000001</v>
      </c>
      <c r="O668" s="25">
        <v>45790.334722222222</v>
      </c>
      <c r="P668" s="26" t="s">
        <v>40</v>
      </c>
    </row>
    <row r="669" spans="1:16" x14ac:dyDescent="0.25">
      <c r="A669" s="20" t="s">
        <v>5211</v>
      </c>
      <c r="B669" s="21">
        <v>634</v>
      </c>
      <c r="C669" s="22" t="s">
        <v>143</v>
      </c>
      <c r="D669" s="22" t="s">
        <v>198</v>
      </c>
      <c r="E669" s="22" t="str">
        <f>CONCATENATE(B669,D669)</f>
        <v>63477278-103</v>
      </c>
      <c r="F669" s="22" t="s">
        <v>199</v>
      </c>
      <c r="G669" s="22" t="s">
        <v>29</v>
      </c>
      <c r="H669" s="23">
        <v>19.984100000000002</v>
      </c>
      <c r="I669" s="24">
        <v>2</v>
      </c>
      <c r="J669" s="24">
        <v>0</v>
      </c>
      <c r="K669" s="24">
        <v>0</v>
      </c>
      <c r="L669" s="41">
        <f>Table2[[#This Row],[Column1]]+Table2[[#This Row],[Column2]]</f>
        <v>0</v>
      </c>
      <c r="M669" s="42">
        <f>Table2[[#This Row],[OnHandQty]]-Table2[[#This Row],[Projection Nov/Dec]]</f>
        <v>2</v>
      </c>
      <c r="N669" s="35">
        <f>Table2[[#This Row],[OverStock]]*Table2[[#This Row],[RepCost]]</f>
        <v>39.968200000000003</v>
      </c>
      <c r="O669" s="25">
        <v>46134.53125</v>
      </c>
      <c r="P669" s="26" t="s">
        <v>40</v>
      </c>
    </row>
    <row r="670" spans="1:16" x14ac:dyDescent="0.25">
      <c r="A670" s="20" t="s">
        <v>5211</v>
      </c>
      <c r="B670" s="21">
        <v>714</v>
      </c>
      <c r="C670" s="22" t="s">
        <v>143</v>
      </c>
      <c r="D670" s="22" t="s">
        <v>2350</v>
      </c>
      <c r="E670" s="22" t="str">
        <f>CONCATENATE(B670,D670)</f>
        <v>71463720-103</v>
      </c>
      <c r="F670" s="22" t="s">
        <v>2351</v>
      </c>
      <c r="G670" s="22" t="s">
        <v>35</v>
      </c>
      <c r="H670" s="23">
        <v>18.4115</v>
      </c>
      <c r="I670" s="24">
        <v>5</v>
      </c>
      <c r="J670" s="24">
        <v>0</v>
      </c>
      <c r="K670" s="24">
        <v>0</v>
      </c>
      <c r="L670" s="41">
        <f>Table2[[#This Row],[Column1]]+Table2[[#This Row],[Column2]]</f>
        <v>0</v>
      </c>
      <c r="M670" s="42">
        <f>Table2[[#This Row],[OnHandQty]]-Table2[[#This Row],[Projection Nov/Dec]]</f>
        <v>5</v>
      </c>
      <c r="N670" s="35">
        <f>Table2[[#This Row],[OverStock]]*Table2[[#This Row],[RepCost]]</f>
        <v>92.057500000000005</v>
      </c>
      <c r="O670" s="25">
        <v>45791.642361111109</v>
      </c>
      <c r="P670" s="26" t="s">
        <v>195</v>
      </c>
    </row>
    <row r="671" spans="1:16" x14ac:dyDescent="0.25">
      <c r="A671" s="20" t="s">
        <v>5211</v>
      </c>
      <c r="B671" s="21">
        <v>718</v>
      </c>
      <c r="C671" s="22" t="s">
        <v>143</v>
      </c>
      <c r="D671" s="22" t="s">
        <v>3816</v>
      </c>
      <c r="E671" s="22" t="str">
        <f>CONCATENATE(B671,D671)</f>
        <v>71877849-105</v>
      </c>
      <c r="F671" s="27" t="s">
        <v>3817</v>
      </c>
      <c r="G671" s="27" t="s">
        <v>58</v>
      </c>
      <c r="H671" s="23">
        <v>30.007999999999999</v>
      </c>
      <c r="I671" s="24">
        <v>3</v>
      </c>
      <c r="J671" s="24">
        <v>0</v>
      </c>
      <c r="K671" s="24">
        <v>0</v>
      </c>
      <c r="L671" s="41">
        <f>Table2[[#This Row],[Column1]]+Table2[[#This Row],[Column2]]</f>
        <v>0</v>
      </c>
      <c r="M671" s="42">
        <f>Table2[[#This Row],[OnHandQty]]-Table2[[#This Row],[Projection Nov/Dec]]</f>
        <v>3</v>
      </c>
      <c r="N671" s="35">
        <f>Table2[[#This Row],[OverStock]]*Table2[[#This Row],[RepCost]]</f>
        <v>90.024000000000001</v>
      </c>
      <c r="O671" s="25">
        <v>45756.557638888888</v>
      </c>
      <c r="P671" s="26" t="s">
        <v>40</v>
      </c>
    </row>
    <row r="672" spans="1:16" x14ac:dyDescent="0.25">
      <c r="A672" s="20" t="s">
        <v>5211</v>
      </c>
      <c r="B672" s="21">
        <v>714</v>
      </c>
      <c r="C672" s="22" t="s">
        <v>143</v>
      </c>
      <c r="D672" s="22" t="s">
        <v>2608</v>
      </c>
      <c r="E672" s="22" t="str">
        <f>CONCATENATE(B672,D672)</f>
        <v>71477849-107</v>
      </c>
      <c r="F672" s="22" t="s">
        <v>2609</v>
      </c>
      <c r="G672" s="22" t="s">
        <v>29</v>
      </c>
      <c r="H672" s="23">
        <v>50.548699999999997</v>
      </c>
      <c r="I672" s="24">
        <v>16</v>
      </c>
      <c r="J672" s="24">
        <v>0</v>
      </c>
      <c r="K672" s="24">
        <v>0</v>
      </c>
      <c r="L672" s="41">
        <f>Table2[[#This Row],[Column1]]+Table2[[#This Row],[Column2]]</f>
        <v>0</v>
      </c>
      <c r="M672" s="42">
        <f>Table2[[#This Row],[OnHandQty]]-Table2[[#This Row],[Projection Nov/Dec]]</f>
        <v>16</v>
      </c>
      <c r="N672" s="35">
        <f>Table2[[#This Row],[OverStock]]*Table2[[#This Row],[RepCost]]</f>
        <v>808.77919999999995</v>
      </c>
      <c r="O672" s="25">
        <v>46220.35833333333</v>
      </c>
      <c r="P672" s="26" t="s">
        <v>195</v>
      </c>
    </row>
    <row r="673" spans="1:16" x14ac:dyDescent="0.25">
      <c r="A673" s="20" t="s">
        <v>5211</v>
      </c>
      <c r="B673" s="21">
        <v>714</v>
      </c>
      <c r="C673" s="22" t="s">
        <v>143</v>
      </c>
      <c r="D673" s="22" t="s">
        <v>2585</v>
      </c>
      <c r="E673" s="22" t="str">
        <f>CONCATENATE(B673,D673)</f>
        <v>71463725-105</v>
      </c>
      <c r="F673" s="22" t="s">
        <v>2586</v>
      </c>
      <c r="G673" s="22" t="s">
        <v>29</v>
      </c>
      <c r="H673" s="23">
        <v>27.806999999999999</v>
      </c>
      <c r="I673" s="24">
        <v>7</v>
      </c>
      <c r="J673" s="24">
        <v>0</v>
      </c>
      <c r="K673" s="24">
        <v>0</v>
      </c>
      <c r="L673" s="41">
        <f>Table2[[#This Row],[Column1]]+Table2[[#This Row],[Column2]]</f>
        <v>0</v>
      </c>
      <c r="M673" s="42">
        <f>Table2[[#This Row],[OnHandQty]]-Table2[[#This Row],[Projection Nov/Dec]]</f>
        <v>7</v>
      </c>
      <c r="N673" s="35">
        <f>Table2[[#This Row],[OverStock]]*Table2[[#This Row],[RepCost]]</f>
        <v>194.649</v>
      </c>
      <c r="O673" s="25">
        <v>46176.343055555553</v>
      </c>
      <c r="P673" s="26" t="s">
        <v>2066</v>
      </c>
    </row>
    <row r="674" spans="1:16" x14ac:dyDescent="0.25">
      <c r="A674" s="20" t="s">
        <v>5211</v>
      </c>
      <c r="B674" s="21">
        <v>714</v>
      </c>
      <c r="C674" s="22" t="s">
        <v>323</v>
      </c>
      <c r="D674" s="22" t="s">
        <v>3083</v>
      </c>
      <c r="E674" s="22" t="str">
        <f>CONCATENATE(B674,D674)</f>
        <v>71479087-115</v>
      </c>
      <c r="F674" s="22" t="s">
        <v>3084</v>
      </c>
      <c r="G674" s="22" t="s">
        <v>29</v>
      </c>
      <c r="H674" s="23">
        <v>103.5919</v>
      </c>
      <c r="I674" s="24">
        <v>1</v>
      </c>
      <c r="J674" s="24">
        <v>0</v>
      </c>
      <c r="K674" s="24">
        <v>0</v>
      </c>
      <c r="L674" s="41">
        <f>Table2[[#This Row],[Column1]]+Table2[[#This Row],[Column2]]</f>
        <v>0</v>
      </c>
      <c r="M674" s="42">
        <f>Table2[[#This Row],[OnHandQty]]-Table2[[#This Row],[Projection Nov/Dec]]</f>
        <v>1</v>
      </c>
      <c r="N674" s="35">
        <f>Table2[[#This Row],[OverStock]]*Table2[[#This Row],[RepCost]]</f>
        <v>103.5919</v>
      </c>
      <c r="O674" s="25">
        <v>44732.925694444442</v>
      </c>
      <c r="P674" s="26" t="s">
        <v>3009</v>
      </c>
    </row>
    <row r="675" spans="1:16" x14ac:dyDescent="0.25">
      <c r="A675" s="20" t="s">
        <v>5211</v>
      </c>
      <c r="B675" s="21">
        <v>636</v>
      </c>
      <c r="C675" s="22" t="s">
        <v>323</v>
      </c>
      <c r="D675" s="22" t="s">
        <v>1336</v>
      </c>
      <c r="E675" s="22" t="str">
        <f>CONCATENATE(B675,D675)</f>
        <v>63679087-020</v>
      </c>
      <c r="F675" s="22" t="s">
        <v>1337</v>
      </c>
      <c r="G675" s="22" t="s">
        <v>19</v>
      </c>
      <c r="H675" s="23">
        <v>322.13729999999998</v>
      </c>
      <c r="I675" s="24">
        <v>10</v>
      </c>
      <c r="J675" s="24">
        <v>0</v>
      </c>
      <c r="K675" s="24">
        <v>0</v>
      </c>
      <c r="L675" s="41">
        <f>Table2[[#This Row],[Column1]]+Table2[[#This Row],[Column2]]</f>
        <v>0</v>
      </c>
      <c r="M675" s="42">
        <f>Table2[[#This Row],[OnHandQty]]-Table2[[#This Row],[Projection Nov/Dec]]</f>
        <v>10</v>
      </c>
      <c r="N675" s="35">
        <f>Table2[[#This Row],[OverStock]]*Table2[[#This Row],[RepCost]]</f>
        <v>3221.3729999999996</v>
      </c>
      <c r="O675" s="25">
        <v>46133.45</v>
      </c>
      <c r="P675" s="26" t="s">
        <v>137</v>
      </c>
    </row>
    <row r="676" spans="1:16" x14ac:dyDescent="0.25">
      <c r="A676" s="20" t="s">
        <v>5211</v>
      </c>
      <c r="B676" s="21">
        <v>718</v>
      </c>
      <c r="C676" s="22" t="s">
        <v>323</v>
      </c>
      <c r="D676" s="22" t="s">
        <v>1336</v>
      </c>
      <c r="E676" s="22" t="str">
        <f>CONCATENATE(B676,D676)</f>
        <v>71879087-020</v>
      </c>
      <c r="F676" s="22" t="s">
        <v>1337</v>
      </c>
      <c r="G676" s="22" t="s">
        <v>23</v>
      </c>
      <c r="H676" s="23">
        <v>221.66669999999999</v>
      </c>
      <c r="I676" s="24">
        <v>6</v>
      </c>
      <c r="J676" s="24">
        <v>0</v>
      </c>
      <c r="K676" s="24">
        <v>0</v>
      </c>
      <c r="L676" s="41">
        <f>Table2[[#This Row],[Column1]]+Table2[[#This Row],[Column2]]</f>
        <v>0</v>
      </c>
      <c r="M676" s="42">
        <f>Table2[[#This Row],[OnHandQty]]-Table2[[#This Row],[Projection Nov/Dec]]</f>
        <v>6</v>
      </c>
      <c r="N676" s="35">
        <f>Table2[[#This Row],[OverStock]]*Table2[[#This Row],[RepCost]]</f>
        <v>1330.0001999999999</v>
      </c>
      <c r="O676" s="25">
        <v>46144.428472222222</v>
      </c>
      <c r="P676" s="26" t="s">
        <v>3838</v>
      </c>
    </row>
    <row r="677" spans="1:16" x14ac:dyDescent="0.25">
      <c r="A677" s="20" t="s">
        <v>5211</v>
      </c>
      <c r="B677" s="21">
        <v>636</v>
      </c>
      <c r="C677" s="22" t="s">
        <v>323</v>
      </c>
      <c r="D677" s="22" t="s">
        <v>1747</v>
      </c>
      <c r="E677" s="22" t="str">
        <f>CONCATENATE(B677,D677)</f>
        <v>63679087-020PREM</v>
      </c>
      <c r="F677" s="22" t="s">
        <v>1748</v>
      </c>
      <c r="G677" s="22" t="s">
        <v>29</v>
      </c>
      <c r="H677" s="23">
        <v>304.11340000000001</v>
      </c>
      <c r="I677" s="24">
        <v>2</v>
      </c>
      <c r="J677" s="24">
        <v>0</v>
      </c>
      <c r="K677" s="24">
        <v>0</v>
      </c>
      <c r="L677" s="41">
        <f>Table2[[#This Row],[Column1]]+Table2[[#This Row],[Column2]]</f>
        <v>0</v>
      </c>
      <c r="M677" s="42">
        <f>Table2[[#This Row],[OnHandQty]]-Table2[[#This Row],[Projection Nov/Dec]]</f>
        <v>2</v>
      </c>
      <c r="N677" s="35">
        <f>Table2[[#This Row],[OverStock]]*Table2[[#This Row],[RepCost]]</f>
        <v>608.22680000000003</v>
      </c>
      <c r="O677" s="25">
        <v>46107.522222222222</v>
      </c>
      <c r="P677" s="26" t="s">
        <v>178</v>
      </c>
    </row>
    <row r="678" spans="1:16" x14ac:dyDescent="0.25">
      <c r="A678" s="20" t="s">
        <v>5211</v>
      </c>
      <c r="B678" s="21">
        <v>636</v>
      </c>
      <c r="C678" s="22" t="s">
        <v>323</v>
      </c>
      <c r="D678" s="22" t="s">
        <v>1523</v>
      </c>
      <c r="E678" s="22" t="str">
        <f>CONCATENATE(B678,D678)</f>
        <v>63685320-030</v>
      </c>
      <c r="F678" s="22" t="s">
        <v>1524</v>
      </c>
      <c r="G678" s="22" t="s">
        <v>19</v>
      </c>
      <c r="H678" s="23">
        <v>296.81299999999999</v>
      </c>
      <c r="I678" s="24">
        <v>3</v>
      </c>
      <c r="J678" s="24">
        <v>0</v>
      </c>
      <c r="K678" s="24">
        <v>0</v>
      </c>
      <c r="L678" s="41">
        <f>Table2[[#This Row],[Column1]]+Table2[[#This Row],[Column2]]</f>
        <v>0</v>
      </c>
      <c r="M678" s="42">
        <f>Table2[[#This Row],[OnHandQty]]-Table2[[#This Row],[Projection Nov/Dec]]</f>
        <v>3</v>
      </c>
      <c r="N678" s="35">
        <f>Table2[[#This Row],[OverStock]]*Table2[[#This Row],[RepCost]]</f>
        <v>890.43899999999996</v>
      </c>
      <c r="O678" s="25">
        <v>46108.488888888889</v>
      </c>
      <c r="P678" s="26" t="s">
        <v>357</v>
      </c>
    </row>
    <row r="679" spans="1:16" x14ac:dyDescent="0.25">
      <c r="A679" s="20" t="s">
        <v>5211</v>
      </c>
      <c r="B679" s="21">
        <v>634</v>
      </c>
      <c r="C679" s="22" t="s">
        <v>323</v>
      </c>
      <c r="D679" s="22" t="s">
        <v>422</v>
      </c>
      <c r="E679" s="22" t="str">
        <f>CONCATENATE(B679,D679)</f>
        <v>63463703-020</v>
      </c>
      <c r="F679" s="22" t="s">
        <v>423</v>
      </c>
      <c r="G679" s="22" t="s">
        <v>23</v>
      </c>
      <c r="H679" s="23">
        <v>189.77379999999999</v>
      </c>
      <c r="I679" s="24">
        <v>1</v>
      </c>
      <c r="J679" s="24">
        <v>0</v>
      </c>
      <c r="K679" s="24">
        <v>0</v>
      </c>
      <c r="L679" s="41">
        <f>Table2[[#This Row],[Column1]]+Table2[[#This Row],[Column2]]</f>
        <v>0</v>
      </c>
      <c r="M679" s="42">
        <f>Table2[[#This Row],[OnHandQty]]-Table2[[#This Row],[Projection Nov/Dec]]</f>
        <v>1</v>
      </c>
      <c r="N679" s="35">
        <f>Table2[[#This Row],[OverStock]]*Table2[[#This Row],[RepCost]]</f>
        <v>189.77379999999999</v>
      </c>
      <c r="O679" s="25">
        <v>46080.504166666666</v>
      </c>
      <c r="P679" s="26" t="s">
        <v>151</v>
      </c>
    </row>
    <row r="680" spans="1:16" x14ac:dyDescent="0.25">
      <c r="A680" s="20" t="s">
        <v>5211</v>
      </c>
      <c r="B680" s="21">
        <v>636</v>
      </c>
      <c r="C680" s="22" t="s">
        <v>323</v>
      </c>
      <c r="D680" s="22" t="s">
        <v>422</v>
      </c>
      <c r="E680" s="22" t="str">
        <f>CONCATENATE(B680,D680)</f>
        <v>63663703-020</v>
      </c>
      <c r="F680" s="22" t="s">
        <v>423</v>
      </c>
      <c r="G680" s="22" t="s">
        <v>23</v>
      </c>
      <c r="H680" s="23">
        <v>183.61930000000001</v>
      </c>
      <c r="I680" s="24">
        <v>10</v>
      </c>
      <c r="J680" s="24">
        <v>0</v>
      </c>
      <c r="K680" s="24">
        <v>0</v>
      </c>
      <c r="L680" s="41">
        <f>Table2[[#This Row],[Column1]]+Table2[[#This Row],[Column2]]</f>
        <v>0</v>
      </c>
      <c r="M680" s="42">
        <f>Table2[[#This Row],[OnHandQty]]-Table2[[#This Row],[Projection Nov/Dec]]</f>
        <v>10</v>
      </c>
      <c r="N680" s="35">
        <f>Table2[[#This Row],[OverStock]]*Table2[[#This Row],[RepCost]]</f>
        <v>1836.1930000000002</v>
      </c>
      <c r="O680" s="25">
        <v>46084.367361111108</v>
      </c>
      <c r="P680" s="26" t="s">
        <v>151</v>
      </c>
    </row>
    <row r="681" spans="1:16" x14ac:dyDescent="0.25">
      <c r="A681" s="20" t="s">
        <v>5211</v>
      </c>
      <c r="B681" s="21">
        <v>636</v>
      </c>
      <c r="C681" s="22" t="s">
        <v>323</v>
      </c>
      <c r="D681" s="22" t="s">
        <v>1693</v>
      </c>
      <c r="E681" s="22" t="str">
        <f>CONCATENATE(B681,D681)</f>
        <v>63663703-030</v>
      </c>
      <c r="F681" s="22" t="s">
        <v>1694</v>
      </c>
      <c r="G681" s="22" t="s">
        <v>455</v>
      </c>
      <c r="H681" s="23">
        <v>296.81299999999999</v>
      </c>
      <c r="I681" s="24">
        <v>3</v>
      </c>
      <c r="J681" s="24">
        <v>0</v>
      </c>
      <c r="K681" s="24">
        <v>0</v>
      </c>
      <c r="L681" s="41">
        <f>Table2[[#This Row],[Column1]]+Table2[[#This Row],[Column2]]</f>
        <v>0</v>
      </c>
      <c r="M681" s="42">
        <f>Table2[[#This Row],[OnHandQty]]-Table2[[#This Row],[Projection Nov/Dec]]</f>
        <v>3</v>
      </c>
      <c r="N681" s="35">
        <f>Table2[[#This Row],[OverStock]]*Table2[[#This Row],[RepCost]]</f>
        <v>890.43899999999996</v>
      </c>
      <c r="O681" s="25">
        <v>46108.488888888889</v>
      </c>
      <c r="P681" s="26" t="s">
        <v>357</v>
      </c>
    </row>
    <row r="682" spans="1:16" x14ac:dyDescent="0.25">
      <c r="A682" s="20" t="s">
        <v>5211</v>
      </c>
      <c r="B682" s="21">
        <v>714</v>
      </c>
      <c r="C682" s="22" t="s">
        <v>323</v>
      </c>
      <c r="D682" s="22" t="s">
        <v>2985</v>
      </c>
      <c r="E682" s="22" t="str">
        <f>CONCATENATE(B682,D682)</f>
        <v>71463705-0175</v>
      </c>
      <c r="F682" s="22" t="s">
        <v>2986</v>
      </c>
      <c r="G682" s="22" t="s">
        <v>29</v>
      </c>
      <c r="H682" s="23">
        <v>167.1585</v>
      </c>
      <c r="I682" s="24">
        <v>4</v>
      </c>
      <c r="J682" s="24">
        <v>0</v>
      </c>
      <c r="K682" s="24">
        <v>0</v>
      </c>
      <c r="L682" s="41">
        <f>Table2[[#This Row],[Column1]]+Table2[[#This Row],[Column2]]</f>
        <v>0</v>
      </c>
      <c r="M682" s="42">
        <f>Table2[[#This Row],[OnHandQty]]-Table2[[#This Row],[Projection Nov/Dec]]</f>
        <v>4</v>
      </c>
      <c r="N682" s="35">
        <f>Table2[[#This Row],[OverStock]]*Table2[[#This Row],[RepCost]]</f>
        <v>668.63400000000001</v>
      </c>
      <c r="O682" s="25">
        <v>46078.525694444441</v>
      </c>
      <c r="P682" s="26" t="s">
        <v>354</v>
      </c>
    </row>
    <row r="683" spans="1:16" x14ac:dyDescent="0.25">
      <c r="A683" s="20" t="s">
        <v>5211</v>
      </c>
      <c r="B683" s="21">
        <v>636</v>
      </c>
      <c r="C683" s="22" t="s">
        <v>323</v>
      </c>
      <c r="D683" s="22" t="s">
        <v>1470</v>
      </c>
      <c r="E683" s="22" t="str">
        <f>CONCATENATE(B683,D683)</f>
        <v>63663705-020</v>
      </c>
      <c r="F683" s="27" t="s">
        <v>1471</v>
      </c>
      <c r="G683" s="27" t="s">
        <v>58</v>
      </c>
      <c r="H683" s="23">
        <v>180.67760000000001</v>
      </c>
      <c r="I683" s="24">
        <v>1</v>
      </c>
      <c r="J683" s="24">
        <v>0</v>
      </c>
      <c r="K683" s="24">
        <v>0</v>
      </c>
      <c r="L683" s="41">
        <f>Table2[[#This Row],[Column1]]+Table2[[#This Row],[Column2]]</f>
        <v>0</v>
      </c>
      <c r="M683" s="42">
        <f>Table2[[#This Row],[OnHandQty]]-Table2[[#This Row],[Projection Nov/Dec]]</f>
        <v>1</v>
      </c>
      <c r="N683" s="35">
        <f>Table2[[#This Row],[OverStock]]*Table2[[#This Row],[RepCost]]</f>
        <v>180.67760000000001</v>
      </c>
      <c r="O683" s="25">
        <v>45733.642361111109</v>
      </c>
      <c r="P683" s="26" t="s">
        <v>357</v>
      </c>
    </row>
    <row r="684" spans="1:16" x14ac:dyDescent="0.25">
      <c r="A684" s="20" t="s">
        <v>5211</v>
      </c>
      <c r="B684" s="21">
        <v>636</v>
      </c>
      <c r="C684" s="22" t="s">
        <v>323</v>
      </c>
      <c r="D684" s="22" t="s">
        <v>337</v>
      </c>
      <c r="E684" s="22" t="str">
        <f>CONCATENATE(B684,D684)</f>
        <v>63663705-025</v>
      </c>
      <c r="F684" s="27" t="s">
        <v>338</v>
      </c>
      <c r="G684" s="27" t="s">
        <v>58</v>
      </c>
      <c r="H684" s="23">
        <v>197.7748</v>
      </c>
      <c r="I684" s="24">
        <v>1</v>
      </c>
      <c r="J684" s="24">
        <v>0</v>
      </c>
      <c r="K684" s="24">
        <v>0</v>
      </c>
      <c r="L684" s="41">
        <f>Table2[[#This Row],[Column1]]+Table2[[#This Row],[Column2]]</f>
        <v>0</v>
      </c>
      <c r="M684" s="42">
        <f>Table2[[#This Row],[OnHandQty]]-Table2[[#This Row],[Projection Nov/Dec]]</f>
        <v>1</v>
      </c>
      <c r="N684" s="35">
        <f>Table2[[#This Row],[OverStock]]*Table2[[#This Row],[RepCost]]</f>
        <v>197.7748</v>
      </c>
      <c r="O684" s="25">
        <v>45712.382638888892</v>
      </c>
      <c r="P684" s="26" t="s">
        <v>151</v>
      </c>
    </row>
    <row r="685" spans="1:16" x14ac:dyDescent="0.25">
      <c r="A685" s="20" t="s">
        <v>5211</v>
      </c>
      <c r="B685" s="21">
        <v>634</v>
      </c>
      <c r="C685" s="22" t="s">
        <v>323</v>
      </c>
      <c r="D685" s="22" t="s">
        <v>337</v>
      </c>
      <c r="E685" s="22" t="str">
        <f>CONCATENATE(B685,D685)</f>
        <v>63463705-025</v>
      </c>
      <c r="F685" s="22" t="s">
        <v>338</v>
      </c>
      <c r="G685" s="22" t="s">
        <v>19</v>
      </c>
      <c r="H685" s="23">
        <v>234.59950000000001</v>
      </c>
      <c r="I685" s="24">
        <v>2</v>
      </c>
      <c r="J685" s="24">
        <v>0</v>
      </c>
      <c r="K685" s="24">
        <v>0</v>
      </c>
      <c r="L685" s="41">
        <f>Table2[[#This Row],[Column1]]+Table2[[#This Row],[Column2]]</f>
        <v>0</v>
      </c>
      <c r="M685" s="42">
        <f>Table2[[#This Row],[OnHandQty]]-Table2[[#This Row],[Projection Nov/Dec]]</f>
        <v>2</v>
      </c>
      <c r="N685" s="35">
        <f>Table2[[#This Row],[OverStock]]*Table2[[#This Row],[RepCost]]</f>
        <v>469.19900000000001</v>
      </c>
      <c r="O685" s="25">
        <v>46083.431250000001</v>
      </c>
      <c r="P685" s="26" t="s">
        <v>151</v>
      </c>
    </row>
    <row r="686" spans="1:16" x14ac:dyDescent="0.25">
      <c r="A686" s="20" t="s">
        <v>5211</v>
      </c>
      <c r="B686" s="21">
        <v>636</v>
      </c>
      <c r="C686" s="22" t="s">
        <v>323</v>
      </c>
      <c r="D686" s="22" t="s">
        <v>1709</v>
      </c>
      <c r="E686" s="22" t="str">
        <f>CONCATENATE(B686,D686)</f>
        <v>63663704-025</v>
      </c>
      <c r="F686" s="22" t="s">
        <v>1710</v>
      </c>
      <c r="G686" s="22" t="s">
        <v>19</v>
      </c>
      <c r="H686" s="23">
        <v>226.31540000000001</v>
      </c>
      <c r="I686" s="24">
        <v>2</v>
      </c>
      <c r="J686" s="24">
        <v>0</v>
      </c>
      <c r="K686" s="24">
        <v>0</v>
      </c>
      <c r="L686" s="41">
        <f>Table2[[#This Row],[Column1]]+Table2[[#This Row],[Column2]]</f>
        <v>0</v>
      </c>
      <c r="M686" s="42">
        <f>Table2[[#This Row],[OnHandQty]]-Table2[[#This Row],[Projection Nov/Dec]]</f>
        <v>2</v>
      </c>
      <c r="N686" s="35">
        <f>Table2[[#This Row],[OverStock]]*Table2[[#This Row],[RepCost]]</f>
        <v>452.63080000000002</v>
      </c>
      <c r="O686" s="25">
        <v>46106.444444444445</v>
      </c>
      <c r="P686" s="26" t="s">
        <v>357</v>
      </c>
    </row>
    <row r="687" spans="1:16" x14ac:dyDescent="0.25">
      <c r="A687" s="20" t="s">
        <v>5211</v>
      </c>
      <c r="B687" s="21">
        <v>636</v>
      </c>
      <c r="C687" s="22" t="s">
        <v>323</v>
      </c>
      <c r="D687" s="22" t="s">
        <v>1546</v>
      </c>
      <c r="E687" s="22" t="str">
        <f>CONCATENATE(B687,D687)</f>
        <v>63663704-030</v>
      </c>
      <c r="F687" s="22" t="s">
        <v>1547</v>
      </c>
      <c r="G687" s="22" t="s">
        <v>19</v>
      </c>
      <c r="H687" s="23">
        <v>298.16149999999999</v>
      </c>
      <c r="I687" s="24">
        <v>3</v>
      </c>
      <c r="J687" s="24">
        <v>0</v>
      </c>
      <c r="K687" s="24">
        <v>0</v>
      </c>
      <c r="L687" s="41">
        <f>Table2[[#This Row],[Column1]]+Table2[[#This Row],[Column2]]</f>
        <v>0</v>
      </c>
      <c r="M687" s="42">
        <f>Table2[[#This Row],[OnHandQty]]-Table2[[#This Row],[Projection Nov/Dec]]</f>
        <v>3</v>
      </c>
      <c r="N687" s="35">
        <f>Table2[[#This Row],[OverStock]]*Table2[[#This Row],[RepCost]]</f>
        <v>894.48450000000003</v>
      </c>
      <c r="O687" s="25">
        <v>46106.444444444445</v>
      </c>
      <c r="P687" s="26" t="s">
        <v>357</v>
      </c>
    </row>
    <row r="688" spans="1:16" x14ac:dyDescent="0.25">
      <c r="A688" s="20" t="s">
        <v>5211</v>
      </c>
      <c r="B688" s="21">
        <v>718</v>
      </c>
      <c r="C688" s="22" t="s">
        <v>12</v>
      </c>
      <c r="D688" s="22" t="s">
        <v>1880</v>
      </c>
      <c r="E688" s="22" t="str">
        <f>CONCATENATE(B688,D688)</f>
        <v>71891024-105</v>
      </c>
      <c r="F688" s="22" t="s">
        <v>1881</v>
      </c>
      <c r="G688" s="22" t="s">
        <v>43</v>
      </c>
      <c r="H688" s="23">
        <v>26.518899999999999</v>
      </c>
      <c r="I688" s="24">
        <v>52</v>
      </c>
      <c r="J688" s="24">
        <v>0</v>
      </c>
      <c r="K688" s="24">
        <v>0</v>
      </c>
      <c r="L688" s="41">
        <f>Table2[[#This Row],[Column1]]+Table2[[#This Row],[Column2]]</f>
        <v>0</v>
      </c>
      <c r="M688" s="42">
        <f>Table2[[#This Row],[OnHandQty]]-Table2[[#This Row],[Projection Nov/Dec]]</f>
        <v>52</v>
      </c>
      <c r="N688" s="35">
        <f>Table2[[#This Row],[OverStock]]*Table2[[#This Row],[RepCost]]</f>
        <v>1378.9828</v>
      </c>
      <c r="O688" s="25">
        <v>46199.611111111109</v>
      </c>
      <c r="P688" s="26" t="s">
        <v>1062</v>
      </c>
    </row>
    <row r="689" spans="1:16" x14ac:dyDescent="0.25">
      <c r="A689" s="20" t="s">
        <v>5211</v>
      </c>
      <c r="B689" s="21">
        <v>714</v>
      </c>
      <c r="C689" s="22" t="s">
        <v>12</v>
      </c>
      <c r="D689" s="22" t="s">
        <v>1880</v>
      </c>
      <c r="E689" s="22" t="str">
        <f>CONCATENATE(B689,D689)</f>
        <v>71491024-105</v>
      </c>
      <c r="F689" s="22" t="s">
        <v>1881</v>
      </c>
      <c r="G689" s="22" t="s">
        <v>43</v>
      </c>
      <c r="H689" s="23">
        <v>26.738099999999999</v>
      </c>
      <c r="I689" s="24">
        <v>37</v>
      </c>
      <c r="J689" s="24">
        <v>0</v>
      </c>
      <c r="K689" s="24">
        <v>0</v>
      </c>
      <c r="L689" s="41">
        <f>Table2[[#This Row],[Column1]]+Table2[[#This Row],[Column2]]</f>
        <v>0</v>
      </c>
      <c r="M689" s="42">
        <f>Table2[[#This Row],[OnHandQty]]-Table2[[#This Row],[Projection Nov/Dec]]</f>
        <v>37</v>
      </c>
      <c r="N689" s="35">
        <f>Table2[[#This Row],[OverStock]]*Table2[[#This Row],[RepCost]]</f>
        <v>989.30970000000002</v>
      </c>
      <c r="O689" s="25">
        <v>46200.382638888892</v>
      </c>
      <c r="P689" s="26" t="s">
        <v>1062</v>
      </c>
    </row>
    <row r="690" spans="1:16" x14ac:dyDescent="0.25">
      <c r="A690" s="20" t="s">
        <v>5211</v>
      </c>
      <c r="B690" s="21">
        <v>718</v>
      </c>
      <c r="C690" s="22" t="s">
        <v>143</v>
      </c>
      <c r="D690" s="22" t="s">
        <v>3814</v>
      </c>
      <c r="E690" s="22" t="str">
        <f>CONCATENATE(B690,D690)</f>
        <v>71863771-110</v>
      </c>
      <c r="F690" s="22" t="s">
        <v>3815</v>
      </c>
      <c r="G690" s="22" t="s">
        <v>29</v>
      </c>
      <c r="H690" s="23">
        <v>46.267400000000002</v>
      </c>
      <c r="I690" s="24">
        <v>3</v>
      </c>
      <c r="J690" s="24">
        <v>0</v>
      </c>
      <c r="K690" s="24">
        <v>0</v>
      </c>
      <c r="L690" s="41">
        <f>Table2[[#This Row],[Column1]]+Table2[[#This Row],[Column2]]</f>
        <v>0</v>
      </c>
      <c r="M690" s="42">
        <f>Table2[[#This Row],[OnHandQty]]-Table2[[#This Row],[Projection Nov/Dec]]</f>
        <v>3</v>
      </c>
      <c r="N690" s="35">
        <f>Table2[[#This Row],[OverStock]]*Table2[[#This Row],[RepCost]]</f>
        <v>138.8022</v>
      </c>
      <c r="O690" s="25">
        <v>46175.657638888886</v>
      </c>
      <c r="P690" s="26" t="s">
        <v>3755</v>
      </c>
    </row>
    <row r="691" spans="1:16" x14ac:dyDescent="0.25">
      <c r="A691" s="20" t="s">
        <v>5211</v>
      </c>
      <c r="B691" s="21">
        <v>636</v>
      </c>
      <c r="C691" s="22" t="s">
        <v>143</v>
      </c>
      <c r="D691" s="22" t="s">
        <v>924</v>
      </c>
      <c r="E691" s="22" t="str">
        <f>CONCATENATE(B691,D691)</f>
        <v>63663771-107</v>
      </c>
      <c r="F691" s="22" t="s">
        <v>925</v>
      </c>
      <c r="G691" s="22" t="s">
        <v>29</v>
      </c>
      <c r="H691" s="23">
        <v>74.254800000000003</v>
      </c>
      <c r="I691" s="24">
        <v>3</v>
      </c>
      <c r="J691" s="24">
        <v>0</v>
      </c>
      <c r="K691" s="24">
        <v>0</v>
      </c>
      <c r="L691" s="41">
        <f>Table2[[#This Row],[Column1]]+Table2[[#This Row],[Column2]]</f>
        <v>0</v>
      </c>
      <c r="M691" s="42">
        <f>Table2[[#This Row],[OnHandQty]]-Table2[[#This Row],[Projection Nov/Dec]]</f>
        <v>3</v>
      </c>
      <c r="N691" s="35">
        <f>Table2[[#This Row],[OverStock]]*Table2[[#This Row],[RepCost]]</f>
        <v>222.76440000000002</v>
      </c>
      <c r="O691" s="25">
        <v>46083.459722222222</v>
      </c>
      <c r="P691" s="26" t="s">
        <v>137</v>
      </c>
    </row>
    <row r="692" spans="1:16" x14ac:dyDescent="0.25">
      <c r="A692" s="20" t="s">
        <v>5211</v>
      </c>
      <c r="B692" s="21">
        <v>714</v>
      </c>
      <c r="C692" s="22" t="s">
        <v>143</v>
      </c>
      <c r="D692" s="22" t="s">
        <v>924</v>
      </c>
      <c r="E692" s="22" t="str">
        <f>CONCATENATE(B692,D692)</f>
        <v>71463771-107</v>
      </c>
      <c r="F692" s="22" t="s">
        <v>925</v>
      </c>
      <c r="G692" s="22" t="s">
        <v>29</v>
      </c>
      <c r="H692" s="23">
        <v>74.827100000000002</v>
      </c>
      <c r="I692" s="24">
        <v>2</v>
      </c>
      <c r="J692" s="24">
        <v>0</v>
      </c>
      <c r="K692" s="24">
        <v>0</v>
      </c>
      <c r="L692" s="41">
        <f>Table2[[#This Row],[Column1]]+Table2[[#This Row],[Column2]]</f>
        <v>0</v>
      </c>
      <c r="M692" s="42">
        <f>Table2[[#This Row],[OnHandQty]]-Table2[[#This Row],[Projection Nov/Dec]]</f>
        <v>2</v>
      </c>
      <c r="N692" s="35">
        <f>Table2[[#This Row],[OverStock]]*Table2[[#This Row],[RepCost]]</f>
        <v>149.6542</v>
      </c>
      <c r="O692" s="25">
        <v>46149.3125</v>
      </c>
      <c r="P692" s="26" t="s">
        <v>137</v>
      </c>
    </row>
    <row r="693" spans="1:16" x14ac:dyDescent="0.25">
      <c r="A693" s="20" t="s">
        <v>5211</v>
      </c>
      <c r="B693" s="21">
        <v>636</v>
      </c>
      <c r="C693" s="22" t="s">
        <v>143</v>
      </c>
      <c r="D693" s="22" t="s">
        <v>930</v>
      </c>
      <c r="E693" s="22" t="str">
        <f>CONCATENATE(B693,D693)</f>
        <v>63663771-STD110</v>
      </c>
      <c r="F693" s="22" t="s">
        <v>931</v>
      </c>
      <c r="G693" s="22" t="s">
        <v>29</v>
      </c>
      <c r="H693" s="23">
        <v>121.6129</v>
      </c>
      <c r="I693" s="24">
        <v>4</v>
      </c>
      <c r="J693" s="24">
        <v>0</v>
      </c>
      <c r="K693" s="24">
        <v>0</v>
      </c>
      <c r="L693" s="41">
        <f>Table2[[#This Row],[Column1]]+Table2[[#This Row],[Column2]]</f>
        <v>0</v>
      </c>
      <c r="M693" s="42">
        <f>Table2[[#This Row],[OnHandQty]]-Table2[[#This Row],[Projection Nov/Dec]]</f>
        <v>4</v>
      </c>
      <c r="N693" s="35">
        <f>Table2[[#This Row],[OverStock]]*Table2[[#This Row],[RepCost]]</f>
        <v>486.45159999999998</v>
      </c>
      <c r="O693" s="25">
        <v>46140.540972222225</v>
      </c>
      <c r="P693" s="26" t="s">
        <v>885</v>
      </c>
    </row>
    <row r="694" spans="1:16" x14ac:dyDescent="0.25">
      <c r="A694" s="20" t="s">
        <v>5211</v>
      </c>
      <c r="B694" s="21">
        <v>714</v>
      </c>
      <c r="C694" s="22" t="s">
        <v>323</v>
      </c>
      <c r="D694" s="22" t="s">
        <v>3458</v>
      </c>
      <c r="E694" s="22" t="str">
        <f>CONCATENATE(B694,D694)</f>
        <v>71463818-224</v>
      </c>
      <c r="F694" s="22" t="s">
        <v>3459</v>
      </c>
      <c r="G694" s="22" t="s">
        <v>29</v>
      </c>
      <c r="H694" s="23">
        <v>94.157499999999999</v>
      </c>
      <c r="I694" s="24">
        <v>2</v>
      </c>
      <c r="J694" s="24">
        <v>0</v>
      </c>
      <c r="K694" s="24">
        <v>0</v>
      </c>
      <c r="L694" s="41">
        <f>Table2[[#This Row],[Column1]]+Table2[[#This Row],[Column2]]</f>
        <v>0</v>
      </c>
      <c r="M694" s="42">
        <f>Table2[[#This Row],[OnHandQty]]-Table2[[#This Row],[Projection Nov/Dec]]</f>
        <v>2</v>
      </c>
      <c r="N694" s="35">
        <f>Table2[[#This Row],[OverStock]]*Table2[[#This Row],[RepCost]]</f>
        <v>188.315</v>
      </c>
      <c r="O694" s="25">
        <v>45749.481944444444</v>
      </c>
      <c r="P694" s="26" t="s">
        <v>2423</v>
      </c>
    </row>
    <row r="695" spans="1:16" x14ac:dyDescent="0.25">
      <c r="A695" s="20" t="s">
        <v>5211</v>
      </c>
      <c r="B695" s="21">
        <v>714</v>
      </c>
      <c r="C695" s="22" t="s">
        <v>143</v>
      </c>
      <c r="D695" s="22" t="s">
        <v>2732</v>
      </c>
      <c r="E695" s="22" t="str">
        <f>CONCATENATE(B695,D695)</f>
        <v>71463818-236</v>
      </c>
      <c r="F695" s="22" t="s">
        <v>2733</v>
      </c>
      <c r="G695" s="22" t="s">
        <v>29</v>
      </c>
      <c r="H695" s="23">
        <v>122.4543</v>
      </c>
      <c r="I695" s="24">
        <v>4</v>
      </c>
      <c r="J695" s="24">
        <v>0</v>
      </c>
      <c r="K695" s="24">
        <v>0</v>
      </c>
      <c r="L695" s="41">
        <f>Table2[[#This Row],[Column1]]+Table2[[#This Row],[Column2]]</f>
        <v>0</v>
      </c>
      <c r="M695" s="42">
        <f>Table2[[#This Row],[OnHandQty]]-Table2[[#This Row],[Projection Nov/Dec]]</f>
        <v>4</v>
      </c>
      <c r="N695" s="35">
        <f>Table2[[#This Row],[OverStock]]*Table2[[#This Row],[RepCost]]</f>
        <v>489.81720000000001</v>
      </c>
      <c r="O695" s="25">
        <v>46118.304861111108</v>
      </c>
      <c r="P695" s="26" t="s">
        <v>2423</v>
      </c>
    </row>
    <row r="696" spans="1:16" x14ac:dyDescent="0.25">
      <c r="A696" s="20" t="s">
        <v>5211</v>
      </c>
      <c r="B696" s="21">
        <v>718</v>
      </c>
      <c r="C696" s="22" t="s">
        <v>143</v>
      </c>
      <c r="D696" s="22" t="s">
        <v>3753</v>
      </c>
      <c r="E696" s="22" t="str">
        <f>CONCATENATE(B696,D696)</f>
        <v>71863821-110</v>
      </c>
      <c r="F696" s="22" t="s">
        <v>3754</v>
      </c>
      <c r="G696" s="22" t="s">
        <v>35</v>
      </c>
      <c r="H696" s="23">
        <v>38.907400000000003</v>
      </c>
      <c r="I696" s="24">
        <v>2</v>
      </c>
      <c r="J696" s="24">
        <v>0</v>
      </c>
      <c r="K696" s="24">
        <v>0</v>
      </c>
      <c r="L696" s="41">
        <f>Table2[[#This Row],[Column1]]+Table2[[#This Row],[Column2]]</f>
        <v>0</v>
      </c>
      <c r="M696" s="42">
        <f>Table2[[#This Row],[OnHandQty]]-Table2[[#This Row],[Projection Nov/Dec]]</f>
        <v>2</v>
      </c>
      <c r="N696" s="35">
        <f>Table2[[#This Row],[OverStock]]*Table2[[#This Row],[RepCost]]</f>
        <v>77.814800000000005</v>
      </c>
      <c r="O696" s="25">
        <v>45849.415972222225</v>
      </c>
      <c r="P696" s="26" t="s">
        <v>26</v>
      </c>
    </row>
    <row r="697" spans="1:16" x14ac:dyDescent="0.25">
      <c r="A697" s="20" t="s">
        <v>5211</v>
      </c>
      <c r="B697" s="21">
        <v>634</v>
      </c>
      <c r="C697" s="22" t="s">
        <v>143</v>
      </c>
      <c r="D697" s="22" t="s">
        <v>187</v>
      </c>
      <c r="E697" s="22" t="str">
        <f>CONCATENATE(B697,D697)</f>
        <v>63463821-305</v>
      </c>
      <c r="F697" s="22" t="s">
        <v>188</v>
      </c>
      <c r="G697" s="22" t="s">
        <v>29</v>
      </c>
      <c r="H697" s="23">
        <v>121.9889</v>
      </c>
      <c r="I697" s="24">
        <v>1</v>
      </c>
      <c r="J697" s="24">
        <v>0</v>
      </c>
      <c r="K697" s="24">
        <v>0</v>
      </c>
      <c r="L697" s="41">
        <f>Table2[[#This Row],[Column1]]+Table2[[#This Row],[Column2]]</f>
        <v>0</v>
      </c>
      <c r="M697" s="42">
        <f>Table2[[#This Row],[OnHandQty]]-Table2[[#This Row],[Projection Nov/Dec]]</f>
        <v>1</v>
      </c>
      <c r="N697" s="35">
        <f>Table2[[#This Row],[OverStock]]*Table2[[#This Row],[RepCost]]</f>
        <v>121.9889</v>
      </c>
      <c r="O697" s="25">
        <v>46113.665277777778</v>
      </c>
      <c r="P697" s="26" t="s">
        <v>137</v>
      </c>
    </row>
    <row r="698" spans="1:16" x14ac:dyDescent="0.25">
      <c r="A698" s="20" t="s">
        <v>5211</v>
      </c>
      <c r="B698" s="21">
        <v>718</v>
      </c>
      <c r="C698" s="22" t="s">
        <v>143</v>
      </c>
      <c r="D698" s="22" t="s">
        <v>187</v>
      </c>
      <c r="E698" s="22" t="str">
        <f>CONCATENATE(B698,D698)</f>
        <v>71863821-305</v>
      </c>
      <c r="F698" s="22" t="s">
        <v>188</v>
      </c>
      <c r="G698" s="22" t="s">
        <v>19</v>
      </c>
      <c r="H698" s="23">
        <v>154.25960000000001</v>
      </c>
      <c r="I698" s="24">
        <v>5</v>
      </c>
      <c r="J698" s="24">
        <v>0</v>
      </c>
      <c r="K698" s="24">
        <v>0</v>
      </c>
      <c r="L698" s="41">
        <f>Table2[[#This Row],[Column1]]+Table2[[#This Row],[Column2]]</f>
        <v>0</v>
      </c>
      <c r="M698" s="42">
        <f>Table2[[#This Row],[OnHandQty]]-Table2[[#This Row],[Projection Nov/Dec]]</f>
        <v>5</v>
      </c>
      <c r="N698" s="35">
        <f>Table2[[#This Row],[OverStock]]*Table2[[#This Row],[RepCost]]</f>
        <v>771.298</v>
      </c>
      <c r="O698" s="25">
        <v>46147.675694444442</v>
      </c>
      <c r="P698" s="26" t="s">
        <v>1535</v>
      </c>
    </row>
    <row r="699" spans="1:16" x14ac:dyDescent="0.25">
      <c r="A699" s="20" t="s">
        <v>5211</v>
      </c>
      <c r="B699" s="21">
        <v>714</v>
      </c>
      <c r="C699" s="22" t="s">
        <v>143</v>
      </c>
      <c r="D699" s="22" t="s">
        <v>2531</v>
      </c>
      <c r="E699" s="22" t="str">
        <f>CONCATENATE(B699,D699)</f>
        <v>71463821-105</v>
      </c>
      <c r="F699" s="22" t="s">
        <v>2532</v>
      </c>
      <c r="G699" s="22" t="s">
        <v>23</v>
      </c>
      <c r="H699" s="23">
        <v>23.546700000000001</v>
      </c>
      <c r="I699" s="24">
        <v>8</v>
      </c>
      <c r="J699" s="24">
        <v>0</v>
      </c>
      <c r="K699" s="24">
        <v>2</v>
      </c>
      <c r="L699" s="41">
        <f>Table2[[#This Row],[Column1]]+Table2[[#This Row],[Column2]]</f>
        <v>2</v>
      </c>
      <c r="M699" s="42">
        <f>Table2[[#This Row],[OnHandQty]]-Table2[[#This Row],[Projection Nov/Dec]]</f>
        <v>6</v>
      </c>
      <c r="N699" s="35">
        <f>Table2[[#This Row],[OverStock]]*Table2[[#This Row],[RepCost]]</f>
        <v>141.28020000000001</v>
      </c>
      <c r="O699" s="25">
        <v>46169.443055555559</v>
      </c>
      <c r="P699" s="26" t="s">
        <v>26</v>
      </c>
    </row>
    <row r="700" spans="1:16" x14ac:dyDescent="0.25">
      <c r="A700" s="20" t="s">
        <v>5211</v>
      </c>
      <c r="B700" s="21">
        <v>718</v>
      </c>
      <c r="C700" s="22" t="s">
        <v>143</v>
      </c>
      <c r="D700" s="22" t="s">
        <v>3790</v>
      </c>
      <c r="E700" s="22" t="str">
        <f>CONCATENATE(B700,D700)</f>
        <v>71863821-307</v>
      </c>
      <c r="F700" s="22" t="s">
        <v>3791</v>
      </c>
      <c r="G700" s="22" t="s">
        <v>29</v>
      </c>
      <c r="H700" s="23">
        <v>197.4091</v>
      </c>
      <c r="I700" s="24">
        <v>1</v>
      </c>
      <c r="J700" s="24">
        <v>0</v>
      </c>
      <c r="K700" s="24">
        <v>0</v>
      </c>
      <c r="L700" s="41">
        <f>Table2[[#This Row],[Column1]]+Table2[[#This Row],[Column2]]</f>
        <v>0</v>
      </c>
      <c r="M700" s="42">
        <f>Table2[[#This Row],[OnHandQty]]-Table2[[#This Row],[Projection Nov/Dec]]</f>
        <v>1</v>
      </c>
      <c r="N700" s="35">
        <f>Table2[[#This Row],[OverStock]]*Table2[[#This Row],[RepCost]]</f>
        <v>197.4091</v>
      </c>
      <c r="O700" s="25">
        <v>46147.675694444442</v>
      </c>
      <c r="P700" s="26" t="s">
        <v>1535</v>
      </c>
    </row>
    <row r="701" spans="1:16" x14ac:dyDescent="0.25">
      <c r="A701" s="20" t="s">
        <v>5211</v>
      </c>
      <c r="B701" s="21">
        <v>714</v>
      </c>
      <c r="C701" s="22" t="s">
        <v>143</v>
      </c>
      <c r="D701" s="22" t="s">
        <v>2636</v>
      </c>
      <c r="E701" s="22" t="str">
        <f>CONCATENATE(B701,D701)</f>
        <v>71463833-102</v>
      </c>
      <c r="F701" s="22" t="s">
        <v>2637</v>
      </c>
      <c r="G701" s="22" t="s">
        <v>19</v>
      </c>
      <c r="H701" s="23">
        <v>24.386099999999999</v>
      </c>
      <c r="I701" s="24">
        <v>45</v>
      </c>
      <c r="J701" s="24">
        <v>0</v>
      </c>
      <c r="K701" s="24">
        <v>0</v>
      </c>
      <c r="L701" s="41">
        <f>Table2[[#This Row],[Column1]]+Table2[[#This Row],[Column2]]</f>
        <v>0</v>
      </c>
      <c r="M701" s="42">
        <f>Table2[[#This Row],[OnHandQty]]-Table2[[#This Row],[Projection Nov/Dec]]</f>
        <v>45</v>
      </c>
      <c r="N701" s="35">
        <f>Table2[[#This Row],[OverStock]]*Table2[[#This Row],[RepCost]]</f>
        <v>1097.3744999999999</v>
      </c>
      <c r="O701" s="25">
        <v>46224.59652777778</v>
      </c>
      <c r="P701" s="26" t="s">
        <v>36</v>
      </c>
    </row>
    <row r="702" spans="1:16" x14ac:dyDescent="0.25">
      <c r="A702" s="20" t="s">
        <v>5211</v>
      </c>
      <c r="B702" s="21">
        <v>634</v>
      </c>
      <c r="C702" s="22" t="s">
        <v>143</v>
      </c>
      <c r="D702" s="22" t="s">
        <v>183</v>
      </c>
      <c r="E702" s="22" t="str">
        <f>CONCATENATE(B702,D702)</f>
        <v>63463837-102</v>
      </c>
      <c r="F702" s="27" t="s">
        <v>184</v>
      </c>
      <c r="G702" s="27" t="s">
        <v>58</v>
      </c>
      <c r="H702" s="23">
        <v>13.3567</v>
      </c>
      <c r="I702" s="24">
        <v>13</v>
      </c>
      <c r="J702" s="24">
        <v>0</v>
      </c>
      <c r="K702" s="24">
        <v>0</v>
      </c>
      <c r="L702" s="41">
        <f>Table2[[#This Row],[Column1]]+Table2[[#This Row],[Column2]]</f>
        <v>0</v>
      </c>
      <c r="M702" s="42">
        <f>Table2[[#This Row],[OnHandQty]]-Table2[[#This Row],[Projection Nov/Dec]]</f>
        <v>13</v>
      </c>
      <c r="N702" s="35">
        <f>Table2[[#This Row],[OverStock]]*Table2[[#This Row],[RepCost]]</f>
        <v>173.6371</v>
      </c>
      <c r="O702" s="25">
        <v>45467.800694444442</v>
      </c>
      <c r="P702" s="26" t="s">
        <v>26</v>
      </c>
    </row>
    <row r="703" spans="1:16" x14ac:dyDescent="0.25">
      <c r="A703" s="20" t="s">
        <v>5211</v>
      </c>
      <c r="B703" s="21">
        <v>636</v>
      </c>
      <c r="C703" s="22" t="s">
        <v>143</v>
      </c>
      <c r="D703" s="22" t="s">
        <v>1023</v>
      </c>
      <c r="E703" s="22" t="str">
        <f>CONCATENATE(B703,D703)</f>
        <v>63663854-103</v>
      </c>
      <c r="F703" s="22" t="s">
        <v>1024</v>
      </c>
      <c r="G703" s="22" t="s">
        <v>29</v>
      </c>
      <c r="H703" s="23">
        <v>14.4</v>
      </c>
      <c r="I703" s="24">
        <v>26</v>
      </c>
      <c r="J703" s="24">
        <v>0</v>
      </c>
      <c r="K703" s="24">
        <v>0</v>
      </c>
      <c r="L703" s="41">
        <f>Table2[[#This Row],[Column1]]+Table2[[#This Row],[Column2]]</f>
        <v>0</v>
      </c>
      <c r="M703" s="42">
        <f>Table2[[#This Row],[OnHandQty]]-Table2[[#This Row],[Projection Nov/Dec]]</f>
        <v>26</v>
      </c>
      <c r="N703" s="35">
        <f>Table2[[#This Row],[OverStock]]*Table2[[#This Row],[RepCost]]</f>
        <v>374.40000000000003</v>
      </c>
      <c r="O703" s="25">
        <v>46171.609027777777</v>
      </c>
      <c r="P703" s="26" t="s">
        <v>61</v>
      </c>
    </row>
    <row r="704" spans="1:16" x14ac:dyDescent="0.25">
      <c r="A704" s="20" t="s">
        <v>5211</v>
      </c>
      <c r="B704" s="21">
        <v>636</v>
      </c>
      <c r="C704" s="22" t="s">
        <v>143</v>
      </c>
      <c r="D704" s="22" t="s">
        <v>959</v>
      </c>
      <c r="E704" s="22" t="str">
        <f>CONCATENATE(B704,D704)</f>
        <v>63691214-103</v>
      </c>
      <c r="F704" s="22" t="s">
        <v>960</v>
      </c>
      <c r="G704" s="22" t="s">
        <v>29</v>
      </c>
      <c r="H704" s="23">
        <v>21.786799999999999</v>
      </c>
      <c r="I704" s="24">
        <v>7</v>
      </c>
      <c r="J704" s="24">
        <v>0</v>
      </c>
      <c r="K704" s="24">
        <v>0</v>
      </c>
      <c r="L704" s="41">
        <f>Table2[[#This Row],[Column1]]+Table2[[#This Row],[Column2]]</f>
        <v>0</v>
      </c>
      <c r="M704" s="42">
        <f>Table2[[#This Row],[OnHandQty]]-Table2[[#This Row],[Projection Nov/Dec]]</f>
        <v>7</v>
      </c>
      <c r="N704" s="35">
        <f>Table2[[#This Row],[OverStock]]*Table2[[#This Row],[RepCost]]</f>
        <v>152.5076</v>
      </c>
      <c r="O704" s="25">
        <v>45435.459027777775</v>
      </c>
      <c r="P704" s="26" t="s">
        <v>40</v>
      </c>
    </row>
    <row r="705" spans="1:16" x14ac:dyDescent="0.25">
      <c r="A705" s="20" t="s">
        <v>5211</v>
      </c>
      <c r="B705" s="21">
        <v>636</v>
      </c>
      <c r="C705" s="22" t="s">
        <v>323</v>
      </c>
      <c r="D705" s="22" t="s">
        <v>1438</v>
      </c>
      <c r="E705" s="22" t="str">
        <f>CONCATENATE(B705,D705)</f>
        <v>63663890-020</v>
      </c>
      <c r="F705" s="27" t="s">
        <v>1439</v>
      </c>
      <c r="G705" s="27" t="s">
        <v>58</v>
      </c>
      <c r="H705" s="23">
        <v>140.50749999999999</v>
      </c>
      <c r="I705" s="24">
        <v>6</v>
      </c>
      <c r="J705" s="24">
        <v>0</v>
      </c>
      <c r="K705" s="24">
        <v>0</v>
      </c>
      <c r="L705" s="41">
        <f>Table2[[#This Row],[Column1]]+Table2[[#This Row],[Column2]]</f>
        <v>0</v>
      </c>
      <c r="M705" s="42">
        <f>Table2[[#This Row],[OnHandQty]]-Table2[[#This Row],[Projection Nov/Dec]]</f>
        <v>6</v>
      </c>
      <c r="N705" s="35">
        <f>Table2[[#This Row],[OverStock]]*Table2[[#This Row],[RepCost]]</f>
        <v>843.04499999999996</v>
      </c>
      <c r="O705" s="25">
        <v>46072.395138888889</v>
      </c>
      <c r="P705" s="26" t="s">
        <v>159</v>
      </c>
    </row>
    <row r="706" spans="1:16" x14ac:dyDescent="0.25">
      <c r="A706" s="20" t="s">
        <v>5211</v>
      </c>
      <c r="B706" s="21">
        <v>636</v>
      </c>
      <c r="C706" s="22" t="s">
        <v>323</v>
      </c>
      <c r="D706" s="22" t="s">
        <v>1365</v>
      </c>
      <c r="E706" s="22" t="str">
        <f>CONCATENATE(B706,D706)</f>
        <v>63663890-025</v>
      </c>
      <c r="F706" s="27" t="s">
        <v>1366</v>
      </c>
      <c r="G706" s="27" t="s">
        <v>58</v>
      </c>
      <c r="H706" s="23">
        <v>188.50319999999999</v>
      </c>
      <c r="I706" s="24">
        <v>5</v>
      </c>
      <c r="J706" s="24">
        <v>0</v>
      </c>
      <c r="K706" s="24">
        <v>0</v>
      </c>
      <c r="L706" s="41">
        <f>Table2[[#This Row],[Column1]]+Table2[[#This Row],[Column2]]</f>
        <v>0</v>
      </c>
      <c r="M706" s="42">
        <f>Table2[[#This Row],[OnHandQty]]-Table2[[#This Row],[Projection Nov/Dec]]</f>
        <v>5</v>
      </c>
      <c r="N706" s="35">
        <f>Table2[[#This Row],[OverStock]]*Table2[[#This Row],[RepCost]]</f>
        <v>942.51599999999996</v>
      </c>
      <c r="O706" s="25">
        <v>45748.797222222223</v>
      </c>
      <c r="P706" s="26" t="s">
        <v>159</v>
      </c>
    </row>
    <row r="707" spans="1:16" x14ac:dyDescent="0.25">
      <c r="A707" s="20" t="s">
        <v>5211</v>
      </c>
      <c r="B707" s="21">
        <v>718</v>
      </c>
      <c r="C707" s="22" t="s">
        <v>70</v>
      </c>
      <c r="D707" s="22" t="s">
        <v>3635</v>
      </c>
      <c r="E707" s="22" t="str">
        <f>CONCATENATE(B707,D707)</f>
        <v>71863911-101</v>
      </c>
      <c r="F707" s="22" t="s">
        <v>3636</v>
      </c>
      <c r="G707" s="22" t="s">
        <v>39</v>
      </c>
      <c r="H707" s="23">
        <v>6.6585999999999999</v>
      </c>
      <c r="I707" s="24">
        <v>20</v>
      </c>
      <c r="J707" s="24">
        <v>3</v>
      </c>
      <c r="K707" s="24">
        <v>0</v>
      </c>
      <c r="L707" s="41">
        <f>Table2[[#This Row],[Column1]]+Table2[[#This Row],[Column2]]</f>
        <v>3</v>
      </c>
      <c r="M707" s="42">
        <f>Table2[[#This Row],[OnHandQty]]-Table2[[#This Row],[Projection Nov/Dec]]</f>
        <v>17</v>
      </c>
      <c r="N707" s="35">
        <f>Table2[[#This Row],[OverStock]]*Table2[[#This Row],[RepCost]]</f>
        <v>113.1962</v>
      </c>
      <c r="O707" s="25">
        <v>46232.6</v>
      </c>
      <c r="P707" s="26" t="s">
        <v>573</v>
      </c>
    </row>
    <row r="708" spans="1:16" x14ac:dyDescent="0.25">
      <c r="A708" s="20" t="s">
        <v>5211</v>
      </c>
      <c r="B708" s="21">
        <v>714</v>
      </c>
      <c r="C708" s="22" t="s">
        <v>70</v>
      </c>
      <c r="D708" s="22" t="s">
        <v>2010</v>
      </c>
      <c r="E708" s="22" t="str">
        <f>CONCATENATE(B708,D708)</f>
        <v>71486047-101</v>
      </c>
      <c r="F708" s="22" t="s">
        <v>2011</v>
      </c>
      <c r="G708" s="22" t="s">
        <v>29</v>
      </c>
      <c r="H708" s="23">
        <v>9.9573</v>
      </c>
      <c r="I708" s="24">
        <v>1</v>
      </c>
      <c r="J708" s="24">
        <v>0</v>
      </c>
      <c r="K708" s="24">
        <v>0</v>
      </c>
      <c r="L708" s="41">
        <f>Table2[[#This Row],[Column1]]+Table2[[#This Row],[Column2]]</f>
        <v>0</v>
      </c>
      <c r="M708" s="42">
        <f>Table2[[#This Row],[OnHandQty]]-Table2[[#This Row],[Projection Nov/Dec]]</f>
        <v>1</v>
      </c>
      <c r="N708" s="35">
        <f>Table2[[#This Row],[OverStock]]*Table2[[#This Row],[RepCost]]</f>
        <v>9.9573</v>
      </c>
      <c r="O708" s="25">
        <v>46203.503472222219</v>
      </c>
      <c r="P708" s="26" t="s">
        <v>261</v>
      </c>
    </row>
    <row r="709" spans="1:16" x14ac:dyDescent="0.25">
      <c r="A709" s="20" t="s">
        <v>5211</v>
      </c>
      <c r="B709" s="21">
        <v>636</v>
      </c>
      <c r="C709" s="22" t="s">
        <v>143</v>
      </c>
      <c r="D709" s="22" t="s">
        <v>904</v>
      </c>
      <c r="E709" s="22" t="str">
        <f>CONCATENATE(B709,D709)</f>
        <v>63677334-103</v>
      </c>
      <c r="F709" s="22" t="s">
        <v>905</v>
      </c>
      <c r="G709" s="22" t="s">
        <v>29</v>
      </c>
      <c r="H709" s="23">
        <v>26.1158</v>
      </c>
      <c r="I709" s="24">
        <v>2</v>
      </c>
      <c r="J709" s="24">
        <v>0</v>
      </c>
      <c r="K709" s="24">
        <v>0</v>
      </c>
      <c r="L709" s="41">
        <f>Table2[[#This Row],[Column1]]+Table2[[#This Row],[Column2]]</f>
        <v>0</v>
      </c>
      <c r="M709" s="42">
        <f>Table2[[#This Row],[OnHandQty]]-Table2[[#This Row],[Projection Nov/Dec]]</f>
        <v>2</v>
      </c>
      <c r="N709" s="35">
        <f>Table2[[#This Row],[OverStock]]*Table2[[#This Row],[RepCost]]</f>
        <v>52.2316</v>
      </c>
      <c r="O709" s="25">
        <v>46129.474999999999</v>
      </c>
      <c r="P709" s="26" t="s">
        <v>40</v>
      </c>
    </row>
    <row r="710" spans="1:16" x14ac:dyDescent="0.25">
      <c r="A710" s="20" t="s">
        <v>5211</v>
      </c>
      <c r="B710" s="21">
        <v>718</v>
      </c>
      <c r="C710" s="22" t="s">
        <v>143</v>
      </c>
      <c r="D710" s="22" t="s">
        <v>2634</v>
      </c>
      <c r="E710" s="22" t="str">
        <f>CONCATENATE(B710,D710)</f>
        <v>71877334-248</v>
      </c>
      <c r="F710" s="27" t="s">
        <v>2635</v>
      </c>
      <c r="G710" s="27" t="s">
        <v>58</v>
      </c>
      <c r="H710" s="23">
        <v>151.59379999999999</v>
      </c>
      <c r="I710" s="24">
        <v>1</v>
      </c>
      <c r="J710" s="24">
        <v>0</v>
      </c>
      <c r="K710" s="24">
        <v>0</v>
      </c>
      <c r="L710" s="41">
        <f>Table2[[#This Row],[Column1]]+Table2[[#This Row],[Column2]]</f>
        <v>0</v>
      </c>
      <c r="M710" s="42">
        <f>Table2[[#This Row],[OnHandQty]]-Table2[[#This Row],[Projection Nov/Dec]]</f>
        <v>1</v>
      </c>
      <c r="N710" s="35">
        <f>Table2[[#This Row],[OverStock]]*Table2[[#This Row],[RepCost]]</f>
        <v>151.59379999999999</v>
      </c>
      <c r="O710" s="25">
        <v>45765.5</v>
      </c>
      <c r="P710" s="26" t="s">
        <v>2271</v>
      </c>
    </row>
    <row r="711" spans="1:16" x14ac:dyDescent="0.25">
      <c r="A711" s="20" t="s">
        <v>5211</v>
      </c>
      <c r="B711" s="21">
        <v>714</v>
      </c>
      <c r="C711" s="22" t="s">
        <v>143</v>
      </c>
      <c r="D711" s="22" t="s">
        <v>2634</v>
      </c>
      <c r="E711" s="22" t="str">
        <f>CONCATENATE(B711,D711)</f>
        <v>71477334-248</v>
      </c>
      <c r="F711" s="22" t="s">
        <v>2635</v>
      </c>
      <c r="G711" s="22" t="s">
        <v>29</v>
      </c>
      <c r="H711" s="23">
        <v>118.1871</v>
      </c>
      <c r="I711" s="24">
        <v>3</v>
      </c>
      <c r="J711" s="24">
        <v>0</v>
      </c>
      <c r="K711" s="24">
        <v>0</v>
      </c>
      <c r="L711" s="41">
        <f>Table2[[#This Row],[Column1]]+Table2[[#This Row],[Column2]]</f>
        <v>0</v>
      </c>
      <c r="M711" s="42">
        <f>Table2[[#This Row],[OnHandQty]]-Table2[[#This Row],[Projection Nov/Dec]]</f>
        <v>3</v>
      </c>
      <c r="N711" s="35">
        <f>Table2[[#This Row],[OverStock]]*Table2[[#This Row],[RepCost]]</f>
        <v>354.56130000000002</v>
      </c>
      <c r="O711" s="25">
        <v>46144.581944444442</v>
      </c>
      <c r="P711" s="26" t="s">
        <v>2379</v>
      </c>
    </row>
    <row r="712" spans="1:16" x14ac:dyDescent="0.25">
      <c r="A712" s="20" t="s">
        <v>5211</v>
      </c>
      <c r="B712" s="21">
        <v>714</v>
      </c>
      <c r="C712" s="22" t="s">
        <v>143</v>
      </c>
      <c r="D712" s="22" t="s">
        <v>2511</v>
      </c>
      <c r="E712" s="22" t="str">
        <f>CONCATENATE(B712,D712)</f>
        <v>71477334-105</v>
      </c>
      <c r="F712" s="27" t="s">
        <v>2512</v>
      </c>
      <c r="G712" s="27" t="s">
        <v>58</v>
      </c>
      <c r="H712" s="23">
        <v>37.042900000000003</v>
      </c>
      <c r="I712" s="24">
        <v>3</v>
      </c>
      <c r="J712" s="24">
        <v>0</v>
      </c>
      <c r="K712" s="24">
        <v>0</v>
      </c>
      <c r="L712" s="41">
        <f>Table2[[#This Row],[Column1]]+Table2[[#This Row],[Column2]]</f>
        <v>0</v>
      </c>
      <c r="M712" s="42">
        <f>Table2[[#This Row],[OnHandQty]]-Table2[[#This Row],[Projection Nov/Dec]]</f>
        <v>3</v>
      </c>
      <c r="N712" s="35">
        <f>Table2[[#This Row],[OverStock]]*Table2[[#This Row],[RepCost]]</f>
        <v>111.12870000000001</v>
      </c>
      <c r="O712" s="25">
        <v>45769.556250000001</v>
      </c>
      <c r="P712" s="26" t="s">
        <v>1867</v>
      </c>
    </row>
    <row r="713" spans="1:16" x14ac:dyDescent="0.25">
      <c r="A713" s="20" t="s">
        <v>5211</v>
      </c>
      <c r="B713" s="21">
        <v>636</v>
      </c>
      <c r="C713" s="22" t="s">
        <v>143</v>
      </c>
      <c r="D713" s="22" t="s">
        <v>1148</v>
      </c>
      <c r="E713" s="22" t="str">
        <f>CONCATENATE(B713,D713)</f>
        <v>63677334-106</v>
      </c>
      <c r="F713" s="22" t="s">
        <v>1149</v>
      </c>
      <c r="G713" s="22" t="s">
        <v>29</v>
      </c>
      <c r="H713" s="23">
        <v>79.957999999999998</v>
      </c>
      <c r="I713" s="24">
        <v>6</v>
      </c>
      <c r="J713" s="24">
        <v>0</v>
      </c>
      <c r="K713" s="24">
        <v>0</v>
      </c>
      <c r="L713" s="41">
        <f>Table2[[#This Row],[Column1]]+Table2[[#This Row],[Column2]]</f>
        <v>0</v>
      </c>
      <c r="M713" s="42">
        <f>Table2[[#This Row],[OnHandQty]]-Table2[[#This Row],[Projection Nov/Dec]]</f>
        <v>6</v>
      </c>
      <c r="N713" s="35">
        <f>Table2[[#This Row],[OverStock]]*Table2[[#This Row],[RepCost]]</f>
        <v>479.74799999999999</v>
      </c>
      <c r="O713" s="25">
        <v>46140.29583333333</v>
      </c>
      <c r="P713" s="26" t="s">
        <v>501</v>
      </c>
    </row>
    <row r="714" spans="1:16" x14ac:dyDescent="0.25">
      <c r="A714" s="20" t="s">
        <v>5211</v>
      </c>
      <c r="B714" s="21">
        <v>714</v>
      </c>
      <c r="C714" s="22" t="s">
        <v>143</v>
      </c>
      <c r="D714" s="22" t="s">
        <v>2699</v>
      </c>
      <c r="E714" s="22" t="str">
        <f>CONCATENATE(B714,D714)</f>
        <v>71463947-102</v>
      </c>
      <c r="F714" s="22" t="s">
        <v>2700</v>
      </c>
      <c r="G714" s="22" t="s">
        <v>23</v>
      </c>
      <c r="H714" s="23">
        <v>36.798099999999998</v>
      </c>
      <c r="I714" s="24">
        <v>5</v>
      </c>
      <c r="J714" s="24">
        <v>0</v>
      </c>
      <c r="K714" s="24">
        <v>0</v>
      </c>
      <c r="L714" s="41">
        <f>Table2[[#This Row],[Column1]]+Table2[[#This Row],[Column2]]</f>
        <v>0</v>
      </c>
      <c r="M714" s="42">
        <f>Table2[[#This Row],[OnHandQty]]-Table2[[#This Row],[Projection Nov/Dec]]</f>
        <v>5</v>
      </c>
      <c r="N714" s="35">
        <f>Table2[[#This Row],[OverStock]]*Table2[[#This Row],[RepCost]]</f>
        <v>183.9905</v>
      </c>
      <c r="O714" s="25">
        <v>46165.331944444442</v>
      </c>
      <c r="P714" s="26" t="s">
        <v>1062</v>
      </c>
    </row>
    <row r="715" spans="1:16" x14ac:dyDescent="0.25">
      <c r="A715" s="20" t="s">
        <v>5211</v>
      </c>
      <c r="B715" s="21">
        <v>718</v>
      </c>
      <c r="C715" s="22" t="s">
        <v>143</v>
      </c>
      <c r="D715" s="22" t="s">
        <v>3765</v>
      </c>
      <c r="E715" s="22" t="str">
        <f>CONCATENATE(B715,D715)</f>
        <v>71863947-230</v>
      </c>
      <c r="F715" s="22" t="s">
        <v>3766</v>
      </c>
      <c r="G715" s="22" t="s">
        <v>19</v>
      </c>
      <c r="H715" s="23">
        <v>230.46100000000001</v>
      </c>
      <c r="I715" s="24">
        <v>4</v>
      </c>
      <c r="J715" s="24">
        <v>0</v>
      </c>
      <c r="K715" s="24">
        <v>0</v>
      </c>
      <c r="L715" s="41">
        <f>Table2[[#This Row],[Column1]]+Table2[[#This Row],[Column2]]</f>
        <v>0</v>
      </c>
      <c r="M715" s="42">
        <f>Table2[[#This Row],[OnHandQty]]-Table2[[#This Row],[Projection Nov/Dec]]</f>
        <v>4</v>
      </c>
      <c r="N715" s="35">
        <f>Table2[[#This Row],[OverStock]]*Table2[[#This Row],[RepCost]]</f>
        <v>921.84400000000005</v>
      </c>
      <c r="O715" s="25">
        <v>45764.410416666666</v>
      </c>
      <c r="P715" s="26" t="s">
        <v>178</v>
      </c>
    </row>
    <row r="716" spans="1:16" x14ac:dyDescent="0.25">
      <c r="A716" s="20" t="s">
        <v>5211</v>
      </c>
      <c r="B716" s="21">
        <v>718</v>
      </c>
      <c r="C716" s="22" t="s">
        <v>323</v>
      </c>
      <c r="D716" s="22" t="s">
        <v>3059</v>
      </c>
      <c r="E716" s="22" t="str">
        <f>CONCATENATE(B716,D716)</f>
        <v>71879566-110</v>
      </c>
      <c r="F716" s="22" t="s">
        <v>3060</v>
      </c>
      <c r="G716" s="22" t="s">
        <v>23</v>
      </c>
      <c r="H716" s="23">
        <v>86.099599999999995</v>
      </c>
      <c r="I716" s="24">
        <v>1</v>
      </c>
      <c r="J716" s="24">
        <v>0</v>
      </c>
      <c r="K716" s="24">
        <v>0</v>
      </c>
      <c r="L716" s="41">
        <f>Table2[[#This Row],[Column1]]+Table2[[#This Row],[Column2]]</f>
        <v>0</v>
      </c>
      <c r="M716" s="42">
        <f>Table2[[#This Row],[OnHandQty]]-Table2[[#This Row],[Projection Nov/Dec]]</f>
        <v>1</v>
      </c>
      <c r="N716" s="35">
        <f>Table2[[#This Row],[OverStock]]*Table2[[#This Row],[RepCost]]</f>
        <v>86.099599999999995</v>
      </c>
      <c r="O716" s="25">
        <v>46130.615277777775</v>
      </c>
      <c r="P716" s="26" t="s">
        <v>30</v>
      </c>
    </row>
    <row r="717" spans="1:16" x14ac:dyDescent="0.25">
      <c r="A717" s="20" t="s">
        <v>5211</v>
      </c>
      <c r="B717" s="21">
        <v>714</v>
      </c>
      <c r="C717" s="22" t="s">
        <v>323</v>
      </c>
      <c r="D717" s="22" t="s">
        <v>3059</v>
      </c>
      <c r="E717" s="22" t="str">
        <f>CONCATENATE(B717,D717)</f>
        <v>71479566-110</v>
      </c>
      <c r="F717" s="22" t="s">
        <v>3060</v>
      </c>
      <c r="G717" s="22" t="s">
        <v>158</v>
      </c>
      <c r="H717" s="23">
        <v>82.138099999999994</v>
      </c>
      <c r="I717" s="24">
        <v>2</v>
      </c>
      <c r="J717" s="24">
        <v>0</v>
      </c>
      <c r="K717" s="24">
        <v>0</v>
      </c>
      <c r="L717" s="41">
        <f>Table2[[#This Row],[Column1]]+Table2[[#This Row],[Column2]]</f>
        <v>0</v>
      </c>
      <c r="M717" s="42">
        <f>Table2[[#This Row],[OnHandQty]]-Table2[[#This Row],[Projection Nov/Dec]]</f>
        <v>2</v>
      </c>
      <c r="N717" s="35">
        <f>Table2[[#This Row],[OverStock]]*Table2[[#This Row],[RepCost]]</f>
        <v>164.27619999999999</v>
      </c>
      <c r="O717" s="25">
        <v>46139.432638888888</v>
      </c>
      <c r="P717" s="26" t="s">
        <v>30</v>
      </c>
    </row>
    <row r="718" spans="1:16" x14ac:dyDescent="0.25">
      <c r="A718" s="20" t="s">
        <v>5211</v>
      </c>
      <c r="B718" s="21">
        <v>714</v>
      </c>
      <c r="C718" s="22" t="s">
        <v>323</v>
      </c>
      <c r="D718" s="22" t="s">
        <v>2906</v>
      </c>
      <c r="E718" s="22" t="str">
        <f>CONCATENATE(B718,D718)</f>
        <v>71463951-110</v>
      </c>
      <c r="F718" s="22" t="s">
        <v>2907</v>
      </c>
      <c r="G718" s="22" t="s">
        <v>19</v>
      </c>
      <c r="H718" s="23">
        <v>86.214200000000005</v>
      </c>
      <c r="I718" s="24">
        <v>10</v>
      </c>
      <c r="J718" s="24">
        <v>2</v>
      </c>
      <c r="K718" s="24">
        <v>0</v>
      </c>
      <c r="L718" s="41">
        <f>Table2[[#This Row],[Column1]]+Table2[[#This Row],[Column2]]</f>
        <v>2</v>
      </c>
      <c r="M718" s="42">
        <f>Table2[[#This Row],[OnHandQty]]-Table2[[#This Row],[Projection Nov/Dec]]</f>
        <v>8</v>
      </c>
      <c r="N718" s="35">
        <f>Table2[[#This Row],[OverStock]]*Table2[[#This Row],[RepCost]]</f>
        <v>689.71360000000004</v>
      </c>
      <c r="O718" s="25">
        <v>46129.377083333333</v>
      </c>
      <c r="P718" s="26" t="s">
        <v>30</v>
      </c>
    </row>
    <row r="719" spans="1:16" x14ac:dyDescent="0.25">
      <c r="A719" s="20" t="s">
        <v>5211</v>
      </c>
      <c r="B719" s="21">
        <v>714</v>
      </c>
      <c r="C719" s="22" t="s">
        <v>323</v>
      </c>
      <c r="D719" s="22" t="s">
        <v>3180</v>
      </c>
      <c r="E719" s="22" t="str">
        <f>CONCATENATE(B719,D719)</f>
        <v>71463951-120</v>
      </c>
      <c r="F719" s="22" t="s">
        <v>3181</v>
      </c>
      <c r="G719" s="22" t="s">
        <v>158</v>
      </c>
      <c r="H719" s="23">
        <v>144.96680000000001</v>
      </c>
      <c r="I719" s="24">
        <v>2</v>
      </c>
      <c r="J719" s="24">
        <v>0</v>
      </c>
      <c r="K719" s="24">
        <v>0</v>
      </c>
      <c r="L719" s="41">
        <f>Table2[[#This Row],[Column1]]+Table2[[#This Row],[Column2]]</f>
        <v>0</v>
      </c>
      <c r="M719" s="42">
        <f>Table2[[#This Row],[OnHandQty]]-Table2[[#This Row],[Projection Nov/Dec]]</f>
        <v>2</v>
      </c>
      <c r="N719" s="35">
        <f>Table2[[#This Row],[OverStock]]*Table2[[#This Row],[RepCost]]</f>
        <v>289.93360000000001</v>
      </c>
      <c r="O719" s="25">
        <v>46199.347916666666</v>
      </c>
      <c r="P719" s="26" t="s">
        <v>216</v>
      </c>
    </row>
    <row r="720" spans="1:16" x14ac:dyDescent="0.25">
      <c r="A720" s="20" t="s">
        <v>5211</v>
      </c>
      <c r="B720" s="21">
        <v>714</v>
      </c>
      <c r="C720" s="22" t="s">
        <v>323</v>
      </c>
      <c r="D720" s="22" t="s">
        <v>3025</v>
      </c>
      <c r="E720" s="22" t="str">
        <f>CONCATENATE(B720,D720)</f>
        <v>71463951-125</v>
      </c>
      <c r="F720" s="22" t="s">
        <v>3026</v>
      </c>
      <c r="G720" s="22" t="s">
        <v>29</v>
      </c>
      <c r="H720" s="23">
        <v>172.53639999999999</v>
      </c>
      <c r="I720" s="24">
        <v>3</v>
      </c>
      <c r="J720" s="24">
        <v>0</v>
      </c>
      <c r="K720" s="24">
        <v>0</v>
      </c>
      <c r="L720" s="41">
        <f>Table2[[#This Row],[Column1]]+Table2[[#This Row],[Column2]]</f>
        <v>0</v>
      </c>
      <c r="M720" s="42">
        <f>Table2[[#This Row],[OnHandQty]]-Table2[[#This Row],[Projection Nov/Dec]]</f>
        <v>3</v>
      </c>
      <c r="N720" s="35">
        <f>Table2[[#This Row],[OverStock]]*Table2[[#This Row],[RepCost]]</f>
        <v>517.60919999999999</v>
      </c>
      <c r="O720" s="25">
        <v>45210.54791666667</v>
      </c>
      <c r="P720" s="26" t="s">
        <v>216</v>
      </c>
    </row>
    <row r="721" spans="1:16" x14ac:dyDescent="0.25">
      <c r="A721" s="20" t="s">
        <v>5211</v>
      </c>
      <c r="B721" s="21">
        <v>714</v>
      </c>
      <c r="C721" s="22" t="s">
        <v>323</v>
      </c>
      <c r="D721" s="22" t="s">
        <v>3211</v>
      </c>
      <c r="E721" s="22" t="str">
        <f>CONCATENATE(B721,D721)</f>
        <v>71463951-150</v>
      </c>
      <c r="F721" s="22" t="s">
        <v>3212</v>
      </c>
      <c r="G721" s="22" t="s">
        <v>29</v>
      </c>
      <c r="H721" s="23">
        <v>233.64599999999999</v>
      </c>
      <c r="I721" s="24">
        <v>3</v>
      </c>
      <c r="J721" s="24">
        <v>0</v>
      </c>
      <c r="K721" s="24">
        <v>0</v>
      </c>
      <c r="L721" s="41">
        <f>Table2[[#This Row],[Column1]]+Table2[[#This Row],[Column2]]</f>
        <v>0</v>
      </c>
      <c r="M721" s="42">
        <f>Table2[[#This Row],[OnHandQty]]-Table2[[#This Row],[Projection Nov/Dec]]</f>
        <v>3</v>
      </c>
      <c r="N721" s="35">
        <f>Table2[[#This Row],[OverStock]]*Table2[[#This Row],[RepCost]]</f>
        <v>700.93799999999999</v>
      </c>
      <c r="O721" s="25">
        <v>46105.560416666667</v>
      </c>
      <c r="P721" s="26" t="s">
        <v>216</v>
      </c>
    </row>
    <row r="722" spans="1:16" x14ac:dyDescent="0.25">
      <c r="A722" s="20" t="s">
        <v>5211</v>
      </c>
      <c r="B722" s="21">
        <v>718</v>
      </c>
      <c r="C722" s="22" t="s">
        <v>323</v>
      </c>
      <c r="D722" s="22" t="s">
        <v>2961</v>
      </c>
      <c r="E722" s="22" t="str">
        <f>CONCATENATE(B722,D722)</f>
        <v>71877339-312</v>
      </c>
      <c r="F722" s="22" t="s">
        <v>2962</v>
      </c>
      <c r="G722" s="22" t="s">
        <v>158</v>
      </c>
      <c r="H722" s="23">
        <v>348.51979999999998</v>
      </c>
      <c r="I722" s="24">
        <v>4</v>
      </c>
      <c r="J722" s="24">
        <v>0</v>
      </c>
      <c r="K722" s="24">
        <v>0</v>
      </c>
      <c r="L722" s="41">
        <f>Table2[[#This Row],[Column1]]+Table2[[#This Row],[Column2]]</f>
        <v>0</v>
      </c>
      <c r="M722" s="42">
        <f>Table2[[#This Row],[OnHandQty]]-Table2[[#This Row],[Projection Nov/Dec]]</f>
        <v>4</v>
      </c>
      <c r="N722" s="35">
        <f>Table2[[#This Row],[OverStock]]*Table2[[#This Row],[RepCost]]</f>
        <v>1394.0791999999999</v>
      </c>
      <c r="O722" s="25">
        <v>46118.605555555558</v>
      </c>
      <c r="P722" s="26" t="s">
        <v>2379</v>
      </c>
    </row>
    <row r="723" spans="1:16" x14ac:dyDescent="0.25">
      <c r="A723" s="20" t="s">
        <v>5211</v>
      </c>
      <c r="B723" s="21">
        <v>714</v>
      </c>
      <c r="C723" s="22" t="s">
        <v>323</v>
      </c>
      <c r="D723" s="22" t="s">
        <v>2961</v>
      </c>
      <c r="E723" s="22" t="str">
        <f>CONCATENATE(B723,D723)</f>
        <v>71477339-312</v>
      </c>
      <c r="F723" s="22" t="s">
        <v>2962</v>
      </c>
      <c r="G723" s="22" t="s">
        <v>455</v>
      </c>
      <c r="H723" s="23">
        <v>348.51979999999998</v>
      </c>
      <c r="I723" s="24">
        <v>3</v>
      </c>
      <c r="J723" s="24">
        <v>0</v>
      </c>
      <c r="K723" s="24">
        <v>0</v>
      </c>
      <c r="L723" s="41">
        <f>Table2[[#This Row],[Column1]]+Table2[[#This Row],[Column2]]</f>
        <v>0</v>
      </c>
      <c r="M723" s="42">
        <f>Table2[[#This Row],[OnHandQty]]-Table2[[#This Row],[Projection Nov/Dec]]</f>
        <v>3</v>
      </c>
      <c r="N723" s="35">
        <f>Table2[[#This Row],[OverStock]]*Table2[[#This Row],[RepCost]]</f>
        <v>1045.5593999999999</v>
      </c>
      <c r="O723" s="25">
        <v>46126.29791666667</v>
      </c>
      <c r="P723" s="26" t="s">
        <v>2379</v>
      </c>
    </row>
    <row r="724" spans="1:16" x14ac:dyDescent="0.25">
      <c r="A724" s="20" t="s">
        <v>5211</v>
      </c>
      <c r="B724" s="21">
        <v>714</v>
      </c>
      <c r="C724" s="22" t="s">
        <v>323</v>
      </c>
      <c r="D724" s="22" t="s">
        <v>3073</v>
      </c>
      <c r="E724" s="22" t="str">
        <f>CONCATENATE(B724,D724)</f>
        <v>71477339-307</v>
      </c>
      <c r="F724" s="22" t="s">
        <v>3074</v>
      </c>
      <c r="G724" s="22" t="s">
        <v>29</v>
      </c>
      <c r="H724" s="23">
        <v>144.28360000000001</v>
      </c>
      <c r="I724" s="24">
        <v>4</v>
      </c>
      <c r="J724" s="24">
        <v>0</v>
      </c>
      <c r="K724" s="24">
        <v>0</v>
      </c>
      <c r="L724" s="41">
        <f>Table2[[#This Row],[Column1]]+Table2[[#This Row],[Column2]]</f>
        <v>0</v>
      </c>
      <c r="M724" s="42">
        <f>Table2[[#This Row],[OnHandQty]]-Table2[[#This Row],[Projection Nov/Dec]]</f>
        <v>4</v>
      </c>
      <c r="N724" s="35">
        <f>Table2[[#This Row],[OverStock]]*Table2[[#This Row],[RepCost]]</f>
        <v>577.13440000000003</v>
      </c>
      <c r="O724" s="25">
        <v>45790.337500000001</v>
      </c>
      <c r="P724" s="26" t="s">
        <v>2379</v>
      </c>
    </row>
    <row r="725" spans="1:16" x14ac:dyDescent="0.25">
      <c r="A725" s="20" t="s">
        <v>5211</v>
      </c>
      <c r="B725" s="21">
        <v>714</v>
      </c>
      <c r="C725" s="22" t="s">
        <v>323</v>
      </c>
      <c r="D725" s="22" t="s">
        <v>3097</v>
      </c>
      <c r="E725" s="22" t="str">
        <f>CONCATENATE(B725,D725)</f>
        <v>71477339-308</v>
      </c>
      <c r="F725" s="22" t="s">
        <v>3098</v>
      </c>
      <c r="G725" s="22" t="s">
        <v>23</v>
      </c>
      <c r="H725" s="23">
        <v>181.6754</v>
      </c>
      <c r="I725" s="24">
        <v>12</v>
      </c>
      <c r="J725" s="24">
        <v>0</v>
      </c>
      <c r="K725" s="24">
        <v>0</v>
      </c>
      <c r="L725" s="41">
        <f>Table2[[#This Row],[Column1]]+Table2[[#This Row],[Column2]]</f>
        <v>0</v>
      </c>
      <c r="M725" s="42">
        <f>Table2[[#This Row],[OnHandQty]]-Table2[[#This Row],[Projection Nov/Dec]]</f>
        <v>12</v>
      </c>
      <c r="N725" s="35">
        <f>Table2[[#This Row],[OverStock]]*Table2[[#This Row],[RepCost]]</f>
        <v>2180.1048000000001</v>
      </c>
      <c r="O725" s="25">
        <v>46126.29791666667</v>
      </c>
      <c r="P725" s="26" t="s">
        <v>2379</v>
      </c>
    </row>
    <row r="726" spans="1:16" x14ac:dyDescent="0.25">
      <c r="A726" s="20" t="s">
        <v>5211</v>
      </c>
      <c r="B726" s="21">
        <v>636</v>
      </c>
      <c r="C726" s="22" t="s">
        <v>323</v>
      </c>
      <c r="D726" s="22" t="s">
        <v>1394</v>
      </c>
      <c r="E726" s="22" t="str">
        <f>CONCATENATE(B726,D726)</f>
        <v>63663985-120</v>
      </c>
      <c r="F726" s="22" t="s">
        <v>1395</v>
      </c>
      <c r="G726" s="22" t="s">
        <v>19</v>
      </c>
      <c r="H726" s="23">
        <v>125.8999</v>
      </c>
      <c r="I726" s="24">
        <v>5</v>
      </c>
      <c r="J726" s="24">
        <v>0</v>
      </c>
      <c r="K726" s="24">
        <v>0</v>
      </c>
      <c r="L726" s="41">
        <f>Table2[[#This Row],[Column1]]+Table2[[#This Row],[Column2]]</f>
        <v>0</v>
      </c>
      <c r="M726" s="42">
        <f>Table2[[#This Row],[OnHandQty]]-Table2[[#This Row],[Projection Nov/Dec]]</f>
        <v>5</v>
      </c>
      <c r="N726" s="35">
        <f>Table2[[#This Row],[OverStock]]*Table2[[#This Row],[RepCost]]</f>
        <v>629.49950000000001</v>
      </c>
      <c r="O726" s="25">
        <v>46136.45208333333</v>
      </c>
      <c r="P726" s="26" t="s">
        <v>216</v>
      </c>
    </row>
    <row r="727" spans="1:16" x14ac:dyDescent="0.25">
      <c r="A727" s="20" t="s">
        <v>5211</v>
      </c>
      <c r="B727" s="21">
        <v>714</v>
      </c>
      <c r="C727" s="22" t="s">
        <v>323</v>
      </c>
      <c r="D727" s="22" t="s">
        <v>3526</v>
      </c>
      <c r="E727" s="22" t="str">
        <f>CONCATENATE(B727,D727)</f>
        <v>71463985-103</v>
      </c>
      <c r="F727" s="22" t="s">
        <v>3527</v>
      </c>
      <c r="G727" s="22" t="s">
        <v>29</v>
      </c>
      <c r="H727" s="23">
        <v>24.312999999999999</v>
      </c>
      <c r="I727" s="24">
        <v>3</v>
      </c>
      <c r="J727" s="24">
        <v>0</v>
      </c>
      <c r="K727" s="24">
        <v>0</v>
      </c>
      <c r="L727" s="41">
        <f>Table2[[#This Row],[Column1]]+Table2[[#This Row],[Column2]]</f>
        <v>0</v>
      </c>
      <c r="M727" s="42">
        <f>Table2[[#This Row],[OnHandQty]]-Table2[[#This Row],[Projection Nov/Dec]]</f>
        <v>3</v>
      </c>
      <c r="N727" s="35">
        <f>Table2[[#This Row],[OverStock]]*Table2[[#This Row],[RepCost]]</f>
        <v>72.938999999999993</v>
      </c>
      <c r="O727" s="25">
        <v>46183.678472222222</v>
      </c>
      <c r="P727" s="26" t="s">
        <v>40</v>
      </c>
    </row>
    <row r="728" spans="1:16" x14ac:dyDescent="0.25">
      <c r="A728" s="20" t="s">
        <v>5211</v>
      </c>
      <c r="B728" s="21">
        <v>714</v>
      </c>
      <c r="C728" s="22" t="s">
        <v>323</v>
      </c>
      <c r="D728" s="22" t="s">
        <v>2881</v>
      </c>
      <c r="E728" s="22" t="str">
        <f>CONCATENATE(B728,D728)</f>
        <v>71463985-105</v>
      </c>
      <c r="F728" s="22" t="s">
        <v>2882</v>
      </c>
      <c r="G728" s="22" t="s">
        <v>23</v>
      </c>
      <c r="H728" s="23">
        <v>29.791699999999999</v>
      </c>
      <c r="I728" s="24">
        <v>5</v>
      </c>
      <c r="J728" s="24">
        <v>0</v>
      </c>
      <c r="K728" s="24">
        <v>0</v>
      </c>
      <c r="L728" s="41">
        <f>Table2[[#This Row],[Column1]]+Table2[[#This Row],[Column2]]</f>
        <v>0</v>
      </c>
      <c r="M728" s="42">
        <f>Table2[[#This Row],[OnHandQty]]-Table2[[#This Row],[Projection Nov/Dec]]</f>
        <v>5</v>
      </c>
      <c r="N728" s="35">
        <f>Table2[[#This Row],[OverStock]]*Table2[[#This Row],[RepCost]]</f>
        <v>148.95849999999999</v>
      </c>
      <c r="O728" s="25">
        <v>46163.347222222219</v>
      </c>
      <c r="P728" s="26" t="s">
        <v>30</v>
      </c>
    </row>
    <row r="729" spans="1:16" x14ac:dyDescent="0.25">
      <c r="A729" s="20" t="s">
        <v>5211</v>
      </c>
      <c r="B729" s="21">
        <v>714</v>
      </c>
      <c r="C729" s="22" t="s">
        <v>323</v>
      </c>
      <c r="D729" s="22" t="s">
        <v>3326</v>
      </c>
      <c r="E729" s="22" t="str">
        <f>CONCATENATE(B729,D729)</f>
        <v>71463985-308</v>
      </c>
      <c r="F729" s="22" t="s">
        <v>3327</v>
      </c>
      <c r="G729" s="22" t="s">
        <v>23</v>
      </c>
      <c r="H729" s="23">
        <v>227.91900000000001</v>
      </c>
      <c r="I729" s="24">
        <v>4</v>
      </c>
      <c r="J729" s="24">
        <v>0</v>
      </c>
      <c r="K729" s="24">
        <v>0</v>
      </c>
      <c r="L729" s="41">
        <f>Table2[[#This Row],[Column1]]+Table2[[#This Row],[Column2]]</f>
        <v>0</v>
      </c>
      <c r="M729" s="42">
        <f>Table2[[#This Row],[OnHandQty]]-Table2[[#This Row],[Projection Nov/Dec]]</f>
        <v>4</v>
      </c>
      <c r="N729" s="35">
        <f>Table2[[#This Row],[OverStock]]*Table2[[#This Row],[RepCost]]</f>
        <v>911.67600000000004</v>
      </c>
      <c r="O729" s="25">
        <v>46135.615277777775</v>
      </c>
      <c r="P729" s="26" t="s">
        <v>903</v>
      </c>
    </row>
    <row r="730" spans="1:16" x14ac:dyDescent="0.25">
      <c r="A730" s="20" t="s">
        <v>5211</v>
      </c>
      <c r="B730" s="21">
        <v>636</v>
      </c>
      <c r="C730" s="22" t="s">
        <v>323</v>
      </c>
      <c r="D730" s="22" t="s">
        <v>1474</v>
      </c>
      <c r="E730" s="22" t="str">
        <f>CONCATENATE(B730,D730)</f>
        <v>63674625-105</v>
      </c>
      <c r="F730" s="27" t="s">
        <v>1475</v>
      </c>
      <c r="G730" s="27" t="s">
        <v>58</v>
      </c>
      <c r="H730" s="23">
        <v>29.058599999999998</v>
      </c>
      <c r="I730" s="24">
        <v>8</v>
      </c>
      <c r="J730" s="24">
        <v>0</v>
      </c>
      <c r="K730" s="24">
        <v>0</v>
      </c>
      <c r="L730" s="41">
        <f>Table2[[#This Row],[Column1]]+Table2[[#This Row],[Column2]]</f>
        <v>0</v>
      </c>
      <c r="M730" s="42">
        <f>Table2[[#This Row],[OnHandQty]]-Table2[[#This Row],[Projection Nov/Dec]]</f>
        <v>8</v>
      </c>
      <c r="N730" s="35">
        <f>Table2[[#This Row],[OverStock]]*Table2[[#This Row],[RepCost]]</f>
        <v>232.46879999999999</v>
      </c>
      <c r="O730" s="25">
        <v>45880.404861111114</v>
      </c>
      <c r="P730" s="26" t="s">
        <v>1179</v>
      </c>
    </row>
    <row r="731" spans="1:16" x14ac:dyDescent="0.25">
      <c r="A731" s="20" t="s">
        <v>5211</v>
      </c>
      <c r="B731" s="21">
        <v>636</v>
      </c>
      <c r="C731" s="22" t="s">
        <v>70</v>
      </c>
      <c r="D731" s="22" t="s">
        <v>585</v>
      </c>
      <c r="E731" s="22" t="str">
        <f>CONCATENATE(B731,D731)</f>
        <v>63664129-101</v>
      </c>
      <c r="F731" s="22" t="s">
        <v>586</v>
      </c>
      <c r="G731" s="22" t="s">
        <v>43</v>
      </c>
      <c r="H731" s="23">
        <v>13.002700000000001</v>
      </c>
      <c r="I731" s="24">
        <v>23</v>
      </c>
      <c r="J731" s="24">
        <v>0</v>
      </c>
      <c r="K731" s="24">
        <v>0</v>
      </c>
      <c r="L731" s="41">
        <f>Table2[[#This Row],[Column1]]+Table2[[#This Row],[Column2]]</f>
        <v>0</v>
      </c>
      <c r="M731" s="42">
        <f>Table2[[#This Row],[OnHandQty]]-Table2[[#This Row],[Projection Nov/Dec]]</f>
        <v>23</v>
      </c>
      <c r="N731" s="35">
        <f>Table2[[#This Row],[OverStock]]*Table2[[#This Row],[RepCost]]</f>
        <v>299.06210000000004</v>
      </c>
      <c r="O731" s="25">
        <v>46163.314583333333</v>
      </c>
      <c r="P731" s="26" t="s">
        <v>587</v>
      </c>
    </row>
    <row r="732" spans="1:16" x14ac:dyDescent="0.25">
      <c r="A732" s="20" t="s">
        <v>5211</v>
      </c>
      <c r="B732" s="21">
        <v>636</v>
      </c>
      <c r="C732" s="22" t="s">
        <v>70</v>
      </c>
      <c r="D732" s="22" t="s">
        <v>847</v>
      </c>
      <c r="E732" s="22" t="str">
        <f>CONCATENATE(B732,D732)</f>
        <v>63664129-SP4</v>
      </c>
      <c r="F732" s="22" t="s">
        <v>848</v>
      </c>
      <c r="G732" s="22" t="s">
        <v>112</v>
      </c>
      <c r="H732" s="23">
        <v>3.0074000000000001</v>
      </c>
      <c r="I732" s="24">
        <v>7</v>
      </c>
      <c r="J732" s="24">
        <v>0</v>
      </c>
      <c r="K732" s="24">
        <v>0</v>
      </c>
      <c r="L732" s="41">
        <f>Table2[[#This Row],[Column1]]+Table2[[#This Row],[Column2]]</f>
        <v>0</v>
      </c>
      <c r="M732" s="42">
        <f>Table2[[#This Row],[OnHandQty]]-Table2[[#This Row],[Projection Nov/Dec]]</f>
        <v>7</v>
      </c>
      <c r="N732" s="35">
        <f>Table2[[#This Row],[OverStock]]*Table2[[#This Row],[RepCost]]</f>
        <v>21.0518</v>
      </c>
      <c r="O732" s="25">
        <v>46149.488888888889</v>
      </c>
      <c r="P732" s="26" t="s">
        <v>16</v>
      </c>
    </row>
    <row r="733" spans="1:16" x14ac:dyDescent="0.25">
      <c r="A733" s="20" t="s">
        <v>5211</v>
      </c>
      <c r="B733" s="21">
        <v>714</v>
      </c>
      <c r="C733" s="22" t="s">
        <v>143</v>
      </c>
      <c r="D733" s="22" t="s">
        <v>2215</v>
      </c>
      <c r="E733" s="22" t="str">
        <f>CONCATENATE(B733,D733)</f>
        <v>71464147-107</v>
      </c>
      <c r="F733" s="22" t="s">
        <v>2216</v>
      </c>
      <c r="G733" s="22" t="s">
        <v>29</v>
      </c>
      <c r="H733" s="23">
        <v>47.6</v>
      </c>
      <c r="I733" s="24">
        <v>4</v>
      </c>
      <c r="J733" s="24">
        <v>0</v>
      </c>
      <c r="K733" s="24">
        <v>0</v>
      </c>
      <c r="L733" s="41">
        <f>Table2[[#This Row],[Column1]]+Table2[[#This Row],[Column2]]</f>
        <v>0</v>
      </c>
      <c r="M733" s="42">
        <f>Table2[[#This Row],[OnHandQty]]-Table2[[#This Row],[Projection Nov/Dec]]</f>
        <v>4</v>
      </c>
      <c r="N733" s="35">
        <f>Table2[[#This Row],[OverStock]]*Table2[[#This Row],[RepCost]]</f>
        <v>190.4</v>
      </c>
      <c r="O733" s="25">
        <v>46139.672222222223</v>
      </c>
      <c r="P733" s="26" t="s">
        <v>1535</v>
      </c>
    </row>
    <row r="734" spans="1:16" x14ac:dyDescent="0.25">
      <c r="A734" s="20" t="s">
        <v>5211</v>
      </c>
      <c r="B734" s="21">
        <v>714</v>
      </c>
      <c r="C734" s="22" t="s">
        <v>143</v>
      </c>
      <c r="D734" s="22" t="s">
        <v>2653</v>
      </c>
      <c r="E734" s="22" t="str">
        <f>CONCATENATE(B734,D734)</f>
        <v>71491664-103</v>
      </c>
      <c r="F734" s="22" t="s">
        <v>2654</v>
      </c>
      <c r="G734" s="22" t="s">
        <v>29</v>
      </c>
      <c r="H734" s="23">
        <v>23.670300000000001</v>
      </c>
      <c r="I734" s="24">
        <v>6</v>
      </c>
      <c r="J734" s="24">
        <v>0</v>
      </c>
      <c r="K734" s="24">
        <v>0</v>
      </c>
      <c r="L734" s="41">
        <f>Table2[[#This Row],[Column1]]+Table2[[#This Row],[Column2]]</f>
        <v>0</v>
      </c>
      <c r="M734" s="42">
        <f>Table2[[#This Row],[OnHandQty]]-Table2[[#This Row],[Projection Nov/Dec]]</f>
        <v>6</v>
      </c>
      <c r="N734" s="35">
        <f>Table2[[#This Row],[OverStock]]*Table2[[#This Row],[RepCost]]</f>
        <v>142.02180000000001</v>
      </c>
      <c r="O734" s="25">
        <v>46118.575694444444</v>
      </c>
      <c r="P734" s="26" t="s">
        <v>573</v>
      </c>
    </row>
    <row r="735" spans="1:16" x14ac:dyDescent="0.25">
      <c r="A735" s="20" t="s">
        <v>5211</v>
      </c>
      <c r="B735" s="21">
        <v>714</v>
      </c>
      <c r="C735" s="22" t="s">
        <v>143</v>
      </c>
      <c r="D735" s="22" t="s">
        <v>2344</v>
      </c>
      <c r="E735" s="22" t="str">
        <f>CONCATENATE(B735,D735)</f>
        <v>71471069-105</v>
      </c>
      <c r="F735" s="22" t="s">
        <v>2345</v>
      </c>
      <c r="G735" s="22" t="s">
        <v>29</v>
      </c>
      <c r="H735" s="23">
        <v>20.313199999999998</v>
      </c>
      <c r="I735" s="24">
        <v>2</v>
      </c>
      <c r="J735" s="24">
        <v>0</v>
      </c>
      <c r="K735" s="24">
        <v>0</v>
      </c>
      <c r="L735" s="41">
        <f>Table2[[#This Row],[Column1]]+Table2[[#This Row],[Column2]]</f>
        <v>0</v>
      </c>
      <c r="M735" s="42">
        <f>Table2[[#This Row],[OnHandQty]]-Table2[[#This Row],[Projection Nov/Dec]]</f>
        <v>2</v>
      </c>
      <c r="N735" s="35">
        <f>Table2[[#This Row],[OverStock]]*Table2[[#This Row],[RepCost]]</f>
        <v>40.626399999999997</v>
      </c>
      <c r="O735" s="25">
        <v>46154.45416666667</v>
      </c>
      <c r="P735" s="26" t="s">
        <v>2066</v>
      </c>
    </row>
    <row r="736" spans="1:16" x14ac:dyDescent="0.25">
      <c r="A736" s="20" t="s">
        <v>5211</v>
      </c>
      <c r="B736" s="21">
        <v>636</v>
      </c>
      <c r="C736" s="22" t="s">
        <v>70</v>
      </c>
      <c r="D736" s="22" t="s">
        <v>789</v>
      </c>
      <c r="E736" s="22" t="str">
        <f>CONCATENATE(B736,D736)</f>
        <v>63693364-102</v>
      </c>
      <c r="F736" s="22" t="s">
        <v>790</v>
      </c>
      <c r="G736" s="22" t="s">
        <v>23</v>
      </c>
      <c r="H736" s="23">
        <v>9.5730000000000004</v>
      </c>
      <c r="I736" s="24">
        <v>5</v>
      </c>
      <c r="J736" s="24">
        <v>0</v>
      </c>
      <c r="K736" s="24">
        <v>0</v>
      </c>
      <c r="L736" s="41">
        <f>Table2[[#This Row],[Column1]]+Table2[[#This Row],[Column2]]</f>
        <v>0</v>
      </c>
      <c r="M736" s="42">
        <f>Table2[[#This Row],[OnHandQty]]-Table2[[#This Row],[Projection Nov/Dec]]</f>
        <v>5</v>
      </c>
      <c r="N736" s="35">
        <f>Table2[[#This Row],[OverStock]]*Table2[[#This Row],[RepCost]]</f>
        <v>47.865000000000002</v>
      </c>
      <c r="O736" s="25">
        <v>46115.417361111111</v>
      </c>
      <c r="P736" s="26" t="s">
        <v>573</v>
      </c>
    </row>
    <row r="737" spans="1:16" x14ac:dyDescent="0.25">
      <c r="A737" s="20" t="s">
        <v>5211</v>
      </c>
      <c r="B737" s="21">
        <v>714</v>
      </c>
      <c r="C737" s="22" t="s">
        <v>70</v>
      </c>
      <c r="D737" s="22" t="s">
        <v>789</v>
      </c>
      <c r="E737" s="22" t="str">
        <f>CONCATENATE(B737,D737)</f>
        <v>71493364-102</v>
      </c>
      <c r="F737" s="22" t="s">
        <v>790</v>
      </c>
      <c r="G737" s="22" t="s">
        <v>29</v>
      </c>
      <c r="H737" s="23">
        <v>9.8862000000000005</v>
      </c>
      <c r="I737" s="24">
        <v>6</v>
      </c>
      <c r="J737" s="24">
        <v>0</v>
      </c>
      <c r="K737" s="24">
        <v>0</v>
      </c>
      <c r="L737" s="41">
        <f>Table2[[#This Row],[Column1]]+Table2[[#This Row],[Column2]]</f>
        <v>0</v>
      </c>
      <c r="M737" s="42">
        <f>Table2[[#This Row],[OnHandQty]]-Table2[[#This Row],[Projection Nov/Dec]]</f>
        <v>6</v>
      </c>
      <c r="N737" s="35">
        <f>Table2[[#This Row],[OverStock]]*Table2[[#This Row],[RepCost]]</f>
        <v>59.3172</v>
      </c>
      <c r="O737" s="25">
        <v>46198.40902777778</v>
      </c>
      <c r="P737" s="26" t="s">
        <v>573</v>
      </c>
    </row>
    <row r="738" spans="1:16" x14ac:dyDescent="0.25">
      <c r="A738" s="20" t="s">
        <v>5211</v>
      </c>
      <c r="B738" s="21">
        <v>636</v>
      </c>
      <c r="C738" s="22" t="s">
        <v>143</v>
      </c>
      <c r="D738" s="22" t="s">
        <v>1088</v>
      </c>
      <c r="E738" s="22" t="str">
        <f>CONCATENATE(B738,D738)</f>
        <v>63664263-103</v>
      </c>
      <c r="F738" s="22" t="s">
        <v>1089</v>
      </c>
      <c r="G738" s="22" t="s">
        <v>23</v>
      </c>
      <c r="H738" s="23">
        <v>17.306699999999999</v>
      </c>
      <c r="I738" s="24">
        <v>17</v>
      </c>
      <c r="J738" s="24">
        <v>8</v>
      </c>
      <c r="K738" s="24">
        <v>0</v>
      </c>
      <c r="L738" s="41">
        <f>Table2[[#This Row],[Column1]]+Table2[[#This Row],[Column2]]</f>
        <v>8</v>
      </c>
      <c r="M738" s="42">
        <f>Table2[[#This Row],[OnHandQty]]-Table2[[#This Row],[Projection Nov/Dec]]</f>
        <v>9</v>
      </c>
      <c r="N738" s="35">
        <f>Table2[[#This Row],[OverStock]]*Table2[[#This Row],[RepCost]]</f>
        <v>155.7603</v>
      </c>
      <c r="O738" s="25">
        <v>46185.497916666667</v>
      </c>
      <c r="P738" s="26" t="s">
        <v>159</v>
      </c>
    </row>
    <row r="739" spans="1:16" x14ac:dyDescent="0.25">
      <c r="A739" s="20" t="s">
        <v>5211</v>
      </c>
      <c r="B739" s="21">
        <v>714</v>
      </c>
      <c r="C739" s="22" t="s">
        <v>143</v>
      </c>
      <c r="D739" s="22" t="s">
        <v>1088</v>
      </c>
      <c r="E739" s="22" t="str">
        <f>CONCATENATE(B739,D739)</f>
        <v>71464263-103</v>
      </c>
      <c r="F739" s="22" t="s">
        <v>1089</v>
      </c>
      <c r="G739" s="22" t="s">
        <v>23</v>
      </c>
      <c r="H739" s="23">
        <v>13.3062</v>
      </c>
      <c r="I739" s="24">
        <v>19</v>
      </c>
      <c r="J739" s="24">
        <v>8</v>
      </c>
      <c r="K739" s="24">
        <v>0</v>
      </c>
      <c r="L739" s="41">
        <f>Table2[[#This Row],[Column1]]+Table2[[#This Row],[Column2]]</f>
        <v>8</v>
      </c>
      <c r="M739" s="42">
        <f>Table2[[#This Row],[OnHandQty]]-Table2[[#This Row],[Projection Nov/Dec]]</f>
        <v>11</v>
      </c>
      <c r="N739" s="35">
        <f>Table2[[#This Row],[OverStock]]*Table2[[#This Row],[RepCost]]</f>
        <v>146.3682</v>
      </c>
      <c r="O739" s="25">
        <v>46220.439583333333</v>
      </c>
      <c r="P739" s="26" t="s">
        <v>878</v>
      </c>
    </row>
    <row r="740" spans="1:16" x14ac:dyDescent="0.25">
      <c r="A740" s="20" t="s">
        <v>5211</v>
      </c>
      <c r="B740" s="21">
        <v>718</v>
      </c>
      <c r="C740" s="22" t="s">
        <v>143</v>
      </c>
      <c r="D740" s="22" t="s">
        <v>179</v>
      </c>
      <c r="E740" s="22" t="str">
        <f>CONCATENATE(B740,D740)</f>
        <v>71883160-103</v>
      </c>
      <c r="F740" s="22" t="s">
        <v>180</v>
      </c>
      <c r="G740" s="22" t="s">
        <v>1400</v>
      </c>
      <c r="H740" s="23">
        <v>18.6783</v>
      </c>
      <c r="I740" s="24">
        <v>3</v>
      </c>
      <c r="J740" s="24">
        <v>0</v>
      </c>
      <c r="K740" s="24">
        <v>0</v>
      </c>
      <c r="L740" s="41">
        <f>Table2[[#This Row],[Column1]]+Table2[[#This Row],[Column2]]</f>
        <v>0</v>
      </c>
      <c r="M740" s="42">
        <f>Table2[[#This Row],[OnHandQty]]-Table2[[#This Row],[Projection Nov/Dec]]</f>
        <v>3</v>
      </c>
      <c r="N740" s="35">
        <f>Table2[[#This Row],[OverStock]]*Table2[[#This Row],[RepCost]]</f>
        <v>56.0349</v>
      </c>
      <c r="O740" s="25">
        <v>45821.616666666669</v>
      </c>
      <c r="P740" s="26" t="s">
        <v>26</v>
      </c>
    </row>
    <row r="741" spans="1:16" x14ac:dyDescent="0.25">
      <c r="A741" s="20" t="s">
        <v>5211</v>
      </c>
      <c r="B741" s="21">
        <v>634</v>
      </c>
      <c r="C741" s="22" t="s">
        <v>143</v>
      </c>
      <c r="D741" s="22" t="s">
        <v>179</v>
      </c>
      <c r="E741" s="22" t="str">
        <f>CONCATENATE(B741,D741)</f>
        <v>63483160-103</v>
      </c>
      <c r="F741" s="22" t="s">
        <v>180</v>
      </c>
      <c r="G741" s="22" t="s">
        <v>112</v>
      </c>
      <c r="H741" s="23">
        <v>19.768999999999998</v>
      </c>
      <c r="I741" s="24">
        <v>3</v>
      </c>
      <c r="J741" s="24">
        <v>0</v>
      </c>
      <c r="K741" s="24">
        <v>0</v>
      </c>
      <c r="L741" s="41">
        <f>Table2[[#This Row],[Column1]]+Table2[[#This Row],[Column2]]</f>
        <v>0</v>
      </c>
      <c r="M741" s="42">
        <f>Table2[[#This Row],[OnHandQty]]-Table2[[#This Row],[Projection Nov/Dec]]</f>
        <v>3</v>
      </c>
      <c r="N741" s="35">
        <f>Table2[[#This Row],[OverStock]]*Table2[[#This Row],[RepCost]]</f>
        <v>59.306999999999995</v>
      </c>
      <c r="O741" s="25">
        <v>46150.566666666666</v>
      </c>
      <c r="P741" s="26" t="s">
        <v>40</v>
      </c>
    </row>
    <row r="742" spans="1:16" x14ac:dyDescent="0.25">
      <c r="A742" s="20" t="s">
        <v>5211</v>
      </c>
      <c r="B742" s="21">
        <v>714</v>
      </c>
      <c r="C742" s="22" t="s">
        <v>143</v>
      </c>
      <c r="D742" s="22" t="s">
        <v>179</v>
      </c>
      <c r="E742" s="22" t="str">
        <f>CONCATENATE(B742,D742)</f>
        <v>71483160-103</v>
      </c>
      <c r="F742" s="22" t="s">
        <v>180</v>
      </c>
      <c r="G742" s="22" t="s">
        <v>29</v>
      </c>
      <c r="H742" s="23">
        <v>18.558900000000001</v>
      </c>
      <c r="I742" s="24">
        <v>2</v>
      </c>
      <c r="J742" s="24">
        <v>0</v>
      </c>
      <c r="K742" s="24">
        <v>0</v>
      </c>
      <c r="L742" s="41">
        <f>Table2[[#This Row],[Column1]]+Table2[[#This Row],[Column2]]</f>
        <v>0</v>
      </c>
      <c r="M742" s="42">
        <f>Table2[[#This Row],[OnHandQty]]-Table2[[#This Row],[Projection Nov/Dec]]</f>
        <v>2</v>
      </c>
      <c r="N742" s="35">
        <f>Table2[[#This Row],[OverStock]]*Table2[[#This Row],[RepCost]]</f>
        <v>37.117800000000003</v>
      </c>
      <c r="O742" s="25">
        <v>46181.388888888891</v>
      </c>
      <c r="P742" s="26" t="s">
        <v>26</v>
      </c>
    </row>
    <row r="743" spans="1:16" x14ac:dyDescent="0.25">
      <c r="A743" s="20" t="s">
        <v>5211</v>
      </c>
      <c r="B743" s="21">
        <v>636</v>
      </c>
      <c r="C743" s="22" t="s">
        <v>143</v>
      </c>
      <c r="D743" s="22" t="s">
        <v>179</v>
      </c>
      <c r="E743" s="22" t="str">
        <f>CONCATENATE(B743,D743)</f>
        <v>63683160-103</v>
      </c>
      <c r="F743" s="22" t="s">
        <v>180</v>
      </c>
      <c r="G743" s="22" t="s">
        <v>23</v>
      </c>
      <c r="H743" s="23">
        <v>19.007200000000001</v>
      </c>
      <c r="I743" s="24">
        <v>3</v>
      </c>
      <c r="J743" s="24">
        <v>0</v>
      </c>
      <c r="K743" s="24">
        <v>0</v>
      </c>
      <c r="L743" s="41">
        <f>Table2[[#This Row],[Column1]]+Table2[[#This Row],[Column2]]</f>
        <v>0</v>
      </c>
      <c r="M743" s="42">
        <f>Table2[[#This Row],[OnHandQty]]-Table2[[#This Row],[Projection Nov/Dec]]</f>
        <v>3</v>
      </c>
      <c r="N743" s="35">
        <f>Table2[[#This Row],[OverStock]]*Table2[[#This Row],[RepCost]]</f>
        <v>57.021600000000007</v>
      </c>
      <c r="O743" s="25">
        <v>46185.374305555553</v>
      </c>
      <c r="P743" s="26" t="s">
        <v>47</v>
      </c>
    </row>
    <row r="744" spans="1:16" x14ac:dyDescent="0.25">
      <c r="A744" s="20" t="s">
        <v>5211</v>
      </c>
      <c r="B744" s="21">
        <v>634</v>
      </c>
      <c r="C744" s="22" t="s">
        <v>70</v>
      </c>
      <c r="D744" s="22" t="s">
        <v>119</v>
      </c>
      <c r="E744" s="22" t="str">
        <f>CONCATENATE(B744,D744)</f>
        <v>63490838-101</v>
      </c>
      <c r="F744" s="22" t="s">
        <v>120</v>
      </c>
      <c r="G744" s="22" t="s">
        <v>39</v>
      </c>
      <c r="H744" s="23">
        <v>5.4381000000000004</v>
      </c>
      <c r="I744" s="24">
        <v>8</v>
      </c>
      <c r="J744" s="24">
        <v>0</v>
      </c>
      <c r="K744" s="24">
        <v>0</v>
      </c>
      <c r="L744" s="41">
        <f>Table2[[#This Row],[Column1]]+Table2[[#This Row],[Column2]]</f>
        <v>0</v>
      </c>
      <c r="M744" s="42">
        <f>Table2[[#This Row],[OnHandQty]]-Table2[[#This Row],[Projection Nov/Dec]]</f>
        <v>8</v>
      </c>
      <c r="N744" s="35">
        <f>Table2[[#This Row],[OverStock]]*Table2[[#This Row],[RepCost]]</f>
        <v>43.504800000000003</v>
      </c>
      <c r="O744" s="25">
        <v>46161.400694444441</v>
      </c>
      <c r="P744" s="26" t="s">
        <v>16</v>
      </c>
    </row>
    <row r="745" spans="1:16" x14ac:dyDescent="0.25">
      <c r="A745" s="20" t="s">
        <v>5211</v>
      </c>
      <c r="B745" s="21">
        <v>714</v>
      </c>
      <c r="C745" s="22" t="s">
        <v>70</v>
      </c>
      <c r="D745" s="22" t="s">
        <v>2014</v>
      </c>
      <c r="E745" s="22" t="str">
        <f>CONCATENATE(B745,D745)</f>
        <v>71464327-SP4</v>
      </c>
      <c r="F745" s="22" t="s">
        <v>2015</v>
      </c>
      <c r="G745" s="22" t="s">
        <v>112</v>
      </c>
      <c r="H745" s="23">
        <v>2.8294999999999999</v>
      </c>
      <c r="I745" s="24">
        <v>14</v>
      </c>
      <c r="J745" s="24">
        <v>0</v>
      </c>
      <c r="K745" s="24">
        <v>0</v>
      </c>
      <c r="L745" s="41">
        <f>Table2[[#This Row],[Column1]]+Table2[[#This Row],[Column2]]</f>
        <v>0</v>
      </c>
      <c r="M745" s="42">
        <f>Table2[[#This Row],[OnHandQty]]-Table2[[#This Row],[Projection Nov/Dec]]</f>
        <v>14</v>
      </c>
      <c r="N745" s="35">
        <f>Table2[[#This Row],[OverStock]]*Table2[[#This Row],[RepCost]]</f>
        <v>39.613</v>
      </c>
      <c r="O745" s="25">
        <v>46114.45416666667</v>
      </c>
      <c r="P745" s="26" t="s">
        <v>1951</v>
      </c>
    </row>
    <row r="746" spans="1:16" x14ac:dyDescent="0.25">
      <c r="A746" s="20" t="s">
        <v>5211</v>
      </c>
      <c r="B746" s="21">
        <v>714</v>
      </c>
      <c r="C746" s="22" t="s">
        <v>70</v>
      </c>
      <c r="D746" s="22" t="s">
        <v>2071</v>
      </c>
      <c r="E746" s="22" t="str">
        <f>CONCATENATE(B746,D746)</f>
        <v>71464309-101</v>
      </c>
      <c r="F746" s="22" t="s">
        <v>2072</v>
      </c>
      <c r="G746" s="22" t="s">
        <v>112</v>
      </c>
      <c r="H746" s="23">
        <v>5.1718000000000002</v>
      </c>
      <c r="I746" s="24">
        <v>20</v>
      </c>
      <c r="J746" s="24">
        <v>0</v>
      </c>
      <c r="K746" s="24">
        <v>0</v>
      </c>
      <c r="L746" s="41">
        <f>Table2[[#This Row],[Column1]]+Table2[[#This Row],[Column2]]</f>
        <v>0</v>
      </c>
      <c r="M746" s="42">
        <f>Table2[[#This Row],[OnHandQty]]-Table2[[#This Row],[Projection Nov/Dec]]</f>
        <v>20</v>
      </c>
      <c r="N746" s="35">
        <f>Table2[[#This Row],[OverStock]]*Table2[[#This Row],[RepCost]]</f>
        <v>103.43600000000001</v>
      </c>
      <c r="O746" s="25">
        <v>46193.431250000001</v>
      </c>
      <c r="P746" s="26" t="s">
        <v>26</v>
      </c>
    </row>
    <row r="747" spans="1:16" x14ac:dyDescent="0.25">
      <c r="A747" s="20" t="s">
        <v>5211</v>
      </c>
      <c r="B747" s="21">
        <v>636</v>
      </c>
      <c r="C747" s="22" t="s">
        <v>70</v>
      </c>
      <c r="D747" s="22" t="s">
        <v>604</v>
      </c>
      <c r="E747" s="22" t="str">
        <f>CONCATENATE(B747,D747)</f>
        <v>63687207-101</v>
      </c>
      <c r="F747" s="22" t="s">
        <v>605</v>
      </c>
      <c r="G747" s="22" t="s">
        <v>39</v>
      </c>
      <c r="H747" s="23">
        <v>6.1853999999999996</v>
      </c>
      <c r="I747" s="24">
        <v>1</v>
      </c>
      <c r="J747" s="24">
        <v>0</v>
      </c>
      <c r="K747" s="24">
        <v>0</v>
      </c>
      <c r="L747" s="41">
        <f>Table2[[#This Row],[Column1]]+Table2[[#This Row],[Column2]]</f>
        <v>0</v>
      </c>
      <c r="M747" s="42">
        <f>Table2[[#This Row],[OnHandQty]]-Table2[[#This Row],[Projection Nov/Dec]]</f>
        <v>1</v>
      </c>
      <c r="N747" s="35">
        <f>Table2[[#This Row],[OverStock]]*Table2[[#This Row],[RepCost]]</f>
        <v>6.1853999999999996</v>
      </c>
      <c r="O747" s="25">
        <v>46115.438194444447</v>
      </c>
      <c r="P747" s="26" t="s">
        <v>16</v>
      </c>
    </row>
    <row r="748" spans="1:16" x14ac:dyDescent="0.25">
      <c r="A748" s="20" t="s">
        <v>5211</v>
      </c>
      <c r="B748" s="21">
        <v>636</v>
      </c>
      <c r="C748" s="22" t="s">
        <v>126</v>
      </c>
      <c r="D748" s="22" t="s">
        <v>870</v>
      </c>
      <c r="E748" s="22" t="str">
        <f>CONCATENATE(B748,D748)</f>
        <v>63691642-PF4PFO</v>
      </c>
      <c r="F748" s="22" t="s">
        <v>871</v>
      </c>
      <c r="G748" s="22" t="s">
        <v>112</v>
      </c>
      <c r="H748" s="23">
        <v>6.4440999999999997</v>
      </c>
      <c r="I748" s="24">
        <v>125</v>
      </c>
      <c r="J748" s="24">
        <v>0</v>
      </c>
      <c r="K748" s="24">
        <v>0</v>
      </c>
      <c r="L748" s="41">
        <f>Table2[[#This Row],[Column1]]+Table2[[#This Row],[Column2]]</f>
        <v>0</v>
      </c>
      <c r="M748" s="42">
        <f>Table2[[#This Row],[OnHandQty]]-Table2[[#This Row],[Projection Nov/Dec]]</f>
        <v>125</v>
      </c>
      <c r="N748" s="35">
        <f>Table2[[#This Row],[OverStock]]*Table2[[#This Row],[RepCost]]</f>
        <v>805.51249999999993</v>
      </c>
      <c r="O748" s="25">
        <v>46184.540277777778</v>
      </c>
      <c r="P748" s="26" t="s">
        <v>16</v>
      </c>
    </row>
    <row r="749" spans="1:16" x14ac:dyDescent="0.25">
      <c r="A749" s="20" t="s">
        <v>5211</v>
      </c>
      <c r="B749" s="21">
        <v>714</v>
      </c>
      <c r="C749" s="22" t="s">
        <v>126</v>
      </c>
      <c r="D749" s="22" t="s">
        <v>870</v>
      </c>
      <c r="E749" s="22" t="str">
        <f>CONCATENATE(B749,D749)</f>
        <v>71491642-PF4PFO</v>
      </c>
      <c r="F749" s="22" t="s">
        <v>871</v>
      </c>
      <c r="G749" s="22" t="s">
        <v>112</v>
      </c>
      <c r="H749" s="23">
        <v>6.9904999999999999</v>
      </c>
      <c r="I749" s="24">
        <v>46</v>
      </c>
      <c r="J749" s="24">
        <v>0</v>
      </c>
      <c r="K749" s="24">
        <v>0</v>
      </c>
      <c r="L749" s="41">
        <f>Table2[[#This Row],[Column1]]+Table2[[#This Row],[Column2]]</f>
        <v>0</v>
      </c>
      <c r="M749" s="42">
        <f>Table2[[#This Row],[OnHandQty]]-Table2[[#This Row],[Projection Nov/Dec]]</f>
        <v>46</v>
      </c>
      <c r="N749" s="35">
        <f>Table2[[#This Row],[OverStock]]*Table2[[#This Row],[RepCost]]</f>
        <v>321.56299999999999</v>
      </c>
      <c r="O749" s="25">
        <v>46199.499305555553</v>
      </c>
      <c r="P749" s="26" t="s">
        <v>16</v>
      </c>
    </row>
    <row r="750" spans="1:16" x14ac:dyDescent="0.25">
      <c r="A750" s="20" t="s">
        <v>5211</v>
      </c>
      <c r="B750" s="21">
        <v>718</v>
      </c>
      <c r="C750" s="22" t="s">
        <v>126</v>
      </c>
      <c r="D750" s="22" t="s">
        <v>870</v>
      </c>
      <c r="E750" s="22" t="str">
        <f>CONCATENATE(B750,D750)</f>
        <v>71891642-PF4PFO</v>
      </c>
      <c r="F750" s="22" t="s">
        <v>871</v>
      </c>
      <c r="G750" s="22" t="s">
        <v>43</v>
      </c>
      <c r="H750" s="23">
        <v>6.2546999999999997</v>
      </c>
      <c r="I750" s="24">
        <v>12</v>
      </c>
      <c r="J750" s="24">
        <v>0</v>
      </c>
      <c r="K750" s="24">
        <v>0</v>
      </c>
      <c r="L750" s="41">
        <f>Table2[[#This Row],[Column1]]+Table2[[#This Row],[Column2]]</f>
        <v>0</v>
      </c>
      <c r="M750" s="42">
        <f>Table2[[#This Row],[OnHandQty]]-Table2[[#This Row],[Projection Nov/Dec]]</f>
        <v>12</v>
      </c>
      <c r="N750" s="35">
        <f>Table2[[#This Row],[OverStock]]*Table2[[#This Row],[RepCost]]</f>
        <v>75.056399999999996</v>
      </c>
      <c r="O750" s="25">
        <v>46234.345138888886</v>
      </c>
      <c r="P750" s="26" t="s">
        <v>16</v>
      </c>
    </row>
    <row r="751" spans="1:16" x14ac:dyDescent="0.25">
      <c r="A751" s="20" t="s">
        <v>5211</v>
      </c>
      <c r="B751" s="21">
        <v>636</v>
      </c>
      <c r="C751" s="22" t="s">
        <v>70</v>
      </c>
      <c r="D751" s="22" t="s">
        <v>678</v>
      </c>
      <c r="E751" s="22" t="str">
        <f>CONCATENATE(B751,D751)</f>
        <v>63682088-101</v>
      </c>
      <c r="F751" s="22" t="s">
        <v>679</v>
      </c>
      <c r="G751" s="22" t="s">
        <v>29</v>
      </c>
      <c r="H751" s="23">
        <v>5.4676999999999998</v>
      </c>
      <c r="I751" s="24">
        <v>34</v>
      </c>
      <c r="J751" s="24">
        <v>0</v>
      </c>
      <c r="K751" s="24">
        <v>0</v>
      </c>
      <c r="L751" s="41">
        <f>Table2[[#This Row],[Column1]]+Table2[[#This Row],[Column2]]</f>
        <v>0</v>
      </c>
      <c r="M751" s="42">
        <f>Table2[[#This Row],[OnHandQty]]-Table2[[#This Row],[Projection Nov/Dec]]</f>
        <v>34</v>
      </c>
      <c r="N751" s="35">
        <f>Table2[[#This Row],[OverStock]]*Table2[[#This Row],[RepCost]]</f>
        <v>185.90179999999998</v>
      </c>
      <c r="O751" s="25">
        <v>46177.399305555555</v>
      </c>
      <c r="P751" s="26" t="s">
        <v>16</v>
      </c>
    </row>
    <row r="752" spans="1:16" x14ac:dyDescent="0.25">
      <c r="A752" s="20" t="s">
        <v>5211</v>
      </c>
      <c r="B752" s="21">
        <v>636</v>
      </c>
      <c r="C752" s="22" t="s">
        <v>70</v>
      </c>
      <c r="D752" s="22" t="s">
        <v>833</v>
      </c>
      <c r="E752" s="22" t="str">
        <f>CONCATENATE(B752,D752)</f>
        <v>63680806-101</v>
      </c>
      <c r="F752" s="22" t="s">
        <v>834</v>
      </c>
      <c r="G752" s="22" t="s">
        <v>39</v>
      </c>
      <c r="H752" s="23">
        <v>5.2571000000000003</v>
      </c>
      <c r="I752" s="24">
        <v>14</v>
      </c>
      <c r="J752" s="24">
        <v>0</v>
      </c>
      <c r="K752" s="24">
        <v>0</v>
      </c>
      <c r="L752" s="41">
        <f>Table2[[#This Row],[Column1]]+Table2[[#This Row],[Column2]]</f>
        <v>0</v>
      </c>
      <c r="M752" s="42">
        <f>Table2[[#This Row],[OnHandQty]]-Table2[[#This Row],[Projection Nov/Dec]]</f>
        <v>14</v>
      </c>
      <c r="N752" s="35">
        <f>Table2[[#This Row],[OverStock]]*Table2[[#This Row],[RepCost]]</f>
        <v>73.599400000000003</v>
      </c>
      <c r="O752" s="25">
        <v>46171.48541666667</v>
      </c>
      <c r="P752" s="26" t="s">
        <v>16</v>
      </c>
    </row>
    <row r="753" spans="1:16" x14ac:dyDescent="0.25">
      <c r="A753" s="20" t="s">
        <v>5211</v>
      </c>
      <c r="B753" s="21">
        <v>636</v>
      </c>
      <c r="C753" s="22" t="s">
        <v>70</v>
      </c>
      <c r="D753" s="22" t="s">
        <v>588</v>
      </c>
      <c r="E753" s="22" t="str">
        <f>CONCATENATE(B753,D753)</f>
        <v>63664290-101</v>
      </c>
      <c r="F753" s="22" t="s">
        <v>589</v>
      </c>
      <c r="G753" s="22" t="s">
        <v>29</v>
      </c>
      <c r="H753" s="23">
        <v>5.5228000000000002</v>
      </c>
      <c r="I753" s="24">
        <v>36</v>
      </c>
      <c r="J753" s="24">
        <v>0</v>
      </c>
      <c r="K753" s="24">
        <v>0</v>
      </c>
      <c r="L753" s="41">
        <f>Table2[[#This Row],[Column1]]+Table2[[#This Row],[Column2]]</f>
        <v>0</v>
      </c>
      <c r="M753" s="42">
        <f>Table2[[#This Row],[OnHandQty]]-Table2[[#This Row],[Projection Nov/Dec]]</f>
        <v>36</v>
      </c>
      <c r="N753" s="35">
        <f>Table2[[#This Row],[OverStock]]*Table2[[#This Row],[RepCost]]</f>
        <v>198.82080000000002</v>
      </c>
      <c r="O753" s="25">
        <v>46177.399305555555</v>
      </c>
      <c r="P753" s="26" t="s">
        <v>16</v>
      </c>
    </row>
    <row r="754" spans="1:16" x14ac:dyDescent="0.25">
      <c r="A754" s="20" t="s">
        <v>5211</v>
      </c>
      <c r="B754" s="21">
        <v>714</v>
      </c>
      <c r="C754" s="22" t="s">
        <v>70</v>
      </c>
      <c r="D754" s="22" t="s">
        <v>1989</v>
      </c>
      <c r="E754" s="22" t="str">
        <f>CONCATENATE(B754,D754)</f>
        <v>71464417-101</v>
      </c>
      <c r="F754" s="22" t="s">
        <v>1990</v>
      </c>
      <c r="G754" s="22" t="s">
        <v>39</v>
      </c>
      <c r="H754" s="23">
        <v>7.0179999999999998</v>
      </c>
      <c r="I754" s="24">
        <v>11</v>
      </c>
      <c r="J754" s="24">
        <v>0</v>
      </c>
      <c r="K754" s="24">
        <v>0</v>
      </c>
      <c r="L754" s="41">
        <f>Table2[[#This Row],[Column1]]+Table2[[#This Row],[Column2]]</f>
        <v>0</v>
      </c>
      <c r="M754" s="42">
        <f>Table2[[#This Row],[OnHandQty]]-Table2[[#This Row],[Projection Nov/Dec]]</f>
        <v>11</v>
      </c>
      <c r="N754" s="35">
        <f>Table2[[#This Row],[OverStock]]*Table2[[#This Row],[RepCost]]</f>
        <v>77.197999999999993</v>
      </c>
      <c r="O754" s="25">
        <v>46176.375</v>
      </c>
      <c r="P754" s="26" t="s">
        <v>40</v>
      </c>
    </row>
    <row r="755" spans="1:16" x14ac:dyDescent="0.25">
      <c r="A755" s="20" t="s">
        <v>5211</v>
      </c>
      <c r="B755" s="21">
        <v>714</v>
      </c>
      <c r="C755" s="22" t="s">
        <v>70</v>
      </c>
      <c r="D755" s="22" t="s">
        <v>2056</v>
      </c>
      <c r="E755" s="22" t="str">
        <f>CONCATENATE(B755,D755)</f>
        <v>71464417-102</v>
      </c>
      <c r="F755" s="22" t="s">
        <v>2057</v>
      </c>
      <c r="G755" s="22" t="s">
        <v>29</v>
      </c>
      <c r="H755" s="23">
        <v>11.1533</v>
      </c>
      <c r="I755" s="24">
        <v>13</v>
      </c>
      <c r="J755" s="24">
        <v>0</v>
      </c>
      <c r="K755" s="24">
        <v>0</v>
      </c>
      <c r="L755" s="41">
        <f>Table2[[#This Row],[Column1]]+Table2[[#This Row],[Column2]]</f>
        <v>0</v>
      </c>
      <c r="M755" s="42">
        <f>Table2[[#This Row],[OnHandQty]]-Table2[[#This Row],[Projection Nov/Dec]]</f>
        <v>13</v>
      </c>
      <c r="N755" s="35">
        <f>Table2[[#This Row],[OverStock]]*Table2[[#This Row],[RepCost]]</f>
        <v>144.99289999999999</v>
      </c>
      <c r="O755" s="25">
        <v>46213.455555555556</v>
      </c>
      <c r="P755" s="26" t="s">
        <v>573</v>
      </c>
    </row>
    <row r="756" spans="1:16" x14ac:dyDescent="0.25">
      <c r="A756" s="20" t="s">
        <v>5211</v>
      </c>
      <c r="B756" s="21">
        <v>718</v>
      </c>
      <c r="C756" s="22" t="s">
        <v>70</v>
      </c>
      <c r="D756" s="22" t="s">
        <v>2056</v>
      </c>
      <c r="E756" s="22" t="str">
        <f>CONCATENATE(B756,D756)</f>
        <v>71864417-102</v>
      </c>
      <c r="F756" s="22" t="s">
        <v>2057</v>
      </c>
      <c r="G756" s="22" t="s">
        <v>29</v>
      </c>
      <c r="H756" s="23">
        <v>10.7867</v>
      </c>
      <c r="I756" s="24">
        <v>17</v>
      </c>
      <c r="J756" s="24">
        <v>0</v>
      </c>
      <c r="K756" s="24">
        <v>0</v>
      </c>
      <c r="L756" s="41">
        <f>Table2[[#This Row],[Column1]]+Table2[[#This Row],[Column2]]</f>
        <v>0</v>
      </c>
      <c r="M756" s="42">
        <f>Table2[[#This Row],[OnHandQty]]-Table2[[#This Row],[Projection Nov/Dec]]</f>
        <v>17</v>
      </c>
      <c r="N756" s="35">
        <f>Table2[[#This Row],[OverStock]]*Table2[[#This Row],[RepCost]]</f>
        <v>183.37389999999999</v>
      </c>
      <c r="O756" s="25">
        <v>46232.6</v>
      </c>
      <c r="P756" s="26" t="s">
        <v>573</v>
      </c>
    </row>
    <row r="757" spans="1:16" x14ac:dyDescent="0.25">
      <c r="A757" s="20" t="s">
        <v>5211</v>
      </c>
      <c r="B757" s="21">
        <v>714</v>
      </c>
      <c r="C757" s="22" t="s">
        <v>70</v>
      </c>
      <c r="D757" s="22" t="s">
        <v>2091</v>
      </c>
      <c r="E757" s="22" t="str">
        <f>CONCATENATE(B757,D757)</f>
        <v>71464420-102</v>
      </c>
      <c r="F757" s="22" t="s">
        <v>2092</v>
      </c>
      <c r="G757" s="22" t="s">
        <v>112</v>
      </c>
      <c r="H757" s="23">
        <v>7.3951000000000002</v>
      </c>
      <c r="I757" s="24">
        <v>49</v>
      </c>
      <c r="J757" s="24">
        <v>7</v>
      </c>
      <c r="K757" s="24">
        <v>0</v>
      </c>
      <c r="L757" s="41">
        <f>Table2[[#This Row],[Column1]]+Table2[[#This Row],[Column2]]</f>
        <v>7</v>
      </c>
      <c r="M757" s="42">
        <f>Table2[[#This Row],[OnHandQty]]-Table2[[#This Row],[Projection Nov/Dec]]</f>
        <v>42</v>
      </c>
      <c r="N757" s="35">
        <f>Table2[[#This Row],[OverStock]]*Table2[[#This Row],[RepCost]]</f>
        <v>310.5942</v>
      </c>
      <c r="O757" s="25">
        <v>46176.375</v>
      </c>
      <c r="P757" s="26" t="s">
        <v>40</v>
      </c>
    </row>
    <row r="758" spans="1:16" x14ac:dyDescent="0.25">
      <c r="A758" s="20" t="s">
        <v>5211</v>
      </c>
      <c r="B758" s="21">
        <v>718</v>
      </c>
      <c r="C758" s="22" t="s">
        <v>70</v>
      </c>
      <c r="D758" s="22" t="s">
        <v>3669</v>
      </c>
      <c r="E758" s="22" t="str">
        <f>CONCATENATE(B758,D758)</f>
        <v>71892236-PF4</v>
      </c>
      <c r="F758" s="22" t="s">
        <v>3670</v>
      </c>
      <c r="G758" s="22" t="s">
        <v>39</v>
      </c>
      <c r="H758" s="23">
        <v>5.71</v>
      </c>
      <c r="I758" s="24">
        <v>10</v>
      </c>
      <c r="J758" s="24">
        <v>0</v>
      </c>
      <c r="K758" s="24">
        <v>0</v>
      </c>
      <c r="L758" s="41">
        <f>Table2[[#This Row],[Column1]]+Table2[[#This Row],[Column2]]</f>
        <v>0</v>
      </c>
      <c r="M758" s="42">
        <f>Table2[[#This Row],[OnHandQty]]-Table2[[#This Row],[Projection Nov/Dec]]</f>
        <v>10</v>
      </c>
      <c r="N758" s="35">
        <f>Table2[[#This Row],[OverStock]]*Table2[[#This Row],[RepCost]]</f>
        <v>57.1</v>
      </c>
      <c r="O758" s="25">
        <v>46213.561805555553</v>
      </c>
      <c r="P758" s="26" t="s">
        <v>573</v>
      </c>
    </row>
    <row r="759" spans="1:16" x14ac:dyDescent="0.25">
      <c r="A759" s="20" t="s">
        <v>5211</v>
      </c>
      <c r="B759" s="21">
        <v>714</v>
      </c>
      <c r="C759" s="22" t="s">
        <v>143</v>
      </c>
      <c r="D759" s="22" t="s">
        <v>2571</v>
      </c>
      <c r="E759" s="22" t="str">
        <f>CONCATENATE(B759,D759)</f>
        <v>71484681-103</v>
      </c>
      <c r="F759" s="22" t="s">
        <v>2572</v>
      </c>
      <c r="G759" s="22" t="s">
        <v>35</v>
      </c>
      <c r="H759" s="23">
        <v>19.4755</v>
      </c>
      <c r="I759" s="24">
        <v>6</v>
      </c>
      <c r="J759" s="24">
        <v>0</v>
      </c>
      <c r="K759" s="24">
        <v>0</v>
      </c>
      <c r="L759" s="41">
        <f>Table2[[#This Row],[Column1]]+Table2[[#This Row],[Column2]]</f>
        <v>0</v>
      </c>
      <c r="M759" s="42">
        <f>Table2[[#This Row],[OnHandQty]]-Table2[[#This Row],[Projection Nov/Dec]]</f>
        <v>6</v>
      </c>
      <c r="N759" s="35">
        <f>Table2[[#This Row],[OverStock]]*Table2[[#This Row],[RepCost]]</f>
        <v>116.85300000000001</v>
      </c>
      <c r="O759" s="25">
        <v>44696.636111111111</v>
      </c>
      <c r="P759" s="26" t="s">
        <v>40</v>
      </c>
    </row>
    <row r="760" spans="1:16" x14ac:dyDescent="0.25">
      <c r="A760" s="20" t="s">
        <v>5211</v>
      </c>
      <c r="B760" s="21">
        <v>714</v>
      </c>
      <c r="C760" s="22" t="s">
        <v>70</v>
      </c>
      <c r="D760" s="22" t="s">
        <v>2099</v>
      </c>
      <c r="E760" s="22" t="str">
        <f>CONCATENATE(B760,D760)</f>
        <v>71479505-102</v>
      </c>
      <c r="F760" s="22" t="s">
        <v>2100</v>
      </c>
      <c r="G760" s="22" t="s">
        <v>39</v>
      </c>
      <c r="H760" s="23">
        <v>8.9829000000000008</v>
      </c>
      <c r="I760" s="24">
        <v>11</v>
      </c>
      <c r="J760" s="24">
        <v>0</v>
      </c>
      <c r="K760" s="24">
        <v>0</v>
      </c>
      <c r="L760" s="41">
        <f>Table2[[#This Row],[Column1]]+Table2[[#This Row],[Column2]]</f>
        <v>0</v>
      </c>
      <c r="M760" s="42">
        <f>Table2[[#This Row],[OnHandQty]]-Table2[[#This Row],[Projection Nov/Dec]]</f>
        <v>11</v>
      </c>
      <c r="N760" s="35">
        <f>Table2[[#This Row],[OverStock]]*Table2[[#This Row],[RepCost]]</f>
        <v>98.811900000000009</v>
      </c>
      <c r="O760" s="25">
        <v>46213.455555555556</v>
      </c>
      <c r="P760" s="26" t="s">
        <v>573</v>
      </c>
    </row>
    <row r="761" spans="1:16" x14ac:dyDescent="0.25">
      <c r="A761" s="20" t="s">
        <v>5211</v>
      </c>
      <c r="B761" s="21">
        <v>718</v>
      </c>
      <c r="C761" s="22" t="s">
        <v>70</v>
      </c>
      <c r="D761" s="22" t="s">
        <v>2099</v>
      </c>
      <c r="E761" s="22" t="str">
        <f>CONCATENATE(B761,D761)</f>
        <v>71879505-102</v>
      </c>
      <c r="F761" s="22" t="s">
        <v>2100</v>
      </c>
      <c r="G761" s="22" t="s">
        <v>29</v>
      </c>
      <c r="H761" s="23">
        <v>8.3377999999999997</v>
      </c>
      <c r="I761" s="24">
        <v>11</v>
      </c>
      <c r="J761" s="24">
        <v>0</v>
      </c>
      <c r="K761" s="24">
        <v>0</v>
      </c>
      <c r="L761" s="41">
        <f>Table2[[#This Row],[Column1]]+Table2[[#This Row],[Column2]]</f>
        <v>0</v>
      </c>
      <c r="M761" s="42">
        <f>Table2[[#This Row],[OnHandQty]]-Table2[[#This Row],[Projection Nov/Dec]]</f>
        <v>11</v>
      </c>
      <c r="N761" s="35">
        <f>Table2[[#This Row],[OverStock]]*Table2[[#This Row],[RepCost]]</f>
        <v>91.715800000000002</v>
      </c>
      <c r="O761" s="25">
        <v>46232.6</v>
      </c>
      <c r="P761" s="26" t="s">
        <v>573</v>
      </c>
    </row>
    <row r="762" spans="1:16" x14ac:dyDescent="0.25">
      <c r="A762" s="20" t="s">
        <v>5211</v>
      </c>
      <c r="B762" s="21">
        <v>636</v>
      </c>
      <c r="C762" s="22" t="s">
        <v>70</v>
      </c>
      <c r="D762" s="22" t="s">
        <v>737</v>
      </c>
      <c r="E762" s="22" t="str">
        <f>CONCATENATE(B762,D762)</f>
        <v>63684731-101</v>
      </c>
      <c r="F762" s="22" t="s">
        <v>738</v>
      </c>
      <c r="G762" s="22" t="s">
        <v>29</v>
      </c>
      <c r="H762" s="23">
        <v>6.468</v>
      </c>
      <c r="I762" s="24">
        <v>7</v>
      </c>
      <c r="J762" s="24">
        <v>0</v>
      </c>
      <c r="K762" s="24">
        <v>0</v>
      </c>
      <c r="L762" s="41">
        <f>Table2[[#This Row],[Column1]]+Table2[[#This Row],[Column2]]</f>
        <v>0</v>
      </c>
      <c r="M762" s="42">
        <f>Table2[[#This Row],[OnHandQty]]-Table2[[#This Row],[Projection Nov/Dec]]</f>
        <v>7</v>
      </c>
      <c r="N762" s="35">
        <f>Table2[[#This Row],[OverStock]]*Table2[[#This Row],[RepCost]]</f>
        <v>45.275999999999996</v>
      </c>
      <c r="O762" s="25">
        <v>46164.400694444441</v>
      </c>
      <c r="P762" s="26" t="s">
        <v>16</v>
      </c>
    </row>
    <row r="763" spans="1:16" x14ac:dyDescent="0.25">
      <c r="A763" s="20" t="s">
        <v>5211</v>
      </c>
      <c r="B763" s="21">
        <v>636</v>
      </c>
      <c r="C763" s="22" t="s">
        <v>70</v>
      </c>
      <c r="D763" s="22" t="s">
        <v>743</v>
      </c>
      <c r="E763" s="22" t="str">
        <f>CONCATENATE(B763,D763)</f>
        <v>63664466-102</v>
      </c>
      <c r="F763" s="22" t="s">
        <v>744</v>
      </c>
      <c r="G763" s="22" t="s">
        <v>112</v>
      </c>
      <c r="H763" s="23">
        <v>8.9635999999999996</v>
      </c>
      <c r="I763" s="24">
        <v>7</v>
      </c>
      <c r="J763" s="24">
        <v>0</v>
      </c>
      <c r="K763" s="24">
        <v>0</v>
      </c>
      <c r="L763" s="41">
        <f>Table2[[#This Row],[Column1]]+Table2[[#This Row],[Column2]]</f>
        <v>0</v>
      </c>
      <c r="M763" s="42">
        <f>Table2[[#This Row],[OnHandQty]]-Table2[[#This Row],[Projection Nov/Dec]]</f>
        <v>7</v>
      </c>
      <c r="N763" s="35">
        <f>Table2[[#This Row],[OverStock]]*Table2[[#This Row],[RepCost]]</f>
        <v>62.745199999999997</v>
      </c>
      <c r="O763" s="25">
        <v>46141.408333333333</v>
      </c>
      <c r="P763" s="26" t="s">
        <v>522</v>
      </c>
    </row>
    <row r="764" spans="1:16" x14ac:dyDescent="0.25">
      <c r="A764" s="20" t="s">
        <v>5211</v>
      </c>
      <c r="B764" s="21">
        <v>714</v>
      </c>
      <c r="C764" s="22" t="s">
        <v>323</v>
      </c>
      <c r="D764" s="22" t="s">
        <v>3031</v>
      </c>
      <c r="E764" s="22" t="str">
        <f>CONCATENATE(B764,D764)</f>
        <v>71464487-103</v>
      </c>
      <c r="F764" s="22" t="s">
        <v>3032</v>
      </c>
      <c r="G764" s="22" t="s">
        <v>29</v>
      </c>
      <c r="H764" s="23">
        <v>26.415800000000001</v>
      </c>
      <c r="I764" s="24">
        <v>5</v>
      </c>
      <c r="J764" s="24">
        <v>0</v>
      </c>
      <c r="K764" s="24">
        <v>0</v>
      </c>
      <c r="L764" s="41">
        <f>Table2[[#This Row],[Column1]]+Table2[[#This Row],[Column2]]</f>
        <v>0</v>
      </c>
      <c r="M764" s="42">
        <f>Table2[[#This Row],[OnHandQty]]-Table2[[#This Row],[Projection Nov/Dec]]</f>
        <v>5</v>
      </c>
      <c r="N764" s="35">
        <f>Table2[[#This Row],[OverStock]]*Table2[[#This Row],[RepCost]]</f>
        <v>132.07900000000001</v>
      </c>
      <c r="O764" s="25">
        <v>46197.482638888891</v>
      </c>
      <c r="P764" s="26" t="s">
        <v>40</v>
      </c>
    </row>
    <row r="765" spans="1:16" x14ac:dyDescent="0.25">
      <c r="A765" s="20" t="s">
        <v>5211</v>
      </c>
      <c r="B765" s="21">
        <v>636</v>
      </c>
      <c r="C765" s="22" t="s">
        <v>1749</v>
      </c>
      <c r="D765" s="22" t="s">
        <v>1792</v>
      </c>
      <c r="E765" s="22" t="str">
        <f>CONCATENATE(B765,D765)</f>
        <v>63664530-0010</v>
      </c>
      <c r="F765" s="22" t="s">
        <v>1793</v>
      </c>
      <c r="G765" s="22" t="s">
        <v>39</v>
      </c>
      <c r="H765" s="23">
        <v>35.408099999999997</v>
      </c>
      <c r="I765" s="24">
        <v>3</v>
      </c>
      <c r="J765" s="24">
        <v>0</v>
      </c>
      <c r="K765" s="24">
        <v>0</v>
      </c>
      <c r="L765" s="41">
        <f>Table2[[#This Row],[Column1]]+Table2[[#This Row],[Column2]]</f>
        <v>0</v>
      </c>
      <c r="M765" s="42">
        <f>Table2[[#This Row],[OnHandQty]]-Table2[[#This Row],[Projection Nov/Dec]]</f>
        <v>3</v>
      </c>
      <c r="N765" s="35">
        <f>Table2[[#This Row],[OverStock]]*Table2[[#This Row],[RepCost]]</f>
        <v>106.2243</v>
      </c>
      <c r="O765" s="25">
        <v>46114.597916666666</v>
      </c>
      <c r="P765" s="26" t="s">
        <v>797</v>
      </c>
    </row>
    <row r="766" spans="1:16" x14ac:dyDescent="0.25">
      <c r="A766" s="20" t="s">
        <v>5211</v>
      </c>
      <c r="B766" s="21">
        <v>636</v>
      </c>
      <c r="C766" s="22" t="s">
        <v>1749</v>
      </c>
      <c r="D766" s="22" t="s">
        <v>1780</v>
      </c>
      <c r="E766" s="22" t="str">
        <f>CONCATENATE(B766,D766)</f>
        <v>63664537-0010</v>
      </c>
      <c r="F766" s="22" t="s">
        <v>1781</v>
      </c>
      <c r="G766" s="22" t="s">
        <v>23</v>
      </c>
      <c r="H766" s="23">
        <v>36.184699999999999</v>
      </c>
      <c r="I766" s="24">
        <v>2</v>
      </c>
      <c r="J766" s="24">
        <v>0</v>
      </c>
      <c r="K766" s="24">
        <v>0</v>
      </c>
      <c r="L766" s="41">
        <f>Table2[[#This Row],[Column1]]+Table2[[#This Row],[Column2]]</f>
        <v>0</v>
      </c>
      <c r="M766" s="42">
        <f>Table2[[#This Row],[OnHandQty]]-Table2[[#This Row],[Projection Nov/Dec]]</f>
        <v>2</v>
      </c>
      <c r="N766" s="35">
        <f>Table2[[#This Row],[OverStock]]*Table2[[#This Row],[RepCost]]</f>
        <v>72.369399999999999</v>
      </c>
      <c r="O766" s="25">
        <v>46114.597916666666</v>
      </c>
      <c r="P766" s="26" t="s">
        <v>797</v>
      </c>
    </row>
    <row r="767" spans="1:16" x14ac:dyDescent="0.25">
      <c r="A767" s="20" t="s">
        <v>5211</v>
      </c>
      <c r="B767" s="21">
        <v>636</v>
      </c>
      <c r="C767" s="22" t="s">
        <v>1749</v>
      </c>
      <c r="D767" s="22" t="s">
        <v>1762</v>
      </c>
      <c r="E767" s="22" t="str">
        <f>CONCATENATE(B767,D767)</f>
        <v>63696071-0010</v>
      </c>
      <c r="F767" s="22" t="s">
        <v>1763</v>
      </c>
      <c r="G767" s="22" t="s">
        <v>29</v>
      </c>
      <c r="H767" s="23">
        <v>21.244900000000001</v>
      </c>
      <c r="I767" s="24">
        <v>2</v>
      </c>
      <c r="J767" s="24">
        <v>0</v>
      </c>
      <c r="K767" s="24">
        <v>0</v>
      </c>
      <c r="L767" s="41">
        <f>Table2[[#This Row],[Column1]]+Table2[[#This Row],[Column2]]</f>
        <v>0</v>
      </c>
      <c r="M767" s="42">
        <f>Table2[[#This Row],[OnHandQty]]-Table2[[#This Row],[Projection Nov/Dec]]</f>
        <v>2</v>
      </c>
      <c r="N767" s="35">
        <f>Table2[[#This Row],[OverStock]]*Table2[[#This Row],[RepCost]]</f>
        <v>42.489800000000002</v>
      </c>
      <c r="O767" s="25">
        <v>46114.597916666666</v>
      </c>
      <c r="P767" s="26" t="s">
        <v>797</v>
      </c>
    </row>
    <row r="768" spans="1:16" x14ac:dyDescent="0.25">
      <c r="A768" s="20" t="s">
        <v>5211</v>
      </c>
      <c r="B768" s="21">
        <v>636</v>
      </c>
      <c r="C768" s="22" t="s">
        <v>1749</v>
      </c>
      <c r="D768" s="22" t="s">
        <v>1774</v>
      </c>
      <c r="E768" s="22" t="str">
        <f>CONCATENATE(B768,D768)</f>
        <v>63664540-0010</v>
      </c>
      <c r="F768" s="22" t="s">
        <v>1775</v>
      </c>
      <c r="G768" s="22" t="s">
        <v>39</v>
      </c>
      <c r="H768" s="23">
        <v>16.995899999999999</v>
      </c>
      <c r="I768" s="24">
        <v>2</v>
      </c>
      <c r="J768" s="24">
        <v>0</v>
      </c>
      <c r="K768" s="24">
        <v>0</v>
      </c>
      <c r="L768" s="41">
        <f>Table2[[#This Row],[Column1]]+Table2[[#This Row],[Column2]]</f>
        <v>0</v>
      </c>
      <c r="M768" s="42">
        <f>Table2[[#This Row],[OnHandQty]]-Table2[[#This Row],[Projection Nov/Dec]]</f>
        <v>2</v>
      </c>
      <c r="N768" s="35">
        <f>Table2[[#This Row],[OverStock]]*Table2[[#This Row],[RepCost]]</f>
        <v>33.991799999999998</v>
      </c>
      <c r="O768" s="25">
        <v>46114.597916666666</v>
      </c>
      <c r="P768" s="26" t="s">
        <v>797</v>
      </c>
    </row>
    <row r="769" spans="1:16" x14ac:dyDescent="0.25">
      <c r="A769" s="20" t="s">
        <v>5211</v>
      </c>
      <c r="B769" s="21">
        <v>636</v>
      </c>
      <c r="C769" s="22" t="s">
        <v>1749</v>
      </c>
      <c r="D769" s="22" t="s">
        <v>1772</v>
      </c>
      <c r="E769" s="22" t="str">
        <f>CONCATENATE(B769,D769)</f>
        <v>63664541-125</v>
      </c>
      <c r="F769" s="22" t="s">
        <v>1773</v>
      </c>
      <c r="G769" s="22" t="s">
        <v>19</v>
      </c>
      <c r="H769" s="23">
        <v>376.48770000000002</v>
      </c>
      <c r="I769" s="24">
        <v>1</v>
      </c>
      <c r="J769" s="24">
        <v>0</v>
      </c>
      <c r="K769" s="24">
        <v>0</v>
      </c>
      <c r="L769" s="41">
        <f>Table2[[#This Row],[Column1]]+Table2[[#This Row],[Column2]]</f>
        <v>0</v>
      </c>
      <c r="M769" s="42">
        <f>Table2[[#This Row],[OnHandQty]]-Table2[[#This Row],[Projection Nov/Dec]]</f>
        <v>1</v>
      </c>
      <c r="N769" s="35">
        <f>Table2[[#This Row],[OverStock]]*Table2[[#This Row],[RepCost]]</f>
        <v>376.48770000000002</v>
      </c>
      <c r="O769" s="25">
        <v>46146.344444444447</v>
      </c>
      <c r="P769" s="26" t="s">
        <v>797</v>
      </c>
    </row>
    <row r="770" spans="1:16" x14ac:dyDescent="0.25">
      <c r="A770" s="20" t="s">
        <v>5211</v>
      </c>
      <c r="B770" s="21">
        <v>636</v>
      </c>
      <c r="C770" s="22" t="s">
        <v>70</v>
      </c>
      <c r="D770" s="22" t="s">
        <v>591</v>
      </c>
      <c r="E770" s="22" t="str">
        <f>CONCATENATE(B770,D770)</f>
        <v>63664573-101</v>
      </c>
      <c r="F770" s="22" t="s">
        <v>592</v>
      </c>
      <c r="G770" s="22" t="s">
        <v>39</v>
      </c>
      <c r="H770" s="23">
        <v>7.5923999999999996</v>
      </c>
      <c r="I770" s="24">
        <v>64</v>
      </c>
      <c r="J770" s="24">
        <v>10</v>
      </c>
      <c r="K770" s="24">
        <v>0</v>
      </c>
      <c r="L770" s="41">
        <f>Table2[[#This Row],[Column1]]+Table2[[#This Row],[Column2]]</f>
        <v>10</v>
      </c>
      <c r="M770" s="42">
        <f>Table2[[#This Row],[OnHandQty]]-Table2[[#This Row],[Projection Nov/Dec]]</f>
        <v>54</v>
      </c>
      <c r="N770" s="35">
        <f>Table2[[#This Row],[OverStock]]*Table2[[#This Row],[RepCost]]</f>
        <v>409.9896</v>
      </c>
      <c r="O770" s="25">
        <v>46196.405555555553</v>
      </c>
      <c r="P770" s="26" t="s">
        <v>16</v>
      </c>
    </row>
    <row r="771" spans="1:16" x14ac:dyDescent="0.25">
      <c r="A771" s="20" t="s">
        <v>5211</v>
      </c>
      <c r="B771" s="21">
        <v>718</v>
      </c>
      <c r="C771" s="22" t="s">
        <v>70</v>
      </c>
      <c r="D771" s="22" t="s">
        <v>2141</v>
      </c>
      <c r="E771" s="22" t="str">
        <f>CONCATENATE(B771,D771)</f>
        <v>71864575-101</v>
      </c>
      <c r="F771" s="22" t="s">
        <v>2142</v>
      </c>
      <c r="G771" s="22" t="s">
        <v>29</v>
      </c>
      <c r="H771" s="23">
        <v>8.3671000000000006</v>
      </c>
      <c r="I771" s="24">
        <v>23</v>
      </c>
      <c r="J771" s="24">
        <v>0</v>
      </c>
      <c r="K771" s="24">
        <v>0</v>
      </c>
      <c r="L771" s="41">
        <f>Table2[[#This Row],[Column1]]+Table2[[#This Row],[Column2]]</f>
        <v>0</v>
      </c>
      <c r="M771" s="42">
        <f>Table2[[#This Row],[OnHandQty]]-Table2[[#This Row],[Projection Nov/Dec]]</f>
        <v>23</v>
      </c>
      <c r="N771" s="35">
        <f>Table2[[#This Row],[OverStock]]*Table2[[#This Row],[RepCost]]</f>
        <v>192.44330000000002</v>
      </c>
      <c r="O771" s="25">
        <v>46147.688194444447</v>
      </c>
      <c r="P771" s="26" t="s">
        <v>2066</v>
      </c>
    </row>
    <row r="772" spans="1:16" x14ac:dyDescent="0.25">
      <c r="A772" s="20" t="s">
        <v>5211</v>
      </c>
      <c r="B772" s="21">
        <v>714</v>
      </c>
      <c r="C772" s="22" t="s">
        <v>70</v>
      </c>
      <c r="D772" s="22" t="s">
        <v>2141</v>
      </c>
      <c r="E772" s="22" t="str">
        <f>CONCATENATE(B772,D772)</f>
        <v>71464575-101</v>
      </c>
      <c r="F772" s="22" t="s">
        <v>2142</v>
      </c>
      <c r="G772" s="22" t="s">
        <v>19</v>
      </c>
      <c r="H772" s="23">
        <v>7.9199000000000002</v>
      </c>
      <c r="I772" s="24">
        <v>7</v>
      </c>
      <c r="J772" s="24">
        <v>0</v>
      </c>
      <c r="K772" s="24">
        <v>0</v>
      </c>
      <c r="L772" s="41">
        <f>Table2[[#This Row],[Column1]]+Table2[[#This Row],[Column2]]</f>
        <v>0</v>
      </c>
      <c r="M772" s="42">
        <f>Table2[[#This Row],[OnHandQty]]-Table2[[#This Row],[Projection Nov/Dec]]</f>
        <v>7</v>
      </c>
      <c r="N772" s="35">
        <f>Table2[[#This Row],[OverStock]]*Table2[[#This Row],[RepCost]]</f>
        <v>55.439300000000003</v>
      </c>
      <c r="O772" s="25">
        <v>46234.623611111114</v>
      </c>
      <c r="P772" s="26" t="s">
        <v>16</v>
      </c>
    </row>
    <row r="773" spans="1:16" x14ac:dyDescent="0.25">
      <c r="A773" s="20" t="s">
        <v>5211</v>
      </c>
      <c r="B773" s="21">
        <v>636</v>
      </c>
      <c r="C773" s="22" t="s">
        <v>70</v>
      </c>
      <c r="D773" s="22" t="s">
        <v>696</v>
      </c>
      <c r="E773" s="22" t="str">
        <f>CONCATENATE(B773,D773)</f>
        <v>63664580-101</v>
      </c>
      <c r="F773" s="22" t="s">
        <v>697</v>
      </c>
      <c r="G773" s="22" t="s">
        <v>29</v>
      </c>
      <c r="H773" s="23">
        <v>8.7881</v>
      </c>
      <c r="I773" s="24">
        <v>19</v>
      </c>
      <c r="J773" s="24">
        <v>0</v>
      </c>
      <c r="K773" s="24">
        <v>0</v>
      </c>
      <c r="L773" s="41">
        <f>Table2[[#This Row],[Column1]]+Table2[[#This Row],[Column2]]</f>
        <v>0</v>
      </c>
      <c r="M773" s="42">
        <f>Table2[[#This Row],[OnHandQty]]-Table2[[#This Row],[Projection Nov/Dec]]</f>
        <v>19</v>
      </c>
      <c r="N773" s="35">
        <f>Table2[[#This Row],[OverStock]]*Table2[[#This Row],[RepCost]]</f>
        <v>166.97390000000001</v>
      </c>
      <c r="O773" s="25">
        <v>46232.470833333333</v>
      </c>
      <c r="P773" s="26" t="s">
        <v>522</v>
      </c>
    </row>
    <row r="774" spans="1:16" x14ac:dyDescent="0.25">
      <c r="A774" s="20" t="s">
        <v>5211</v>
      </c>
      <c r="B774" s="21">
        <v>636</v>
      </c>
      <c r="C774" s="22" t="s">
        <v>1208</v>
      </c>
      <c r="D774" s="22" t="s">
        <v>1217</v>
      </c>
      <c r="E774" s="22" t="str">
        <f>CONCATENATE(B774,D774)</f>
        <v>63674678-SP4</v>
      </c>
      <c r="F774" s="22" t="s">
        <v>1218</v>
      </c>
      <c r="G774" s="22" t="s">
        <v>39</v>
      </c>
      <c r="H774" s="23">
        <v>2.1762000000000001</v>
      </c>
      <c r="I774" s="24">
        <v>4</v>
      </c>
      <c r="J774" s="24">
        <v>0</v>
      </c>
      <c r="K774" s="24">
        <v>0</v>
      </c>
      <c r="L774" s="41">
        <f>Table2[[#This Row],[Column1]]+Table2[[#This Row],[Column2]]</f>
        <v>0</v>
      </c>
      <c r="M774" s="42">
        <f>Table2[[#This Row],[OnHandQty]]-Table2[[#This Row],[Projection Nov/Dec]]</f>
        <v>4</v>
      </c>
      <c r="N774" s="35">
        <f>Table2[[#This Row],[OverStock]]*Table2[[#This Row],[RepCost]]</f>
        <v>8.7048000000000005</v>
      </c>
      <c r="O774" s="25">
        <v>46212.4375</v>
      </c>
      <c r="P774" s="26" t="s">
        <v>16</v>
      </c>
    </row>
    <row r="775" spans="1:16" x14ac:dyDescent="0.25">
      <c r="A775" s="20" t="s">
        <v>5211</v>
      </c>
      <c r="B775" s="21">
        <v>636</v>
      </c>
      <c r="C775" s="22" t="s">
        <v>70</v>
      </c>
      <c r="D775" s="22" t="s">
        <v>733</v>
      </c>
      <c r="E775" s="22" t="str">
        <f>CONCATENATE(B775,D775)</f>
        <v>63686540-101</v>
      </c>
      <c r="F775" s="22" t="s">
        <v>734</v>
      </c>
      <c r="G775" s="22" t="s">
        <v>39</v>
      </c>
      <c r="H775" s="23">
        <v>7.1086999999999998</v>
      </c>
      <c r="I775" s="24">
        <v>3</v>
      </c>
      <c r="J775" s="24">
        <v>0</v>
      </c>
      <c r="K775" s="24">
        <v>0</v>
      </c>
      <c r="L775" s="41">
        <f>Table2[[#This Row],[Column1]]+Table2[[#This Row],[Column2]]</f>
        <v>0</v>
      </c>
      <c r="M775" s="42">
        <f>Table2[[#This Row],[OnHandQty]]-Table2[[#This Row],[Projection Nov/Dec]]</f>
        <v>3</v>
      </c>
      <c r="N775" s="35">
        <f>Table2[[#This Row],[OverStock]]*Table2[[#This Row],[RepCost]]</f>
        <v>21.3261</v>
      </c>
      <c r="O775" s="25">
        <v>46196.405555555553</v>
      </c>
      <c r="P775" s="26" t="s">
        <v>16</v>
      </c>
    </row>
    <row r="776" spans="1:16" x14ac:dyDescent="0.25">
      <c r="A776" s="20" t="s">
        <v>5211</v>
      </c>
      <c r="B776" s="21">
        <v>636</v>
      </c>
      <c r="C776" s="22" t="s">
        <v>70</v>
      </c>
      <c r="D776" s="22" t="s">
        <v>632</v>
      </c>
      <c r="E776" s="22" t="str">
        <f>CONCATENATE(B776,D776)</f>
        <v>63679936-101</v>
      </c>
      <c r="F776" s="22" t="s">
        <v>633</v>
      </c>
      <c r="G776" s="22" t="s">
        <v>29</v>
      </c>
      <c r="H776" s="23">
        <v>8.5678000000000001</v>
      </c>
      <c r="I776" s="24">
        <v>2</v>
      </c>
      <c r="J776" s="24">
        <v>0</v>
      </c>
      <c r="K776" s="24">
        <v>0</v>
      </c>
      <c r="L776" s="41">
        <f>Table2[[#This Row],[Column1]]+Table2[[#This Row],[Column2]]</f>
        <v>0</v>
      </c>
      <c r="M776" s="42">
        <f>Table2[[#This Row],[OnHandQty]]-Table2[[#This Row],[Projection Nov/Dec]]</f>
        <v>2</v>
      </c>
      <c r="N776" s="35">
        <f>Table2[[#This Row],[OverStock]]*Table2[[#This Row],[RepCost]]</f>
        <v>17.1356</v>
      </c>
      <c r="O776" s="25">
        <v>46196.405555555553</v>
      </c>
      <c r="P776" s="26" t="s">
        <v>16</v>
      </c>
    </row>
    <row r="777" spans="1:16" x14ac:dyDescent="0.25">
      <c r="A777" s="20" t="s">
        <v>5211</v>
      </c>
      <c r="B777" s="21">
        <v>714</v>
      </c>
      <c r="C777" s="22" t="s">
        <v>70</v>
      </c>
      <c r="D777" s="22" t="s">
        <v>1997</v>
      </c>
      <c r="E777" s="22" t="str">
        <f>CONCATENATE(B777,D777)</f>
        <v>71482646-PF4</v>
      </c>
      <c r="F777" s="22" t="s">
        <v>1998</v>
      </c>
      <c r="G777" s="22" t="s">
        <v>39</v>
      </c>
      <c r="H777" s="23">
        <v>10.0983</v>
      </c>
      <c r="I777" s="24">
        <v>9</v>
      </c>
      <c r="J777" s="24">
        <v>0</v>
      </c>
      <c r="K777" s="24">
        <v>0</v>
      </c>
      <c r="L777" s="41">
        <f>Table2[[#This Row],[Column1]]+Table2[[#This Row],[Column2]]</f>
        <v>0</v>
      </c>
      <c r="M777" s="42">
        <f>Table2[[#This Row],[OnHandQty]]-Table2[[#This Row],[Projection Nov/Dec]]</f>
        <v>9</v>
      </c>
      <c r="N777" s="35">
        <f>Table2[[#This Row],[OverStock]]*Table2[[#This Row],[RepCost]]</f>
        <v>90.884699999999995</v>
      </c>
      <c r="O777" s="25">
        <v>46213.455555555556</v>
      </c>
      <c r="P777" s="26" t="s">
        <v>573</v>
      </c>
    </row>
    <row r="778" spans="1:16" x14ac:dyDescent="0.25">
      <c r="A778" s="20" t="s">
        <v>5211</v>
      </c>
      <c r="B778" s="21">
        <v>718</v>
      </c>
      <c r="C778" s="22" t="s">
        <v>70</v>
      </c>
      <c r="D778" s="22" t="s">
        <v>1997</v>
      </c>
      <c r="E778" s="22" t="str">
        <f>CONCATENATE(B778,D778)</f>
        <v>71882646-PF4</v>
      </c>
      <c r="F778" s="22" t="s">
        <v>1998</v>
      </c>
      <c r="G778" s="22" t="s">
        <v>39</v>
      </c>
      <c r="H778" s="23">
        <v>9.5739000000000001</v>
      </c>
      <c r="I778" s="24">
        <v>4</v>
      </c>
      <c r="J778" s="24">
        <v>0</v>
      </c>
      <c r="K778" s="24">
        <v>0</v>
      </c>
      <c r="L778" s="41">
        <f>Table2[[#This Row],[Column1]]+Table2[[#This Row],[Column2]]</f>
        <v>0</v>
      </c>
      <c r="M778" s="42">
        <f>Table2[[#This Row],[OnHandQty]]-Table2[[#This Row],[Projection Nov/Dec]]</f>
        <v>4</v>
      </c>
      <c r="N778" s="35">
        <f>Table2[[#This Row],[OverStock]]*Table2[[#This Row],[RepCost]]</f>
        <v>38.2956</v>
      </c>
      <c r="O778" s="25">
        <v>46232.6</v>
      </c>
      <c r="P778" s="26" t="s">
        <v>573</v>
      </c>
    </row>
    <row r="779" spans="1:16" x14ac:dyDescent="0.25">
      <c r="A779" s="20" t="s">
        <v>5211</v>
      </c>
      <c r="B779" s="21">
        <v>718</v>
      </c>
      <c r="C779" s="22" t="s">
        <v>70</v>
      </c>
      <c r="D779" s="22" t="s">
        <v>3665</v>
      </c>
      <c r="E779" s="22" t="str">
        <f>CONCATENATE(B779,D779)</f>
        <v>71891168-102</v>
      </c>
      <c r="F779" s="22" t="s">
        <v>3666</v>
      </c>
      <c r="G779" s="22" t="s">
        <v>39</v>
      </c>
      <c r="H779" s="23">
        <v>11.4747</v>
      </c>
      <c r="I779" s="24">
        <v>1</v>
      </c>
      <c r="J779" s="24">
        <v>0</v>
      </c>
      <c r="K779" s="24">
        <v>0</v>
      </c>
      <c r="L779" s="41">
        <f>Table2[[#This Row],[Column1]]+Table2[[#This Row],[Column2]]</f>
        <v>0</v>
      </c>
      <c r="M779" s="42">
        <f>Table2[[#This Row],[OnHandQty]]-Table2[[#This Row],[Projection Nov/Dec]]</f>
        <v>1</v>
      </c>
      <c r="N779" s="35">
        <f>Table2[[#This Row],[OverStock]]*Table2[[#This Row],[RepCost]]</f>
        <v>11.4747</v>
      </c>
      <c r="O779" s="25">
        <v>46232.6</v>
      </c>
      <c r="P779" s="26" t="s">
        <v>573</v>
      </c>
    </row>
    <row r="780" spans="1:16" x14ac:dyDescent="0.25">
      <c r="A780" s="20" t="s">
        <v>5211</v>
      </c>
      <c r="B780" s="21">
        <v>714</v>
      </c>
      <c r="C780" s="22" t="s">
        <v>70</v>
      </c>
      <c r="D780" s="22" t="s">
        <v>2012</v>
      </c>
      <c r="E780" s="22" t="str">
        <f>CONCATENATE(B780,D780)</f>
        <v>71495946-101</v>
      </c>
      <c r="F780" s="22" t="s">
        <v>2013</v>
      </c>
      <c r="G780" s="22" t="s">
        <v>39</v>
      </c>
      <c r="H780" s="23">
        <v>9.8169000000000004</v>
      </c>
      <c r="I780" s="24">
        <v>19</v>
      </c>
      <c r="J780" s="24">
        <v>0</v>
      </c>
      <c r="K780" s="24">
        <v>0</v>
      </c>
      <c r="L780" s="41">
        <f>Table2[[#This Row],[Column1]]+Table2[[#This Row],[Column2]]</f>
        <v>0</v>
      </c>
      <c r="M780" s="42">
        <f>Table2[[#This Row],[OnHandQty]]-Table2[[#This Row],[Projection Nov/Dec]]</f>
        <v>19</v>
      </c>
      <c r="N780" s="35">
        <f>Table2[[#This Row],[OverStock]]*Table2[[#This Row],[RepCost]]</f>
        <v>186.52110000000002</v>
      </c>
      <c r="O780" s="25">
        <v>46192.581944444442</v>
      </c>
      <c r="P780" s="26" t="s">
        <v>573</v>
      </c>
    </row>
    <row r="781" spans="1:16" x14ac:dyDescent="0.25">
      <c r="A781" s="20" t="s">
        <v>5211</v>
      </c>
      <c r="B781" s="21">
        <v>718</v>
      </c>
      <c r="C781" s="22" t="s">
        <v>70</v>
      </c>
      <c r="D781" s="22" t="s">
        <v>806</v>
      </c>
      <c r="E781" s="22" t="str">
        <f>CONCATENATE(B781,D781)</f>
        <v>71890786-101</v>
      </c>
      <c r="F781" s="22" t="s">
        <v>807</v>
      </c>
      <c r="G781" s="22" t="s">
        <v>29</v>
      </c>
      <c r="H781" s="23">
        <v>8.5510000000000002</v>
      </c>
      <c r="I781" s="24">
        <v>12</v>
      </c>
      <c r="J781" s="24">
        <v>0</v>
      </c>
      <c r="K781" s="24">
        <v>0</v>
      </c>
      <c r="L781" s="41">
        <f>Table2[[#This Row],[Column1]]+Table2[[#This Row],[Column2]]</f>
        <v>0</v>
      </c>
      <c r="M781" s="42">
        <f>Table2[[#This Row],[OnHandQty]]-Table2[[#This Row],[Projection Nov/Dec]]</f>
        <v>12</v>
      </c>
      <c r="N781" s="35">
        <f>Table2[[#This Row],[OverStock]]*Table2[[#This Row],[RepCost]]</f>
        <v>102.61199999999999</v>
      </c>
      <c r="O781" s="25">
        <v>46232.6</v>
      </c>
      <c r="P781" s="26" t="s">
        <v>573</v>
      </c>
    </row>
    <row r="782" spans="1:16" x14ac:dyDescent="0.25">
      <c r="A782" s="20" t="s">
        <v>5211</v>
      </c>
      <c r="B782" s="21">
        <v>636</v>
      </c>
      <c r="C782" s="22" t="s">
        <v>70</v>
      </c>
      <c r="D782" s="22" t="s">
        <v>810</v>
      </c>
      <c r="E782" s="22" t="str">
        <f>CONCATENATE(B782,D782)</f>
        <v>63690333-101</v>
      </c>
      <c r="F782" s="22" t="s">
        <v>811</v>
      </c>
      <c r="G782" s="22" t="s">
        <v>39</v>
      </c>
      <c r="H782" s="23">
        <v>11.1942</v>
      </c>
      <c r="I782" s="24">
        <v>1</v>
      </c>
      <c r="J782" s="24">
        <v>0</v>
      </c>
      <c r="K782" s="24">
        <v>0</v>
      </c>
      <c r="L782" s="41">
        <f>Table2[[#This Row],[Column1]]+Table2[[#This Row],[Column2]]</f>
        <v>0</v>
      </c>
      <c r="M782" s="42">
        <f>Table2[[#This Row],[OnHandQty]]-Table2[[#This Row],[Projection Nov/Dec]]</f>
        <v>1</v>
      </c>
      <c r="N782" s="35">
        <f>Table2[[#This Row],[OverStock]]*Table2[[#This Row],[RepCost]]</f>
        <v>11.1942</v>
      </c>
      <c r="O782" s="25">
        <v>46196.405555555553</v>
      </c>
      <c r="P782" s="26" t="s">
        <v>16</v>
      </c>
    </row>
    <row r="783" spans="1:16" x14ac:dyDescent="0.25">
      <c r="A783" s="20" t="s">
        <v>5211</v>
      </c>
      <c r="B783" s="21">
        <v>714</v>
      </c>
      <c r="C783" s="22" t="s">
        <v>70</v>
      </c>
      <c r="D783" s="22" t="s">
        <v>2001</v>
      </c>
      <c r="E783" s="22" t="str">
        <f>CONCATENATE(B783,D783)</f>
        <v>71485679-101</v>
      </c>
      <c r="F783" s="22" t="s">
        <v>2002</v>
      </c>
      <c r="G783" s="22" t="s">
        <v>112</v>
      </c>
      <c r="H783" s="23">
        <v>8.7927</v>
      </c>
      <c r="I783" s="24">
        <v>13</v>
      </c>
      <c r="J783" s="24">
        <v>0</v>
      </c>
      <c r="K783" s="24">
        <v>0</v>
      </c>
      <c r="L783" s="41">
        <f>Table2[[#This Row],[Column1]]+Table2[[#This Row],[Column2]]</f>
        <v>0</v>
      </c>
      <c r="M783" s="42">
        <f>Table2[[#This Row],[OnHandQty]]-Table2[[#This Row],[Projection Nov/Dec]]</f>
        <v>13</v>
      </c>
      <c r="N783" s="35">
        <f>Table2[[#This Row],[OverStock]]*Table2[[#This Row],[RepCost]]</f>
        <v>114.3051</v>
      </c>
      <c r="O783" s="25">
        <v>46200.377083333333</v>
      </c>
      <c r="P783" s="26" t="s">
        <v>40</v>
      </c>
    </row>
    <row r="784" spans="1:16" x14ac:dyDescent="0.25">
      <c r="A784" s="20" t="s">
        <v>5211</v>
      </c>
      <c r="B784" s="21">
        <v>718</v>
      </c>
      <c r="C784" s="22" t="s">
        <v>70</v>
      </c>
      <c r="D784" s="22" t="s">
        <v>2178</v>
      </c>
      <c r="E784" s="22" t="str">
        <f>CONCATENATE(B784,D784)</f>
        <v>71890143-101</v>
      </c>
      <c r="F784" s="22" t="s">
        <v>2179</v>
      </c>
      <c r="G784" s="22" t="s">
        <v>39</v>
      </c>
      <c r="H784" s="23">
        <v>9.5739000000000001</v>
      </c>
      <c r="I784" s="24">
        <v>2</v>
      </c>
      <c r="J784" s="24">
        <v>0</v>
      </c>
      <c r="K784" s="24">
        <v>0</v>
      </c>
      <c r="L784" s="41">
        <f>Table2[[#This Row],[Column1]]+Table2[[#This Row],[Column2]]</f>
        <v>0</v>
      </c>
      <c r="M784" s="42">
        <f>Table2[[#This Row],[OnHandQty]]-Table2[[#This Row],[Projection Nov/Dec]]</f>
        <v>2</v>
      </c>
      <c r="N784" s="35">
        <f>Table2[[#This Row],[OverStock]]*Table2[[#This Row],[RepCost]]</f>
        <v>19.1478</v>
      </c>
      <c r="O784" s="25">
        <v>46232.6</v>
      </c>
      <c r="P784" s="26" t="s">
        <v>573</v>
      </c>
    </row>
    <row r="785" spans="1:16" x14ac:dyDescent="0.25">
      <c r="A785" s="20" t="s">
        <v>5211</v>
      </c>
      <c r="B785" s="21">
        <v>714</v>
      </c>
      <c r="C785" s="22" t="s">
        <v>70</v>
      </c>
      <c r="D785" s="22" t="s">
        <v>2165</v>
      </c>
      <c r="E785" s="22" t="str">
        <f>CONCATENATE(B785,D785)</f>
        <v>71464661-101</v>
      </c>
      <c r="F785" s="22" t="s">
        <v>2166</v>
      </c>
      <c r="G785" s="22" t="s">
        <v>29</v>
      </c>
      <c r="H785" s="23">
        <v>10.95</v>
      </c>
      <c r="I785" s="24">
        <v>9</v>
      </c>
      <c r="J785" s="24">
        <v>0</v>
      </c>
      <c r="K785" s="24">
        <v>0</v>
      </c>
      <c r="L785" s="41">
        <f>Table2[[#This Row],[Column1]]+Table2[[#This Row],[Column2]]</f>
        <v>0</v>
      </c>
      <c r="M785" s="42">
        <f>Table2[[#This Row],[OnHandQty]]-Table2[[#This Row],[Projection Nov/Dec]]</f>
        <v>9</v>
      </c>
      <c r="N785" s="35">
        <f>Table2[[#This Row],[OverStock]]*Table2[[#This Row],[RepCost]]</f>
        <v>98.55</v>
      </c>
      <c r="O785" s="25">
        <v>46104.636805555558</v>
      </c>
      <c r="P785" s="26" t="s">
        <v>2167</v>
      </c>
    </row>
    <row r="786" spans="1:16" x14ac:dyDescent="0.25">
      <c r="A786" s="20" t="s">
        <v>5211</v>
      </c>
      <c r="B786" s="21">
        <v>714</v>
      </c>
      <c r="C786" s="22" t="s">
        <v>143</v>
      </c>
      <c r="D786" s="22" t="s">
        <v>2276</v>
      </c>
      <c r="E786" s="22" t="str">
        <f>CONCATENATE(B786,D786)</f>
        <v>71477467-107</v>
      </c>
      <c r="F786" s="22" t="s">
        <v>2277</v>
      </c>
      <c r="G786" s="22" t="s">
        <v>455</v>
      </c>
      <c r="H786" s="23">
        <v>33.675699999999999</v>
      </c>
      <c r="I786" s="24">
        <v>1</v>
      </c>
      <c r="J786" s="24">
        <v>0</v>
      </c>
      <c r="K786" s="24">
        <v>0</v>
      </c>
      <c r="L786" s="41">
        <f>Table2[[#This Row],[Column1]]+Table2[[#This Row],[Column2]]</f>
        <v>0</v>
      </c>
      <c r="M786" s="42">
        <f>Table2[[#This Row],[OnHandQty]]-Table2[[#This Row],[Projection Nov/Dec]]</f>
        <v>1</v>
      </c>
      <c r="N786" s="35">
        <f>Table2[[#This Row],[OverStock]]*Table2[[#This Row],[RepCost]]</f>
        <v>33.675699999999999</v>
      </c>
      <c r="O786" s="25">
        <v>46143.37222222222</v>
      </c>
      <c r="P786" s="26" t="s">
        <v>878</v>
      </c>
    </row>
    <row r="787" spans="1:16" x14ac:dyDescent="0.25">
      <c r="A787" s="20" t="s">
        <v>5211</v>
      </c>
      <c r="B787" s="21">
        <v>636</v>
      </c>
      <c r="C787" s="22" t="s">
        <v>143</v>
      </c>
      <c r="D787" s="22" t="s">
        <v>1005</v>
      </c>
      <c r="E787" s="22" t="str">
        <f>CONCATENATE(B787,D787)</f>
        <v>63696812-103</v>
      </c>
      <c r="F787" s="22" t="s">
        <v>1006</v>
      </c>
      <c r="G787" s="22" t="s">
        <v>29</v>
      </c>
      <c r="H787" s="23">
        <v>38.995899999999999</v>
      </c>
      <c r="I787" s="24">
        <v>12</v>
      </c>
      <c r="J787" s="24">
        <v>0</v>
      </c>
      <c r="K787" s="24">
        <v>0</v>
      </c>
      <c r="L787" s="41">
        <f>Table2[[#This Row],[Column1]]+Table2[[#This Row],[Column2]]</f>
        <v>0</v>
      </c>
      <c r="M787" s="42">
        <f>Table2[[#This Row],[OnHandQty]]-Table2[[#This Row],[Projection Nov/Dec]]</f>
        <v>12</v>
      </c>
      <c r="N787" s="35">
        <f>Table2[[#This Row],[OverStock]]*Table2[[#This Row],[RepCost]]</f>
        <v>467.95079999999996</v>
      </c>
      <c r="O787" s="25">
        <v>46140.29583333333</v>
      </c>
      <c r="P787" s="26" t="s">
        <v>501</v>
      </c>
    </row>
    <row r="788" spans="1:16" x14ac:dyDescent="0.25">
      <c r="A788" s="20" t="s">
        <v>5211</v>
      </c>
      <c r="B788" s="21">
        <v>714</v>
      </c>
      <c r="C788" s="22" t="s">
        <v>1749</v>
      </c>
      <c r="D788" s="22" t="s">
        <v>3540</v>
      </c>
      <c r="E788" s="22" t="str">
        <f>CONCATENATE(B788,D788)</f>
        <v>71464730-102</v>
      </c>
      <c r="F788" s="22" t="s">
        <v>3541</v>
      </c>
      <c r="G788" s="22" t="s">
        <v>43</v>
      </c>
      <c r="H788" s="23">
        <v>32.390300000000003</v>
      </c>
      <c r="I788" s="24">
        <v>19</v>
      </c>
      <c r="J788" s="24">
        <v>0</v>
      </c>
      <c r="K788" s="24">
        <v>0</v>
      </c>
      <c r="L788" s="41">
        <f>Table2[[#This Row],[Column1]]+Table2[[#This Row],[Column2]]</f>
        <v>0</v>
      </c>
      <c r="M788" s="42">
        <f>Table2[[#This Row],[OnHandQty]]-Table2[[#This Row],[Projection Nov/Dec]]</f>
        <v>19</v>
      </c>
      <c r="N788" s="35">
        <f>Table2[[#This Row],[OverStock]]*Table2[[#This Row],[RepCost]]</f>
        <v>615.41570000000002</v>
      </c>
      <c r="O788" s="25">
        <v>46185.630555555559</v>
      </c>
      <c r="P788" s="26" t="s">
        <v>1825</v>
      </c>
    </row>
    <row r="789" spans="1:16" x14ac:dyDescent="0.25">
      <c r="A789" s="20" t="s">
        <v>5211</v>
      </c>
      <c r="B789" s="21">
        <v>714</v>
      </c>
      <c r="C789" s="22" t="s">
        <v>1749</v>
      </c>
      <c r="D789" s="22" t="s">
        <v>3538</v>
      </c>
      <c r="E789" s="22" t="str">
        <f>CONCATENATE(B789,D789)</f>
        <v>71464730-107</v>
      </c>
      <c r="F789" s="22" t="s">
        <v>3539</v>
      </c>
      <c r="G789" s="22" t="s">
        <v>29</v>
      </c>
      <c r="H789" s="23">
        <v>42.970100000000002</v>
      </c>
      <c r="I789" s="24">
        <v>12</v>
      </c>
      <c r="J789" s="24">
        <v>0</v>
      </c>
      <c r="K789" s="24">
        <v>0</v>
      </c>
      <c r="L789" s="41">
        <f>Table2[[#This Row],[Column1]]+Table2[[#This Row],[Column2]]</f>
        <v>0</v>
      </c>
      <c r="M789" s="42">
        <f>Table2[[#This Row],[OnHandQty]]-Table2[[#This Row],[Projection Nov/Dec]]</f>
        <v>12</v>
      </c>
      <c r="N789" s="35">
        <f>Table2[[#This Row],[OverStock]]*Table2[[#This Row],[RepCost]]</f>
        <v>515.64120000000003</v>
      </c>
      <c r="O789" s="25">
        <v>46185.630555555559</v>
      </c>
      <c r="P789" s="26" t="s">
        <v>1825</v>
      </c>
    </row>
    <row r="790" spans="1:16" x14ac:dyDescent="0.25">
      <c r="A790" s="20" t="s">
        <v>5211</v>
      </c>
      <c r="B790" s="21">
        <v>714</v>
      </c>
      <c r="C790" s="22" t="s">
        <v>1749</v>
      </c>
      <c r="D790" s="22" t="s">
        <v>3538</v>
      </c>
      <c r="E790" s="22" t="str">
        <f>CONCATENATE(B790,D790)</f>
        <v>71464730-107</v>
      </c>
      <c r="F790" s="22" t="s">
        <v>3539</v>
      </c>
      <c r="G790" s="22" t="s">
        <v>29</v>
      </c>
      <c r="H790" s="23">
        <v>42.970100000000002</v>
      </c>
      <c r="I790" s="24">
        <v>12</v>
      </c>
      <c r="J790" s="24">
        <v>0</v>
      </c>
      <c r="K790" s="24">
        <v>0</v>
      </c>
      <c r="L790" s="41">
        <f>Table2[[#This Row],[Column1]]+Table2[[#This Row],[Column2]]</f>
        <v>0</v>
      </c>
      <c r="M790" s="42">
        <f>Table2[[#This Row],[OnHandQty]]-Table2[[#This Row],[Projection Nov/Dec]]</f>
        <v>12</v>
      </c>
      <c r="N790" s="35">
        <f>Table2[[#This Row],[OverStock]]*Table2[[#This Row],[RepCost]]</f>
        <v>515.64120000000003</v>
      </c>
      <c r="O790" s="25">
        <v>46185.630555555559</v>
      </c>
      <c r="P790" s="26" t="s">
        <v>1825</v>
      </c>
    </row>
    <row r="791" spans="1:16" x14ac:dyDescent="0.25">
      <c r="A791" s="20" t="s">
        <v>5211</v>
      </c>
      <c r="B791" s="21">
        <v>714</v>
      </c>
      <c r="C791" s="22" t="s">
        <v>70</v>
      </c>
      <c r="D791" s="22" t="s">
        <v>2123</v>
      </c>
      <c r="E791" s="22" t="str">
        <f>CONCATENATE(B791,D791)</f>
        <v>71464746-101</v>
      </c>
      <c r="F791" s="22" t="s">
        <v>2124</v>
      </c>
      <c r="G791" s="22" t="s">
        <v>19</v>
      </c>
      <c r="H791" s="23">
        <v>10.2691</v>
      </c>
      <c r="I791" s="24">
        <v>15</v>
      </c>
      <c r="J791" s="24">
        <v>0</v>
      </c>
      <c r="K791" s="24">
        <v>0</v>
      </c>
      <c r="L791" s="41">
        <f>Table2[[#This Row],[Column1]]+Table2[[#This Row],[Column2]]</f>
        <v>0</v>
      </c>
      <c r="M791" s="42">
        <f>Table2[[#This Row],[OnHandQty]]-Table2[[#This Row],[Projection Nov/Dec]]</f>
        <v>15</v>
      </c>
      <c r="N791" s="35">
        <f>Table2[[#This Row],[OverStock]]*Table2[[#This Row],[RepCost]]</f>
        <v>154.03649999999999</v>
      </c>
      <c r="O791" s="25">
        <v>46232.375694444447</v>
      </c>
      <c r="P791" s="26" t="s">
        <v>40</v>
      </c>
    </row>
    <row r="792" spans="1:16" x14ac:dyDescent="0.25">
      <c r="A792" s="20" t="s">
        <v>5211</v>
      </c>
      <c r="B792" s="21">
        <v>636</v>
      </c>
      <c r="C792" s="22" t="s">
        <v>1749</v>
      </c>
      <c r="D792" s="22" t="s">
        <v>1786</v>
      </c>
      <c r="E792" s="22" t="str">
        <f>CONCATENATE(B792,D792)</f>
        <v>63664771-006</v>
      </c>
      <c r="F792" s="22" t="s">
        <v>1787</v>
      </c>
      <c r="G792" s="22" t="s">
        <v>123</v>
      </c>
      <c r="H792" s="23">
        <v>11.1488</v>
      </c>
      <c r="I792" s="24">
        <v>5</v>
      </c>
      <c r="J792" s="24">
        <v>0</v>
      </c>
      <c r="K792" s="24">
        <v>2</v>
      </c>
      <c r="L792" s="41">
        <f>Table2[[#This Row],[Column1]]+Table2[[#This Row],[Column2]]</f>
        <v>2</v>
      </c>
      <c r="M792" s="42">
        <f>Table2[[#This Row],[OnHandQty]]-Table2[[#This Row],[Projection Nov/Dec]]</f>
        <v>3</v>
      </c>
      <c r="N792" s="35">
        <f>Table2[[#This Row],[OverStock]]*Table2[[#This Row],[RepCost]]</f>
        <v>33.446399999999997</v>
      </c>
      <c r="O792" s="25">
        <v>45761.496527777781</v>
      </c>
      <c r="P792" s="26" t="s">
        <v>599</v>
      </c>
    </row>
    <row r="793" spans="1:16" x14ac:dyDescent="0.25">
      <c r="A793" s="20" t="s">
        <v>5211</v>
      </c>
      <c r="B793" s="21">
        <v>636</v>
      </c>
      <c r="C793" s="22" t="s">
        <v>1749</v>
      </c>
      <c r="D793" s="22" t="s">
        <v>1758</v>
      </c>
      <c r="E793" s="22" t="str">
        <f>CONCATENATE(B793,D793)</f>
        <v>63684511-006</v>
      </c>
      <c r="F793" s="22" t="s">
        <v>1759</v>
      </c>
      <c r="G793" s="22" t="s">
        <v>29</v>
      </c>
      <c r="H793" s="23">
        <v>9.9143000000000008</v>
      </c>
      <c r="I793" s="24">
        <v>4</v>
      </c>
      <c r="J793" s="24">
        <v>0</v>
      </c>
      <c r="K793" s="24">
        <v>0</v>
      </c>
      <c r="L793" s="41">
        <f>Table2[[#This Row],[Column1]]+Table2[[#This Row],[Column2]]</f>
        <v>0</v>
      </c>
      <c r="M793" s="42">
        <f>Table2[[#This Row],[OnHandQty]]-Table2[[#This Row],[Projection Nov/Dec]]</f>
        <v>4</v>
      </c>
      <c r="N793" s="35">
        <f>Table2[[#This Row],[OverStock]]*Table2[[#This Row],[RepCost]]</f>
        <v>39.657200000000003</v>
      </c>
      <c r="O793" s="25">
        <v>46114.597916666666</v>
      </c>
      <c r="P793" s="26" t="s">
        <v>797</v>
      </c>
    </row>
    <row r="794" spans="1:16" x14ac:dyDescent="0.25">
      <c r="A794" s="20" t="s">
        <v>5211</v>
      </c>
      <c r="B794" s="21">
        <v>636</v>
      </c>
      <c r="C794" s="22" t="s">
        <v>1749</v>
      </c>
      <c r="D794" s="22" t="s">
        <v>1802</v>
      </c>
      <c r="E794" s="22" t="str">
        <f>CONCATENATE(B794,D794)</f>
        <v>63684626-006</v>
      </c>
      <c r="F794" s="22" t="s">
        <v>1803</v>
      </c>
      <c r="G794" s="22" t="s">
        <v>29</v>
      </c>
      <c r="H794" s="23">
        <v>9.9143000000000008</v>
      </c>
      <c r="I794" s="24">
        <v>3</v>
      </c>
      <c r="J794" s="24">
        <v>0</v>
      </c>
      <c r="K794" s="24">
        <v>0</v>
      </c>
      <c r="L794" s="41">
        <f>Table2[[#This Row],[Column1]]+Table2[[#This Row],[Column2]]</f>
        <v>0</v>
      </c>
      <c r="M794" s="42">
        <f>Table2[[#This Row],[OnHandQty]]-Table2[[#This Row],[Projection Nov/Dec]]</f>
        <v>3</v>
      </c>
      <c r="N794" s="35">
        <f>Table2[[#This Row],[OverStock]]*Table2[[#This Row],[RepCost]]</f>
        <v>29.742900000000002</v>
      </c>
      <c r="O794" s="25">
        <v>46114.597916666666</v>
      </c>
      <c r="P794" s="26" t="s">
        <v>797</v>
      </c>
    </row>
    <row r="795" spans="1:16" x14ac:dyDescent="0.25">
      <c r="A795" s="20" t="s">
        <v>5211</v>
      </c>
      <c r="B795" s="21">
        <v>714</v>
      </c>
      <c r="C795" s="22" t="s">
        <v>12</v>
      </c>
      <c r="D795" s="22" t="s">
        <v>1908</v>
      </c>
      <c r="E795" s="22" t="str">
        <f>CONCATENATE(B795,D795)</f>
        <v>71464779-101</v>
      </c>
      <c r="F795" s="22" t="s">
        <v>1909</v>
      </c>
      <c r="G795" s="22" t="s">
        <v>23</v>
      </c>
      <c r="H795" s="23">
        <v>7.8270999999999997</v>
      </c>
      <c r="I795" s="24">
        <v>4</v>
      </c>
      <c r="J795" s="24">
        <v>0</v>
      </c>
      <c r="K795" s="24">
        <v>0</v>
      </c>
      <c r="L795" s="41">
        <f>Table2[[#This Row],[Column1]]+Table2[[#This Row],[Column2]]</f>
        <v>0</v>
      </c>
      <c r="M795" s="42">
        <f>Table2[[#This Row],[OnHandQty]]-Table2[[#This Row],[Projection Nov/Dec]]</f>
        <v>4</v>
      </c>
      <c r="N795" s="35">
        <f>Table2[[#This Row],[OverStock]]*Table2[[#This Row],[RepCost]]</f>
        <v>31.308399999999999</v>
      </c>
      <c r="O795" s="25">
        <v>46239.576388888891</v>
      </c>
      <c r="P795" s="26" t="s">
        <v>573</v>
      </c>
    </row>
    <row r="796" spans="1:16" x14ac:dyDescent="0.25">
      <c r="A796" s="20" t="s">
        <v>5211</v>
      </c>
      <c r="B796" s="21">
        <v>714</v>
      </c>
      <c r="C796" s="22" t="s">
        <v>70</v>
      </c>
      <c r="D796" s="22" t="s">
        <v>1973</v>
      </c>
      <c r="E796" s="22" t="str">
        <f>CONCATENATE(B796,D796)</f>
        <v>71464891-101</v>
      </c>
      <c r="F796" s="22" t="s">
        <v>1974</v>
      </c>
      <c r="G796" s="22" t="s">
        <v>29</v>
      </c>
      <c r="H796" s="23">
        <v>6.0016999999999996</v>
      </c>
      <c r="I796" s="24">
        <v>7</v>
      </c>
      <c r="J796" s="24">
        <v>0</v>
      </c>
      <c r="K796" s="24">
        <v>0</v>
      </c>
      <c r="L796" s="41">
        <f>Table2[[#This Row],[Column1]]+Table2[[#This Row],[Column2]]</f>
        <v>0</v>
      </c>
      <c r="M796" s="42">
        <f>Table2[[#This Row],[OnHandQty]]-Table2[[#This Row],[Projection Nov/Dec]]</f>
        <v>7</v>
      </c>
      <c r="N796" s="35">
        <f>Table2[[#This Row],[OverStock]]*Table2[[#This Row],[RepCost]]</f>
        <v>42.011899999999997</v>
      </c>
      <c r="O796" s="25">
        <v>46178.753472222219</v>
      </c>
      <c r="P796" s="26" t="s">
        <v>40</v>
      </c>
    </row>
    <row r="797" spans="1:16" x14ac:dyDescent="0.25">
      <c r="A797" s="20" t="s">
        <v>5211</v>
      </c>
      <c r="B797" s="21">
        <v>636</v>
      </c>
      <c r="C797" s="22" t="s">
        <v>12</v>
      </c>
      <c r="D797" s="22" t="s">
        <v>553</v>
      </c>
      <c r="E797" s="22" t="str">
        <f>CONCATENATE(B797,D797)</f>
        <v>63665045-101</v>
      </c>
      <c r="F797" s="22" t="s">
        <v>554</v>
      </c>
      <c r="G797" s="22" t="s">
        <v>29</v>
      </c>
      <c r="H797" s="23">
        <v>6.7305000000000001</v>
      </c>
      <c r="I797" s="24">
        <v>16</v>
      </c>
      <c r="J797" s="24">
        <v>0</v>
      </c>
      <c r="K797" s="24">
        <v>0</v>
      </c>
      <c r="L797" s="41">
        <f>Table2[[#This Row],[Column1]]+Table2[[#This Row],[Column2]]</f>
        <v>0</v>
      </c>
      <c r="M797" s="42">
        <f>Table2[[#This Row],[OnHandQty]]-Table2[[#This Row],[Projection Nov/Dec]]</f>
        <v>16</v>
      </c>
      <c r="N797" s="35">
        <f>Table2[[#This Row],[OverStock]]*Table2[[#This Row],[RepCost]]</f>
        <v>107.688</v>
      </c>
      <c r="O797" s="25">
        <v>46204.443055555559</v>
      </c>
      <c r="P797" s="26" t="s">
        <v>40</v>
      </c>
    </row>
    <row r="798" spans="1:16" x14ac:dyDescent="0.25">
      <c r="A798" s="20" t="s">
        <v>5211</v>
      </c>
      <c r="B798" s="21">
        <v>718</v>
      </c>
      <c r="C798" s="22" t="s">
        <v>143</v>
      </c>
      <c r="D798" s="22" t="s">
        <v>2230</v>
      </c>
      <c r="E798" s="22" t="str">
        <f>CONCATENATE(B798,D798)</f>
        <v>71877480-102</v>
      </c>
      <c r="F798" s="22" t="s">
        <v>2231</v>
      </c>
      <c r="G798" s="22" t="s">
        <v>23</v>
      </c>
      <c r="H798" s="23">
        <v>15.672000000000001</v>
      </c>
      <c r="I798" s="24">
        <v>33</v>
      </c>
      <c r="J798" s="24">
        <v>0</v>
      </c>
      <c r="K798" s="24">
        <v>0</v>
      </c>
      <c r="L798" s="41">
        <f>Table2[[#This Row],[Column1]]+Table2[[#This Row],[Column2]]</f>
        <v>0</v>
      </c>
      <c r="M798" s="42">
        <f>Table2[[#This Row],[OnHandQty]]-Table2[[#This Row],[Projection Nov/Dec]]</f>
        <v>33</v>
      </c>
      <c r="N798" s="35">
        <f>Table2[[#This Row],[OverStock]]*Table2[[#This Row],[RepCost]]</f>
        <v>517.17600000000004</v>
      </c>
      <c r="O798" s="25">
        <v>46189.48333333333</v>
      </c>
      <c r="P798" s="26" t="s">
        <v>40</v>
      </c>
    </row>
    <row r="799" spans="1:16" x14ac:dyDescent="0.25">
      <c r="A799" s="20" t="s">
        <v>5211</v>
      </c>
      <c r="B799" s="21">
        <v>714</v>
      </c>
      <c r="C799" s="22" t="s">
        <v>143</v>
      </c>
      <c r="D799" s="22" t="s">
        <v>2230</v>
      </c>
      <c r="E799" s="22" t="str">
        <f>CONCATENATE(B799,D799)</f>
        <v>71477480-102</v>
      </c>
      <c r="F799" s="22" t="s">
        <v>2231</v>
      </c>
      <c r="G799" s="22" t="s">
        <v>39</v>
      </c>
      <c r="H799" s="23">
        <v>18.537199999999999</v>
      </c>
      <c r="I799" s="24">
        <v>33</v>
      </c>
      <c r="J799" s="24">
        <v>0</v>
      </c>
      <c r="K799" s="24">
        <v>0</v>
      </c>
      <c r="L799" s="41">
        <f>Table2[[#This Row],[Column1]]+Table2[[#This Row],[Column2]]</f>
        <v>0</v>
      </c>
      <c r="M799" s="42">
        <f>Table2[[#This Row],[OnHandQty]]-Table2[[#This Row],[Projection Nov/Dec]]</f>
        <v>33</v>
      </c>
      <c r="N799" s="35">
        <f>Table2[[#This Row],[OverStock]]*Table2[[#This Row],[RepCost]]</f>
        <v>611.72759999999994</v>
      </c>
      <c r="O799" s="25">
        <v>46224.477083333331</v>
      </c>
      <c r="P799" s="26" t="s">
        <v>36</v>
      </c>
    </row>
    <row r="800" spans="1:16" x14ac:dyDescent="0.25">
      <c r="A800" s="20" t="s">
        <v>5211</v>
      </c>
      <c r="B800" s="21">
        <v>714</v>
      </c>
      <c r="C800" s="22" t="s">
        <v>143</v>
      </c>
      <c r="D800" s="22" t="s">
        <v>2503</v>
      </c>
      <c r="E800" s="22" t="str">
        <f>CONCATENATE(B800,D800)</f>
        <v>71477487-102</v>
      </c>
      <c r="F800" s="22" t="s">
        <v>2504</v>
      </c>
      <c r="G800" s="22" t="s">
        <v>23</v>
      </c>
      <c r="H800" s="23">
        <v>24.349599999999999</v>
      </c>
      <c r="I800" s="24">
        <v>19</v>
      </c>
      <c r="J800" s="24">
        <v>0</v>
      </c>
      <c r="K800" s="24">
        <v>0</v>
      </c>
      <c r="L800" s="41">
        <f>Table2[[#This Row],[Column1]]+Table2[[#This Row],[Column2]]</f>
        <v>0</v>
      </c>
      <c r="M800" s="42">
        <f>Table2[[#This Row],[OnHandQty]]-Table2[[#This Row],[Projection Nov/Dec]]</f>
        <v>19</v>
      </c>
      <c r="N800" s="35">
        <f>Table2[[#This Row],[OverStock]]*Table2[[#This Row],[RepCost]]</f>
        <v>462.64239999999995</v>
      </c>
      <c r="O800" s="25">
        <v>46126.649305555555</v>
      </c>
      <c r="P800" s="26" t="s">
        <v>67</v>
      </c>
    </row>
    <row r="801" spans="1:16" x14ac:dyDescent="0.25">
      <c r="A801" s="20" t="s">
        <v>5211</v>
      </c>
      <c r="B801" s="21">
        <v>718</v>
      </c>
      <c r="C801" s="22" t="s">
        <v>143</v>
      </c>
      <c r="D801" s="22" t="s">
        <v>2503</v>
      </c>
      <c r="E801" s="22" t="str">
        <f>CONCATENATE(B801,D801)</f>
        <v>71877487-102</v>
      </c>
      <c r="F801" s="22" t="s">
        <v>2504</v>
      </c>
      <c r="G801" s="22" t="s">
        <v>112</v>
      </c>
      <c r="H801" s="23">
        <v>25.941299999999998</v>
      </c>
      <c r="I801" s="24">
        <v>29</v>
      </c>
      <c r="J801" s="24">
        <v>0</v>
      </c>
      <c r="K801" s="24">
        <v>0</v>
      </c>
      <c r="L801" s="41">
        <f>Table2[[#This Row],[Column1]]+Table2[[#This Row],[Column2]]</f>
        <v>0</v>
      </c>
      <c r="M801" s="42">
        <f>Table2[[#This Row],[OnHandQty]]-Table2[[#This Row],[Projection Nov/Dec]]</f>
        <v>29</v>
      </c>
      <c r="N801" s="35">
        <f>Table2[[#This Row],[OverStock]]*Table2[[#This Row],[RepCost]]</f>
        <v>752.29769999999996</v>
      </c>
      <c r="O801" s="25">
        <v>46196.648611111108</v>
      </c>
      <c r="P801" s="26" t="s">
        <v>67</v>
      </c>
    </row>
    <row r="802" spans="1:16" x14ac:dyDescent="0.25">
      <c r="A802" s="20" t="s">
        <v>5211</v>
      </c>
      <c r="B802" s="21">
        <v>714</v>
      </c>
      <c r="C802" s="22" t="s">
        <v>143</v>
      </c>
      <c r="D802" s="22" t="s">
        <v>2385</v>
      </c>
      <c r="E802" s="22" t="str">
        <f>CONCATENATE(B802,D802)</f>
        <v>71477487-ESP110PREM</v>
      </c>
      <c r="F802" s="22" t="s">
        <v>2386</v>
      </c>
      <c r="G802" s="22" t="s">
        <v>19</v>
      </c>
      <c r="H802" s="23">
        <v>167.2193</v>
      </c>
      <c r="I802" s="24">
        <v>1</v>
      </c>
      <c r="J802" s="24">
        <v>0</v>
      </c>
      <c r="K802" s="24">
        <v>0</v>
      </c>
      <c r="L802" s="41">
        <f>Table2[[#This Row],[Column1]]+Table2[[#This Row],[Column2]]</f>
        <v>0</v>
      </c>
      <c r="M802" s="42">
        <f>Table2[[#This Row],[OnHandQty]]-Table2[[#This Row],[Projection Nov/Dec]]</f>
        <v>1</v>
      </c>
      <c r="N802" s="35">
        <f>Table2[[#This Row],[OverStock]]*Table2[[#This Row],[RepCost]]</f>
        <v>167.2193</v>
      </c>
      <c r="O802" s="25">
        <v>46126.649305555555</v>
      </c>
      <c r="P802" s="26" t="s">
        <v>67</v>
      </c>
    </row>
    <row r="803" spans="1:16" x14ac:dyDescent="0.25">
      <c r="A803" s="20" t="s">
        <v>5211</v>
      </c>
      <c r="B803" s="21">
        <v>718</v>
      </c>
      <c r="C803" s="22" t="s">
        <v>143</v>
      </c>
      <c r="D803" s="22" t="s">
        <v>2385</v>
      </c>
      <c r="E803" s="22" t="str">
        <f>CONCATENATE(B803,D803)</f>
        <v>71877487-ESP110PREM</v>
      </c>
      <c r="F803" s="22" t="s">
        <v>2386</v>
      </c>
      <c r="G803" s="22" t="s">
        <v>29</v>
      </c>
      <c r="H803" s="23">
        <v>171.2501</v>
      </c>
      <c r="I803" s="24">
        <v>3</v>
      </c>
      <c r="J803" s="24">
        <v>0</v>
      </c>
      <c r="K803" s="24">
        <v>0</v>
      </c>
      <c r="L803" s="41">
        <f>Table2[[#This Row],[Column1]]+Table2[[#This Row],[Column2]]</f>
        <v>0</v>
      </c>
      <c r="M803" s="42">
        <f>Table2[[#This Row],[OnHandQty]]-Table2[[#This Row],[Projection Nov/Dec]]</f>
        <v>3</v>
      </c>
      <c r="N803" s="35">
        <f>Table2[[#This Row],[OverStock]]*Table2[[#This Row],[RepCost]]</f>
        <v>513.75030000000004</v>
      </c>
      <c r="O803" s="25">
        <v>46181.580555555556</v>
      </c>
      <c r="P803" s="26" t="s">
        <v>67</v>
      </c>
    </row>
    <row r="804" spans="1:16" x14ac:dyDescent="0.25">
      <c r="A804" s="20" t="s">
        <v>5211</v>
      </c>
      <c r="B804" s="21">
        <v>714</v>
      </c>
      <c r="C804" s="22" t="s">
        <v>143</v>
      </c>
      <c r="D804" s="22" t="s">
        <v>2709</v>
      </c>
      <c r="E804" s="22" t="str">
        <f>CONCATENATE(B804,D804)</f>
        <v>71477477-102</v>
      </c>
      <c r="F804" s="22" t="s">
        <v>2710</v>
      </c>
      <c r="G804" s="22" t="s">
        <v>39</v>
      </c>
      <c r="H804" s="23">
        <v>23.697900000000001</v>
      </c>
      <c r="I804" s="24">
        <v>15</v>
      </c>
      <c r="J804" s="24">
        <v>0</v>
      </c>
      <c r="K804" s="24">
        <v>0</v>
      </c>
      <c r="L804" s="41">
        <f>Table2[[#This Row],[Column1]]+Table2[[#This Row],[Column2]]</f>
        <v>0</v>
      </c>
      <c r="M804" s="42">
        <f>Table2[[#This Row],[OnHandQty]]-Table2[[#This Row],[Projection Nov/Dec]]</f>
        <v>15</v>
      </c>
      <c r="N804" s="35">
        <f>Table2[[#This Row],[OverStock]]*Table2[[#This Row],[RepCost]]</f>
        <v>355.46850000000001</v>
      </c>
      <c r="O804" s="25">
        <v>45953.335416666669</v>
      </c>
      <c r="P804" s="26" t="s">
        <v>67</v>
      </c>
    </row>
    <row r="805" spans="1:16" x14ac:dyDescent="0.25">
      <c r="A805" s="20" t="s">
        <v>5211</v>
      </c>
      <c r="B805" s="21">
        <v>718</v>
      </c>
      <c r="C805" s="22" t="s">
        <v>143</v>
      </c>
      <c r="D805" s="22" t="s">
        <v>2515</v>
      </c>
      <c r="E805" s="22" t="str">
        <f>CONCATENATE(B805,D805)</f>
        <v>71877477-105</v>
      </c>
      <c r="F805" s="22" t="s">
        <v>2516</v>
      </c>
      <c r="G805" s="22" t="s">
        <v>112</v>
      </c>
      <c r="H805" s="23">
        <v>34.843299999999999</v>
      </c>
      <c r="I805" s="24">
        <v>25</v>
      </c>
      <c r="J805" s="24">
        <v>0</v>
      </c>
      <c r="K805" s="24">
        <v>0</v>
      </c>
      <c r="L805" s="41">
        <f>Table2[[#This Row],[Column1]]+Table2[[#This Row],[Column2]]</f>
        <v>0</v>
      </c>
      <c r="M805" s="42">
        <f>Table2[[#This Row],[OnHandQty]]-Table2[[#This Row],[Projection Nov/Dec]]</f>
        <v>25</v>
      </c>
      <c r="N805" s="35">
        <f>Table2[[#This Row],[OverStock]]*Table2[[#This Row],[RepCost]]</f>
        <v>871.08249999999998</v>
      </c>
      <c r="O805" s="25">
        <v>46196.648611111108</v>
      </c>
      <c r="P805" s="26" t="s">
        <v>67</v>
      </c>
    </row>
    <row r="806" spans="1:16" x14ac:dyDescent="0.25">
      <c r="A806" s="20" t="s">
        <v>5211</v>
      </c>
      <c r="B806" s="21">
        <v>714</v>
      </c>
      <c r="C806" s="22" t="s">
        <v>143</v>
      </c>
      <c r="D806" s="22" t="s">
        <v>2326</v>
      </c>
      <c r="E806" s="22" t="str">
        <f>CONCATENATE(B806,D806)</f>
        <v>71477492-105</v>
      </c>
      <c r="F806" s="22" t="s">
        <v>2327</v>
      </c>
      <c r="G806" s="22" t="s">
        <v>19</v>
      </c>
      <c r="H806" s="23">
        <v>34.1051</v>
      </c>
      <c r="I806" s="24">
        <v>5</v>
      </c>
      <c r="J806" s="24">
        <v>0</v>
      </c>
      <c r="K806" s="24">
        <v>0</v>
      </c>
      <c r="L806" s="41">
        <f>Table2[[#This Row],[Column1]]+Table2[[#This Row],[Column2]]</f>
        <v>0</v>
      </c>
      <c r="M806" s="42">
        <f>Table2[[#This Row],[OnHandQty]]-Table2[[#This Row],[Projection Nov/Dec]]</f>
        <v>5</v>
      </c>
      <c r="N806" s="35">
        <f>Table2[[#This Row],[OverStock]]*Table2[[#This Row],[RepCost]]</f>
        <v>170.52549999999999</v>
      </c>
      <c r="O806" s="25">
        <v>46126.649305555555</v>
      </c>
      <c r="P806" s="26" t="s">
        <v>67</v>
      </c>
    </row>
    <row r="807" spans="1:16" x14ac:dyDescent="0.25">
      <c r="A807" s="20" t="s">
        <v>5211</v>
      </c>
      <c r="B807" s="21">
        <v>714</v>
      </c>
      <c r="C807" s="22" t="s">
        <v>143</v>
      </c>
      <c r="D807" s="22" t="s">
        <v>2604</v>
      </c>
      <c r="E807" s="22" t="str">
        <f>CONCATENATE(B807,D807)</f>
        <v>71477492-ESP105</v>
      </c>
      <c r="F807" s="27" t="s">
        <v>2605</v>
      </c>
      <c r="G807" s="27" t="s">
        <v>58</v>
      </c>
      <c r="H807" s="23">
        <v>102.84269999999999</v>
      </c>
      <c r="I807" s="24">
        <v>5</v>
      </c>
      <c r="J807" s="24">
        <v>0</v>
      </c>
      <c r="K807" s="24">
        <v>0</v>
      </c>
      <c r="L807" s="41">
        <f>Table2[[#This Row],[Column1]]+Table2[[#This Row],[Column2]]</f>
        <v>0</v>
      </c>
      <c r="M807" s="42">
        <f>Table2[[#This Row],[OnHandQty]]-Table2[[#This Row],[Projection Nov/Dec]]</f>
        <v>5</v>
      </c>
      <c r="N807" s="35">
        <f>Table2[[#This Row],[OverStock]]*Table2[[#This Row],[RepCost]]</f>
        <v>514.21349999999995</v>
      </c>
      <c r="O807" s="25">
        <v>45764.464583333334</v>
      </c>
      <c r="P807" s="26" t="s">
        <v>67</v>
      </c>
    </row>
    <row r="808" spans="1:16" x14ac:dyDescent="0.25">
      <c r="A808" s="20" t="s">
        <v>5211</v>
      </c>
      <c r="B808" s="21">
        <v>714</v>
      </c>
      <c r="C808" s="22" t="s">
        <v>143</v>
      </c>
      <c r="D808" s="22" t="s">
        <v>2794</v>
      </c>
      <c r="E808" s="22" t="str">
        <f>CONCATENATE(B808,D808)</f>
        <v>71491945-102</v>
      </c>
      <c r="F808" s="22" t="s">
        <v>2795</v>
      </c>
      <c r="G808" s="22" t="s">
        <v>29</v>
      </c>
      <c r="H808" s="23">
        <v>24.676200000000001</v>
      </c>
      <c r="I808" s="24">
        <v>5</v>
      </c>
      <c r="J808" s="24">
        <v>0</v>
      </c>
      <c r="K808" s="24">
        <v>0</v>
      </c>
      <c r="L808" s="41">
        <f>Table2[[#This Row],[Column1]]+Table2[[#This Row],[Column2]]</f>
        <v>0</v>
      </c>
      <c r="M808" s="42">
        <f>Table2[[#This Row],[OnHandQty]]-Table2[[#This Row],[Projection Nov/Dec]]</f>
        <v>5</v>
      </c>
      <c r="N808" s="35">
        <f>Table2[[#This Row],[OverStock]]*Table2[[#This Row],[RepCost]]</f>
        <v>123.381</v>
      </c>
      <c r="O808" s="25">
        <v>46126.649305555555</v>
      </c>
      <c r="P808" s="26" t="s">
        <v>67</v>
      </c>
    </row>
    <row r="809" spans="1:16" x14ac:dyDescent="0.25">
      <c r="A809" s="20" t="s">
        <v>5211</v>
      </c>
      <c r="B809" s="21">
        <v>714</v>
      </c>
      <c r="C809" s="22" t="s">
        <v>143</v>
      </c>
      <c r="D809" s="22" t="s">
        <v>2405</v>
      </c>
      <c r="E809" s="22" t="str">
        <f>CONCATENATE(B809,D809)</f>
        <v>71465067-102</v>
      </c>
      <c r="F809" s="27" t="s">
        <v>2406</v>
      </c>
      <c r="G809" s="27" t="s">
        <v>58</v>
      </c>
      <c r="H809" s="23">
        <v>23.356000000000002</v>
      </c>
      <c r="I809" s="24">
        <v>21</v>
      </c>
      <c r="J809" s="24">
        <v>8</v>
      </c>
      <c r="K809" s="24">
        <v>0</v>
      </c>
      <c r="L809" s="41">
        <f>Table2[[#This Row],[Column1]]+Table2[[#This Row],[Column2]]</f>
        <v>8</v>
      </c>
      <c r="M809" s="42">
        <f>Table2[[#This Row],[OnHandQty]]-Table2[[#This Row],[Projection Nov/Dec]]</f>
        <v>13</v>
      </c>
      <c r="N809" s="35">
        <f>Table2[[#This Row],[OverStock]]*Table2[[#This Row],[RepCost]]</f>
        <v>303.62800000000004</v>
      </c>
      <c r="O809" s="25">
        <v>45846.325694444444</v>
      </c>
      <c r="P809" s="26" t="s">
        <v>67</v>
      </c>
    </row>
    <row r="810" spans="1:16" x14ac:dyDescent="0.25">
      <c r="A810" s="20" t="s">
        <v>5211</v>
      </c>
      <c r="B810" s="21">
        <v>718</v>
      </c>
      <c r="C810" s="22" t="s">
        <v>143</v>
      </c>
      <c r="D810" s="22" t="s">
        <v>2207</v>
      </c>
      <c r="E810" s="22" t="str">
        <f>CONCATENATE(B810,D810)</f>
        <v>71865068-ESP105</v>
      </c>
      <c r="F810" s="22" t="s">
        <v>2208</v>
      </c>
      <c r="G810" s="22" t="s">
        <v>29</v>
      </c>
      <c r="H810" s="23">
        <v>102.58069999999999</v>
      </c>
      <c r="I810" s="24">
        <v>5</v>
      </c>
      <c r="J810" s="24">
        <v>0</v>
      </c>
      <c r="K810" s="24">
        <v>1</v>
      </c>
      <c r="L810" s="41">
        <f>Table2[[#This Row],[Column1]]+Table2[[#This Row],[Column2]]</f>
        <v>1</v>
      </c>
      <c r="M810" s="42">
        <f>Table2[[#This Row],[OnHandQty]]-Table2[[#This Row],[Projection Nov/Dec]]</f>
        <v>4</v>
      </c>
      <c r="N810" s="35">
        <f>Table2[[#This Row],[OverStock]]*Table2[[#This Row],[RepCost]]</f>
        <v>410.32279999999997</v>
      </c>
      <c r="O810" s="25">
        <v>45770.570138888892</v>
      </c>
      <c r="P810" s="26" t="s">
        <v>67</v>
      </c>
    </row>
    <row r="811" spans="1:16" x14ac:dyDescent="0.25">
      <c r="A811" s="20" t="s">
        <v>5211</v>
      </c>
      <c r="B811" s="21">
        <v>714</v>
      </c>
      <c r="C811" s="22" t="s">
        <v>143</v>
      </c>
      <c r="D811" s="22" t="s">
        <v>2207</v>
      </c>
      <c r="E811" s="22" t="str">
        <f>CONCATENATE(B811,D811)</f>
        <v>71465068-ESP105</v>
      </c>
      <c r="F811" s="22" t="s">
        <v>2208</v>
      </c>
      <c r="G811" s="22" t="s">
        <v>35</v>
      </c>
      <c r="H811" s="23">
        <v>101.43340000000001</v>
      </c>
      <c r="I811" s="24">
        <v>3</v>
      </c>
      <c r="J811" s="24">
        <v>0</v>
      </c>
      <c r="K811" s="24">
        <v>1</v>
      </c>
      <c r="L811" s="41">
        <f>Table2[[#This Row],[Column1]]+Table2[[#This Row],[Column2]]</f>
        <v>1</v>
      </c>
      <c r="M811" s="42">
        <f>Table2[[#This Row],[OnHandQty]]-Table2[[#This Row],[Projection Nov/Dec]]</f>
        <v>2</v>
      </c>
      <c r="N811" s="35">
        <f>Table2[[#This Row],[OverStock]]*Table2[[#This Row],[RepCost]]</f>
        <v>202.86680000000001</v>
      </c>
      <c r="O811" s="25">
        <v>45784.373611111114</v>
      </c>
      <c r="P811" s="26" t="s">
        <v>67</v>
      </c>
    </row>
    <row r="812" spans="1:16" x14ac:dyDescent="0.25">
      <c r="A812" s="20" t="s">
        <v>5211</v>
      </c>
      <c r="B812" s="21">
        <v>714</v>
      </c>
      <c r="C812" s="22" t="s">
        <v>143</v>
      </c>
      <c r="D812" s="22" t="s">
        <v>1056</v>
      </c>
      <c r="E812" s="22" t="str">
        <f>CONCATENATE(B812,D812)</f>
        <v>71465070-110</v>
      </c>
      <c r="F812" s="22" t="s">
        <v>1057</v>
      </c>
      <c r="G812" s="22" t="s">
        <v>39</v>
      </c>
      <c r="H812" s="23">
        <v>48.336100000000002</v>
      </c>
      <c r="I812" s="24">
        <v>30</v>
      </c>
      <c r="J812" s="24">
        <v>0</v>
      </c>
      <c r="K812" s="24">
        <v>0</v>
      </c>
      <c r="L812" s="41">
        <f>Table2[[#This Row],[Column1]]+Table2[[#This Row],[Column2]]</f>
        <v>0</v>
      </c>
      <c r="M812" s="42">
        <f>Table2[[#This Row],[OnHandQty]]-Table2[[#This Row],[Projection Nov/Dec]]</f>
        <v>30</v>
      </c>
      <c r="N812" s="35">
        <f>Table2[[#This Row],[OverStock]]*Table2[[#This Row],[RepCost]]</f>
        <v>1450.0830000000001</v>
      </c>
      <c r="O812" s="25">
        <v>46200.382638888892</v>
      </c>
      <c r="P812" s="26" t="s">
        <v>1062</v>
      </c>
    </row>
    <row r="813" spans="1:16" x14ac:dyDescent="0.25">
      <c r="A813" s="20" t="s">
        <v>5211</v>
      </c>
      <c r="B813" s="21">
        <v>714</v>
      </c>
      <c r="C813" s="22" t="s">
        <v>143</v>
      </c>
      <c r="D813" s="22" t="s">
        <v>2243</v>
      </c>
      <c r="E813" s="22" t="str">
        <f>CONCATENATE(B813,D813)</f>
        <v>71465070-105</v>
      </c>
      <c r="F813" s="22" t="s">
        <v>2244</v>
      </c>
      <c r="G813" s="22" t="s">
        <v>23</v>
      </c>
      <c r="H813" s="23">
        <v>27.644400000000001</v>
      </c>
      <c r="I813" s="24">
        <v>28</v>
      </c>
      <c r="J813" s="24">
        <v>9</v>
      </c>
      <c r="K813" s="24">
        <v>0</v>
      </c>
      <c r="L813" s="41">
        <f>Table2[[#This Row],[Column1]]+Table2[[#This Row],[Column2]]</f>
        <v>9</v>
      </c>
      <c r="M813" s="42">
        <f>Table2[[#This Row],[OnHandQty]]-Table2[[#This Row],[Projection Nov/Dec]]</f>
        <v>19</v>
      </c>
      <c r="N813" s="35">
        <f>Table2[[#This Row],[OverStock]]*Table2[[#This Row],[RepCost]]</f>
        <v>525.24360000000001</v>
      </c>
      <c r="O813" s="25">
        <v>46200.382638888892</v>
      </c>
      <c r="P813" s="26" t="s">
        <v>1062</v>
      </c>
    </row>
    <row r="814" spans="1:16" x14ac:dyDescent="0.25">
      <c r="A814" s="20" t="s">
        <v>5211</v>
      </c>
      <c r="B814" s="21">
        <v>714</v>
      </c>
      <c r="C814" s="22" t="s">
        <v>143</v>
      </c>
      <c r="D814" s="22" t="s">
        <v>1206</v>
      </c>
      <c r="E814" s="22" t="str">
        <f>CONCATENATE(B814,D814)</f>
        <v>71465070-107</v>
      </c>
      <c r="F814" s="22" t="s">
        <v>1207</v>
      </c>
      <c r="G814" s="22" t="s">
        <v>23</v>
      </c>
      <c r="H814" s="23">
        <v>31.8233</v>
      </c>
      <c r="I814" s="24">
        <v>42</v>
      </c>
      <c r="J814" s="24">
        <v>0</v>
      </c>
      <c r="K814" s="24">
        <v>0</v>
      </c>
      <c r="L814" s="41">
        <f>Table2[[#This Row],[Column1]]+Table2[[#This Row],[Column2]]</f>
        <v>0</v>
      </c>
      <c r="M814" s="42">
        <f>Table2[[#This Row],[OnHandQty]]-Table2[[#This Row],[Projection Nov/Dec]]</f>
        <v>42</v>
      </c>
      <c r="N814" s="35">
        <f>Table2[[#This Row],[OverStock]]*Table2[[#This Row],[RepCost]]</f>
        <v>1336.5786000000001</v>
      </c>
      <c r="O814" s="25">
        <v>45958.450694444444</v>
      </c>
      <c r="P814" s="26" t="s">
        <v>1870</v>
      </c>
    </row>
    <row r="815" spans="1:16" x14ac:dyDescent="0.25">
      <c r="A815" s="20" t="s">
        <v>5211</v>
      </c>
      <c r="B815" s="21">
        <v>636</v>
      </c>
      <c r="C815" s="22" t="s">
        <v>143</v>
      </c>
      <c r="D815" s="22" t="s">
        <v>1206</v>
      </c>
      <c r="E815" s="22" t="str">
        <f>CONCATENATE(B815,D815)</f>
        <v>63665070-107</v>
      </c>
      <c r="F815" s="22" t="s">
        <v>1207</v>
      </c>
      <c r="G815" s="22" t="s">
        <v>43</v>
      </c>
      <c r="H815" s="23">
        <v>31.48</v>
      </c>
      <c r="I815" s="24">
        <v>21</v>
      </c>
      <c r="J815" s="24">
        <v>0</v>
      </c>
      <c r="K815" s="24">
        <v>0</v>
      </c>
      <c r="L815" s="41">
        <f>Table2[[#This Row],[Column1]]+Table2[[#This Row],[Column2]]</f>
        <v>0</v>
      </c>
      <c r="M815" s="42">
        <f>Table2[[#This Row],[OnHandQty]]-Table2[[#This Row],[Projection Nov/Dec]]</f>
        <v>21</v>
      </c>
      <c r="N815" s="35">
        <f>Table2[[#This Row],[OverStock]]*Table2[[#This Row],[RepCost]]</f>
        <v>661.08</v>
      </c>
      <c r="O815" s="25">
        <v>46176.482638888891</v>
      </c>
      <c r="P815" s="26" t="s">
        <v>162</v>
      </c>
    </row>
    <row r="816" spans="1:16" x14ac:dyDescent="0.25">
      <c r="A816" s="20" t="s">
        <v>5211</v>
      </c>
      <c r="B816" s="21">
        <v>714</v>
      </c>
      <c r="C816" s="22" t="s">
        <v>143</v>
      </c>
      <c r="D816" s="22" t="s">
        <v>1177</v>
      </c>
      <c r="E816" s="22" t="str">
        <f>CONCATENATE(B816,D816)</f>
        <v>71465070-ESP105</v>
      </c>
      <c r="F816" s="22" t="s">
        <v>1178</v>
      </c>
      <c r="G816" s="22" t="s">
        <v>19</v>
      </c>
      <c r="H816" s="23">
        <v>100.7495</v>
      </c>
      <c r="I816" s="24">
        <v>2</v>
      </c>
      <c r="J816" s="24">
        <v>0</v>
      </c>
      <c r="K816" s="24">
        <v>0</v>
      </c>
      <c r="L816" s="41">
        <f>Table2[[#This Row],[Column1]]+Table2[[#This Row],[Column2]]</f>
        <v>0</v>
      </c>
      <c r="M816" s="42">
        <f>Table2[[#This Row],[OnHandQty]]-Table2[[#This Row],[Projection Nov/Dec]]</f>
        <v>2</v>
      </c>
      <c r="N816" s="35">
        <f>Table2[[#This Row],[OverStock]]*Table2[[#This Row],[RepCost]]</f>
        <v>201.499</v>
      </c>
      <c r="O816" s="25">
        <v>46126.649305555555</v>
      </c>
      <c r="P816" s="26" t="s">
        <v>67</v>
      </c>
    </row>
    <row r="817" spans="1:16" x14ac:dyDescent="0.25">
      <c r="A817" s="20" t="s">
        <v>5211</v>
      </c>
      <c r="B817" s="21">
        <v>636</v>
      </c>
      <c r="C817" s="22" t="s">
        <v>143</v>
      </c>
      <c r="D817" s="22" t="s">
        <v>1177</v>
      </c>
      <c r="E817" s="22" t="str">
        <f>CONCATENATE(B817,D817)</f>
        <v>63665070-ESP105</v>
      </c>
      <c r="F817" s="22" t="s">
        <v>1178</v>
      </c>
      <c r="G817" s="22" t="s">
        <v>43</v>
      </c>
      <c r="H817" s="23">
        <v>96.258099999999999</v>
      </c>
      <c r="I817" s="24">
        <v>1</v>
      </c>
      <c r="J817" s="24">
        <v>0</v>
      </c>
      <c r="K817" s="24">
        <v>0</v>
      </c>
      <c r="L817" s="41">
        <f>Table2[[#This Row],[Column1]]+Table2[[#This Row],[Column2]]</f>
        <v>0</v>
      </c>
      <c r="M817" s="42">
        <f>Table2[[#This Row],[OnHandQty]]-Table2[[#This Row],[Projection Nov/Dec]]</f>
        <v>1</v>
      </c>
      <c r="N817" s="35">
        <f>Table2[[#This Row],[OverStock]]*Table2[[#This Row],[RepCost]]</f>
        <v>96.258099999999999</v>
      </c>
      <c r="O817" s="25">
        <v>46135.534722222219</v>
      </c>
      <c r="P817" s="26" t="s">
        <v>1179</v>
      </c>
    </row>
    <row r="818" spans="1:16" x14ac:dyDescent="0.25">
      <c r="A818" s="20" t="s">
        <v>5211</v>
      </c>
      <c r="B818" s="21">
        <v>714</v>
      </c>
      <c r="C818" s="22" t="s">
        <v>70</v>
      </c>
      <c r="D818" s="22" t="s">
        <v>2026</v>
      </c>
      <c r="E818" s="22" t="str">
        <f>CONCATENATE(B818,D818)</f>
        <v>71465091-SP4</v>
      </c>
      <c r="F818" s="22" t="s">
        <v>2027</v>
      </c>
      <c r="G818" s="22" t="s">
        <v>39</v>
      </c>
      <c r="H818" s="23">
        <v>2.0099999999999998</v>
      </c>
      <c r="I818" s="24">
        <v>20</v>
      </c>
      <c r="J818" s="24">
        <v>0</v>
      </c>
      <c r="K818" s="24">
        <v>0</v>
      </c>
      <c r="L818" s="41">
        <f>Table2[[#This Row],[Column1]]+Table2[[#This Row],[Column2]]</f>
        <v>0</v>
      </c>
      <c r="M818" s="42">
        <f>Table2[[#This Row],[OnHandQty]]-Table2[[#This Row],[Projection Nov/Dec]]</f>
        <v>20</v>
      </c>
      <c r="N818" s="35">
        <f>Table2[[#This Row],[OverStock]]*Table2[[#This Row],[RepCost]]</f>
        <v>40.199999999999996</v>
      </c>
      <c r="O818" s="25">
        <v>46165.606944444444</v>
      </c>
      <c r="P818" s="26" t="s">
        <v>1932</v>
      </c>
    </row>
    <row r="819" spans="1:16" x14ac:dyDescent="0.25">
      <c r="A819" s="20" t="s">
        <v>5211</v>
      </c>
      <c r="B819" s="21">
        <v>714</v>
      </c>
      <c r="C819" s="22" t="s">
        <v>70</v>
      </c>
      <c r="D819" s="22" t="s">
        <v>2038</v>
      </c>
      <c r="E819" s="22" t="str">
        <f>CONCATENATE(B819,D819)</f>
        <v>71476501-101</v>
      </c>
      <c r="F819" s="22" t="s">
        <v>2039</v>
      </c>
      <c r="G819" s="22" t="s">
        <v>29</v>
      </c>
      <c r="H819" s="23">
        <v>7.9071999999999996</v>
      </c>
      <c r="I819" s="24">
        <v>8</v>
      </c>
      <c r="J819" s="24">
        <v>0</v>
      </c>
      <c r="K819" s="24">
        <v>0</v>
      </c>
      <c r="L819" s="41">
        <f>Table2[[#This Row],[Column1]]+Table2[[#This Row],[Column2]]</f>
        <v>0</v>
      </c>
      <c r="M819" s="42">
        <f>Table2[[#This Row],[OnHandQty]]-Table2[[#This Row],[Projection Nov/Dec]]</f>
        <v>8</v>
      </c>
      <c r="N819" s="35">
        <f>Table2[[#This Row],[OverStock]]*Table2[[#This Row],[RepCost]]</f>
        <v>63.257599999999996</v>
      </c>
      <c r="O819" s="25">
        <v>46169.488194444442</v>
      </c>
      <c r="P819" s="26" t="s">
        <v>16</v>
      </c>
    </row>
    <row r="820" spans="1:16" x14ac:dyDescent="0.25">
      <c r="A820" s="20" t="s">
        <v>5211</v>
      </c>
      <c r="B820" s="21">
        <v>718</v>
      </c>
      <c r="C820" s="22" t="s">
        <v>70</v>
      </c>
      <c r="D820" s="22" t="s">
        <v>2038</v>
      </c>
      <c r="E820" s="22" t="str">
        <f>CONCATENATE(B820,D820)</f>
        <v>71876501-101</v>
      </c>
      <c r="F820" s="22" t="s">
        <v>2039</v>
      </c>
      <c r="G820" s="22" t="s">
        <v>39</v>
      </c>
      <c r="H820" s="23">
        <v>9.0833999999999993</v>
      </c>
      <c r="I820" s="24">
        <v>8</v>
      </c>
      <c r="J820" s="24">
        <v>0</v>
      </c>
      <c r="K820" s="24">
        <v>0</v>
      </c>
      <c r="L820" s="41">
        <f>Table2[[#This Row],[Column1]]+Table2[[#This Row],[Column2]]</f>
        <v>0</v>
      </c>
      <c r="M820" s="42">
        <f>Table2[[#This Row],[OnHandQty]]-Table2[[#This Row],[Projection Nov/Dec]]</f>
        <v>8</v>
      </c>
      <c r="N820" s="35">
        <f>Table2[[#This Row],[OverStock]]*Table2[[#This Row],[RepCost]]</f>
        <v>72.667199999999994</v>
      </c>
      <c r="O820" s="25">
        <v>46191.443055555559</v>
      </c>
      <c r="P820" s="26" t="s">
        <v>16</v>
      </c>
    </row>
    <row r="821" spans="1:16" x14ac:dyDescent="0.25">
      <c r="A821" s="20" t="s">
        <v>5211</v>
      </c>
      <c r="B821" s="21">
        <v>636</v>
      </c>
      <c r="C821" s="22" t="s">
        <v>1208</v>
      </c>
      <c r="D821" s="22" t="s">
        <v>1209</v>
      </c>
      <c r="E821" s="22" t="str">
        <f>CONCATENATE(B821,D821)</f>
        <v>63665168-0014</v>
      </c>
      <c r="F821" s="22" t="s">
        <v>1210</v>
      </c>
      <c r="G821" s="22" t="s">
        <v>29</v>
      </c>
      <c r="H821" s="23">
        <v>117.85250000000001</v>
      </c>
      <c r="I821" s="24">
        <v>1</v>
      </c>
      <c r="J821" s="24">
        <v>0</v>
      </c>
      <c r="K821" s="24">
        <v>0</v>
      </c>
      <c r="L821" s="41">
        <f>Table2[[#This Row],[Column1]]+Table2[[#This Row],[Column2]]</f>
        <v>0</v>
      </c>
      <c r="M821" s="42">
        <f>Table2[[#This Row],[OnHandQty]]-Table2[[#This Row],[Projection Nov/Dec]]</f>
        <v>1</v>
      </c>
      <c r="N821" s="35">
        <f>Table2[[#This Row],[OverStock]]*Table2[[#This Row],[RepCost]]</f>
        <v>117.85250000000001</v>
      </c>
      <c r="O821" s="25">
        <v>46114.597916666666</v>
      </c>
      <c r="P821" s="26" t="s">
        <v>797</v>
      </c>
    </row>
    <row r="822" spans="1:16" x14ac:dyDescent="0.25">
      <c r="A822" s="20" t="s">
        <v>5211</v>
      </c>
      <c r="B822" s="21">
        <v>636</v>
      </c>
      <c r="C822" s="22" t="s">
        <v>70</v>
      </c>
      <c r="D822" s="22" t="s">
        <v>727</v>
      </c>
      <c r="E822" s="22" t="str">
        <f>CONCATENATE(B822,D822)</f>
        <v>63697293-101</v>
      </c>
      <c r="F822" s="22" t="s">
        <v>728</v>
      </c>
      <c r="G822" s="22" t="s">
        <v>29</v>
      </c>
      <c r="H822" s="23">
        <v>7.2775999999999996</v>
      </c>
      <c r="I822" s="24">
        <v>1</v>
      </c>
      <c r="J822" s="24">
        <v>0</v>
      </c>
      <c r="K822" s="24">
        <v>0</v>
      </c>
      <c r="L822" s="41">
        <f>Table2[[#This Row],[Column1]]+Table2[[#This Row],[Column2]]</f>
        <v>0</v>
      </c>
      <c r="M822" s="42">
        <f>Table2[[#This Row],[OnHandQty]]-Table2[[#This Row],[Projection Nov/Dec]]</f>
        <v>1</v>
      </c>
      <c r="N822" s="35">
        <f>Table2[[#This Row],[OverStock]]*Table2[[#This Row],[RepCost]]</f>
        <v>7.2775999999999996</v>
      </c>
      <c r="O822" s="25">
        <v>46191.495833333334</v>
      </c>
      <c r="P822" s="26" t="s">
        <v>522</v>
      </c>
    </row>
    <row r="823" spans="1:16" x14ac:dyDescent="0.25">
      <c r="A823" s="20" t="s">
        <v>5211</v>
      </c>
      <c r="B823" s="21">
        <v>714</v>
      </c>
      <c r="C823" s="22" t="s">
        <v>70</v>
      </c>
      <c r="D823" s="22" t="s">
        <v>2040</v>
      </c>
      <c r="E823" s="22" t="str">
        <f>CONCATENATE(B823,D823)</f>
        <v>71481733-101</v>
      </c>
      <c r="F823" s="22" t="s">
        <v>2041</v>
      </c>
      <c r="G823" s="22" t="s">
        <v>29</v>
      </c>
      <c r="H823" s="23">
        <v>7.13</v>
      </c>
      <c r="I823" s="24">
        <v>10</v>
      </c>
      <c r="J823" s="24">
        <v>0</v>
      </c>
      <c r="K823" s="24">
        <v>0</v>
      </c>
      <c r="L823" s="41">
        <f>Table2[[#This Row],[Column1]]+Table2[[#This Row],[Column2]]</f>
        <v>0</v>
      </c>
      <c r="M823" s="42">
        <f>Table2[[#This Row],[OnHandQty]]-Table2[[#This Row],[Projection Nov/Dec]]</f>
        <v>10</v>
      </c>
      <c r="N823" s="35">
        <f>Table2[[#This Row],[OverStock]]*Table2[[#This Row],[RepCost]]</f>
        <v>71.3</v>
      </c>
      <c r="O823" s="25">
        <v>46155.413888888892</v>
      </c>
      <c r="P823" s="26" t="s">
        <v>522</v>
      </c>
    </row>
    <row r="824" spans="1:16" x14ac:dyDescent="0.25">
      <c r="A824" s="20" t="s">
        <v>5211</v>
      </c>
      <c r="B824" s="21">
        <v>714</v>
      </c>
      <c r="C824" s="22" t="s">
        <v>70</v>
      </c>
      <c r="D824" s="22" t="s">
        <v>2069</v>
      </c>
      <c r="E824" s="22" t="str">
        <f>CONCATENATE(B824,D824)</f>
        <v>71465076-101</v>
      </c>
      <c r="F824" s="22" t="s">
        <v>2070</v>
      </c>
      <c r="G824" s="22" t="s">
        <v>123</v>
      </c>
      <c r="H824" s="23">
        <v>6.5026999999999999</v>
      </c>
      <c r="I824" s="24">
        <v>18</v>
      </c>
      <c r="J824" s="24">
        <v>0</v>
      </c>
      <c r="K824" s="24">
        <v>0</v>
      </c>
      <c r="L824" s="41">
        <f>Table2[[#This Row],[Column1]]+Table2[[#This Row],[Column2]]</f>
        <v>0</v>
      </c>
      <c r="M824" s="42">
        <f>Table2[[#This Row],[OnHandQty]]-Table2[[#This Row],[Projection Nov/Dec]]</f>
        <v>18</v>
      </c>
      <c r="N824" s="35">
        <f>Table2[[#This Row],[OverStock]]*Table2[[#This Row],[RepCost]]</f>
        <v>117.04859999999999</v>
      </c>
      <c r="O824" s="25">
        <v>46195.50277777778</v>
      </c>
      <c r="P824" s="26" t="s">
        <v>665</v>
      </c>
    </row>
    <row r="825" spans="1:16" x14ac:dyDescent="0.25">
      <c r="A825" s="20" t="s">
        <v>5211</v>
      </c>
      <c r="B825" s="21">
        <v>634</v>
      </c>
      <c r="C825" s="22" t="s">
        <v>70</v>
      </c>
      <c r="D825" s="22" t="s">
        <v>82</v>
      </c>
      <c r="E825" s="22" t="str">
        <f>CONCATENATE(B825,D825)</f>
        <v>63465082-102</v>
      </c>
      <c r="F825" s="22" t="s">
        <v>83</v>
      </c>
      <c r="G825" s="22" t="s">
        <v>15</v>
      </c>
      <c r="H825" s="23">
        <v>7.5214999999999996</v>
      </c>
      <c r="I825" s="24">
        <v>24</v>
      </c>
      <c r="J825" s="24">
        <v>0</v>
      </c>
      <c r="K825" s="24">
        <v>0</v>
      </c>
      <c r="L825" s="41">
        <f>Table2[[#This Row],[Column1]]+Table2[[#This Row],[Column2]]</f>
        <v>0</v>
      </c>
      <c r="M825" s="42">
        <f>Table2[[#This Row],[OnHandQty]]-Table2[[#This Row],[Projection Nov/Dec]]</f>
        <v>24</v>
      </c>
      <c r="N825" s="35">
        <f>Table2[[#This Row],[OverStock]]*Table2[[#This Row],[RepCost]]</f>
        <v>180.51599999999999</v>
      </c>
      <c r="O825" s="25">
        <v>46113.540972222225</v>
      </c>
      <c r="P825" s="26" t="s">
        <v>40</v>
      </c>
    </row>
    <row r="826" spans="1:16" x14ac:dyDescent="0.25">
      <c r="A826" s="20" t="s">
        <v>5211</v>
      </c>
      <c r="B826" s="21">
        <v>718</v>
      </c>
      <c r="C826" s="22" t="s">
        <v>70</v>
      </c>
      <c r="D826" s="22" t="s">
        <v>3671</v>
      </c>
      <c r="E826" s="22" t="str">
        <f>CONCATENATE(B826,D826)</f>
        <v>71865081-101</v>
      </c>
      <c r="F826" s="22" t="s">
        <v>3672</v>
      </c>
      <c r="G826" s="22" t="s">
        <v>29</v>
      </c>
      <c r="H826" s="23">
        <v>9.5739000000000001</v>
      </c>
      <c r="I826" s="24">
        <v>7</v>
      </c>
      <c r="J826" s="24">
        <v>0</v>
      </c>
      <c r="K826" s="24">
        <v>0</v>
      </c>
      <c r="L826" s="41">
        <f>Table2[[#This Row],[Column1]]+Table2[[#This Row],[Column2]]</f>
        <v>0</v>
      </c>
      <c r="M826" s="42">
        <f>Table2[[#This Row],[OnHandQty]]-Table2[[#This Row],[Projection Nov/Dec]]</f>
        <v>7</v>
      </c>
      <c r="N826" s="35">
        <f>Table2[[#This Row],[OverStock]]*Table2[[#This Row],[RepCost]]</f>
        <v>67.017300000000006</v>
      </c>
      <c r="O826" s="25">
        <v>46232.6</v>
      </c>
      <c r="P826" s="26" t="s">
        <v>573</v>
      </c>
    </row>
    <row r="827" spans="1:16" x14ac:dyDescent="0.25">
      <c r="A827" s="20" t="s">
        <v>5211</v>
      </c>
      <c r="B827" s="21">
        <v>718</v>
      </c>
      <c r="C827" s="22" t="s">
        <v>323</v>
      </c>
      <c r="D827" s="22" t="s">
        <v>3879</v>
      </c>
      <c r="E827" s="22" t="str">
        <f>CONCATENATE(B827,D827)</f>
        <v>71865215-040</v>
      </c>
      <c r="F827" s="27" t="s">
        <v>3880</v>
      </c>
      <c r="G827" s="27" t="s">
        <v>58</v>
      </c>
      <c r="H827" s="23">
        <v>467.5</v>
      </c>
      <c r="I827" s="24">
        <v>2</v>
      </c>
      <c r="J827" s="24">
        <v>0</v>
      </c>
      <c r="K827" s="24">
        <v>0</v>
      </c>
      <c r="L827" s="41">
        <f>Table2[[#This Row],[Column1]]+Table2[[#This Row],[Column2]]</f>
        <v>0</v>
      </c>
      <c r="M827" s="42">
        <f>Table2[[#This Row],[OnHandQty]]-Table2[[#This Row],[Projection Nov/Dec]]</f>
        <v>2</v>
      </c>
      <c r="N827" s="35">
        <f>Table2[[#This Row],[OverStock]]*Table2[[#This Row],[RepCost]]</f>
        <v>935</v>
      </c>
      <c r="O827" s="25">
        <v>45782.546527777777</v>
      </c>
      <c r="P827" s="26" t="s">
        <v>2930</v>
      </c>
    </row>
    <row r="828" spans="1:16" x14ac:dyDescent="0.25">
      <c r="A828" s="20" t="s">
        <v>5211</v>
      </c>
      <c r="B828" s="21">
        <v>714</v>
      </c>
      <c r="C828" s="22" t="s">
        <v>323</v>
      </c>
      <c r="D828" s="22" t="s">
        <v>3284</v>
      </c>
      <c r="E828" s="22" t="str">
        <f>CONCATENATE(B828,D828)</f>
        <v>71465221-125</v>
      </c>
      <c r="F828" s="22" t="s">
        <v>3285</v>
      </c>
      <c r="G828" s="22" t="s">
        <v>455</v>
      </c>
      <c r="H828" s="23">
        <v>594.28830000000005</v>
      </c>
      <c r="I828" s="24">
        <v>7</v>
      </c>
      <c r="J828" s="24">
        <v>0</v>
      </c>
      <c r="K828" s="24">
        <v>0</v>
      </c>
      <c r="L828" s="41">
        <f>Table2[[#This Row],[Column1]]+Table2[[#This Row],[Column2]]</f>
        <v>0</v>
      </c>
      <c r="M828" s="42">
        <f>Table2[[#This Row],[OnHandQty]]-Table2[[#This Row],[Projection Nov/Dec]]</f>
        <v>7</v>
      </c>
      <c r="N828" s="35">
        <f>Table2[[#This Row],[OverStock]]*Table2[[#This Row],[RepCost]]</f>
        <v>4160.0181000000002</v>
      </c>
      <c r="O828" s="25">
        <v>45867.350694444445</v>
      </c>
      <c r="P828" s="26" t="s">
        <v>885</v>
      </c>
    </row>
    <row r="829" spans="1:16" x14ac:dyDescent="0.25">
      <c r="A829" s="20" t="s">
        <v>5211</v>
      </c>
      <c r="B829" s="21">
        <v>636</v>
      </c>
      <c r="C829" s="22" t="s">
        <v>323</v>
      </c>
      <c r="D829" s="22" t="s">
        <v>1594</v>
      </c>
      <c r="E829" s="22" t="str">
        <f>CONCATENATE(B829,D829)</f>
        <v>63676049-040</v>
      </c>
      <c r="F829" s="22" t="s">
        <v>1595</v>
      </c>
      <c r="G829" s="22" t="s">
        <v>29</v>
      </c>
      <c r="H829" s="23">
        <v>658.03009999999995</v>
      </c>
      <c r="I829" s="24">
        <v>2</v>
      </c>
      <c r="J829" s="24">
        <v>0</v>
      </c>
      <c r="K829" s="24">
        <v>0</v>
      </c>
      <c r="L829" s="41">
        <f>Table2[[#This Row],[Column1]]+Table2[[#This Row],[Column2]]</f>
        <v>0</v>
      </c>
      <c r="M829" s="42">
        <f>Table2[[#This Row],[OnHandQty]]-Table2[[#This Row],[Projection Nov/Dec]]</f>
        <v>2</v>
      </c>
      <c r="N829" s="35">
        <f>Table2[[#This Row],[OverStock]]*Table2[[#This Row],[RepCost]]</f>
        <v>1316.0601999999999</v>
      </c>
      <c r="O829" s="25">
        <v>46169.423611111109</v>
      </c>
      <c r="P829" s="26" t="s">
        <v>890</v>
      </c>
    </row>
    <row r="830" spans="1:16" x14ac:dyDescent="0.25">
      <c r="A830" s="20" t="s">
        <v>5211</v>
      </c>
      <c r="B830" s="21">
        <v>718</v>
      </c>
      <c r="C830" s="22" t="s">
        <v>323</v>
      </c>
      <c r="D830" s="22" t="s">
        <v>3905</v>
      </c>
      <c r="E830" s="22" t="str">
        <f>CONCATENATE(B830,D830)</f>
        <v>71865219-248</v>
      </c>
      <c r="F830" s="22" t="s">
        <v>3906</v>
      </c>
      <c r="G830" s="22" t="s">
        <v>29</v>
      </c>
      <c r="H830" s="23">
        <v>229.3817</v>
      </c>
      <c r="I830" s="24">
        <v>2</v>
      </c>
      <c r="J830" s="24">
        <v>0</v>
      </c>
      <c r="K830" s="24">
        <v>0</v>
      </c>
      <c r="L830" s="41">
        <f>Table2[[#This Row],[Column1]]+Table2[[#This Row],[Column2]]</f>
        <v>0</v>
      </c>
      <c r="M830" s="42">
        <f>Table2[[#This Row],[OnHandQty]]-Table2[[#This Row],[Projection Nov/Dec]]</f>
        <v>2</v>
      </c>
      <c r="N830" s="35">
        <f>Table2[[#This Row],[OverStock]]*Table2[[#This Row],[RepCost]]</f>
        <v>458.76339999999999</v>
      </c>
      <c r="O830" s="25">
        <v>46172.410416666666</v>
      </c>
      <c r="P830" s="26" t="s">
        <v>2358</v>
      </c>
    </row>
    <row r="831" spans="1:16" x14ac:dyDescent="0.25">
      <c r="A831" s="20" t="s">
        <v>5211</v>
      </c>
      <c r="B831" s="21">
        <v>718</v>
      </c>
      <c r="C831" s="22" t="s">
        <v>1749</v>
      </c>
      <c r="D831" s="22" t="s">
        <v>3548</v>
      </c>
      <c r="E831" s="22" t="str">
        <f>CONCATENATE(B831,D831)</f>
        <v>71876752-110</v>
      </c>
      <c r="F831" s="27" t="s">
        <v>3549</v>
      </c>
      <c r="G831" s="27" t="s">
        <v>58</v>
      </c>
      <c r="H831" s="23">
        <v>139.67320000000001</v>
      </c>
      <c r="I831" s="24">
        <v>2</v>
      </c>
      <c r="J831" s="24">
        <v>0</v>
      </c>
      <c r="K831" s="24">
        <v>1</v>
      </c>
      <c r="L831" s="41">
        <f>Table2[[#This Row],[Column1]]+Table2[[#This Row],[Column2]]</f>
        <v>1</v>
      </c>
      <c r="M831" s="42">
        <f>Table2[[#This Row],[OnHandQty]]-Table2[[#This Row],[Projection Nov/Dec]]</f>
        <v>1</v>
      </c>
      <c r="N831" s="35">
        <f>Table2[[#This Row],[OverStock]]*Table2[[#This Row],[RepCost]]</f>
        <v>139.67320000000001</v>
      </c>
      <c r="O831" s="25">
        <v>46169.374305555553</v>
      </c>
      <c r="P831" s="26" t="s">
        <v>137</v>
      </c>
    </row>
    <row r="832" spans="1:16" x14ac:dyDescent="0.25">
      <c r="A832" s="20" t="s">
        <v>5211</v>
      </c>
      <c r="B832" s="21">
        <v>718</v>
      </c>
      <c r="C832" s="22" t="s">
        <v>1749</v>
      </c>
      <c r="D832" s="22" t="s">
        <v>3978</v>
      </c>
      <c r="E832" s="22" t="str">
        <f>CONCATENATE(B832,D832)</f>
        <v>71876752-102</v>
      </c>
      <c r="F832" s="22" t="s">
        <v>3979</v>
      </c>
      <c r="G832" s="22" t="s">
        <v>29</v>
      </c>
      <c r="H832" s="23">
        <v>35.029299999999999</v>
      </c>
      <c r="I832" s="24">
        <v>3</v>
      </c>
      <c r="J832" s="24">
        <v>0</v>
      </c>
      <c r="K832" s="24">
        <v>0</v>
      </c>
      <c r="L832" s="41">
        <f>Table2[[#This Row],[Column1]]+Table2[[#This Row],[Column2]]</f>
        <v>0</v>
      </c>
      <c r="M832" s="42">
        <f>Table2[[#This Row],[OnHandQty]]-Table2[[#This Row],[Projection Nov/Dec]]</f>
        <v>3</v>
      </c>
      <c r="N832" s="35">
        <f>Table2[[#This Row],[OverStock]]*Table2[[#This Row],[RepCost]]</f>
        <v>105.08789999999999</v>
      </c>
      <c r="O832" s="25">
        <v>45517.629166666666</v>
      </c>
      <c r="P832" s="26" t="s">
        <v>36</v>
      </c>
    </row>
    <row r="833" spans="1:16" x14ac:dyDescent="0.25">
      <c r="A833" s="20" t="s">
        <v>5211</v>
      </c>
      <c r="B833" s="21">
        <v>636</v>
      </c>
      <c r="C833" s="22" t="s">
        <v>1749</v>
      </c>
      <c r="D833" s="22" t="s">
        <v>1750</v>
      </c>
      <c r="E833" s="22" t="str">
        <f>CONCATENATE(B833,D833)</f>
        <v>63665264-0010</v>
      </c>
      <c r="F833" s="22" t="s">
        <v>1751</v>
      </c>
      <c r="G833" s="22" t="s">
        <v>15</v>
      </c>
      <c r="H833" s="23">
        <v>30.451000000000001</v>
      </c>
      <c r="I833" s="24">
        <v>9</v>
      </c>
      <c r="J833" s="24">
        <v>0</v>
      </c>
      <c r="K833" s="24">
        <v>0</v>
      </c>
      <c r="L833" s="41">
        <f>Table2[[#This Row],[Column1]]+Table2[[#This Row],[Column2]]</f>
        <v>0</v>
      </c>
      <c r="M833" s="42">
        <f>Table2[[#This Row],[OnHandQty]]-Table2[[#This Row],[Projection Nov/Dec]]</f>
        <v>9</v>
      </c>
      <c r="N833" s="35">
        <f>Table2[[#This Row],[OverStock]]*Table2[[#This Row],[RepCost]]</f>
        <v>274.05900000000003</v>
      </c>
      <c r="O833" s="25">
        <v>46114.597916666666</v>
      </c>
      <c r="P833" s="26" t="s">
        <v>797</v>
      </c>
    </row>
    <row r="834" spans="1:16" x14ac:dyDescent="0.25">
      <c r="A834" s="20" t="s">
        <v>5211</v>
      </c>
      <c r="B834" s="21">
        <v>636</v>
      </c>
      <c r="C834" s="22" t="s">
        <v>1749</v>
      </c>
      <c r="D834" s="22" t="s">
        <v>1798</v>
      </c>
      <c r="E834" s="22" t="str">
        <f>CONCATENATE(B834,D834)</f>
        <v>63665270-STD0014</v>
      </c>
      <c r="F834" s="22" t="s">
        <v>1799</v>
      </c>
      <c r="G834" s="22" t="s">
        <v>29</v>
      </c>
      <c r="H834" s="23">
        <v>48.155099999999997</v>
      </c>
      <c r="I834" s="24">
        <v>1</v>
      </c>
      <c r="J834" s="24">
        <v>0</v>
      </c>
      <c r="K834" s="24">
        <v>0</v>
      </c>
      <c r="L834" s="41">
        <f>Table2[[#This Row],[Column1]]+Table2[[#This Row],[Column2]]</f>
        <v>0</v>
      </c>
      <c r="M834" s="42">
        <f>Table2[[#This Row],[OnHandQty]]-Table2[[#This Row],[Projection Nov/Dec]]</f>
        <v>1</v>
      </c>
      <c r="N834" s="35">
        <f>Table2[[#This Row],[OverStock]]*Table2[[#This Row],[RepCost]]</f>
        <v>48.155099999999997</v>
      </c>
      <c r="O834" s="25">
        <v>46114.597916666666</v>
      </c>
      <c r="P834" s="26" t="s">
        <v>797</v>
      </c>
    </row>
    <row r="835" spans="1:16" x14ac:dyDescent="0.25">
      <c r="A835" s="20" t="s">
        <v>5211</v>
      </c>
      <c r="B835" s="21">
        <v>636</v>
      </c>
      <c r="C835" s="22" t="s">
        <v>1749</v>
      </c>
      <c r="D835" s="22" t="s">
        <v>1756</v>
      </c>
      <c r="E835" s="22" t="str">
        <f>CONCATENATE(B835,D835)</f>
        <v>63665271-STD0014</v>
      </c>
      <c r="F835" s="22" t="s">
        <v>1757</v>
      </c>
      <c r="G835" s="22" t="s">
        <v>39</v>
      </c>
      <c r="H835" s="23">
        <v>48.155099999999997</v>
      </c>
      <c r="I835" s="24">
        <v>2</v>
      </c>
      <c r="J835" s="24">
        <v>0</v>
      </c>
      <c r="K835" s="24">
        <v>0</v>
      </c>
      <c r="L835" s="41">
        <f>Table2[[#This Row],[Column1]]+Table2[[#This Row],[Column2]]</f>
        <v>0</v>
      </c>
      <c r="M835" s="42">
        <f>Table2[[#This Row],[OnHandQty]]-Table2[[#This Row],[Projection Nov/Dec]]</f>
        <v>2</v>
      </c>
      <c r="N835" s="35">
        <f>Table2[[#This Row],[OverStock]]*Table2[[#This Row],[RepCost]]</f>
        <v>96.310199999999995</v>
      </c>
      <c r="O835" s="25">
        <v>46114.597916666666</v>
      </c>
      <c r="P835" s="26" t="s">
        <v>797</v>
      </c>
    </row>
    <row r="836" spans="1:16" x14ac:dyDescent="0.25">
      <c r="A836" s="20" t="s">
        <v>5211</v>
      </c>
      <c r="B836" s="21">
        <v>718</v>
      </c>
      <c r="C836" s="22" t="s">
        <v>323</v>
      </c>
      <c r="D836" s="22" t="s">
        <v>3911</v>
      </c>
      <c r="E836" s="22" t="str">
        <f>CONCATENATE(B836,D836)</f>
        <v>71881408-105</v>
      </c>
      <c r="F836" s="22" t="s">
        <v>3912</v>
      </c>
      <c r="G836" s="22" t="s">
        <v>39</v>
      </c>
      <c r="H836" s="23">
        <v>50.873399999999997</v>
      </c>
      <c r="I836" s="24">
        <v>3</v>
      </c>
      <c r="J836" s="24">
        <v>0</v>
      </c>
      <c r="K836" s="24">
        <v>0</v>
      </c>
      <c r="L836" s="41">
        <f>Table2[[#This Row],[Column1]]+Table2[[#This Row],[Column2]]</f>
        <v>0</v>
      </c>
      <c r="M836" s="42">
        <f>Table2[[#This Row],[OnHandQty]]-Table2[[#This Row],[Projection Nov/Dec]]</f>
        <v>3</v>
      </c>
      <c r="N836" s="35">
        <f>Table2[[#This Row],[OverStock]]*Table2[[#This Row],[RepCost]]</f>
        <v>152.62019999999998</v>
      </c>
      <c r="O836" s="25">
        <v>46156.663194444445</v>
      </c>
      <c r="P836" s="26" t="s">
        <v>67</v>
      </c>
    </row>
    <row r="837" spans="1:16" x14ac:dyDescent="0.25">
      <c r="A837" s="20" t="s">
        <v>5211</v>
      </c>
      <c r="B837" s="21">
        <v>718</v>
      </c>
      <c r="C837" s="22" t="s">
        <v>323</v>
      </c>
      <c r="D837" s="22" t="s">
        <v>3893</v>
      </c>
      <c r="E837" s="22" t="str">
        <f>CONCATENATE(B837,D837)</f>
        <v>71877538-103</v>
      </c>
      <c r="F837" s="22" t="s">
        <v>3894</v>
      </c>
      <c r="G837" s="22" t="s">
        <v>35</v>
      </c>
      <c r="H837" s="23">
        <v>14.1693</v>
      </c>
      <c r="I837" s="24">
        <v>7</v>
      </c>
      <c r="J837" s="24">
        <v>0</v>
      </c>
      <c r="K837" s="24">
        <v>0</v>
      </c>
      <c r="L837" s="41">
        <f>Table2[[#This Row],[Column1]]+Table2[[#This Row],[Column2]]</f>
        <v>0</v>
      </c>
      <c r="M837" s="42">
        <f>Table2[[#This Row],[OnHandQty]]-Table2[[#This Row],[Projection Nov/Dec]]</f>
        <v>7</v>
      </c>
      <c r="N837" s="35">
        <f>Table2[[#This Row],[OverStock]]*Table2[[#This Row],[RepCost]]</f>
        <v>99.185100000000006</v>
      </c>
      <c r="O837" s="25">
        <v>45737.495833333334</v>
      </c>
      <c r="P837" s="26" t="s">
        <v>216</v>
      </c>
    </row>
    <row r="838" spans="1:16" x14ac:dyDescent="0.25">
      <c r="A838" s="20" t="s">
        <v>5211</v>
      </c>
      <c r="B838" s="21">
        <v>714</v>
      </c>
      <c r="C838" s="22" t="s">
        <v>323</v>
      </c>
      <c r="D838" s="22" t="s">
        <v>2914</v>
      </c>
      <c r="E838" s="22" t="str">
        <f>CONCATENATE(B838,D838)</f>
        <v>71477538-105</v>
      </c>
      <c r="F838" s="22" t="s">
        <v>2915</v>
      </c>
      <c r="G838" s="22" t="s">
        <v>35</v>
      </c>
      <c r="H838" s="23">
        <v>45.304200000000002</v>
      </c>
      <c r="I838" s="24">
        <v>5</v>
      </c>
      <c r="J838" s="24">
        <v>0</v>
      </c>
      <c r="K838" s="24">
        <v>0</v>
      </c>
      <c r="L838" s="41">
        <f>Table2[[#This Row],[Column1]]+Table2[[#This Row],[Column2]]</f>
        <v>0</v>
      </c>
      <c r="M838" s="42">
        <f>Table2[[#This Row],[OnHandQty]]-Table2[[#This Row],[Projection Nov/Dec]]</f>
        <v>5</v>
      </c>
      <c r="N838" s="35">
        <f>Table2[[#This Row],[OverStock]]*Table2[[#This Row],[RepCost]]</f>
        <v>226.52100000000002</v>
      </c>
      <c r="O838" s="25">
        <v>45430.453472222223</v>
      </c>
      <c r="P838" s="26" t="s">
        <v>67</v>
      </c>
    </row>
    <row r="839" spans="1:16" x14ac:dyDescent="0.25">
      <c r="A839" s="20" t="s">
        <v>5211</v>
      </c>
      <c r="B839" s="21">
        <v>718</v>
      </c>
      <c r="C839" s="22" t="s">
        <v>323</v>
      </c>
      <c r="D839" s="22" t="s">
        <v>3913</v>
      </c>
      <c r="E839" s="22" t="str">
        <f>CONCATENATE(B839,D839)</f>
        <v>71884260-105</v>
      </c>
      <c r="F839" s="22" t="s">
        <v>3914</v>
      </c>
      <c r="G839" s="22" t="s">
        <v>15</v>
      </c>
      <c r="H839" s="23">
        <v>50.569699999999997</v>
      </c>
      <c r="I839" s="24">
        <v>5</v>
      </c>
      <c r="J839" s="24">
        <v>0</v>
      </c>
      <c r="K839" s="24">
        <v>0</v>
      </c>
      <c r="L839" s="41">
        <f>Table2[[#This Row],[Column1]]+Table2[[#This Row],[Column2]]</f>
        <v>0</v>
      </c>
      <c r="M839" s="42">
        <f>Table2[[#This Row],[OnHandQty]]-Table2[[#This Row],[Projection Nov/Dec]]</f>
        <v>5</v>
      </c>
      <c r="N839" s="35">
        <f>Table2[[#This Row],[OverStock]]*Table2[[#This Row],[RepCost]]</f>
        <v>252.8485</v>
      </c>
      <c r="O839" s="25">
        <v>46156.663194444445</v>
      </c>
      <c r="P839" s="26" t="s">
        <v>67</v>
      </c>
    </row>
    <row r="840" spans="1:16" x14ac:dyDescent="0.25">
      <c r="A840" s="20" t="s">
        <v>5211</v>
      </c>
      <c r="B840" s="21">
        <v>636</v>
      </c>
      <c r="C840" s="22" t="s">
        <v>1749</v>
      </c>
      <c r="D840" s="22" t="s">
        <v>1804</v>
      </c>
      <c r="E840" s="22" t="str">
        <f>CONCATENATE(B840,D840)</f>
        <v>63665281-0010</v>
      </c>
      <c r="F840" s="22" t="s">
        <v>1805</v>
      </c>
      <c r="G840" s="22" t="s">
        <v>81</v>
      </c>
      <c r="H840" s="23">
        <v>20.3718</v>
      </c>
      <c r="I840" s="24">
        <v>10</v>
      </c>
      <c r="J840" s="24">
        <v>1</v>
      </c>
      <c r="K840" s="24">
        <v>0</v>
      </c>
      <c r="L840" s="41">
        <f>Table2[[#This Row],[Column1]]+Table2[[#This Row],[Column2]]</f>
        <v>1</v>
      </c>
      <c r="M840" s="42">
        <f>Table2[[#This Row],[OnHandQty]]-Table2[[#This Row],[Projection Nov/Dec]]</f>
        <v>9</v>
      </c>
      <c r="N840" s="35">
        <f>Table2[[#This Row],[OverStock]]*Table2[[#This Row],[RepCost]]</f>
        <v>183.34620000000001</v>
      </c>
      <c r="O840" s="25">
        <v>46114.597916666666</v>
      </c>
      <c r="P840" s="26" t="s">
        <v>797</v>
      </c>
    </row>
    <row r="841" spans="1:16" x14ac:dyDescent="0.25">
      <c r="A841" s="20" t="s">
        <v>5211</v>
      </c>
      <c r="B841" s="21">
        <v>636</v>
      </c>
      <c r="C841" s="22" t="s">
        <v>1749</v>
      </c>
      <c r="D841" s="22" t="s">
        <v>1770</v>
      </c>
      <c r="E841" s="22" t="str">
        <f>CONCATENATE(B841,D841)</f>
        <v>63665281-STD0017</v>
      </c>
      <c r="F841" s="27" t="s">
        <v>1771</v>
      </c>
      <c r="G841" s="27" t="s">
        <v>58</v>
      </c>
      <c r="H841" s="23">
        <v>167.18039999999999</v>
      </c>
      <c r="I841" s="24">
        <v>1</v>
      </c>
      <c r="J841" s="24">
        <v>0</v>
      </c>
      <c r="K841" s="24">
        <v>0</v>
      </c>
      <c r="L841" s="41">
        <f>Table2[[#This Row],[Column1]]+Table2[[#This Row],[Column2]]</f>
        <v>0</v>
      </c>
      <c r="M841" s="42">
        <f>Table2[[#This Row],[OnHandQty]]-Table2[[#This Row],[Projection Nov/Dec]]</f>
        <v>1</v>
      </c>
      <c r="N841" s="35">
        <f>Table2[[#This Row],[OverStock]]*Table2[[#This Row],[RepCost]]</f>
        <v>167.18039999999999</v>
      </c>
      <c r="O841" s="25">
        <v>45761.387499999997</v>
      </c>
      <c r="P841" s="26" t="s">
        <v>797</v>
      </c>
    </row>
    <row r="842" spans="1:16" x14ac:dyDescent="0.25">
      <c r="A842" s="20" t="s">
        <v>5211</v>
      </c>
      <c r="B842" s="21">
        <v>714</v>
      </c>
      <c r="C842" s="22" t="s">
        <v>143</v>
      </c>
      <c r="D842" s="22" t="s">
        <v>949</v>
      </c>
      <c r="E842" s="22" t="str">
        <f>CONCATENATE(B842,D842)</f>
        <v>71465338-103</v>
      </c>
      <c r="F842" s="22" t="s">
        <v>950</v>
      </c>
      <c r="G842" s="22" t="s">
        <v>39</v>
      </c>
      <c r="H842" s="23">
        <v>9.6338000000000008</v>
      </c>
      <c r="I842" s="24">
        <v>4</v>
      </c>
      <c r="J842" s="24">
        <v>0</v>
      </c>
      <c r="K842" s="24">
        <v>0</v>
      </c>
      <c r="L842" s="41">
        <f>Table2[[#This Row],[Column1]]+Table2[[#This Row],[Column2]]</f>
        <v>0</v>
      </c>
      <c r="M842" s="42">
        <f>Table2[[#This Row],[OnHandQty]]-Table2[[#This Row],[Projection Nov/Dec]]</f>
        <v>4</v>
      </c>
      <c r="N842" s="35">
        <f>Table2[[#This Row],[OverStock]]*Table2[[#This Row],[RepCost]]</f>
        <v>38.535200000000003</v>
      </c>
      <c r="O842" s="25">
        <v>46098.570138888892</v>
      </c>
      <c r="P842" s="26" t="s">
        <v>2225</v>
      </c>
    </row>
    <row r="843" spans="1:16" x14ac:dyDescent="0.25">
      <c r="A843" s="20" t="s">
        <v>5211</v>
      </c>
      <c r="B843" s="21">
        <v>636</v>
      </c>
      <c r="C843" s="22" t="s">
        <v>143</v>
      </c>
      <c r="D843" s="22" t="s">
        <v>949</v>
      </c>
      <c r="E843" s="22" t="str">
        <f>CONCATENATE(B843,D843)</f>
        <v>63665338-103</v>
      </c>
      <c r="F843" s="22" t="s">
        <v>950</v>
      </c>
      <c r="G843" s="22" t="s">
        <v>29</v>
      </c>
      <c r="H843" s="23">
        <v>16.569099999999999</v>
      </c>
      <c r="I843" s="24">
        <v>1</v>
      </c>
      <c r="J843" s="24">
        <v>0</v>
      </c>
      <c r="K843" s="24">
        <v>0</v>
      </c>
      <c r="L843" s="41">
        <f>Table2[[#This Row],[Column1]]+Table2[[#This Row],[Column2]]</f>
        <v>0</v>
      </c>
      <c r="M843" s="42">
        <f>Table2[[#This Row],[OnHandQty]]-Table2[[#This Row],[Projection Nov/Dec]]</f>
        <v>1</v>
      </c>
      <c r="N843" s="35">
        <f>Table2[[#This Row],[OverStock]]*Table2[[#This Row],[RepCost]]</f>
        <v>16.569099999999999</v>
      </c>
      <c r="O843" s="25">
        <v>46161.479861111111</v>
      </c>
      <c r="P843" s="26" t="s">
        <v>40</v>
      </c>
    </row>
    <row r="844" spans="1:16" x14ac:dyDescent="0.25">
      <c r="A844" s="20" t="s">
        <v>5211</v>
      </c>
      <c r="B844" s="21">
        <v>714</v>
      </c>
      <c r="C844" s="22" t="s">
        <v>143</v>
      </c>
      <c r="D844" s="22" t="s">
        <v>2473</v>
      </c>
      <c r="E844" s="22" t="str">
        <f>CONCATENATE(B844,D844)</f>
        <v>71465338-236</v>
      </c>
      <c r="F844" s="22" t="s">
        <v>2474</v>
      </c>
      <c r="G844" s="22" t="s">
        <v>15</v>
      </c>
      <c r="H844" s="23">
        <v>11.0519</v>
      </c>
      <c r="I844" s="24">
        <v>7</v>
      </c>
      <c r="J844" s="24">
        <v>0</v>
      </c>
      <c r="K844" s="24">
        <v>0</v>
      </c>
      <c r="L844" s="41">
        <f>Table2[[#This Row],[Column1]]+Table2[[#This Row],[Column2]]</f>
        <v>0</v>
      </c>
      <c r="M844" s="42">
        <f>Table2[[#This Row],[OnHandQty]]-Table2[[#This Row],[Projection Nov/Dec]]</f>
        <v>7</v>
      </c>
      <c r="N844" s="35">
        <f>Table2[[#This Row],[OverStock]]*Table2[[#This Row],[RepCost]]</f>
        <v>77.363299999999995</v>
      </c>
      <c r="O844" s="25">
        <v>45719.59652777778</v>
      </c>
      <c r="P844" s="26" t="s">
        <v>2225</v>
      </c>
    </row>
    <row r="845" spans="1:16" x14ac:dyDescent="0.25">
      <c r="A845" s="20" t="s">
        <v>5211</v>
      </c>
      <c r="B845" s="21">
        <v>714</v>
      </c>
      <c r="C845" s="22" t="s">
        <v>143</v>
      </c>
      <c r="D845" s="22" t="s">
        <v>2334</v>
      </c>
      <c r="E845" s="22" t="str">
        <f>CONCATENATE(B845,D845)</f>
        <v>71465338-248</v>
      </c>
      <c r="F845" s="22" t="s">
        <v>2335</v>
      </c>
      <c r="G845" s="22" t="s">
        <v>43</v>
      </c>
      <c r="H845" s="23">
        <v>11.143000000000001</v>
      </c>
      <c r="I845" s="24">
        <v>7</v>
      </c>
      <c r="J845" s="24">
        <v>0</v>
      </c>
      <c r="K845" s="24">
        <v>0</v>
      </c>
      <c r="L845" s="41">
        <f>Table2[[#This Row],[Column1]]+Table2[[#This Row],[Column2]]</f>
        <v>0</v>
      </c>
      <c r="M845" s="42">
        <f>Table2[[#This Row],[OnHandQty]]-Table2[[#This Row],[Projection Nov/Dec]]</f>
        <v>7</v>
      </c>
      <c r="N845" s="35">
        <f>Table2[[#This Row],[OverStock]]*Table2[[#This Row],[RepCost]]</f>
        <v>78.001000000000005</v>
      </c>
      <c r="O845" s="25">
        <v>46101.338888888888</v>
      </c>
      <c r="P845" s="26" t="s">
        <v>146</v>
      </c>
    </row>
    <row r="846" spans="1:16" x14ac:dyDescent="0.25">
      <c r="A846" s="20" t="s">
        <v>5211</v>
      </c>
      <c r="B846" s="21">
        <v>634</v>
      </c>
      <c r="C846" s="22" t="s">
        <v>143</v>
      </c>
      <c r="D846" s="22" t="s">
        <v>144</v>
      </c>
      <c r="E846" s="22" t="str">
        <f>CONCATENATE(B846,D846)</f>
        <v>63465338-305</v>
      </c>
      <c r="F846" s="22" t="s">
        <v>145</v>
      </c>
      <c r="G846" s="22" t="s">
        <v>43</v>
      </c>
      <c r="H846" s="23">
        <v>14.85</v>
      </c>
      <c r="I846" s="24">
        <v>139</v>
      </c>
      <c r="J846" s="24">
        <v>28</v>
      </c>
      <c r="K846" s="24">
        <v>25</v>
      </c>
      <c r="L846" s="41">
        <f>Table2[[#This Row],[Column1]]+Table2[[#This Row],[Column2]]</f>
        <v>53</v>
      </c>
      <c r="M846" s="42">
        <f>Table2[[#This Row],[OnHandQty]]-Table2[[#This Row],[Projection Nov/Dec]]</f>
        <v>86</v>
      </c>
      <c r="N846" s="35">
        <f>Table2[[#This Row],[OverStock]]*Table2[[#This Row],[RepCost]]</f>
        <v>1277.0999999999999</v>
      </c>
      <c r="O846" s="25">
        <v>46093.371527777781</v>
      </c>
      <c r="P846" s="26" t="s">
        <v>146</v>
      </c>
    </row>
    <row r="847" spans="1:16" x14ac:dyDescent="0.25">
      <c r="A847" s="20" t="s">
        <v>5211</v>
      </c>
      <c r="B847" s="21">
        <v>714</v>
      </c>
      <c r="C847" s="22" t="s">
        <v>143</v>
      </c>
      <c r="D847" s="22" t="s">
        <v>2788</v>
      </c>
      <c r="E847" s="22" t="str">
        <f>CONCATENATE(B847,D847)</f>
        <v>71465353-105</v>
      </c>
      <c r="F847" s="22" t="s">
        <v>2789</v>
      </c>
      <c r="G847" s="22" t="s">
        <v>158</v>
      </c>
      <c r="H847" s="23">
        <v>42.561300000000003</v>
      </c>
      <c r="I847" s="24">
        <v>175</v>
      </c>
      <c r="J847" s="24">
        <v>100</v>
      </c>
      <c r="K847" s="24">
        <v>0</v>
      </c>
      <c r="L847" s="41">
        <f>Table2[[#This Row],[Column1]]+Table2[[#This Row],[Column2]]</f>
        <v>100</v>
      </c>
      <c r="M847" s="42">
        <f>Table2[[#This Row],[OnHandQty]]-Table2[[#This Row],[Projection Nov/Dec]]</f>
        <v>75</v>
      </c>
      <c r="N847" s="35">
        <f>Table2[[#This Row],[OverStock]]*Table2[[#This Row],[RepCost]]</f>
        <v>3192.0975000000003</v>
      </c>
      <c r="O847" s="25">
        <v>45960.647222222222</v>
      </c>
      <c r="P847" s="26" t="s">
        <v>195</v>
      </c>
    </row>
    <row r="848" spans="1:16" x14ac:dyDescent="0.25">
      <c r="A848" s="20" t="s">
        <v>5211</v>
      </c>
      <c r="B848" s="21">
        <v>636</v>
      </c>
      <c r="C848" s="22" t="s">
        <v>70</v>
      </c>
      <c r="D848" s="22" t="s">
        <v>624</v>
      </c>
      <c r="E848" s="22" t="str">
        <f>CONCATENATE(B848,D848)</f>
        <v>63674730-101</v>
      </c>
      <c r="F848" s="22" t="s">
        <v>625</v>
      </c>
      <c r="G848" s="22" t="s">
        <v>29</v>
      </c>
      <c r="H848" s="23">
        <v>6.65</v>
      </c>
      <c r="I848" s="24">
        <v>29</v>
      </c>
      <c r="J848" s="24">
        <v>0</v>
      </c>
      <c r="K848" s="24">
        <v>0</v>
      </c>
      <c r="L848" s="41">
        <f>Table2[[#This Row],[Column1]]+Table2[[#This Row],[Column2]]</f>
        <v>0</v>
      </c>
      <c r="M848" s="42">
        <f>Table2[[#This Row],[OnHandQty]]-Table2[[#This Row],[Projection Nov/Dec]]</f>
        <v>29</v>
      </c>
      <c r="N848" s="35">
        <f>Table2[[#This Row],[OverStock]]*Table2[[#This Row],[RepCost]]</f>
        <v>192.85000000000002</v>
      </c>
      <c r="O848" s="25">
        <v>46176.416666666664</v>
      </c>
      <c r="P848" s="26" t="s">
        <v>531</v>
      </c>
    </row>
    <row r="849" spans="1:16" x14ac:dyDescent="0.25">
      <c r="A849" s="20" t="s">
        <v>5211</v>
      </c>
      <c r="B849" s="21">
        <v>714</v>
      </c>
      <c r="C849" s="22" t="s">
        <v>70</v>
      </c>
      <c r="D849" s="22" t="s">
        <v>2042</v>
      </c>
      <c r="E849" s="22" t="str">
        <f>CONCATENATE(B849,D849)</f>
        <v>71482236-101</v>
      </c>
      <c r="F849" s="22" t="s">
        <v>2043</v>
      </c>
      <c r="G849" s="22" t="s">
        <v>39</v>
      </c>
      <c r="H849" s="23">
        <v>5</v>
      </c>
      <c r="I849" s="24">
        <v>7</v>
      </c>
      <c r="J849" s="24">
        <v>0</v>
      </c>
      <c r="K849" s="24">
        <v>0</v>
      </c>
      <c r="L849" s="41">
        <f>Table2[[#This Row],[Column1]]+Table2[[#This Row],[Column2]]</f>
        <v>0</v>
      </c>
      <c r="M849" s="42">
        <f>Table2[[#This Row],[OnHandQty]]-Table2[[#This Row],[Projection Nov/Dec]]</f>
        <v>7</v>
      </c>
      <c r="N849" s="35">
        <f>Table2[[#This Row],[OverStock]]*Table2[[#This Row],[RepCost]]</f>
        <v>35</v>
      </c>
      <c r="O849" s="25">
        <v>45091.657638888886</v>
      </c>
      <c r="P849" s="26" t="s">
        <v>573</v>
      </c>
    </row>
    <row r="850" spans="1:16" x14ac:dyDescent="0.25">
      <c r="A850" s="20" t="s">
        <v>5211</v>
      </c>
      <c r="B850" s="21">
        <v>714</v>
      </c>
      <c r="C850" s="22" t="s">
        <v>70</v>
      </c>
      <c r="D850" s="22" t="s">
        <v>2079</v>
      </c>
      <c r="E850" s="22" t="str">
        <f>CONCATENATE(B850,D850)</f>
        <v>71482236-SP4</v>
      </c>
      <c r="F850" s="22" t="s">
        <v>2080</v>
      </c>
      <c r="G850" s="22" t="s">
        <v>39</v>
      </c>
      <c r="H850" s="23">
        <v>6.7224000000000004</v>
      </c>
      <c r="I850" s="24">
        <v>45</v>
      </c>
      <c r="J850" s="24">
        <v>0</v>
      </c>
      <c r="K850" s="24">
        <v>0</v>
      </c>
      <c r="L850" s="41">
        <f>Table2[[#This Row],[Column1]]+Table2[[#This Row],[Column2]]</f>
        <v>0</v>
      </c>
      <c r="M850" s="42">
        <f>Table2[[#This Row],[OnHandQty]]-Table2[[#This Row],[Projection Nov/Dec]]</f>
        <v>45</v>
      </c>
      <c r="N850" s="35">
        <f>Table2[[#This Row],[OverStock]]*Table2[[#This Row],[RepCost]]</f>
        <v>302.50800000000004</v>
      </c>
      <c r="O850" s="25">
        <v>46198.40902777778</v>
      </c>
      <c r="P850" s="26" t="s">
        <v>573</v>
      </c>
    </row>
    <row r="851" spans="1:16" x14ac:dyDescent="0.25">
      <c r="A851" s="20" t="s">
        <v>5211</v>
      </c>
      <c r="B851" s="21">
        <v>718</v>
      </c>
      <c r="C851" s="22" t="s">
        <v>12</v>
      </c>
      <c r="D851" s="22" t="s">
        <v>1926</v>
      </c>
      <c r="E851" s="22" t="str">
        <f>CONCATENATE(B851,D851)</f>
        <v>71865510-101</v>
      </c>
      <c r="F851" s="22" t="s">
        <v>1927</v>
      </c>
      <c r="G851" s="22" t="s">
        <v>39</v>
      </c>
      <c r="H851" s="23">
        <v>7.6626000000000003</v>
      </c>
      <c r="I851" s="24">
        <v>32</v>
      </c>
      <c r="J851" s="24">
        <v>0</v>
      </c>
      <c r="K851" s="24">
        <v>0</v>
      </c>
      <c r="L851" s="41">
        <f>Table2[[#This Row],[Column1]]+Table2[[#This Row],[Column2]]</f>
        <v>0</v>
      </c>
      <c r="M851" s="42">
        <f>Table2[[#This Row],[OnHandQty]]-Table2[[#This Row],[Projection Nov/Dec]]</f>
        <v>32</v>
      </c>
      <c r="N851" s="35">
        <f>Table2[[#This Row],[OverStock]]*Table2[[#This Row],[RepCost]]</f>
        <v>245.20320000000001</v>
      </c>
      <c r="O851" s="25">
        <v>46119.636111111111</v>
      </c>
      <c r="P851" s="26" t="s">
        <v>573</v>
      </c>
    </row>
    <row r="852" spans="1:16" x14ac:dyDescent="0.25">
      <c r="A852" s="20" t="s">
        <v>5211</v>
      </c>
      <c r="B852" s="21">
        <v>714</v>
      </c>
      <c r="C852" s="22" t="s">
        <v>12</v>
      </c>
      <c r="D852" s="22" t="s">
        <v>1926</v>
      </c>
      <c r="E852" s="22" t="str">
        <f>CONCATENATE(B852,D852)</f>
        <v>71465510-101</v>
      </c>
      <c r="F852" s="22" t="s">
        <v>1927</v>
      </c>
      <c r="G852" s="22" t="s">
        <v>39</v>
      </c>
      <c r="H852" s="23">
        <v>6.3840000000000003</v>
      </c>
      <c r="I852" s="24">
        <v>26</v>
      </c>
      <c r="J852" s="24">
        <v>0</v>
      </c>
      <c r="K852" s="24">
        <v>0</v>
      </c>
      <c r="L852" s="41">
        <f>Table2[[#This Row],[Column1]]+Table2[[#This Row],[Column2]]</f>
        <v>0</v>
      </c>
      <c r="M852" s="42">
        <f>Table2[[#This Row],[OnHandQty]]-Table2[[#This Row],[Projection Nov/Dec]]</f>
        <v>26</v>
      </c>
      <c r="N852" s="35">
        <f>Table2[[#This Row],[OverStock]]*Table2[[#This Row],[RepCost]]</f>
        <v>165.98400000000001</v>
      </c>
      <c r="O852" s="25">
        <v>46178.753472222219</v>
      </c>
      <c r="P852" s="26" t="s">
        <v>40</v>
      </c>
    </row>
    <row r="853" spans="1:16" x14ac:dyDescent="0.25">
      <c r="A853" s="20" t="s">
        <v>5211</v>
      </c>
      <c r="B853" s="21">
        <v>636</v>
      </c>
      <c r="C853" s="22" t="s">
        <v>143</v>
      </c>
      <c r="D853" s="22" t="s">
        <v>940</v>
      </c>
      <c r="E853" s="22" t="str">
        <f>CONCATENATE(B853,D853)</f>
        <v>63684466-0014</v>
      </c>
      <c r="F853" s="22" t="s">
        <v>941</v>
      </c>
      <c r="G853" s="22" t="s">
        <v>23</v>
      </c>
      <c r="H853" s="23">
        <v>34.417900000000003</v>
      </c>
      <c r="I853" s="24">
        <v>1</v>
      </c>
      <c r="J853" s="24">
        <v>0</v>
      </c>
      <c r="K853" s="24">
        <v>0</v>
      </c>
      <c r="L853" s="41">
        <f>Table2[[#This Row],[Column1]]+Table2[[#This Row],[Column2]]</f>
        <v>0</v>
      </c>
      <c r="M853" s="42">
        <f>Table2[[#This Row],[OnHandQty]]-Table2[[#This Row],[Projection Nov/Dec]]</f>
        <v>1</v>
      </c>
      <c r="N853" s="35">
        <f>Table2[[#This Row],[OverStock]]*Table2[[#This Row],[RepCost]]</f>
        <v>34.417900000000003</v>
      </c>
      <c r="O853" s="25">
        <v>46143.668055555558</v>
      </c>
      <c r="P853" s="26" t="s">
        <v>942</v>
      </c>
    </row>
    <row r="854" spans="1:16" x14ac:dyDescent="0.25">
      <c r="A854" s="20" t="s">
        <v>5211</v>
      </c>
      <c r="B854" s="21">
        <v>636</v>
      </c>
      <c r="C854" s="22" t="s">
        <v>143</v>
      </c>
      <c r="D854" s="22" t="s">
        <v>943</v>
      </c>
      <c r="E854" s="22" t="str">
        <f>CONCATENATE(B854,D854)</f>
        <v>63684466-STD0010</v>
      </c>
      <c r="F854" s="22" t="s">
        <v>944</v>
      </c>
      <c r="G854" s="22" t="s">
        <v>112</v>
      </c>
      <c r="H854" s="23">
        <v>22.575099999999999</v>
      </c>
      <c r="I854" s="24">
        <v>10</v>
      </c>
      <c r="J854" s="24">
        <v>0</v>
      </c>
      <c r="K854" s="24">
        <v>0</v>
      </c>
      <c r="L854" s="41">
        <f>Table2[[#This Row],[Column1]]+Table2[[#This Row],[Column2]]</f>
        <v>0</v>
      </c>
      <c r="M854" s="42">
        <f>Table2[[#This Row],[OnHandQty]]-Table2[[#This Row],[Projection Nov/Dec]]</f>
        <v>10</v>
      </c>
      <c r="N854" s="35">
        <f>Table2[[#This Row],[OverStock]]*Table2[[#This Row],[RepCost]]</f>
        <v>225.75099999999998</v>
      </c>
      <c r="O854" s="25">
        <v>46181.511111111111</v>
      </c>
      <c r="P854" s="26" t="s">
        <v>599</v>
      </c>
    </row>
    <row r="855" spans="1:16" x14ac:dyDescent="0.25">
      <c r="A855" s="20" t="s">
        <v>5211</v>
      </c>
      <c r="B855" s="21">
        <v>714</v>
      </c>
      <c r="C855" s="22" t="s">
        <v>70</v>
      </c>
      <c r="D855" s="22" t="s">
        <v>2125</v>
      </c>
      <c r="E855" s="22" t="str">
        <f>CONCATENATE(B855,D855)</f>
        <v>71465568-SP4</v>
      </c>
      <c r="F855" s="22" t="s">
        <v>2126</v>
      </c>
      <c r="G855" s="22" t="s">
        <v>39</v>
      </c>
      <c r="H855" s="23">
        <v>2.3395999999999999</v>
      </c>
      <c r="I855" s="24">
        <v>46</v>
      </c>
      <c r="J855" s="24">
        <v>0</v>
      </c>
      <c r="K855" s="24">
        <v>0</v>
      </c>
      <c r="L855" s="41">
        <f>Table2[[#This Row],[Column1]]+Table2[[#This Row],[Column2]]</f>
        <v>0</v>
      </c>
      <c r="M855" s="42">
        <f>Table2[[#This Row],[OnHandQty]]-Table2[[#This Row],[Projection Nov/Dec]]</f>
        <v>46</v>
      </c>
      <c r="N855" s="35">
        <f>Table2[[#This Row],[OverStock]]*Table2[[#This Row],[RepCost]]</f>
        <v>107.6216</v>
      </c>
      <c r="O855" s="25">
        <v>46157.635416666664</v>
      </c>
      <c r="P855" s="26" t="s">
        <v>1836</v>
      </c>
    </row>
    <row r="856" spans="1:16" x14ac:dyDescent="0.25">
      <c r="A856" s="20" t="s">
        <v>5211</v>
      </c>
      <c r="B856" s="21">
        <v>634</v>
      </c>
      <c r="C856" s="22" t="s">
        <v>70</v>
      </c>
      <c r="D856" s="22" t="s">
        <v>75</v>
      </c>
      <c r="E856" s="22" t="str">
        <f>CONCATENATE(B856,D856)</f>
        <v>63465673-101</v>
      </c>
      <c r="F856" s="22" t="s">
        <v>76</v>
      </c>
      <c r="G856" s="22" t="s">
        <v>29</v>
      </c>
      <c r="H856" s="23">
        <v>6.5984999999999996</v>
      </c>
      <c r="I856" s="24">
        <v>10</v>
      </c>
      <c r="J856" s="24">
        <v>0</v>
      </c>
      <c r="K856" s="24">
        <v>0</v>
      </c>
      <c r="L856" s="41">
        <f>Table2[[#This Row],[Column1]]+Table2[[#This Row],[Column2]]</f>
        <v>0</v>
      </c>
      <c r="M856" s="42">
        <f>Table2[[#This Row],[OnHandQty]]-Table2[[#This Row],[Projection Nov/Dec]]</f>
        <v>10</v>
      </c>
      <c r="N856" s="35">
        <f>Table2[[#This Row],[OverStock]]*Table2[[#This Row],[RepCost]]</f>
        <v>65.984999999999999</v>
      </c>
      <c r="O856" s="25">
        <v>45860.554861111108</v>
      </c>
      <c r="P856" s="26" t="s">
        <v>40</v>
      </c>
    </row>
    <row r="857" spans="1:16" x14ac:dyDescent="0.25">
      <c r="A857" s="20" t="s">
        <v>5211</v>
      </c>
      <c r="B857" s="21">
        <v>714</v>
      </c>
      <c r="C857" s="22" t="s">
        <v>323</v>
      </c>
      <c r="D857" s="22" t="s">
        <v>3047</v>
      </c>
      <c r="E857" s="22" t="str">
        <f>CONCATENATE(B857,D857)</f>
        <v>71465779-030</v>
      </c>
      <c r="F857" s="22" t="s">
        <v>3048</v>
      </c>
      <c r="G857" s="22" t="s">
        <v>455</v>
      </c>
      <c r="H857" s="23">
        <v>327.2774</v>
      </c>
      <c r="I857" s="24">
        <v>1</v>
      </c>
      <c r="J857" s="24">
        <v>0</v>
      </c>
      <c r="K857" s="24">
        <v>0</v>
      </c>
      <c r="L857" s="41">
        <f>Table2[[#This Row],[Column1]]+Table2[[#This Row],[Column2]]</f>
        <v>0</v>
      </c>
      <c r="M857" s="42">
        <f>Table2[[#This Row],[OnHandQty]]-Table2[[#This Row],[Projection Nov/Dec]]</f>
        <v>1</v>
      </c>
      <c r="N857" s="35">
        <f>Table2[[#This Row],[OverStock]]*Table2[[#This Row],[RepCost]]</f>
        <v>327.2774</v>
      </c>
      <c r="O857" s="25">
        <v>46162.505555555559</v>
      </c>
      <c r="P857" s="26" t="s">
        <v>1234</v>
      </c>
    </row>
    <row r="858" spans="1:16" x14ac:dyDescent="0.25">
      <c r="A858" s="20" t="s">
        <v>5211</v>
      </c>
      <c r="B858" s="21">
        <v>636</v>
      </c>
      <c r="C858" s="22" t="s">
        <v>323</v>
      </c>
      <c r="D858" s="22" t="s">
        <v>1371</v>
      </c>
      <c r="E858" s="22" t="str">
        <f>CONCATENATE(B858,D858)</f>
        <v>63665779-107</v>
      </c>
      <c r="F858" s="27" t="s">
        <v>1372</v>
      </c>
      <c r="G858" s="27" t="s">
        <v>58</v>
      </c>
      <c r="H858" s="23">
        <v>81.270600000000002</v>
      </c>
      <c r="I858" s="24">
        <v>2</v>
      </c>
      <c r="J858" s="24">
        <v>0</v>
      </c>
      <c r="K858" s="24">
        <v>0</v>
      </c>
      <c r="L858" s="41">
        <f>Table2[[#This Row],[Column1]]+Table2[[#This Row],[Column2]]</f>
        <v>0</v>
      </c>
      <c r="M858" s="42">
        <f>Table2[[#This Row],[OnHandQty]]-Table2[[#This Row],[Projection Nov/Dec]]</f>
        <v>2</v>
      </c>
      <c r="N858" s="35">
        <f>Table2[[#This Row],[OverStock]]*Table2[[#This Row],[RepCost]]</f>
        <v>162.5412</v>
      </c>
      <c r="O858" s="25">
        <v>45862.438888888886</v>
      </c>
      <c r="P858" s="26" t="s">
        <v>40</v>
      </c>
    </row>
    <row r="859" spans="1:16" x14ac:dyDescent="0.25">
      <c r="A859" s="20" t="s">
        <v>5211</v>
      </c>
      <c r="B859" s="21">
        <v>714</v>
      </c>
      <c r="C859" s="22" t="s">
        <v>323</v>
      </c>
      <c r="D859" s="22" t="s">
        <v>3143</v>
      </c>
      <c r="E859" s="22" t="str">
        <f>CONCATENATE(B859,D859)</f>
        <v>71482893-115</v>
      </c>
      <c r="F859" s="27" t="s">
        <v>3144</v>
      </c>
      <c r="G859" s="27" t="s">
        <v>58</v>
      </c>
      <c r="H859" s="23">
        <v>162.85239999999999</v>
      </c>
      <c r="I859" s="24">
        <v>1</v>
      </c>
      <c r="J859" s="24">
        <v>0</v>
      </c>
      <c r="K859" s="24">
        <v>0</v>
      </c>
      <c r="L859" s="41">
        <f>Table2[[#This Row],[Column1]]+Table2[[#This Row],[Column2]]</f>
        <v>0</v>
      </c>
      <c r="M859" s="42">
        <f>Table2[[#This Row],[OnHandQty]]-Table2[[#This Row],[Projection Nov/Dec]]</f>
        <v>1</v>
      </c>
      <c r="N859" s="35">
        <f>Table2[[#This Row],[OverStock]]*Table2[[#This Row],[RepCost]]</f>
        <v>162.85239999999999</v>
      </c>
      <c r="O859" s="25">
        <v>45356.538194444445</v>
      </c>
      <c r="P859" s="26" t="s">
        <v>137</v>
      </c>
    </row>
    <row r="860" spans="1:16" x14ac:dyDescent="0.25">
      <c r="A860" s="20" t="s">
        <v>5211</v>
      </c>
      <c r="B860" s="21">
        <v>718</v>
      </c>
      <c r="C860" s="22" t="s">
        <v>323</v>
      </c>
      <c r="D860" s="22" t="s">
        <v>3871</v>
      </c>
      <c r="E860" s="22" t="str">
        <f>CONCATENATE(B860,D860)</f>
        <v>71895387-224</v>
      </c>
      <c r="F860" s="27" t="s">
        <v>3872</v>
      </c>
      <c r="G860" s="27" t="s">
        <v>58</v>
      </c>
      <c r="H860" s="23">
        <v>208.8391</v>
      </c>
      <c r="I860" s="24">
        <v>2</v>
      </c>
      <c r="J860" s="24">
        <v>0</v>
      </c>
      <c r="K860" s="24">
        <v>0</v>
      </c>
      <c r="L860" s="41">
        <f>Table2[[#This Row],[Column1]]+Table2[[#This Row],[Column2]]</f>
        <v>0</v>
      </c>
      <c r="M860" s="42">
        <f>Table2[[#This Row],[OnHandQty]]-Table2[[#This Row],[Projection Nov/Dec]]</f>
        <v>2</v>
      </c>
      <c r="N860" s="35">
        <f>Table2[[#This Row],[OverStock]]*Table2[[#This Row],[RepCost]]</f>
        <v>417.6782</v>
      </c>
      <c r="O860" s="25">
        <v>45747.67291666667</v>
      </c>
      <c r="P860" s="26" t="s">
        <v>2358</v>
      </c>
    </row>
    <row r="861" spans="1:16" x14ac:dyDescent="0.25">
      <c r="A861" s="20" t="s">
        <v>5211</v>
      </c>
      <c r="B861" s="21">
        <v>714</v>
      </c>
      <c r="C861" s="22" t="s">
        <v>323</v>
      </c>
      <c r="D861" s="22" t="s">
        <v>3007</v>
      </c>
      <c r="E861" s="22" t="str">
        <f>CONCATENATE(B861,D861)</f>
        <v>71465780-115</v>
      </c>
      <c r="F861" s="27" t="s">
        <v>3008</v>
      </c>
      <c r="G861" s="27" t="s">
        <v>58</v>
      </c>
      <c r="H861" s="23">
        <v>166.1379</v>
      </c>
      <c r="I861" s="24">
        <v>1</v>
      </c>
      <c r="J861" s="24">
        <v>0</v>
      </c>
      <c r="K861" s="24">
        <v>0</v>
      </c>
      <c r="L861" s="41">
        <f>Table2[[#This Row],[Column1]]+Table2[[#This Row],[Column2]]</f>
        <v>0</v>
      </c>
      <c r="M861" s="42">
        <f>Table2[[#This Row],[OnHandQty]]-Table2[[#This Row],[Projection Nov/Dec]]</f>
        <v>1</v>
      </c>
      <c r="N861" s="35">
        <f>Table2[[#This Row],[OverStock]]*Table2[[#This Row],[RepCost]]</f>
        <v>166.1379</v>
      </c>
      <c r="O861" s="25">
        <v>44732.925694444442</v>
      </c>
      <c r="P861" s="26" t="s">
        <v>3009</v>
      </c>
    </row>
    <row r="862" spans="1:16" x14ac:dyDescent="0.25">
      <c r="A862" s="20" t="s">
        <v>5211</v>
      </c>
      <c r="B862" s="21">
        <v>718</v>
      </c>
      <c r="C862" s="22" t="s">
        <v>323</v>
      </c>
      <c r="D862" s="22" t="s">
        <v>3007</v>
      </c>
      <c r="E862" s="22" t="str">
        <f>CONCATENATE(B862,D862)</f>
        <v>71865780-115</v>
      </c>
      <c r="F862" s="22" t="s">
        <v>3008</v>
      </c>
      <c r="G862" s="22" t="s">
        <v>29</v>
      </c>
      <c r="H862" s="23">
        <v>176.4435</v>
      </c>
      <c r="I862" s="24">
        <v>4</v>
      </c>
      <c r="J862" s="24">
        <v>0</v>
      </c>
      <c r="K862" s="24">
        <v>0</v>
      </c>
      <c r="L862" s="41">
        <f>Table2[[#This Row],[Column1]]+Table2[[#This Row],[Column2]]</f>
        <v>0</v>
      </c>
      <c r="M862" s="42">
        <f>Table2[[#This Row],[OnHandQty]]-Table2[[#This Row],[Projection Nov/Dec]]</f>
        <v>4</v>
      </c>
      <c r="N862" s="35">
        <f>Table2[[#This Row],[OverStock]]*Table2[[#This Row],[RepCost]]</f>
        <v>705.774</v>
      </c>
      <c r="O862" s="25">
        <v>45827.370138888888</v>
      </c>
      <c r="P862" s="26" t="s">
        <v>3009</v>
      </c>
    </row>
    <row r="863" spans="1:16" x14ac:dyDescent="0.25">
      <c r="A863" s="20" t="s">
        <v>5211</v>
      </c>
      <c r="B863" s="21">
        <v>718</v>
      </c>
      <c r="C863" s="22" t="s">
        <v>323</v>
      </c>
      <c r="D863" s="22" t="s">
        <v>3836</v>
      </c>
      <c r="E863" s="22" t="str">
        <f>CONCATENATE(B863,D863)</f>
        <v>71880060-115</v>
      </c>
      <c r="F863" s="22" t="s">
        <v>3837</v>
      </c>
      <c r="G863" s="22" t="s">
        <v>29</v>
      </c>
      <c r="H863" s="23">
        <v>166.49029999999999</v>
      </c>
      <c r="I863" s="24">
        <v>2</v>
      </c>
      <c r="J863" s="24">
        <v>0</v>
      </c>
      <c r="K863" s="24">
        <v>0</v>
      </c>
      <c r="L863" s="41">
        <f>Table2[[#This Row],[Column1]]+Table2[[#This Row],[Column2]]</f>
        <v>0</v>
      </c>
      <c r="M863" s="42">
        <f>Table2[[#This Row],[OnHandQty]]-Table2[[#This Row],[Projection Nov/Dec]]</f>
        <v>2</v>
      </c>
      <c r="N863" s="35">
        <f>Table2[[#This Row],[OverStock]]*Table2[[#This Row],[RepCost]]</f>
        <v>332.98059999999998</v>
      </c>
      <c r="O863" s="25">
        <v>45827.370138888888</v>
      </c>
      <c r="P863" s="26" t="s">
        <v>3009</v>
      </c>
    </row>
    <row r="864" spans="1:16" x14ac:dyDescent="0.25">
      <c r="A864" s="20" t="s">
        <v>5211</v>
      </c>
      <c r="B864" s="21">
        <v>714</v>
      </c>
      <c r="C864" s="22" t="s">
        <v>323</v>
      </c>
      <c r="D864" s="22" t="s">
        <v>2995</v>
      </c>
      <c r="E864" s="22" t="str">
        <f>CONCATENATE(B864,D864)</f>
        <v>71481387-110</v>
      </c>
      <c r="F864" s="27" t="s">
        <v>2996</v>
      </c>
      <c r="G864" s="27" t="s">
        <v>58</v>
      </c>
      <c r="H864" s="23">
        <v>102.7097</v>
      </c>
      <c r="I864" s="24">
        <v>1</v>
      </c>
      <c r="J864" s="24">
        <v>0</v>
      </c>
      <c r="K864" s="24">
        <v>0</v>
      </c>
      <c r="L864" s="41">
        <f>Table2[[#This Row],[Column1]]+Table2[[#This Row],[Column2]]</f>
        <v>0</v>
      </c>
      <c r="M864" s="42">
        <f>Table2[[#This Row],[OnHandQty]]-Table2[[#This Row],[Projection Nov/Dec]]</f>
        <v>1</v>
      </c>
      <c r="N864" s="35">
        <f>Table2[[#This Row],[OverStock]]*Table2[[#This Row],[RepCost]]</f>
        <v>102.7097</v>
      </c>
      <c r="O864" s="25">
        <v>45007.334722222222</v>
      </c>
      <c r="P864" s="26" t="s">
        <v>137</v>
      </c>
    </row>
    <row r="865" spans="1:16" x14ac:dyDescent="0.25">
      <c r="A865" s="20" t="s">
        <v>5211</v>
      </c>
      <c r="B865" s="21">
        <v>714</v>
      </c>
      <c r="C865" s="22" t="s">
        <v>323</v>
      </c>
      <c r="D865" s="22" t="s">
        <v>3079</v>
      </c>
      <c r="E865" s="22" t="str">
        <f>CONCATENATE(B865,D865)</f>
        <v>71481387-115</v>
      </c>
      <c r="F865" s="27" t="s">
        <v>3080</v>
      </c>
      <c r="G865" s="27" t="s">
        <v>58</v>
      </c>
      <c r="H865" s="23">
        <v>110.3147</v>
      </c>
      <c r="I865" s="24">
        <v>1</v>
      </c>
      <c r="J865" s="24">
        <v>0</v>
      </c>
      <c r="K865" s="24">
        <v>0</v>
      </c>
      <c r="L865" s="41">
        <f>Table2[[#This Row],[Column1]]+Table2[[#This Row],[Column2]]</f>
        <v>0</v>
      </c>
      <c r="M865" s="42">
        <f>Table2[[#This Row],[OnHandQty]]-Table2[[#This Row],[Projection Nov/Dec]]</f>
        <v>1</v>
      </c>
      <c r="N865" s="35">
        <f>Table2[[#This Row],[OverStock]]*Table2[[#This Row],[RepCost]]</f>
        <v>110.3147</v>
      </c>
      <c r="O865" s="25">
        <v>45356.538194444445</v>
      </c>
      <c r="P865" s="26" t="s">
        <v>137</v>
      </c>
    </row>
    <row r="866" spans="1:16" x14ac:dyDescent="0.25">
      <c r="A866" s="20" t="s">
        <v>5211</v>
      </c>
      <c r="B866" s="21">
        <v>636</v>
      </c>
      <c r="C866" s="22" t="s">
        <v>323</v>
      </c>
      <c r="D866" s="22" t="s">
        <v>1680</v>
      </c>
      <c r="E866" s="22" t="str">
        <f>CONCATENATE(B866,D866)</f>
        <v>63681387-125-48IN</v>
      </c>
      <c r="F866" s="22" t="s">
        <v>1681</v>
      </c>
      <c r="G866" s="22" t="s">
        <v>29</v>
      </c>
      <c r="H866" s="23">
        <v>322.13209999999998</v>
      </c>
      <c r="I866" s="24">
        <v>1</v>
      </c>
      <c r="J866" s="24">
        <v>0</v>
      </c>
      <c r="K866" s="24">
        <v>0</v>
      </c>
      <c r="L866" s="41">
        <f>Table2[[#This Row],[Column1]]+Table2[[#This Row],[Column2]]</f>
        <v>0</v>
      </c>
      <c r="M866" s="42">
        <f>Table2[[#This Row],[OnHandQty]]-Table2[[#This Row],[Projection Nov/Dec]]</f>
        <v>1</v>
      </c>
      <c r="N866" s="35">
        <f>Table2[[#This Row],[OverStock]]*Table2[[#This Row],[RepCost]]</f>
        <v>322.13209999999998</v>
      </c>
      <c r="O866" s="25">
        <v>46170.59097222222</v>
      </c>
      <c r="P866" s="26" t="s">
        <v>137</v>
      </c>
    </row>
    <row r="867" spans="1:16" x14ac:dyDescent="0.25">
      <c r="A867" s="20" t="s">
        <v>5211</v>
      </c>
      <c r="B867" s="21">
        <v>714</v>
      </c>
      <c r="C867" s="22" t="s">
        <v>323</v>
      </c>
      <c r="D867" s="22" t="s">
        <v>3215</v>
      </c>
      <c r="E867" s="22" t="str">
        <f>CONCATENATE(B867,D867)</f>
        <v>71481387-120-36IN</v>
      </c>
      <c r="F867" s="22" t="s">
        <v>3216</v>
      </c>
      <c r="G867" s="22" t="s">
        <v>29</v>
      </c>
      <c r="H867" s="23">
        <v>164.83860000000001</v>
      </c>
      <c r="I867" s="24">
        <v>1</v>
      </c>
      <c r="J867" s="24">
        <v>0</v>
      </c>
      <c r="K867" s="24">
        <v>0</v>
      </c>
      <c r="L867" s="41">
        <f>Table2[[#This Row],[Column1]]+Table2[[#This Row],[Column2]]</f>
        <v>0</v>
      </c>
      <c r="M867" s="42">
        <f>Table2[[#This Row],[OnHandQty]]-Table2[[#This Row],[Projection Nov/Dec]]</f>
        <v>1</v>
      </c>
      <c r="N867" s="35">
        <f>Table2[[#This Row],[OverStock]]*Table2[[#This Row],[RepCost]]</f>
        <v>164.83860000000001</v>
      </c>
      <c r="O867" s="25">
        <v>46104.46597222222</v>
      </c>
      <c r="P867" s="26" t="s">
        <v>137</v>
      </c>
    </row>
    <row r="868" spans="1:16" x14ac:dyDescent="0.25">
      <c r="A868" s="20" t="s">
        <v>5211</v>
      </c>
      <c r="B868" s="21">
        <v>718</v>
      </c>
      <c r="C868" s="22" t="s">
        <v>323</v>
      </c>
      <c r="D868" s="22" t="s">
        <v>3215</v>
      </c>
      <c r="E868" s="22" t="str">
        <f>CONCATENATE(B868,D868)</f>
        <v>71881387-120-36IN</v>
      </c>
      <c r="F868" s="22" t="s">
        <v>3216</v>
      </c>
      <c r="G868" s="22" t="s">
        <v>29</v>
      </c>
      <c r="H868" s="23">
        <v>164.0771</v>
      </c>
      <c r="I868" s="24">
        <v>2</v>
      </c>
      <c r="J868" s="24">
        <v>0</v>
      </c>
      <c r="K868" s="24">
        <v>0</v>
      </c>
      <c r="L868" s="41">
        <f>Table2[[#This Row],[Column1]]+Table2[[#This Row],[Column2]]</f>
        <v>0</v>
      </c>
      <c r="M868" s="42">
        <f>Table2[[#This Row],[OnHandQty]]-Table2[[#This Row],[Projection Nov/Dec]]</f>
        <v>2</v>
      </c>
      <c r="N868" s="35">
        <f>Table2[[#This Row],[OverStock]]*Table2[[#This Row],[RepCost]]</f>
        <v>328.1542</v>
      </c>
      <c r="O868" s="25">
        <v>46104.570138888892</v>
      </c>
      <c r="P868" s="26" t="s">
        <v>137</v>
      </c>
    </row>
    <row r="869" spans="1:16" x14ac:dyDescent="0.25">
      <c r="A869" s="20" t="s">
        <v>5211</v>
      </c>
      <c r="B869" s="21">
        <v>718</v>
      </c>
      <c r="C869" s="22" t="s">
        <v>323</v>
      </c>
      <c r="D869" s="22" t="s">
        <v>1413</v>
      </c>
      <c r="E869" s="22" t="str">
        <f>CONCATENATE(B869,D869)</f>
        <v>71881387-248</v>
      </c>
      <c r="F869" s="27" t="s">
        <v>1414</v>
      </c>
      <c r="G869" s="27" t="s">
        <v>58</v>
      </c>
      <c r="H869" s="23">
        <v>236.2353</v>
      </c>
      <c r="I869" s="24">
        <v>1</v>
      </c>
      <c r="J869" s="24">
        <v>0</v>
      </c>
      <c r="K869" s="24">
        <v>0</v>
      </c>
      <c r="L869" s="41">
        <f>Table2[[#This Row],[Column1]]+Table2[[#This Row],[Column2]]</f>
        <v>0</v>
      </c>
      <c r="M869" s="42">
        <f>Table2[[#This Row],[OnHandQty]]-Table2[[#This Row],[Projection Nov/Dec]]</f>
        <v>1</v>
      </c>
      <c r="N869" s="35">
        <f>Table2[[#This Row],[OverStock]]*Table2[[#This Row],[RepCost]]</f>
        <v>236.2353</v>
      </c>
      <c r="O869" s="25">
        <v>45768.57708333333</v>
      </c>
      <c r="P869" s="26" t="s">
        <v>137</v>
      </c>
    </row>
    <row r="870" spans="1:16" x14ac:dyDescent="0.25">
      <c r="A870" s="20" t="s">
        <v>5211</v>
      </c>
      <c r="B870" s="21">
        <v>636</v>
      </c>
      <c r="C870" s="22" t="s">
        <v>323</v>
      </c>
      <c r="D870" s="22" t="s">
        <v>1413</v>
      </c>
      <c r="E870" s="22" t="str">
        <f>CONCATENATE(B870,D870)</f>
        <v>63681387-248</v>
      </c>
      <c r="F870" s="22" t="s">
        <v>1414</v>
      </c>
      <c r="G870" s="22" t="s">
        <v>29</v>
      </c>
      <c r="H870" s="23">
        <v>241.25229999999999</v>
      </c>
      <c r="I870" s="24">
        <v>8</v>
      </c>
      <c r="J870" s="24">
        <v>0</v>
      </c>
      <c r="K870" s="24">
        <v>0</v>
      </c>
      <c r="L870" s="41">
        <f>Table2[[#This Row],[Column1]]+Table2[[#This Row],[Column2]]</f>
        <v>0</v>
      </c>
      <c r="M870" s="42">
        <f>Table2[[#This Row],[OnHandQty]]-Table2[[#This Row],[Projection Nov/Dec]]</f>
        <v>8</v>
      </c>
      <c r="N870" s="35">
        <f>Table2[[#This Row],[OverStock]]*Table2[[#This Row],[RepCost]]</f>
        <v>1930.0183999999999</v>
      </c>
      <c r="O870" s="25">
        <v>46142.609027777777</v>
      </c>
      <c r="P870" s="26" t="s">
        <v>137</v>
      </c>
    </row>
    <row r="871" spans="1:16" x14ac:dyDescent="0.25">
      <c r="A871" s="20" t="s">
        <v>5211</v>
      </c>
      <c r="B871" s="21">
        <v>714</v>
      </c>
      <c r="C871" s="22" t="s">
        <v>323</v>
      </c>
      <c r="D871" s="22" t="s">
        <v>3448</v>
      </c>
      <c r="E871" s="22" t="str">
        <f>CONCATENATE(B871,D871)</f>
        <v>71484262-103</v>
      </c>
      <c r="F871" s="22" t="s">
        <v>3449</v>
      </c>
      <c r="G871" s="22" t="s">
        <v>29</v>
      </c>
      <c r="H871" s="23">
        <v>74.195899999999995</v>
      </c>
      <c r="I871" s="24">
        <v>4</v>
      </c>
      <c r="J871" s="24">
        <v>0</v>
      </c>
      <c r="K871" s="24">
        <v>0</v>
      </c>
      <c r="L871" s="41">
        <f>Table2[[#This Row],[Column1]]+Table2[[#This Row],[Column2]]</f>
        <v>0</v>
      </c>
      <c r="M871" s="42">
        <f>Table2[[#This Row],[OnHandQty]]-Table2[[#This Row],[Projection Nov/Dec]]</f>
        <v>4</v>
      </c>
      <c r="N871" s="35">
        <f>Table2[[#This Row],[OverStock]]*Table2[[#This Row],[RepCost]]</f>
        <v>296.78359999999998</v>
      </c>
      <c r="O871" s="25">
        <v>46111.46597222222</v>
      </c>
      <c r="P871" s="26" t="s">
        <v>2358</v>
      </c>
    </row>
    <row r="872" spans="1:16" x14ac:dyDescent="0.25">
      <c r="A872" s="20" t="s">
        <v>5211</v>
      </c>
      <c r="B872" s="21">
        <v>714</v>
      </c>
      <c r="C872" s="22" t="s">
        <v>323</v>
      </c>
      <c r="D872" s="22" t="s">
        <v>3409</v>
      </c>
      <c r="E872" s="22" t="str">
        <f>CONCATENATE(B872,D872)</f>
        <v>71484262-STD106</v>
      </c>
      <c r="F872" s="22" t="s">
        <v>3410</v>
      </c>
      <c r="G872" s="22" t="s">
        <v>29</v>
      </c>
      <c r="H872" s="23">
        <v>88.224500000000006</v>
      </c>
      <c r="I872" s="24">
        <v>5</v>
      </c>
      <c r="J872" s="24">
        <v>0</v>
      </c>
      <c r="K872" s="24">
        <v>0</v>
      </c>
      <c r="L872" s="41">
        <f>Table2[[#This Row],[Column1]]+Table2[[#This Row],[Column2]]</f>
        <v>0</v>
      </c>
      <c r="M872" s="42">
        <f>Table2[[#This Row],[OnHandQty]]-Table2[[#This Row],[Projection Nov/Dec]]</f>
        <v>5</v>
      </c>
      <c r="N872" s="35">
        <f>Table2[[#This Row],[OverStock]]*Table2[[#This Row],[RepCost]]</f>
        <v>441.12250000000006</v>
      </c>
      <c r="O872" s="25">
        <v>46098.381249999999</v>
      </c>
      <c r="P872" s="26" t="s">
        <v>885</v>
      </c>
    </row>
    <row r="873" spans="1:16" x14ac:dyDescent="0.25">
      <c r="A873" s="20" t="s">
        <v>5211</v>
      </c>
      <c r="B873" s="21">
        <v>714</v>
      </c>
      <c r="C873" s="22" t="s">
        <v>323</v>
      </c>
      <c r="D873" s="22" t="s">
        <v>3205</v>
      </c>
      <c r="E873" s="22" t="str">
        <f>CONCATENATE(B873,D873)</f>
        <v>71465783-306</v>
      </c>
      <c r="F873" s="22" t="s">
        <v>3206</v>
      </c>
      <c r="G873" s="22" t="s">
        <v>29</v>
      </c>
      <c r="H873" s="23">
        <v>164.83860000000001</v>
      </c>
      <c r="I873" s="24">
        <v>5</v>
      </c>
      <c r="J873" s="24">
        <v>0</v>
      </c>
      <c r="K873" s="24">
        <v>0</v>
      </c>
      <c r="L873" s="41">
        <f>Table2[[#This Row],[Column1]]+Table2[[#This Row],[Column2]]</f>
        <v>0</v>
      </c>
      <c r="M873" s="42">
        <f>Table2[[#This Row],[OnHandQty]]-Table2[[#This Row],[Projection Nov/Dec]]</f>
        <v>5</v>
      </c>
      <c r="N873" s="35">
        <f>Table2[[#This Row],[OverStock]]*Table2[[#This Row],[RepCost]]</f>
        <v>824.1930000000001</v>
      </c>
      <c r="O873" s="25">
        <v>46104.46597222222</v>
      </c>
      <c r="P873" s="26" t="s">
        <v>137</v>
      </c>
    </row>
    <row r="874" spans="1:16" x14ac:dyDescent="0.25">
      <c r="A874" s="20" t="s">
        <v>5211</v>
      </c>
      <c r="B874" s="21">
        <v>636</v>
      </c>
      <c r="C874" s="22" t="s">
        <v>323</v>
      </c>
      <c r="D874" s="22" t="s">
        <v>1440</v>
      </c>
      <c r="E874" s="22" t="str">
        <f>CONCATENATE(B874,D874)</f>
        <v>63681433-STD306</v>
      </c>
      <c r="F874" s="27" t="s">
        <v>1441</v>
      </c>
      <c r="G874" s="27" t="s">
        <v>58</v>
      </c>
      <c r="H874" s="23">
        <v>432.65649999999999</v>
      </c>
      <c r="I874" s="24">
        <v>1</v>
      </c>
      <c r="J874" s="24">
        <v>0</v>
      </c>
      <c r="K874" s="24">
        <v>0</v>
      </c>
      <c r="L874" s="41">
        <f>Table2[[#This Row],[Column1]]+Table2[[#This Row],[Column2]]</f>
        <v>0</v>
      </c>
      <c r="M874" s="42">
        <f>Table2[[#This Row],[OnHandQty]]-Table2[[#This Row],[Projection Nov/Dec]]</f>
        <v>1</v>
      </c>
      <c r="N874" s="35">
        <f>Table2[[#This Row],[OverStock]]*Table2[[#This Row],[RepCost]]</f>
        <v>432.65649999999999</v>
      </c>
      <c r="O874" s="25">
        <v>45379.454861111109</v>
      </c>
      <c r="P874" s="26" t="s">
        <v>178</v>
      </c>
    </row>
    <row r="875" spans="1:16" x14ac:dyDescent="0.25">
      <c r="A875" s="20" t="s">
        <v>5211</v>
      </c>
      <c r="B875" s="21">
        <v>636</v>
      </c>
      <c r="C875" s="22" t="s">
        <v>323</v>
      </c>
      <c r="D875" s="22" t="s">
        <v>1656</v>
      </c>
      <c r="E875" s="22" t="str">
        <f>CONCATENATE(B875,D875)</f>
        <v>63665810-0175</v>
      </c>
      <c r="F875" s="22" t="s">
        <v>1657</v>
      </c>
      <c r="G875" s="22" t="s">
        <v>29</v>
      </c>
      <c r="H875" s="23">
        <v>117.34869999999999</v>
      </c>
      <c r="I875" s="24">
        <v>10</v>
      </c>
      <c r="J875" s="24">
        <v>0</v>
      </c>
      <c r="K875" s="24">
        <v>0</v>
      </c>
      <c r="L875" s="41">
        <f>Table2[[#This Row],[Column1]]+Table2[[#This Row],[Column2]]</f>
        <v>0</v>
      </c>
      <c r="M875" s="42">
        <f>Table2[[#This Row],[OnHandQty]]-Table2[[#This Row],[Projection Nov/Dec]]</f>
        <v>10</v>
      </c>
      <c r="N875" s="35">
        <f>Table2[[#This Row],[OverStock]]*Table2[[#This Row],[RepCost]]</f>
        <v>1173.4869999999999</v>
      </c>
      <c r="O875" s="25">
        <v>46106.444444444445</v>
      </c>
      <c r="P875" s="26" t="s">
        <v>357</v>
      </c>
    </row>
    <row r="876" spans="1:16" x14ac:dyDescent="0.25">
      <c r="A876" s="20" t="s">
        <v>5211</v>
      </c>
      <c r="B876" s="21">
        <v>636</v>
      </c>
      <c r="C876" s="22" t="s">
        <v>323</v>
      </c>
      <c r="D876" s="22" t="s">
        <v>1353</v>
      </c>
      <c r="E876" s="22" t="str">
        <f>CONCATENATE(B876,D876)</f>
        <v>63665810-020</v>
      </c>
      <c r="F876" s="22" t="s">
        <v>1354</v>
      </c>
      <c r="G876" s="22" t="s">
        <v>23</v>
      </c>
      <c r="H876" s="23">
        <v>115.18810000000001</v>
      </c>
      <c r="I876" s="24">
        <v>12</v>
      </c>
      <c r="J876" s="24">
        <v>0</v>
      </c>
      <c r="K876" s="24">
        <v>0</v>
      </c>
      <c r="L876" s="41">
        <f>Table2[[#This Row],[Column1]]+Table2[[#This Row],[Column2]]</f>
        <v>0</v>
      </c>
      <c r="M876" s="42">
        <f>Table2[[#This Row],[OnHandQty]]-Table2[[#This Row],[Projection Nov/Dec]]</f>
        <v>12</v>
      </c>
      <c r="N876" s="35">
        <f>Table2[[#This Row],[OverStock]]*Table2[[#This Row],[RepCost]]</f>
        <v>1382.2572</v>
      </c>
      <c r="O876" s="25">
        <v>46084.367361111108</v>
      </c>
      <c r="P876" s="26" t="s">
        <v>151</v>
      </c>
    </row>
    <row r="877" spans="1:16" x14ac:dyDescent="0.25">
      <c r="A877" s="20" t="s">
        <v>5211</v>
      </c>
      <c r="B877" s="21">
        <v>714</v>
      </c>
      <c r="C877" s="22" t="s">
        <v>323</v>
      </c>
      <c r="D877" s="22" t="s">
        <v>3476</v>
      </c>
      <c r="E877" s="22" t="str">
        <f>CONCATENATE(B877,D877)</f>
        <v>71465810-120</v>
      </c>
      <c r="F877" s="22" t="s">
        <v>3477</v>
      </c>
      <c r="G877" s="22" t="s">
        <v>29</v>
      </c>
      <c r="H877" s="23">
        <v>159</v>
      </c>
      <c r="I877" s="24">
        <v>5</v>
      </c>
      <c r="J877" s="24">
        <v>0</v>
      </c>
      <c r="K877" s="24">
        <v>0</v>
      </c>
      <c r="L877" s="41">
        <f>Table2[[#This Row],[Column1]]+Table2[[#This Row],[Column2]]</f>
        <v>0</v>
      </c>
      <c r="M877" s="42">
        <f>Table2[[#This Row],[OnHandQty]]-Table2[[#This Row],[Projection Nov/Dec]]</f>
        <v>5</v>
      </c>
      <c r="N877" s="35">
        <f>Table2[[#This Row],[OverStock]]*Table2[[#This Row],[RepCost]]</f>
        <v>795</v>
      </c>
      <c r="O877" s="25">
        <v>45772.45416666667</v>
      </c>
      <c r="P877" s="26" t="s">
        <v>345</v>
      </c>
    </row>
    <row r="878" spans="1:16" x14ac:dyDescent="0.25">
      <c r="A878" s="20" t="s">
        <v>5211</v>
      </c>
      <c r="B878" s="21">
        <v>714</v>
      </c>
      <c r="C878" s="22" t="s">
        <v>323</v>
      </c>
      <c r="D878" s="22" t="s">
        <v>3304</v>
      </c>
      <c r="E878" s="22" t="str">
        <f>CONCATENATE(B878,D878)</f>
        <v>71465810-030</v>
      </c>
      <c r="F878" s="22" t="s">
        <v>3305</v>
      </c>
      <c r="G878" s="22" t="s">
        <v>29</v>
      </c>
      <c r="H878" s="23">
        <v>290.16059999999999</v>
      </c>
      <c r="I878" s="24">
        <v>3</v>
      </c>
      <c r="J878" s="24">
        <v>1</v>
      </c>
      <c r="K878" s="24">
        <v>0</v>
      </c>
      <c r="L878" s="41">
        <f>Table2[[#This Row],[Column1]]+Table2[[#This Row],[Column2]]</f>
        <v>1</v>
      </c>
      <c r="M878" s="42">
        <f>Table2[[#This Row],[OnHandQty]]-Table2[[#This Row],[Projection Nov/Dec]]</f>
        <v>2</v>
      </c>
      <c r="N878" s="35">
        <f>Table2[[#This Row],[OverStock]]*Table2[[#This Row],[RepCost]]</f>
        <v>580.32119999999998</v>
      </c>
      <c r="O878" s="25">
        <v>45773.329861111109</v>
      </c>
      <c r="P878" s="26" t="s">
        <v>151</v>
      </c>
    </row>
    <row r="879" spans="1:16" x14ac:dyDescent="0.25">
      <c r="A879" s="20" t="s">
        <v>5211</v>
      </c>
      <c r="B879" s="21">
        <v>634</v>
      </c>
      <c r="C879" s="22" t="s">
        <v>323</v>
      </c>
      <c r="D879" s="22" t="s">
        <v>482</v>
      </c>
      <c r="E879" s="22" t="str">
        <f>CONCATENATE(B879,D879)</f>
        <v>63465811-020</v>
      </c>
      <c r="F879" s="27" t="s">
        <v>483</v>
      </c>
      <c r="G879" s="27" t="s">
        <v>58</v>
      </c>
      <c r="H879" s="23">
        <v>142.16130000000001</v>
      </c>
      <c r="I879" s="24">
        <v>4</v>
      </c>
      <c r="J879" s="24">
        <v>0</v>
      </c>
      <c r="K879" s="24">
        <v>0</v>
      </c>
      <c r="L879" s="41">
        <f>Table2[[#This Row],[Column1]]+Table2[[#This Row],[Column2]]</f>
        <v>0</v>
      </c>
      <c r="M879" s="42">
        <f>Table2[[#This Row],[OnHandQty]]-Table2[[#This Row],[Projection Nov/Dec]]</f>
        <v>4</v>
      </c>
      <c r="N879" s="35">
        <f>Table2[[#This Row],[OverStock]]*Table2[[#This Row],[RepCost]]</f>
        <v>568.64520000000005</v>
      </c>
      <c r="O879" s="25">
        <v>45716.448611111111</v>
      </c>
      <c r="P879" s="26" t="s">
        <v>151</v>
      </c>
    </row>
    <row r="880" spans="1:16" x14ac:dyDescent="0.25">
      <c r="A880" s="20" t="s">
        <v>5211</v>
      </c>
      <c r="B880" s="21">
        <v>636</v>
      </c>
      <c r="C880" s="22" t="s">
        <v>323</v>
      </c>
      <c r="D880" s="22" t="s">
        <v>482</v>
      </c>
      <c r="E880" s="22" t="str">
        <f>CONCATENATE(B880,D880)</f>
        <v>63665811-020</v>
      </c>
      <c r="F880" s="22" t="s">
        <v>483</v>
      </c>
      <c r="G880" s="22" t="s">
        <v>19</v>
      </c>
      <c r="H880" s="23">
        <v>126.801</v>
      </c>
      <c r="I880" s="24">
        <v>24</v>
      </c>
      <c r="J880" s="24">
        <v>0</v>
      </c>
      <c r="K880" s="24">
        <v>0</v>
      </c>
      <c r="L880" s="41">
        <f>Table2[[#This Row],[Column1]]+Table2[[#This Row],[Column2]]</f>
        <v>0</v>
      </c>
      <c r="M880" s="42">
        <f>Table2[[#This Row],[OnHandQty]]-Table2[[#This Row],[Projection Nov/Dec]]</f>
        <v>24</v>
      </c>
      <c r="N880" s="35">
        <f>Table2[[#This Row],[OverStock]]*Table2[[#This Row],[RepCost]]</f>
        <v>3043.2240000000002</v>
      </c>
      <c r="O880" s="25">
        <v>46084.367361111108</v>
      </c>
      <c r="P880" s="26" t="s">
        <v>151</v>
      </c>
    </row>
    <row r="881" spans="1:16" x14ac:dyDescent="0.25">
      <c r="A881" s="20" t="s">
        <v>5211</v>
      </c>
      <c r="B881" s="21">
        <v>714</v>
      </c>
      <c r="C881" s="22" t="s">
        <v>323</v>
      </c>
      <c r="D881" s="22" t="s">
        <v>482</v>
      </c>
      <c r="E881" s="22" t="str">
        <f>CONCATENATE(B881,D881)</f>
        <v>71465811-020</v>
      </c>
      <c r="F881" s="22" t="s">
        <v>483</v>
      </c>
      <c r="G881" s="22" t="s">
        <v>23</v>
      </c>
      <c r="H881" s="23">
        <v>140.78139999999999</v>
      </c>
      <c r="I881" s="24">
        <v>2</v>
      </c>
      <c r="J881" s="24">
        <v>0</v>
      </c>
      <c r="K881" s="24">
        <v>0</v>
      </c>
      <c r="L881" s="41">
        <f>Table2[[#This Row],[Column1]]+Table2[[#This Row],[Column2]]</f>
        <v>0</v>
      </c>
      <c r="M881" s="42">
        <f>Table2[[#This Row],[OnHandQty]]-Table2[[#This Row],[Projection Nov/Dec]]</f>
        <v>2</v>
      </c>
      <c r="N881" s="35">
        <f>Table2[[#This Row],[OverStock]]*Table2[[#This Row],[RepCost]]</f>
        <v>281.56279999999998</v>
      </c>
      <c r="O881" s="25">
        <v>46121.672222222223</v>
      </c>
      <c r="P881" s="26" t="s">
        <v>1234</v>
      </c>
    </row>
    <row r="882" spans="1:16" x14ac:dyDescent="0.25">
      <c r="A882" s="20" t="s">
        <v>5211</v>
      </c>
      <c r="B882" s="21">
        <v>634</v>
      </c>
      <c r="C882" s="22" t="s">
        <v>323</v>
      </c>
      <c r="D882" s="22" t="s">
        <v>464</v>
      </c>
      <c r="E882" s="22" t="str">
        <f>CONCATENATE(B882,D882)</f>
        <v>63465811-025</v>
      </c>
      <c r="F882" s="22" t="s">
        <v>465</v>
      </c>
      <c r="G882" s="22" t="s">
        <v>29</v>
      </c>
      <c r="H882" s="23">
        <v>199.82339999999999</v>
      </c>
      <c r="I882" s="24">
        <v>10</v>
      </c>
      <c r="J882" s="24">
        <v>3</v>
      </c>
      <c r="K882" s="24">
        <v>0</v>
      </c>
      <c r="L882" s="41">
        <f>Table2[[#This Row],[Column1]]+Table2[[#This Row],[Column2]]</f>
        <v>3</v>
      </c>
      <c r="M882" s="42">
        <f>Table2[[#This Row],[OnHandQty]]-Table2[[#This Row],[Projection Nov/Dec]]</f>
        <v>7</v>
      </c>
      <c r="N882" s="35">
        <f>Table2[[#This Row],[OverStock]]*Table2[[#This Row],[RepCost]]</f>
        <v>1398.7637999999999</v>
      </c>
      <c r="O882" s="25">
        <v>46083.431250000001</v>
      </c>
      <c r="P882" s="26" t="s">
        <v>151</v>
      </c>
    </row>
    <row r="883" spans="1:16" x14ac:dyDescent="0.25">
      <c r="A883" s="20" t="s">
        <v>5211</v>
      </c>
      <c r="B883" s="21">
        <v>714</v>
      </c>
      <c r="C883" s="22" t="s">
        <v>323</v>
      </c>
      <c r="D883" s="22" t="s">
        <v>3149</v>
      </c>
      <c r="E883" s="22" t="str">
        <f>CONCATENATE(B883,D883)</f>
        <v>71465811-125</v>
      </c>
      <c r="F883" s="22" t="s">
        <v>3150</v>
      </c>
      <c r="G883" s="22" t="s">
        <v>29</v>
      </c>
      <c r="H883" s="23">
        <v>91.2</v>
      </c>
      <c r="I883" s="24">
        <v>1</v>
      </c>
      <c r="J883" s="24">
        <v>0</v>
      </c>
      <c r="K883" s="24">
        <v>0</v>
      </c>
      <c r="L883" s="41">
        <f>Table2[[#This Row],[Column1]]+Table2[[#This Row],[Column2]]</f>
        <v>0</v>
      </c>
      <c r="M883" s="42">
        <f>Table2[[#This Row],[OnHandQty]]-Table2[[#This Row],[Projection Nov/Dec]]</f>
        <v>1</v>
      </c>
      <c r="N883" s="35">
        <f>Table2[[#This Row],[OverStock]]*Table2[[#This Row],[RepCost]]</f>
        <v>91.2</v>
      </c>
      <c r="O883" s="25">
        <v>43278.404861111114</v>
      </c>
      <c r="P883" s="26" t="s">
        <v>159</v>
      </c>
    </row>
    <row r="884" spans="1:16" x14ac:dyDescent="0.25">
      <c r="A884" s="20" t="s">
        <v>5211</v>
      </c>
      <c r="B884" s="21">
        <v>714</v>
      </c>
      <c r="C884" s="22" t="s">
        <v>323</v>
      </c>
      <c r="D884" s="22" t="s">
        <v>3159</v>
      </c>
      <c r="E884" s="22" t="str">
        <f>CONCATENATE(B884,D884)</f>
        <v>71465811-030</v>
      </c>
      <c r="F884" s="22" t="s">
        <v>3160</v>
      </c>
      <c r="G884" s="22" t="s">
        <v>29</v>
      </c>
      <c r="H884" s="23">
        <v>75</v>
      </c>
      <c r="I884" s="24">
        <v>4</v>
      </c>
      <c r="J884" s="24">
        <v>0</v>
      </c>
      <c r="K884" s="24">
        <v>0</v>
      </c>
      <c r="L884" s="41">
        <f>Table2[[#This Row],[Column1]]+Table2[[#This Row],[Column2]]</f>
        <v>0</v>
      </c>
      <c r="M884" s="42">
        <f>Table2[[#This Row],[OnHandQty]]-Table2[[#This Row],[Projection Nov/Dec]]</f>
        <v>4</v>
      </c>
      <c r="N884" s="35">
        <f>Table2[[#This Row],[OverStock]]*Table2[[#This Row],[RepCost]]</f>
        <v>300</v>
      </c>
      <c r="O884" s="25">
        <v>45947.566666666666</v>
      </c>
      <c r="P884" s="26" t="s">
        <v>1224</v>
      </c>
    </row>
    <row r="885" spans="1:16" x14ac:dyDescent="0.25">
      <c r="A885" s="20" t="s">
        <v>5211</v>
      </c>
      <c r="B885" s="21">
        <v>714</v>
      </c>
      <c r="C885" s="22" t="s">
        <v>323</v>
      </c>
      <c r="D885" s="22" t="s">
        <v>2953</v>
      </c>
      <c r="E885" s="22" t="str">
        <f>CONCATENATE(B885,D885)</f>
        <v>71482408-020</v>
      </c>
      <c r="F885" s="27" t="s">
        <v>2954</v>
      </c>
      <c r="G885" s="27" t="s">
        <v>58</v>
      </c>
      <c r="H885" s="23">
        <v>174.00129999999999</v>
      </c>
      <c r="I885" s="24">
        <v>1</v>
      </c>
      <c r="J885" s="24">
        <v>0</v>
      </c>
      <c r="K885" s="24">
        <v>0</v>
      </c>
      <c r="L885" s="41">
        <f>Table2[[#This Row],[Column1]]+Table2[[#This Row],[Column2]]</f>
        <v>0</v>
      </c>
      <c r="M885" s="42">
        <f>Table2[[#This Row],[OnHandQty]]-Table2[[#This Row],[Projection Nov/Dec]]</f>
        <v>1</v>
      </c>
      <c r="N885" s="35">
        <f>Table2[[#This Row],[OverStock]]*Table2[[#This Row],[RepCost]]</f>
        <v>174.00129999999999</v>
      </c>
      <c r="O885" s="25">
        <v>45531.383333333331</v>
      </c>
      <c r="P885" s="26" t="s">
        <v>1870</v>
      </c>
    </row>
    <row r="886" spans="1:16" x14ac:dyDescent="0.25">
      <c r="A886" s="20" t="s">
        <v>5211</v>
      </c>
      <c r="B886" s="21">
        <v>714</v>
      </c>
      <c r="C886" s="22" t="s">
        <v>323</v>
      </c>
      <c r="D886" s="22" t="s">
        <v>2999</v>
      </c>
      <c r="E886" s="22" t="str">
        <f>CONCATENATE(B886,D886)</f>
        <v>71482408-025</v>
      </c>
      <c r="F886" s="22" t="s">
        <v>3000</v>
      </c>
      <c r="G886" s="22" t="s">
        <v>19</v>
      </c>
      <c r="H886" s="23">
        <v>75</v>
      </c>
      <c r="I886" s="24">
        <v>2</v>
      </c>
      <c r="J886" s="24">
        <v>0</v>
      </c>
      <c r="K886" s="24">
        <v>0</v>
      </c>
      <c r="L886" s="41">
        <f>Table2[[#This Row],[Column1]]+Table2[[#This Row],[Column2]]</f>
        <v>0</v>
      </c>
      <c r="M886" s="42">
        <f>Table2[[#This Row],[OnHandQty]]-Table2[[#This Row],[Projection Nov/Dec]]</f>
        <v>2</v>
      </c>
      <c r="N886" s="35">
        <f>Table2[[#This Row],[OverStock]]*Table2[[#This Row],[RepCost]]</f>
        <v>150</v>
      </c>
      <c r="O886" s="25">
        <v>45947.566666666666</v>
      </c>
      <c r="P886" s="26" t="s">
        <v>1224</v>
      </c>
    </row>
    <row r="887" spans="1:16" x14ac:dyDescent="0.25">
      <c r="A887" s="20" t="s">
        <v>5211</v>
      </c>
      <c r="B887" s="21">
        <v>634</v>
      </c>
      <c r="C887" s="22" t="s">
        <v>143</v>
      </c>
      <c r="D887" s="22" t="s">
        <v>247</v>
      </c>
      <c r="E887" s="22" t="str">
        <f>CONCATENATE(B887,D887)</f>
        <v>63465987-103</v>
      </c>
      <c r="F887" s="22" t="s">
        <v>248</v>
      </c>
      <c r="G887" s="22" t="s">
        <v>35</v>
      </c>
      <c r="H887" s="23">
        <v>19.1145</v>
      </c>
      <c r="I887" s="24">
        <v>27</v>
      </c>
      <c r="J887" s="24">
        <v>0</v>
      </c>
      <c r="K887" s="24">
        <v>0</v>
      </c>
      <c r="L887" s="41">
        <f>Table2[[#This Row],[Column1]]+Table2[[#This Row],[Column2]]</f>
        <v>0</v>
      </c>
      <c r="M887" s="42">
        <f>Table2[[#This Row],[OnHandQty]]-Table2[[#This Row],[Projection Nov/Dec]]</f>
        <v>27</v>
      </c>
      <c r="N887" s="35">
        <f>Table2[[#This Row],[OverStock]]*Table2[[#This Row],[RepCost]]</f>
        <v>516.0915</v>
      </c>
      <c r="O887" s="25">
        <v>46134.53125</v>
      </c>
      <c r="P887" s="26" t="s">
        <v>40</v>
      </c>
    </row>
    <row r="888" spans="1:16" x14ac:dyDescent="0.25">
      <c r="A888" s="20" t="s">
        <v>5211</v>
      </c>
      <c r="B888" s="21">
        <v>634</v>
      </c>
      <c r="C888" s="22" t="s">
        <v>143</v>
      </c>
      <c r="D888" s="22" t="s">
        <v>189</v>
      </c>
      <c r="E888" s="22" t="str">
        <f>CONCATENATE(B888,D888)</f>
        <v>63465970-236</v>
      </c>
      <c r="F888" s="27" t="s">
        <v>190</v>
      </c>
      <c r="G888" s="27" t="s">
        <v>58</v>
      </c>
      <c r="H888" s="23">
        <v>129.73859999999999</v>
      </c>
      <c r="I888" s="24">
        <v>3</v>
      </c>
      <c r="J888" s="24">
        <v>0</v>
      </c>
      <c r="K888" s="24">
        <v>0</v>
      </c>
      <c r="L888" s="41">
        <f>Table2[[#This Row],[Column1]]+Table2[[#This Row],[Column2]]</f>
        <v>0</v>
      </c>
      <c r="M888" s="42">
        <f>Table2[[#This Row],[OnHandQty]]-Table2[[#This Row],[Projection Nov/Dec]]</f>
        <v>3</v>
      </c>
      <c r="N888" s="35">
        <f>Table2[[#This Row],[OverStock]]*Table2[[#This Row],[RepCost]]</f>
        <v>389.21579999999994</v>
      </c>
      <c r="O888" s="25">
        <v>45390.51458333333</v>
      </c>
      <c r="P888" s="26" t="s">
        <v>178</v>
      </c>
    </row>
    <row r="889" spans="1:16" x14ac:dyDescent="0.25">
      <c r="A889" s="20" t="s">
        <v>5211</v>
      </c>
      <c r="B889" s="21">
        <v>636</v>
      </c>
      <c r="C889" s="22" t="s">
        <v>143</v>
      </c>
      <c r="D889" s="22" t="s">
        <v>189</v>
      </c>
      <c r="E889" s="22" t="str">
        <f>CONCATENATE(B889,D889)</f>
        <v>63665970-236</v>
      </c>
      <c r="F889" s="27" t="s">
        <v>190</v>
      </c>
      <c r="G889" s="27" t="s">
        <v>58</v>
      </c>
      <c r="H889" s="23">
        <v>165.2543</v>
      </c>
      <c r="I889" s="24">
        <v>5</v>
      </c>
      <c r="J889" s="24">
        <v>0</v>
      </c>
      <c r="K889" s="24">
        <v>0</v>
      </c>
      <c r="L889" s="41">
        <f>Table2[[#This Row],[Column1]]+Table2[[#This Row],[Column2]]</f>
        <v>0</v>
      </c>
      <c r="M889" s="42">
        <f>Table2[[#This Row],[OnHandQty]]-Table2[[#This Row],[Projection Nov/Dec]]</f>
        <v>5</v>
      </c>
      <c r="N889" s="35">
        <f>Table2[[#This Row],[OverStock]]*Table2[[#This Row],[RepCost]]</f>
        <v>826.27150000000006</v>
      </c>
      <c r="O889" s="25">
        <v>45971.493750000001</v>
      </c>
      <c r="P889" s="26" t="s">
        <v>165</v>
      </c>
    </row>
    <row r="890" spans="1:16" x14ac:dyDescent="0.25">
      <c r="A890" s="20" t="s">
        <v>5211</v>
      </c>
      <c r="B890" s="21">
        <v>634</v>
      </c>
      <c r="C890" s="22" t="s">
        <v>143</v>
      </c>
      <c r="D890" s="22" t="s">
        <v>200</v>
      </c>
      <c r="E890" s="22" t="str">
        <f>CONCATENATE(B890,D890)</f>
        <v>63465973-236</v>
      </c>
      <c r="F890" s="27" t="s">
        <v>201</v>
      </c>
      <c r="G890" s="27" t="s">
        <v>58</v>
      </c>
      <c r="H890" s="23">
        <v>135.65979999999999</v>
      </c>
      <c r="I890" s="24">
        <v>1</v>
      </c>
      <c r="J890" s="24">
        <v>0</v>
      </c>
      <c r="K890" s="24">
        <v>0</v>
      </c>
      <c r="L890" s="41">
        <f>Table2[[#This Row],[Column1]]+Table2[[#This Row],[Column2]]</f>
        <v>0</v>
      </c>
      <c r="M890" s="42">
        <f>Table2[[#This Row],[OnHandQty]]-Table2[[#This Row],[Projection Nov/Dec]]</f>
        <v>1</v>
      </c>
      <c r="N890" s="35">
        <f>Table2[[#This Row],[OverStock]]*Table2[[#This Row],[RepCost]]</f>
        <v>135.65979999999999</v>
      </c>
      <c r="O890" s="25">
        <v>45372.486805555556</v>
      </c>
      <c r="P890" s="26" t="s">
        <v>178</v>
      </c>
    </row>
    <row r="891" spans="1:16" x14ac:dyDescent="0.25">
      <c r="A891" s="20" t="s">
        <v>5211</v>
      </c>
      <c r="B891" s="21">
        <v>718</v>
      </c>
      <c r="C891" s="22" t="s">
        <v>143</v>
      </c>
      <c r="D891" s="22" t="s">
        <v>3751</v>
      </c>
      <c r="E891" s="22" t="str">
        <f>CONCATENATE(B891,D891)</f>
        <v>71865973-107</v>
      </c>
      <c r="F891" s="27" t="s">
        <v>3752</v>
      </c>
      <c r="G891" s="27" t="s">
        <v>58</v>
      </c>
      <c r="H891" s="23">
        <v>87.082499999999996</v>
      </c>
      <c r="I891" s="24">
        <v>3</v>
      </c>
      <c r="J891" s="24">
        <v>0</v>
      </c>
      <c r="K891" s="24">
        <v>0</v>
      </c>
      <c r="L891" s="41">
        <f>Table2[[#This Row],[Column1]]+Table2[[#This Row],[Column2]]</f>
        <v>0</v>
      </c>
      <c r="M891" s="42">
        <f>Table2[[#This Row],[OnHandQty]]-Table2[[#This Row],[Projection Nov/Dec]]</f>
        <v>3</v>
      </c>
      <c r="N891" s="35">
        <f>Table2[[#This Row],[OverStock]]*Table2[[#This Row],[RepCost]]</f>
        <v>261.2475</v>
      </c>
      <c r="O891" s="25">
        <v>46175.657638888886</v>
      </c>
      <c r="P891" s="26" t="s">
        <v>137</v>
      </c>
    </row>
    <row r="892" spans="1:16" x14ac:dyDescent="0.25">
      <c r="A892" s="20" t="s">
        <v>5211</v>
      </c>
      <c r="B892" s="21">
        <v>636</v>
      </c>
      <c r="C892" s="22" t="s">
        <v>1749</v>
      </c>
      <c r="D892" s="22" t="s">
        <v>1784</v>
      </c>
      <c r="E892" s="22" t="str">
        <f>CONCATENATE(B892,D892)</f>
        <v>63666055-HB0010</v>
      </c>
      <c r="F892" s="22" t="s">
        <v>1785</v>
      </c>
      <c r="G892" s="22" t="s">
        <v>112</v>
      </c>
      <c r="H892" s="23">
        <v>19.820900000000002</v>
      </c>
      <c r="I892" s="24">
        <v>3</v>
      </c>
      <c r="J892" s="24">
        <v>0</v>
      </c>
      <c r="K892" s="24">
        <v>0</v>
      </c>
      <c r="L892" s="41">
        <f>Table2[[#This Row],[Column1]]+Table2[[#This Row],[Column2]]</f>
        <v>0</v>
      </c>
      <c r="M892" s="42">
        <f>Table2[[#This Row],[OnHandQty]]-Table2[[#This Row],[Projection Nov/Dec]]</f>
        <v>3</v>
      </c>
      <c r="N892" s="35">
        <f>Table2[[#This Row],[OverStock]]*Table2[[#This Row],[RepCost]]</f>
        <v>59.462700000000005</v>
      </c>
      <c r="O892" s="25">
        <v>46177.431250000001</v>
      </c>
      <c r="P892" s="26" t="s">
        <v>652</v>
      </c>
    </row>
    <row r="893" spans="1:16" x14ac:dyDescent="0.25">
      <c r="A893" s="20" t="s">
        <v>5211</v>
      </c>
      <c r="B893" s="21">
        <v>714</v>
      </c>
      <c r="C893" s="22" t="s">
        <v>12</v>
      </c>
      <c r="D893" s="22" t="s">
        <v>1904</v>
      </c>
      <c r="E893" s="22" t="str">
        <f>CONCATENATE(B893,D893)</f>
        <v>71466052-ESP110</v>
      </c>
      <c r="F893" s="22" t="s">
        <v>1905</v>
      </c>
      <c r="G893" s="22" t="s">
        <v>455</v>
      </c>
      <c r="H893" s="23">
        <v>156.20650000000001</v>
      </c>
      <c r="I893" s="24">
        <v>1</v>
      </c>
      <c r="J893" s="24">
        <v>0</v>
      </c>
      <c r="K893" s="24">
        <v>0</v>
      </c>
      <c r="L893" s="41">
        <f>Table2[[#This Row],[Column1]]+Table2[[#This Row],[Column2]]</f>
        <v>0</v>
      </c>
      <c r="M893" s="42">
        <f>Table2[[#This Row],[OnHandQty]]-Table2[[#This Row],[Projection Nov/Dec]]</f>
        <v>1</v>
      </c>
      <c r="N893" s="35">
        <f>Table2[[#This Row],[OverStock]]*Table2[[#This Row],[RepCost]]</f>
        <v>156.20650000000001</v>
      </c>
      <c r="O893" s="25">
        <v>46143.319444444445</v>
      </c>
      <c r="P893" s="26" t="s">
        <v>67</v>
      </c>
    </row>
    <row r="894" spans="1:16" x14ac:dyDescent="0.25">
      <c r="A894" s="20" t="s">
        <v>5211</v>
      </c>
      <c r="B894" s="21">
        <v>714</v>
      </c>
      <c r="C894" s="22" t="s">
        <v>12</v>
      </c>
      <c r="D894" s="22" t="s">
        <v>1815</v>
      </c>
      <c r="E894" s="22" t="str">
        <f>CONCATENATE(B894,D894)</f>
        <v>71466052-ESP105</v>
      </c>
      <c r="F894" s="22" t="s">
        <v>1816</v>
      </c>
      <c r="G894" s="22" t="s">
        <v>29</v>
      </c>
      <c r="H894" s="23">
        <v>82.695700000000002</v>
      </c>
      <c r="I894" s="24">
        <v>3</v>
      </c>
      <c r="J894" s="24">
        <v>0</v>
      </c>
      <c r="K894" s="24">
        <v>0</v>
      </c>
      <c r="L894" s="41">
        <f>Table2[[#This Row],[Column1]]+Table2[[#This Row],[Column2]]</f>
        <v>0</v>
      </c>
      <c r="M894" s="42">
        <f>Table2[[#This Row],[OnHandQty]]-Table2[[#This Row],[Projection Nov/Dec]]</f>
        <v>3</v>
      </c>
      <c r="N894" s="35">
        <f>Table2[[#This Row],[OverStock]]*Table2[[#This Row],[RepCost]]</f>
        <v>248.08710000000002</v>
      </c>
      <c r="O894" s="25">
        <v>46126.649305555555</v>
      </c>
      <c r="P894" s="26" t="s">
        <v>67</v>
      </c>
    </row>
    <row r="895" spans="1:16" x14ac:dyDescent="0.25">
      <c r="A895" s="20" t="s">
        <v>5211</v>
      </c>
      <c r="B895" s="21">
        <v>714</v>
      </c>
      <c r="C895" s="22" t="s">
        <v>126</v>
      </c>
      <c r="D895" s="22" t="s">
        <v>2205</v>
      </c>
      <c r="E895" s="22" t="str">
        <f>CONCATENATE(B895,D895)</f>
        <v>71466052-TRL105PFO</v>
      </c>
      <c r="F895" s="22" t="s">
        <v>2206</v>
      </c>
      <c r="G895" s="22" t="s">
        <v>29</v>
      </c>
      <c r="H895" s="23">
        <v>24.090499999999999</v>
      </c>
      <c r="I895" s="24">
        <v>1</v>
      </c>
      <c r="J895" s="24">
        <v>0</v>
      </c>
      <c r="K895" s="24">
        <v>0</v>
      </c>
      <c r="L895" s="41">
        <f>Table2[[#This Row],[Column1]]+Table2[[#This Row],[Column2]]</f>
        <v>0</v>
      </c>
      <c r="M895" s="42">
        <f>Table2[[#This Row],[OnHandQty]]-Table2[[#This Row],[Projection Nov/Dec]]</f>
        <v>1</v>
      </c>
      <c r="N895" s="35">
        <f>Table2[[#This Row],[OverStock]]*Table2[[#This Row],[RepCost]]</f>
        <v>24.090499999999999</v>
      </c>
      <c r="O895" s="25">
        <v>45764.423611111109</v>
      </c>
      <c r="P895" s="26" t="s">
        <v>140</v>
      </c>
    </row>
    <row r="896" spans="1:16" x14ac:dyDescent="0.25">
      <c r="A896" s="20" t="s">
        <v>5211</v>
      </c>
      <c r="B896" s="21">
        <v>718</v>
      </c>
      <c r="C896" s="22" t="s">
        <v>70</v>
      </c>
      <c r="D896" s="22" t="s">
        <v>3653</v>
      </c>
      <c r="E896" s="22" t="str">
        <f>CONCATENATE(B896,D896)</f>
        <v>71866081-102</v>
      </c>
      <c r="F896" s="22" t="s">
        <v>3654</v>
      </c>
      <c r="G896" s="22" t="s">
        <v>29</v>
      </c>
      <c r="H896" s="23">
        <v>9.6789000000000005</v>
      </c>
      <c r="I896" s="24">
        <v>22</v>
      </c>
      <c r="J896" s="24">
        <v>0</v>
      </c>
      <c r="K896" s="24">
        <v>0</v>
      </c>
      <c r="L896" s="41">
        <f>Table2[[#This Row],[Column1]]+Table2[[#This Row],[Column2]]</f>
        <v>0</v>
      </c>
      <c r="M896" s="42">
        <f>Table2[[#This Row],[OnHandQty]]-Table2[[#This Row],[Projection Nov/Dec]]</f>
        <v>22</v>
      </c>
      <c r="N896" s="35">
        <f>Table2[[#This Row],[OverStock]]*Table2[[#This Row],[RepCost]]</f>
        <v>212.9358</v>
      </c>
      <c r="O896" s="25">
        <v>46232.6</v>
      </c>
      <c r="P896" s="26" t="s">
        <v>573</v>
      </c>
    </row>
    <row r="897" spans="1:16" x14ac:dyDescent="0.25">
      <c r="A897" s="20" t="s">
        <v>5211</v>
      </c>
      <c r="B897" s="21">
        <v>714</v>
      </c>
      <c r="C897" s="22" t="s">
        <v>70</v>
      </c>
      <c r="D897" s="22" t="s">
        <v>2020</v>
      </c>
      <c r="E897" s="22" t="str">
        <f>CONCATENATE(B897,D897)</f>
        <v>71489884-101PREM</v>
      </c>
      <c r="F897" s="22" t="s">
        <v>2021</v>
      </c>
      <c r="G897" s="22" t="s">
        <v>23</v>
      </c>
      <c r="H897" s="23">
        <v>10.788</v>
      </c>
      <c r="I897" s="24">
        <v>25</v>
      </c>
      <c r="J897" s="24">
        <v>0</v>
      </c>
      <c r="K897" s="24">
        <v>0</v>
      </c>
      <c r="L897" s="41">
        <f>Table2[[#This Row],[Column1]]+Table2[[#This Row],[Column2]]</f>
        <v>0</v>
      </c>
      <c r="M897" s="42">
        <f>Table2[[#This Row],[OnHandQty]]-Table2[[#This Row],[Projection Nov/Dec]]</f>
        <v>25</v>
      </c>
      <c r="N897" s="35">
        <f>Table2[[#This Row],[OverStock]]*Table2[[#This Row],[RepCost]]</f>
        <v>269.7</v>
      </c>
      <c r="O897" s="25">
        <v>46149.429861111108</v>
      </c>
      <c r="P897" s="26" t="s">
        <v>1062</v>
      </c>
    </row>
    <row r="898" spans="1:16" x14ac:dyDescent="0.25">
      <c r="A898" s="20" t="s">
        <v>5211</v>
      </c>
      <c r="B898" s="21">
        <v>714</v>
      </c>
      <c r="C898" s="22" t="s">
        <v>70</v>
      </c>
      <c r="D898" s="22" t="s">
        <v>612</v>
      </c>
      <c r="E898" s="22" t="str">
        <f>CONCATENATE(B898,D898)</f>
        <v>71466220-SP4</v>
      </c>
      <c r="F898" s="22" t="s">
        <v>613</v>
      </c>
      <c r="G898" s="22" t="s">
        <v>81</v>
      </c>
      <c r="H898" s="23">
        <v>2.3407</v>
      </c>
      <c r="I898" s="24">
        <v>9</v>
      </c>
      <c r="J898" s="24">
        <v>0</v>
      </c>
      <c r="K898" s="24">
        <v>0</v>
      </c>
      <c r="L898" s="41">
        <f>Table2[[#This Row],[Column1]]+Table2[[#This Row],[Column2]]</f>
        <v>0</v>
      </c>
      <c r="M898" s="42">
        <f>Table2[[#This Row],[OnHandQty]]-Table2[[#This Row],[Projection Nov/Dec]]</f>
        <v>9</v>
      </c>
      <c r="N898" s="35">
        <f>Table2[[#This Row],[OverStock]]*Table2[[#This Row],[RepCost]]</f>
        <v>21.066299999999998</v>
      </c>
      <c r="O898" s="25">
        <v>46140.479861111111</v>
      </c>
      <c r="P898" s="26" t="s">
        <v>1836</v>
      </c>
    </row>
    <row r="899" spans="1:16" x14ac:dyDescent="0.25">
      <c r="A899" s="20" t="s">
        <v>5211</v>
      </c>
      <c r="B899" s="21">
        <v>636</v>
      </c>
      <c r="C899" s="22" t="s">
        <v>70</v>
      </c>
      <c r="D899" s="22" t="s">
        <v>612</v>
      </c>
      <c r="E899" s="22" t="str">
        <f>CONCATENATE(B899,D899)</f>
        <v>63666220-SP4</v>
      </c>
      <c r="F899" s="22" t="s">
        <v>613</v>
      </c>
      <c r="G899" s="22" t="s">
        <v>39</v>
      </c>
      <c r="H899" s="23">
        <v>3.1724000000000001</v>
      </c>
      <c r="I899" s="24">
        <v>48</v>
      </c>
      <c r="J899" s="24">
        <v>0</v>
      </c>
      <c r="K899" s="24">
        <v>0</v>
      </c>
      <c r="L899" s="41">
        <f>Table2[[#This Row],[Column1]]+Table2[[#This Row],[Column2]]</f>
        <v>0</v>
      </c>
      <c r="M899" s="42">
        <f>Table2[[#This Row],[OnHandQty]]-Table2[[#This Row],[Projection Nov/Dec]]</f>
        <v>48</v>
      </c>
      <c r="N899" s="35">
        <f>Table2[[#This Row],[OverStock]]*Table2[[#This Row],[RepCost]]</f>
        <v>152.27520000000001</v>
      </c>
      <c r="O899" s="25">
        <v>46148.397916666669</v>
      </c>
      <c r="P899" s="26" t="s">
        <v>16</v>
      </c>
    </row>
    <row r="900" spans="1:16" x14ac:dyDescent="0.25">
      <c r="A900" s="20" t="s">
        <v>5211</v>
      </c>
      <c r="B900" s="21">
        <v>714</v>
      </c>
      <c r="C900" s="22" t="s">
        <v>12</v>
      </c>
      <c r="D900" s="22" t="s">
        <v>1964</v>
      </c>
      <c r="E900" s="22" t="str">
        <f>CONCATENATE(B900,D900)</f>
        <v>71466226-101</v>
      </c>
      <c r="F900" s="22" t="s">
        <v>1965</v>
      </c>
      <c r="G900" s="22" t="s">
        <v>23</v>
      </c>
      <c r="H900" s="23">
        <v>8.3411000000000008</v>
      </c>
      <c r="I900" s="24">
        <v>5</v>
      </c>
      <c r="J900" s="24">
        <v>0</v>
      </c>
      <c r="K900" s="24">
        <v>0</v>
      </c>
      <c r="L900" s="41">
        <f>Table2[[#This Row],[Column1]]+Table2[[#This Row],[Column2]]</f>
        <v>0</v>
      </c>
      <c r="M900" s="42">
        <f>Table2[[#This Row],[OnHandQty]]-Table2[[#This Row],[Projection Nov/Dec]]</f>
        <v>5</v>
      </c>
      <c r="N900" s="35">
        <f>Table2[[#This Row],[OverStock]]*Table2[[#This Row],[RepCost]]</f>
        <v>41.705500000000001</v>
      </c>
      <c r="O900" s="25">
        <v>46176.70416666667</v>
      </c>
      <c r="P900" s="26" t="s">
        <v>94</v>
      </c>
    </row>
    <row r="901" spans="1:16" x14ac:dyDescent="0.25">
      <c r="A901" s="20" t="s">
        <v>5211</v>
      </c>
      <c r="B901" s="21">
        <v>636</v>
      </c>
      <c r="C901" s="22" t="s">
        <v>70</v>
      </c>
      <c r="D901" s="22" t="s">
        <v>749</v>
      </c>
      <c r="E901" s="22" t="str">
        <f>CONCATENATE(B901,D901)</f>
        <v>63691592-101</v>
      </c>
      <c r="F901" s="22" t="s">
        <v>750</v>
      </c>
      <c r="G901" s="22" t="s">
        <v>39</v>
      </c>
      <c r="H901" s="23">
        <v>5.8784999999999998</v>
      </c>
      <c r="I901" s="24">
        <v>4</v>
      </c>
      <c r="J901" s="24">
        <v>0</v>
      </c>
      <c r="K901" s="24">
        <v>0</v>
      </c>
      <c r="L901" s="41">
        <f>Table2[[#This Row],[Column1]]+Table2[[#This Row],[Column2]]</f>
        <v>0</v>
      </c>
      <c r="M901" s="42">
        <f>Table2[[#This Row],[OnHandQty]]-Table2[[#This Row],[Projection Nov/Dec]]</f>
        <v>4</v>
      </c>
      <c r="N901" s="35">
        <f>Table2[[#This Row],[OverStock]]*Table2[[#This Row],[RepCost]]</f>
        <v>23.513999999999999</v>
      </c>
      <c r="O901" s="25">
        <v>46184.540277777778</v>
      </c>
      <c r="P901" s="26" t="s">
        <v>16</v>
      </c>
    </row>
    <row r="902" spans="1:16" x14ac:dyDescent="0.25">
      <c r="A902" s="20" t="s">
        <v>5211</v>
      </c>
      <c r="B902" s="21">
        <v>718</v>
      </c>
      <c r="C902" s="22" t="s">
        <v>70</v>
      </c>
      <c r="D902" s="22" t="s">
        <v>3687</v>
      </c>
      <c r="E902" s="22" t="str">
        <f>CONCATENATE(B902,D902)</f>
        <v>71882937-101</v>
      </c>
      <c r="F902" s="22" t="s">
        <v>3688</v>
      </c>
      <c r="G902" s="22" t="s">
        <v>39</v>
      </c>
      <c r="H902" s="23">
        <v>13.377800000000001</v>
      </c>
      <c r="I902" s="24">
        <v>40</v>
      </c>
      <c r="J902" s="24">
        <v>0</v>
      </c>
      <c r="K902" s="24">
        <v>0</v>
      </c>
      <c r="L902" s="41">
        <f>Table2[[#This Row],[Column1]]+Table2[[#This Row],[Column2]]</f>
        <v>0</v>
      </c>
      <c r="M902" s="42">
        <f>Table2[[#This Row],[OnHandQty]]-Table2[[#This Row],[Projection Nov/Dec]]</f>
        <v>40</v>
      </c>
      <c r="N902" s="35">
        <f>Table2[[#This Row],[OverStock]]*Table2[[#This Row],[RepCost]]</f>
        <v>535.11200000000008</v>
      </c>
      <c r="O902" s="25">
        <v>46232.446527777778</v>
      </c>
      <c r="P902" s="26" t="s">
        <v>40</v>
      </c>
    </row>
    <row r="903" spans="1:16" x14ac:dyDescent="0.25">
      <c r="A903" s="20" t="s">
        <v>5211</v>
      </c>
      <c r="B903" s="21">
        <v>634</v>
      </c>
      <c r="C903" s="22" t="s">
        <v>70</v>
      </c>
      <c r="D903" s="22" t="s">
        <v>88</v>
      </c>
      <c r="E903" s="22" t="str">
        <f>CONCATENATE(B903,D903)</f>
        <v>63494536-101</v>
      </c>
      <c r="F903" s="22" t="s">
        <v>89</v>
      </c>
      <c r="G903" s="22" t="s">
        <v>29</v>
      </c>
      <c r="H903" s="23">
        <v>18.239999999999998</v>
      </c>
      <c r="I903" s="24">
        <v>1</v>
      </c>
      <c r="J903" s="24">
        <v>0</v>
      </c>
      <c r="K903" s="24">
        <v>0</v>
      </c>
      <c r="L903" s="41">
        <f>Table2[[#This Row],[Column1]]+Table2[[#This Row],[Column2]]</f>
        <v>0</v>
      </c>
      <c r="M903" s="42">
        <f>Table2[[#This Row],[OnHandQty]]-Table2[[#This Row],[Projection Nov/Dec]]</f>
        <v>1</v>
      </c>
      <c r="N903" s="35">
        <f>Table2[[#This Row],[OverStock]]*Table2[[#This Row],[RepCost]]</f>
        <v>18.239999999999998</v>
      </c>
      <c r="O903" s="25">
        <v>46113.434027777781</v>
      </c>
      <c r="P903" s="26" t="s">
        <v>16</v>
      </c>
    </row>
    <row r="904" spans="1:16" x14ac:dyDescent="0.25">
      <c r="A904" s="20" t="s">
        <v>5211</v>
      </c>
      <c r="B904" s="21">
        <v>718</v>
      </c>
      <c r="C904" s="22" t="s">
        <v>70</v>
      </c>
      <c r="D904" s="22" t="s">
        <v>3685</v>
      </c>
      <c r="E904" s="22" t="str">
        <f>CONCATENATE(B904,D904)</f>
        <v>71892192-102</v>
      </c>
      <c r="F904" s="22" t="s">
        <v>3686</v>
      </c>
      <c r="G904" s="22" t="s">
        <v>29</v>
      </c>
      <c r="H904" s="23">
        <v>10.3553</v>
      </c>
      <c r="I904" s="24">
        <v>25</v>
      </c>
      <c r="J904" s="24">
        <v>0</v>
      </c>
      <c r="K904" s="24">
        <v>0</v>
      </c>
      <c r="L904" s="41">
        <f>Table2[[#This Row],[Column1]]+Table2[[#This Row],[Column2]]</f>
        <v>0</v>
      </c>
      <c r="M904" s="42">
        <f>Table2[[#This Row],[OnHandQty]]-Table2[[#This Row],[Projection Nov/Dec]]</f>
        <v>25</v>
      </c>
      <c r="N904" s="35">
        <f>Table2[[#This Row],[OverStock]]*Table2[[#This Row],[RepCost]]</f>
        <v>258.88249999999999</v>
      </c>
      <c r="O904" s="25">
        <v>46232.6</v>
      </c>
      <c r="P904" s="26" t="s">
        <v>573</v>
      </c>
    </row>
    <row r="905" spans="1:16" x14ac:dyDescent="0.25">
      <c r="A905" s="20" t="s">
        <v>5211</v>
      </c>
      <c r="B905" s="21">
        <v>714</v>
      </c>
      <c r="C905" s="22" t="s">
        <v>70</v>
      </c>
      <c r="D905" s="22" t="s">
        <v>2067</v>
      </c>
      <c r="E905" s="22" t="str">
        <f>CONCATENATE(B905,D905)</f>
        <v>71466304-101</v>
      </c>
      <c r="F905" s="22" t="s">
        <v>2068</v>
      </c>
      <c r="G905" s="22" t="s">
        <v>39</v>
      </c>
      <c r="H905" s="23">
        <v>6.8676000000000004</v>
      </c>
      <c r="I905" s="24">
        <v>11</v>
      </c>
      <c r="J905" s="24">
        <v>0</v>
      </c>
      <c r="K905" s="24">
        <v>0</v>
      </c>
      <c r="L905" s="41">
        <f>Table2[[#This Row],[Column1]]+Table2[[#This Row],[Column2]]</f>
        <v>0</v>
      </c>
      <c r="M905" s="42">
        <f>Table2[[#This Row],[OnHandQty]]-Table2[[#This Row],[Projection Nov/Dec]]</f>
        <v>11</v>
      </c>
      <c r="N905" s="35">
        <f>Table2[[#This Row],[OverStock]]*Table2[[#This Row],[RepCost]]</f>
        <v>75.543599999999998</v>
      </c>
      <c r="O905" s="25">
        <v>45811.379861111112</v>
      </c>
      <c r="P905" s="26" t="s">
        <v>44</v>
      </c>
    </row>
    <row r="906" spans="1:16" x14ac:dyDescent="0.25">
      <c r="A906" s="20" t="s">
        <v>5211</v>
      </c>
      <c r="B906" s="21">
        <v>636</v>
      </c>
      <c r="C906" s="22" t="s">
        <v>70</v>
      </c>
      <c r="D906" s="22" t="s">
        <v>606</v>
      </c>
      <c r="E906" s="22" t="str">
        <f>CONCATENATE(B906,D906)</f>
        <v>63691932-PF4</v>
      </c>
      <c r="F906" s="22" t="s">
        <v>607</v>
      </c>
      <c r="G906" s="22" t="s">
        <v>29</v>
      </c>
      <c r="H906" s="23">
        <v>7.7149999999999999</v>
      </c>
      <c r="I906" s="24">
        <v>2</v>
      </c>
      <c r="J906" s="24">
        <v>0</v>
      </c>
      <c r="K906" s="24">
        <v>0</v>
      </c>
      <c r="L906" s="41">
        <f>Table2[[#This Row],[Column1]]+Table2[[#This Row],[Column2]]</f>
        <v>0</v>
      </c>
      <c r="M906" s="42">
        <f>Table2[[#This Row],[OnHandQty]]-Table2[[#This Row],[Projection Nov/Dec]]</f>
        <v>2</v>
      </c>
      <c r="N906" s="35">
        <f>Table2[[#This Row],[OverStock]]*Table2[[#This Row],[RepCost]]</f>
        <v>15.43</v>
      </c>
      <c r="O906" s="25">
        <v>46189.418749999997</v>
      </c>
      <c r="P906" s="26" t="s">
        <v>16</v>
      </c>
    </row>
    <row r="907" spans="1:16" x14ac:dyDescent="0.25">
      <c r="A907" s="20" t="s">
        <v>5211</v>
      </c>
      <c r="B907" s="21">
        <v>718</v>
      </c>
      <c r="C907" s="22" t="s">
        <v>70</v>
      </c>
      <c r="D907" s="22" t="s">
        <v>3679</v>
      </c>
      <c r="E907" s="22" t="str">
        <f>CONCATENATE(B907,D907)</f>
        <v>71874787-102</v>
      </c>
      <c r="F907" s="22" t="s">
        <v>3680</v>
      </c>
      <c r="G907" s="22" t="s">
        <v>29</v>
      </c>
      <c r="H907" s="23">
        <v>10.3553</v>
      </c>
      <c r="I907" s="24">
        <v>23</v>
      </c>
      <c r="J907" s="24">
        <v>0</v>
      </c>
      <c r="K907" s="24">
        <v>0</v>
      </c>
      <c r="L907" s="41">
        <f>Table2[[#This Row],[Column1]]+Table2[[#This Row],[Column2]]</f>
        <v>0</v>
      </c>
      <c r="M907" s="42">
        <f>Table2[[#This Row],[OnHandQty]]-Table2[[#This Row],[Projection Nov/Dec]]</f>
        <v>23</v>
      </c>
      <c r="N907" s="35">
        <f>Table2[[#This Row],[OverStock]]*Table2[[#This Row],[RepCost]]</f>
        <v>238.17189999999999</v>
      </c>
      <c r="O907" s="25">
        <v>46232.6</v>
      </c>
      <c r="P907" s="26" t="s">
        <v>573</v>
      </c>
    </row>
    <row r="908" spans="1:16" x14ac:dyDescent="0.25">
      <c r="A908" s="20" t="s">
        <v>5211</v>
      </c>
      <c r="B908" s="21">
        <v>718</v>
      </c>
      <c r="C908" s="22" t="s">
        <v>70</v>
      </c>
      <c r="D908" s="22" t="s">
        <v>3639</v>
      </c>
      <c r="E908" s="22" t="str">
        <f>CONCATENATE(B908,D908)</f>
        <v>71894743-102</v>
      </c>
      <c r="F908" s="22" t="s">
        <v>3640</v>
      </c>
      <c r="G908" s="22" t="s">
        <v>29</v>
      </c>
      <c r="H908" s="23">
        <v>10.3553</v>
      </c>
      <c r="I908" s="24">
        <v>15</v>
      </c>
      <c r="J908" s="24">
        <v>0</v>
      </c>
      <c r="K908" s="24">
        <v>0</v>
      </c>
      <c r="L908" s="41">
        <f>Table2[[#This Row],[Column1]]+Table2[[#This Row],[Column2]]</f>
        <v>0</v>
      </c>
      <c r="M908" s="42">
        <f>Table2[[#This Row],[OnHandQty]]-Table2[[#This Row],[Projection Nov/Dec]]</f>
        <v>15</v>
      </c>
      <c r="N908" s="35">
        <f>Table2[[#This Row],[OverStock]]*Table2[[#This Row],[RepCost]]</f>
        <v>155.3295</v>
      </c>
      <c r="O908" s="25">
        <v>46232.6</v>
      </c>
      <c r="P908" s="26" t="s">
        <v>573</v>
      </c>
    </row>
    <row r="909" spans="1:16" x14ac:dyDescent="0.25">
      <c r="A909" s="20" t="s">
        <v>5211</v>
      </c>
      <c r="B909" s="21">
        <v>636</v>
      </c>
      <c r="C909" s="22" t="s">
        <v>70</v>
      </c>
      <c r="D909" s="22" t="s">
        <v>771</v>
      </c>
      <c r="E909" s="22" t="str">
        <f>CONCATENATE(B909,D909)</f>
        <v>63693312-102</v>
      </c>
      <c r="F909" s="22" t="s">
        <v>772</v>
      </c>
      <c r="G909" s="22" t="s">
        <v>39</v>
      </c>
      <c r="H909" s="23">
        <v>10.610900000000001</v>
      </c>
      <c r="I909" s="24">
        <v>1</v>
      </c>
      <c r="J909" s="24">
        <v>0</v>
      </c>
      <c r="K909" s="24">
        <v>0</v>
      </c>
      <c r="L909" s="41">
        <f>Table2[[#This Row],[Column1]]+Table2[[#This Row],[Column2]]</f>
        <v>0</v>
      </c>
      <c r="M909" s="42">
        <f>Table2[[#This Row],[OnHandQty]]-Table2[[#This Row],[Projection Nov/Dec]]</f>
        <v>1</v>
      </c>
      <c r="N909" s="35">
        <f>Table2[[#This Row],[OverStock]]*Table2[[#This Row],[RepCost]]</f>
        <v>10.610900000000001</v>
      </c>
      <c r="O909" s="25">
        <v>46122.352083333331</v>
      </c>
      <c r="P909" s="26" t="s">
        <v>573</v>
      </c>
    </row>
    <row r="910" spans="1:16" x14ac:dyDescent="0.25">
      <c r="A910" s="20" t="s">
        <v>5211</v>
      </c>
      <c r="B910" s="21">
        <v>636</v>
      </c>
      <c r="C910" s="22" t="s">
        <v>70</v>
      </c>
      <c r="D910" s="22" t="s">
        <v>731</v>
      </c>
      <c r="E910" s="22" t="str">
        <f>CONCATENATE(B910,D910)</f>
        <v>63692622-102</v>
      </c>
      <c r="F910" s="22" t="s">
        <v>732</v>
      </c>
      <c r="G910" s="22" t="s">
        <v>29</v>
      </c>
      <c r="H910" s="23">
        <v>14.540800000000001</v>
      </c>
      <c r="I910" s="24">
        <v>24</v>
      </c>
      <c r="J910" s="24">
        <v>0</v>
      </c>
      <c r="K910" s="24">
        <v>0</v>
      </c>
      <c r="L910" s="41">
        <f>Table2[[#This Row],[Column1]]+Table2[[#This Row],[Column2]]</f>
        <v>0</v>
      </c>
      <c r="M910" s="42">
        <f>Table2[[#This Row],[OnHandQty]]-Table2[[#This Row],[Projection Nov/Dec]]</f>
        <v>24</v>
      </c>
      <c r="N910" s="35">
        <f>Table2[[#This Row],[OverStock]]*Table2[[#This Row],[RepCost]]</f>
        <v>348.97919999999999</v>
      </c>
      <c r="O910" s="25">
        <v>46171.48541666667</v>
      </c>
      <c r="P910" s="26" t="s">
        <v>16</v>
      </c>
    </row>
    <row r="911" spans="1:16" x14ac:dyDescent="0.25">
      <c r="A911" s="20" t="s">
        <v>5211</v>
      </c>
      <c r="B911" s="21">
        <v>714</v>
      </c>
      <c r="C911" s="22" t="s">
        <v>70</v>
      </c>
      <c r="D911" s="22" t="s">
        <v>2087</v>
      </c>
      <c r="E911" s="22" t="str">
        <f>CONCATENATE(B911,D911)</f>
        <v>71491447-102</v>
      </c>
      <c r="F911" s="22" t="s">
        <v>2088</v>
      </c>
      <c r="G911" s="22" t="s">
        <v>39</v>
      </c>
      <c r="H911" s="23">
        <v>10.4985</v>
      </c>
      <c r="I911" s="24">
        <v>3</v>
      </c>
      <c r="J911" s="24">
        <v>0</v>
      </c>
      <c r="K911" s="24">
        <v>0</v>
      </c>
      <c r="L911" s="41">
        <f>Table2[[#This Row],[Column1]]+Table2[[#This Row],[Column2]]</f>
        <v>0</v>
      </c>
      <c r="M911" s="42">
        <f>Table2[[#This Row],[OnHandQty]]-Table2[[#This Row],[Projection Nov/Dec]]</f>
        <v>3</v>
      </c>
      <c r="N911" s="35">
        <f>Table2[[#This Row],[OverStock]]*Table2[[#This Row],[RepCost]]</f>
        <v>31.4955</v>
      </c>
      <c r="O911" s="25">
        <v>46192.581944444442</v>
      </c>
      <c r="P911" s="26" t="s">
        <v>573</v>
      </c>
    </row>
    <row r="912" spans="1:16" x14ac:dyDescent="0.25">
      <c r="A912" s="20" t="s">
        <v>5211</v>
      </c>
      <c r="B912" s="21">
        <v>714</v>
      </c>
      <c r="C912" s="22" t="s">
        <v>70</v>
      </c>
      <c r="D912" s="22" t="s">
        <v>2149</v>
      </c>
      <c r="E912" s="22" t="str">
        <f>CONCATENATE(B912,D912)</f>
        <v>71466460-101</v>
      </c>
      <c r="F912" s="22" t="s">
        <v>2150</v>
      </c>
      <c r="G912" s="22" t="s">
        <v>39</v>
      </c>
      <c r="H912" s="23">
        <v>6.2893999999999997</v>
      </c>
      <c r="I912" s="24">
        <v>39</v>
      </c>
      <c r="J912" s="24">
        <v>0</v>
      </c>
      <c r="K912" s="24">
        <v>0</v>
      </c>
      <c r="L912" s="41">
        <f>Table2[[#This Row],[Column1]]+Table2[[#This Row],[Column2]]</f>
        <v>0</v>
      </c>
      <c r="M912" s="42">
        <f>Table2[[#This Row],[OnHandQty]]-Table2[[#This Row],[Projection Nov/Dec]]</f>
        <v>39</v>
      </c>
      <c r="N912" s="35">
        <f>Table2[[#This Row],[OverStock]]*Table2[[#This Row],[RepCost]]</f>
        <v>245.28659999999999</v>
      </c>
      <c r="O912" s="25">
        <v>46176.70416666667</v>
      </c>
      <c r="P912" s="26" t="s">
        <v>94</v>
      </c>
    </row>
    <row r="913" spans="1:16" x14ac:dyDescent="0.25">
      <c r="A913" s="20" t="s">
        <v>5211</v>
      </c>
      <c r="B913" s="21">
        <v>718</v>
      </c>
      <c r="C913" s="22" t="s">
        <v>70</v>
      </c>
      <c r="D913" s="22" t="s">
        <v>2149</v>
      </c>
      <c r="E913" s="22" t="str">
        <f>CONCATENATE(B913,D913)</f>
        <v>71866460-101</v>
      </c>
      <c r="F913" s="22" t="s">
        <v>2150</v>
      </c>
      <c r="G913" s="22" t="s">
        <v>15</v>
      </c>
      <c r="H913" s="23">
        <v>6.4371</v>
      </c>
      <c r="I913" s="24">
        <v>27</v>
      </c>
      <c r="J913" s="24">
        <v>0</v>
      </c>
      <c r="K913" s="24">
        <v>0</v>
      </c>
      <c r="L913" s="41">
        <f>Table2[[#This Row],[Column1]]+Table2[[#This Row],[Column2]]</f>
        <v>0</v>
      </c>
      <c r="M913" s="42">
        <f>Table2[[#This Row],[OnHandQty]]-Table2[[#This Row],[Projection Nov/Dec]]</f>
        <v>27</v>
      </c>
      <c r="N913" s="35">
        <f>Table2[[#This Row],[OverStock]]*Table2[[#This Row],[RepCost]]</f>
        <v>173.80170000000001</v>
      </c>
      <c r="O913" s="25">
        <v>46232.6</v>
      </c>
      <c r="P913" s="26" t="s">
        <v>573</v>
      </c>
    </row>
    <row r="914" spans="1:16" x14ac:dyDescent="0.25">
      <c r="A914" s="20" t="s">
        <v>5211</v>
      </c>
      <c r="B914" s="21">
        <v>714</v>
      </c>
      <c r="C914" s="22" t="s">
        <v>70</v>
      </c>
      <c r="D914" s="22" t="s">
        <v>1993</v>
      </c>
      <c r="E914" s="22" t="str">
        <f>CONCATENATE(B914,D914)</f>
        <v>71466460-102</v>
      </c>
      <c r="F914" s="22" t="s">
        <v>1994</v>
      </c>
      <c r="G914" s="22" t="s">
        <v>23</v>
      </c>
      <c r="H914" s="23">
        <v>6.3792</v>
      </c>
      <c r="I914" s="24">
        <v>20</v>
      </c>
      <c r="J914" s="24">
        <v>0</v>
      </c>
      <c r="K914" s="24">
        <v>0</v>
      </c>
      <c r="L914" s="41">
        <f>Table2[[#This Row],[Column1]]+Table2[[#This Row],[Column2]]</f>
        <v>0</v>
      </c>
      <c r="M914" s="42">
        <f>Table2[[#This Row],[OnHandQty]]-Table2[[#This Row],[Projection Nov/Dec]]</f>
        <v>20</v>
      </c>
      <c r="N914" s="35">
        <f>Table2[[#This Row],[OverStock]]*Table2[[#This Row],[RepCost]]</f>
        <v>127.584</v>
      </c>
      <c r="O914" s="25">
        <v>46174.404166666667</v>
      </c>
      <c r="P914" s="26" t="s">
        <v>26</v>
      </c>
    </row>
    <row r="915" spans="1:16" x14ac:dyDescent="0.25">
      <c r="A915" s="20" t="s">
        <v>5211</v>
      </c>
      <c r="B915" s="21">
        <v>718</v>
      </c>
      <c r="C915" s="22" t="s">
        <v>70</v>
      </c>
      <c r="D915" s="22" t="s">
        <v>1993</v>
      </c>
      <c r="E915" s="22" t="str">
        <f>CONCATENATE(B915,D915)</f>
        <v>71866460-102</v>
      </c>
      <c r="F915" s="22" t="s">
        <v>1994</v>
      </c>
      <c r="G915" s="22" t="s">
        <v>81</v>
      </c>
      <c r="H915" s="23">
        <v>6.3055000000000003</v>
      </c>
      <c r="I915" s="24">
        <v>27</v>
      </c>
      <c r="J915" s="24">
        <v>0</v>
      </c>
      <c r="K915" s="24">
        <v>0</v>
      </c>
      <c r="L915" s="41">
        <f>Table2[[#This Row],[Column1]]+Table2[[#This Row],[Column2]]</f>
        <v>0</v>
      </c>
      <c r="M915" s="42">
        <f>Table2[[#This Row],[OnHandQty]]-Table2[[#This Row],[Projection Nov/Dec]]</f>
        <v>27</v>
      </c>
      <c r="N915" s="35">
        <f>Table2[[#This Row],[OverStock]]*Table2[[#This Row],[RepCost]]</f>
        <v>170.24850000000001</v>
      </c>
      <c r="O915" s="25">
        <v>46193.592361111114</v>
      </c>
      <c r="P915" s="26" t="s">
        <v>26</v>
      </c>
    </row>
    <row r="916" spans="1:16" x14ac:dyDescent="0.25">
      <c r="A916" s="20" t="s">
        <v>5211</v>
      </c>
      <c r="B916" s="21">
        <v>636</v>
      </c>
      <c r="C916" s="22" t="s">
        <v>70</v>
      </c>
      <c r="D916" s="22" t="s">
        <v>674</v>
      </c>
      <c r="E916" s="22" t="str">
        <f>CONCATENATE(B916,D916)</f>
        <v>63677723-101</v>
      </c>
      <c r="F916" s="22" t="s">
        <v>675</v>
      </c>
      <c r="G916" s="22" t="s">
        <v>39</v>
      </c>
      <c r="H916" s="23">
        <v>6.6074999999999999</v>
      </c>
      <c r="I916" s="24">
        <v>27</v>
      </c>
      <c r="J916" s="24">
        <v>0</v>
      </c>
      <c r="K916" s="24">
        <v>0</v>
      </c>
      <c r="L916" s="41">
        <f>Table2[[#This Row],[Column1]]+Table2[[#This Row],[Column2]]</f>
        <v>0</v>
      </c>
      <c r="M916" s="42">
        <f>Table2[[#This Row],[OnHandQty]]-Table2[[#This Row],[Projection Nov/Dec]]</f>
        <v>27</v>
      </c>
      <c r="N916" s="35">
        <f>Table2[[#This Row],[OverStock]]*Table2[[#This Row],[RepCost]]</f>
        <v>178.4025</v>
      </c>
      <c r="O916" s="25">
        <v>46212.4375</v>
      </c>
      <c r="P916" s="26" t="s">
        <v>16</v>
      </c>
    </row>
    <row r="917" spans="1:16" x14ac:dyDescent="0.25">
      <c r="A917" s="20" t="s">
        <v>5211</v>
      </c>
      <c r="B917" s="21">
        <v>714</v>
      </c>
      <c r="C917" s="22" t="s">
        <v>70</v>
      </c>
      <c r="D917" s="22" t="s">
        <v>2036</v>
      </c>
      <c r="E917" s="22" t="str">
        <f>CONCATENATE(B917,D917)</f>
        <v>71477384-102</v>
      </c>
      <c r="F917" s="22" t="s">
        <v>2037</v>
      </c>
      <c r="G917" s="22" t="s">
        <v>23</v>
      </c>
      <c r="H917" s="23">
        <v>9.4060000000000006</v>
      </c>
      <c r="I917" s="24">
        <v>21</v>
      </c>
      <c r="J917" s="24">
        <v>20</v>
      </c>
      <c r="K917" s="24">
        <v>0</v>
      </c>
      <c r="L917" s="41">
        <f>Table2[[#This Row],[Column1]]+Table2[[#This Row],[Column2]]</f>
        <v>20</v>
      </c>
      <c r="M917" s="42">
        <f>Table2[[#This Row],[OnHandQty]]-Table2[[#This Row],[Projection Nov/Dec]]</f>
        <v>1</v>
      </c>
      <c r="N917" s="35">
        <f>Table2[[#This Row],[OverStock]]*Table2[[#This Row],[RepCost]]</f>
        <v>9.4060000000000006</v>
      </c>
      <c r="O917" s="25">
        <v>46227.602777777778</v>
      </c>
      <c r="P917" s="26" t="s">
        <v>94</v>
      </c>
    </row>
    <row r="918" spans="1:16" x14ac:dyDescent="0.25">
      <c r="A918" s="20" t="s">
        <v>5211</v>
      </c>
      <c r="B918" s="21">
        <v>714</v>
      </c>
      <c r="C918" s="22" t="s">
        <v>70</v>
      </c>
      <c r="D918" s="22" t="s">
        <v>2016</v>
      </c>
      <c r="E918" s="22" t="str">
        <f>CONCATENATE(B918,D918)</f>
        <v>71466554-101</v>
      </c>
      <c r="F918" s="22" t="s">
        <v>2017</v>
      </c>
      <c r="G918" s="22" t="s">
        <v>15</v>
      </c>
      <c r="H918" s="23">
        <v>5.7522000000000002</v>
      </c>
      <c r="I918" s="24">
        <v>16</v>
      </c>
      <c r="J918" s="24">
        <v>0</v>
      </c>
      <c r="K918" s="24">
        <v>0</v>
      </c>
      <c r="L918" s="41">
        <f>Table2[[#This Row],[Column1]]+Table2[[#This Row],[Column2]]</f>
        <v>0</v>
      </c>
      <c r="M918" s="42">
        <f>Table2[[#This Row],[OnHandQty]]-Table2[[#This Row],[Projection Nov/Dec]]</f>
        <v>16</v>
      </c>
      <c r="N918" s="35">
        <f>Table2[[#This Row],[OverStock]]*Table2[[#This Row],[RepCost]]</f>
        <v>92.035200000000003</v>
      </c>
      <c r="O918" s="25">
        <v>45884.377083333333</v>
      </c>
      <c r="P918" s="26" t="s">
        <v>40</v>
      </c>
    </row>
    <row r="919" spans="1:16" x14ac:dyDescent="0.25">
      <c r="A919" s="20" t="s">
        <v>5211</v>
      </c>
      <c r="B919" s="21">
        <v>714</v>
      </c>
      <c r="C919" s="22" t="s">
        <v>143</v>
      </c>
      <c r="D919" s="22" t="s">
        <v>2237</v>
      </c>
      <c r="E919" s="22" t="str">
        <f>CONCATENATE(B919,D919)</f>
        <v>71466597-110</v>
      </c>
      <c r="F919" s="22" t="s">
        <v>2238</v>
      </c>
      <c r="G919" s="22" t="s">
        <v>29</v>
      </c>
      <c r="H919" s="23">
        <v>51.0672</v>
      </c>
      <c r="I919" s="24">
        <v>1</v>
      </c>
      <c r="J919" s="24">
        <v>0</v>
      </c>
      <c r="K919" s="24">
        <v>0</v>
      </c>
      <c r="L919" s="41">
        <f>Table2[[#This Row],[Column1]]+Table2[[#This Row],[Column2]]</f>
        <v>0</v>
      </c>
      <c r="M919" s="42">
        <f>Table2[[#This Row],[OnHandQty]]-Table2[[#This Row],[Projection Nov/Dec]]</f>
        <v>1</v>
      </c>
      <c r="N919" s="35">
        <f>Table2[[#This Row],[OverStock]]*Table2[[#This Row],[RepCost]]</f>
        <v>51.0672</v>
      </c>
      <c r="O919" s="25">
        <v>45104.427777777775</v>
      </c>
      <c r="P919" s="26" t="s">
        <v>195</v>
      </c>
    </row>
    <row r="920" spans="1:16" x14ac:dyDescent="0.25">
      <c r="A920" s="20" t="s">
        <v>5211</v>
      </c>
      <c r="B920" s="21">
        <v>636</v>
      </c>
      <c r="C920" s="22" t="s">
        <v>1749</v>
      </c>
      <c r="D920" s="22" t="s">
        <v>1788</v>
      </c>
      <c r="E920" s="22" t="str">
        <f>CONCATENATE(B920,D920)</f>
        <v>63672589-0010</v>
      </c>
      <c r="F920" s="22" t="s">
        <v>1789</v>
      </c>
      <c r="G920" s="22" t="s">
        <v>15</v>
      </c>
      <c r="H920" s="23">
        <v>14.091200000000001</v>
      </c>
      <c r="I920" s="24">
        <v>1</v>
      </c>
      <c r="J920" s="24">
        <v>0</v>
      </c>
      <c r="K920" s="24">
        <v>0</v>
      </c>
      <c r="L920" s="41">
        <f>Table2[[#This Row],[Column1]]+Table2[[#This Row],[Column2]]</f>
        <v>0</v>
      </c>
      <c r="M920" s="42">
        <f>Table2[[#This Row],[OnHandQty]]-Table2[[#This Row],[Projection Nov/Dec]]</f>
        <v>1</v>
      </c>
      <c r="N920" s="35">
        <f>Table2[[#This Row],[OverStock]]*Table2[[#This Row],[RepCost]]</f>
        <v>14.091200000000001</v>
      </c>
      <c r="O920" s="25">
        <v>46114.597916666666</v>
      </c>
      <c r="P920" s="26" t="s">
        <v>797</v>
      </c>
    </row>
    <row r="921" spans="1:16" x14ac:dyDescent="0.25">
      <c r="A921" s="20" t="s">
        <v>5211</v>
      </c>
      <c r="B921" s="21">
        <v>636</v>
      </c>
      <c r="C921" s="22" t="s">
        <v>1749</v>
      </c>
      <c r="D921" s="22" t="s">
        <v>1766</v>
      </c>
      <c r="E921" s="22" t="str">
        <f>CONCATENATE(B921,D921)</f>
        <v>63672589-0014</v>
      </c>
      <c r="F921" s="22" t="s">
        <v>1767</v>
      </c>
      <c r="G921" s="22" t="s">
        <v>39</v>
      </c>
      <c r="H921" s="23">
        <v>41.797600000000003</v>
      </c>
      <c r="I921" s="24">
        <v>3</v>
      </c>
      <c r="J921" s="24">
        <v>0</v>
      </c>
      <c r="K921" s="24">
        <v>0</v>
      </c>
      <c r="L921" s="41">
        <f>Table2[[#This Row],[Column1]]+Table2[[#This Row],[Column2]]</f>
        <v>0</v>
      </c>
      <c r="M921" s="42">
        <f>Table2[[#This Row],[OnHandQty]]-Table2[[#This Row],[Projection Nov/Dec]]</f>
        <v>3</v>
      </c>
      <c r="N921" s="35">
        <f>Table2[[#This Row],[OverStock]]*Table2[[#This Row],[RepCost]]</f>
        <v>125.39280000000001</v>
      </c>
      <c r="O921" s="25">
        <v>45761.387499999997</v>
      </c>
      <c r="P921" s="26" t="s">
        <v>797</v>
      </c>
    </row>
    <row r="922" spans="1:16" x14ac:dyDescent="0.25">
      <c r="A922" s="20" t="s">
        <v>5211</v>
      </c>
      <c r="B922" s="21">
        <v>636</v>
      </c>
      <c r="C922" s="22" t="s">
        <v>1749</v>
      </c>
      <c r="D922" s="22" t="s">
        <v>1766</v>
      </c>
      <c r="E922" s="22" t="str">
        <f>CONCATENATE(B922,D922)</f>
        <v>63672589-0014</v>
      </c>
      <c r="F922" s="22" t="s">
        <v>1767</v>
      </c>
      <c r="G922" s="22" t="s">
        <v>39</v>
      </c>
      <c r="H922" s="23">
        <v>41.797600000000003</v>
      </c>
      <c r="I922" s="24">
        <v>3</v>
      </c>
      <c r="J922" s="24">
        <v>0</v>
      </c>
      <c r="K922" s="24">
        <v>0</v>
      </c>
      <c r="L922" s="41">
        <f>Table2[[#This Row],[Column1]]+Table2[[#This Row],[Column2]]</f>
        <v>0</v>
      </c>
      <c r="M922" s="42">
        <f>Table2[[#This Row],[OnHandQty]]-Table2[[#This Row],[Projection Nov/Dec]]</f>
        <v>3</v>
      </c>
      <c r="N922" s="35">
        <f>Table2[[#This Row],[OverStock]]*Table2[[#This Row],[RepCost]]</f>
        <v>125.39280000000001</v>
      </c>
      <c r="O922" s="25">
        <v>45761.387499999997</v>
      </c>
      <c r="P922" s="26" t="s">
        <v>797</v>
      </c>
    </row>
    <row r="923" spans="1:16" x14ac:dyDescent="0.25">
      <c r="A923" s="20" t="s">
        <v>5211</v>
      </c>
      <c r="B923" s="21">
        <v>636</v>
      </c>
      <c r="C923" s="22" t="s">
        <v>70</v>
      </c>
      <c r="D923" s="22" t="s">
        <v>820</v>
      </c>
      <c r="E923" s="22" t="str">
        <f>CONCATENATE(B923,D923)</f>
        <v>63680753-SP4</v>
      </c>
      <c r="F923" s="22" t="s">
        <v>821</v>
      </c>
      <c r="G923" s="22" t="s">
        <v>112</v>
      </c>
      <c r="H923" s="23">
        <v>3.2486999999999999</v>
      </c>
      <c r="I923" s="24">
        <v>27</v>
      </c>
      <c r="J923" s="24">
        <v>0</v>
      </c>
      <c r="K923" s="24">
        <v>0</v>
      </c>
      <c r="L923" s="41">
        <f>Table2[[#This Row],[Column1]]+Table2[[#This Row],[Column2]]</f>
        <v>0</v>
      </c>
      <c r="M923" s="42">
        <f>Table2[[#This Row],[OnHandQty]]-Table2[[#This Row],[Projection Nov/Dec]]</f>
        <v>27</v>
      </c>
      <c r="N923" s="35">
        <f>Table2[[#This Row],[OverStock]]*Table2[[#This Row],[RepCost]]</f>
        <v>87.7149</v>
      </c>
      <c r="O923" s="25">
        <v>46216.310416666667</v>
      </c>
      <c r="P923" s="26" t="s">
        <v>99</v>
      </c>
    </row>
    <row r="924" spans="1:16" x14ac:dyDescent="0.25">
      <c r="A924" s="20" t="s">
        <v>5211</v>
      </c>
      <c r="B924" s="21">
        <v>636</v>
      </c>
      <c r="C924" s="22" t="s">
        <v>70</v>
      </c>
      <c r="D924" s="22" t="s">
        <v>820</v>
      </c>
      <c r="E924" s="22" t="str">
        <f>CONCATENATE(B924,D924)</f>
        <v>63680753-SP4</v>
      </c>
      <c r="F924" s="22" t="s">
        <v>821</v>
      </c>
      <c r="G924" s="22" t="s">
        <v>112</v>
      </c>
      <c r="H924" s="23">
        <v>3.2486999999999999</v>
      </c>
      <c r="I924" s="24">
        <v>27</v>
      </c>
      <c r="J924" s="24">
        <v>0</v>
      </c>
      <c r="K924" s="24">
        <v>0</v>
      </c>
      <c r="L924" s="41">
        <f>Table2[[#This Row],[Column1]]+Table2[[#This Row],[Column2]]</f>
        <v>0</v>
      </c>
      <c r="M924" s="42">
        <f>Table2[[#This Row],[OnHandQty]]-Table2[[#This Row],[Projection Nov/Dec]]</f>
        <v>27</v>
      </c>
      <c r="N924" s="35">
        <f>Table2[[#This Row],[OverStock]]*Table2[[#This Row],[RepCost]]</f>
        <v>87.7149</v>
      </c>
      <c r="O924" s="25">
        <v>46216.310416666667</v>
      </c>
      <c r="P924" s="26" t="s">
        <v>99</v>
      </c>
    </row>
    <row r="925" spans="1:16" x14ac:dyDescent="0.25">
      <c r="A925" s="20" t="s">
        <v>5211</v>
      </c>
      <c r="B925" s="21">
        <v>636</v>
      </c>
      <c r="C925" s="22" t="s">
        <v>126</v>
      </c>
      <c r="D925" s="22" t="s">
        <v>868</v>
      </c>
      <c r="E925" s="22" t="str">
        <f>CONCATENATE(B925,D925)</f>
        <v>63691637-PF4PFO</v>
      </c>
      <c r="F925" s="22" t="s">
        <v>869</v>
      </c>
      <c r="G925" s="22" t="s">
        <v>23</v>
      </c>
      <c r="H925" s="23">
        <v>8.1249000000000002</v>
      </c>
      <c r="I925" s="24">
        <v>8</v>
      </c>
      <c r="J925" s="24">
        <v>0</v>
      </c>
      <c r="K925" s="24">
        <v>0</v>
      </c>
      <c r="L925" s="41">
        <f>Table2[[#This Row],[Column1]]+Table2[[#This Row],[Column2]]</f>
        <v>0</v>
      </c>
      <c r="M925" s="42">
        <f>Table2[[#This Row],[OnHandQty]]-Table2[[#This Row],[Projection Nov/Dec]]</f>
        <v>8</v>
      </c>
      <c r="N925" s="35">
        <f>Table2[[#This Row],[OverStock]]*Table2[[#This Row],[RepCost]]</f>
        <v>64.999200000000002</v>
      </c>
      <c r="O925" s="25">
        <v>46199.375</v>
      </c>
      <c r="P925" s="26" t="s">
        <v>16</v>
      </c>
    </row>
    <row r="926" spans="1:16" x14ac:dyDescent="0.25">
      <c r="A926" s="20" t="s">
        <v>5211</v>
      </c>
      <c r="B926" s="21">
        <v>714</v>
      </c>
      <c r="C926" s="22" t="s">
        <v>126</v>
      </c>
      <c r="D926" s="22" t="s">
        <v>868</v>
      </c>
      <c r="E926" s="22" t="str">
        <f>CONCATENATE(B926,D926)</f>
        <v>71491637-PF4PFO</v>
      </c>
      <c r="F926" s="22" t="s">
        <v>869</v>
      </c>
      <c r="G926" s="22" t="s">
        <v>112</v>
      </c>
      <c r="H926" s="23">
        <v>8.2163000000000004</v>
      </c>
      <c r="I926" s="24">
        <v>30</v>
      </c>
      <c r="J926" s="24">
        <v>0</v>
      </c>
      <c r="K926" s="24">
        <v>0</v>
      </c>
      <c r="L926" s="41">
        <f>Table2[[#This Row],[Column1]]+Table2[[#This Row],[Column2]]</f>
        <v>0</v>
      </c>
      <c r="M926" s="42">
        <f>Table2[[#This Row],[OnHandQty]]-Table2[[#This Row],[Projection Nov/Dec]]</f>
        <v>30</v>
      </c>
      <c r="N926" s="35">
        <f>Table2[[#This Row],[OverStock]]*Table2[[#This Row],[RepCost]]</f>
        <v>246.489</v>
      </c>
      <c r="O926" s="25">
        <v>46218.660416666666</v>
      </c>
      <c r="P926" s="26" t="s">
        <v>16</v>
      </c>
    </row>
    <row r="927" spans="1:16" x14ac:dyDescent="0.25">
      <c r="A927" s="20" t="s">
        <v>5211</v>
      </c>
      <c r="B927" s="21">
        <v>636</v>
      </c>
      <c r="C927" s="22" t="s">
        <v>126</v>
      </c>
      <c r="D927" s="22" t="s">
        <v>863</v>
      </c>
      <c r="E927" s="22" t="str">
        <f>CONCATENATE(B927,D927)</f>
        <v>63682979-PF4PFO</v>
      </c>
      <c r="F927" s="22" t="s">
        <v>864</v>
      </c>
      <c r="G927" s="22" t="s">
        <v>112</v>
      </c>
      <c r="H927" s="23">
        <v>7.3979999999999997</v>
      </c>
      <c r="I927" s="24">
        <v>1</v>
      </c>
      <c r="J927" s="24">
        <v>0</v>
      </c>
      <c r="K927" s="24">
        <v>0</v>
      </c>
      <c r="L927" s="41">
        <f>Table2[[#This Row],[Column1]]+Table2[[#This Row],[Column2]]</f>
        <v>0</v>
      </c>
      <c r="M927" s="42">
        <f>Table2[[#This Row],[OnHandQty]]-Table2[[#This Row],[Projection Nov/Dec]]</f>
        <v>1</v>
      </c>
      <c r="N927" s="35">
        <f>Table2[[#This Row],[OverStock]]*Table2[[#This Row],[RepCost]]</f>
        <v>7.3979999999999997</v>
      </c>
      <c r="O927" s="25">
        <v>46122.463194444441</v>
      </c>
      <c r="P927" s="26" t="s">
        <v>16</v>
      </c>
    </row>
    <row r="928" spans="1:16" x14ac:dyDescent="0.25">
      <c r="A928" s="20" t="s">
        <v>5211</v>
      </c>
      <c r="B928" s="21">
        <v>718</v>
      </c>
      <c r="C928" s="22" t="s">
        <v>126</v>
      </c>
      <c r="D928" s="22" t="s">
        <v>3699</v>
      </c>
      <c r="E928" s="22" t="str">
        <f>CONCATENATE(B928,D928)</f>
        <v>71886486-PF4PFO</v>
      </c>
      <c r="F928" s="22" t="s">
        <v>3700</v>
      </c>
      <c r="G928" s="22" t="s">
        <v>112</v>
      </c>
      <c r="H928" s="23">
        <v>8.2849000000000004</v>
      </c>
      <c r="I928" s="24">
        <v>7</v>
      </c>
      <c r="J928" s="24">
        <v>0</v>
      </c>
      <c r="K928" s="24">
        <v>0</v>
      </c>
      <c r="L928" s="41">
        <f>Table2[[#This Row],[Column1]]+Table2[[#This Row],[Column2]]</f>
        <v>0</v>
      </c>
      <c r="M928" s="42">
        <f>Table2[[#This Row],[OnHandQty]]-Table2[[#This Row],[Projection Nov/Dec]]</f>
        <v>7</v>
      </c>
      <c r="N928" s="35">
        <f>Table2[[#This Row],[OverStock]]*Table2[[#This Row],[RepCost]]</f>
        <v>57.994300000000003</v>
      </c>
      <c r="O928" s="25">
        <v>46211.615277777775</v>
      </c>
      <c r="P928" s="26" t="s">
        <v>16</v>
      </c>
    </row>
    <row r="929" spans="1:16" x14ac:dyDescent="0.25">
      <c r="A929" s="20" t="s">
        <v>5211</v>
      </c>
      <c r="B929" s="21">
        <v>636</v>
      </c>
      <c r="C929" s="22" t="s">
        <v>70</v>
      </c>
      <c r="D929" s="22" t="s">
        <v>638</v>
      </c>
      <c r="E929" s="22" t="str">
        <f>CONCATENATE(B929,D929)</f>
        <v>63690080-101</v>
      </c>
      <c r="F929" s="22" t="s">
        <v>639</v>
      </c>
      <c r="G929" s="22" t="s">
        <v>29</v>
      </c>
      <c r="H929" s="23">
        <v>6.3316999999999997</v>
      </c>
      <c r="I929" s="24">
        <v>4</v>
      </c>
      <c r="J929" s="24">
        <v>0</v>
      </c>
      <c r="K929" s="24">
        <v>0</v>
      </c>
      <c r="L929" s="41">
        <f>Table2[[#This Row],[Column1]]+Table2[[#This Row],[Column2]]</f>
        <v>0</v>
      </c>
      <c r="M929" s="42">
        <f>Table2[[#This Row],[OnHandQty]]-Table2[[#This Row],[Projection Nov/Dec]]</f>
        <v>4</v>
      </c>
      <c r="N929" s="35">
        <f>Table2[[#This Row],[OverStock]]*Table2[[#This Row],[RepCost]]</f>
        <v>25.326799999999999</v>
      </c>
      <c r="O929" s="25">
        <v>46212.4375</v>
      </c>
      <c r="P929" s="26" t="s">
        <v>16</v>
      </c>
    </row>
    <row r="930" spans="1:16" x14ac:dyDescent="0.25">
      <c r="A930" s="20" t="s">
        <v>5211</v>
      </c>
      <c r="B930" s="21">
        <v>636</v>
      </c>
      <c r="C930" s="22" t="s">
        <v>70</v>
      </c>
      <c r="D930" s="22" t="s">
        <v>714</v>
      </c>
      <c r="E930" s="22" t="str">
        <f>CONCATENATE(B930,D930)</f>
        <v>63676512-101</v>
      </c>
      <c r="F930" s="22" t="s">
        <v>715</v>
      </c>
      <c r="G930" s="22" t="s">
        <v>39</v>
      </c>
      <c r="H930" s="23">
        <v>9.1515000000000004</v>
      </c>
      <c r="I930" s="24">
        <v>4</v>
      </c>
      <c r="J930" s="24">
        <v>0</v>
      </c>
      <c r="K930" s="24">
        <v>0</v>
      </c>
      <c r="L930" s="41">
        <f>Table2[[#This Row],[Column1]]+Table2[[#This Row],[Column2]]</f>
        <v>0</v>
      </c>
      <c r="M930" s="42">
        <f>Table2[[#This Row],[OnHandQty]]-Table2[[#This Row],[Projection Nov/Dec]]</f>
        <v>4</v>
      </c>
      <c r="N930" s="35">
        <f>Table2[[#This Row],[OverStock]]*Table2[[#This Row],[RepCost]]</f>
        <v>36.606000000000002</v>
      </c>
      <c r="O930" s="25">
        <v>46196.405555555553</v>
      </c>
      <c r="P930" s="26" t="s">
        <v>16</v>
      </c>
    </row>
    <row r="931" spans="1:16" x14ac:dyDescent="0.25">
      <c r="A931" s="20" t="s">
        <v>5211</v>
      </c>
      <c r="B931" s="21">
        <v>636</v>
      </c>
      <c r="C931" s="22" t="s">
        <v>70</v>
      </c>
      <c r="D931" s="22" t="s">
        <v>642</v>
      </c>
      <c r="E931" s="22" t="str">
        <f>CONCATENATE(B931,D931)</f>
        <v>63695852-102</v>
      </c>
      <c r="F931" s="22" t="s">
        <v>643</v>
      </c>
      <c r="G931" s="22" t="s">
        <v>39</v>
      </c>
      <c r="H931" s="23">
        <v>10.3118</v>
      </c>
      <c r="I931" s="24">
        <v>2</v>
      </c>
      <c r="J931" s="24">
        <v>0</v>
      </c>
      <c r="K931" s="24">
        <v>0</v>
      </c>
      <c r="L931" s="41">
        <f>Table2[[#This Row],[Column1]]+Table2[[#This Row],[Column2]]</f>
        <v>0</v>
      </c>
      <c r="M931" s="42">
        <f>Table2[[#This Row],[OnHandQty]]-Table2[[#This Row],[Projection Nov/Dec]]</f>
        <v>2</v>
      </c>
      <c r="N931" s="35">
        <f>Table2[[#This Row],[OverStock]]*Table2[[#This Row],[RepCost]]</f>
        <v>20.6236</v>
      </c>
      <c r="O931" s="25">
        <v>46238.60833333333</v>
      </c>
      <c r="P931" s="26" t="s">
        <v>94</v>
      </c>
    </row>
    <row r="932" spans="1:16" x14ac:dyDescent="0.25">
      <c r="A932" s="20" t="s">
        <v>5211</v>
      </c>
      <c r="B932" s="21">
        <v>718</v>
      </c>
      <c r="C932" s="22" t="s">
        <v>70</v>
      </c>
      <c r="D932" s="22" t="s">
        <v>3655</v>
      </c>
      <c r="E932" s="22" t="str">
        <f>CONCATENATE(B932,D932)</f>
        <v>71883065-102</v>
      </c>
      <c r="F932" s="22" t="s">
        <v>3656</v>
      </c>
      <c r="G932" s="22" t="s">
        <v>23</v>
      </c>
      <c r="H932" s="23">
        <v>10.017099999999999</v>
      </c>
      <c r="I932" s="24">
        <v>3</v>
      </c>
      <c r="J932" s="24">
        <v>0</v>
      </c>
      <c r="K932" s="24">
        <v>0</v>
      </c>
      <c r="L932" s="41">
        <f>Table2[[#This Row],[Column1]]+Table2[[#This Row],[Column2]]</f>
        <v>0</v>
      </c>
      <c r="M932" s="42">
        <f>Table2[[#This Row],[OnHandQty]]-Table2[[#This Row],[Projection Nov/Dec]]</f>
        <v>3</v>
      </c>
      <c r="N932" s="35">
        <f>Table2[[#This Row],[OverStock]]*Table2[[#This Row],[RepCost]]</f>
        <v>30.051299999999998</v>
      </c>
      <c r="O932" s="25">
        <v>46232.6</v>
      </c>
      <c r="P932" s="26" t="s">
        <v>573</v>
      </c>
    </row>
    <row r="933" spans="1:16" x14ac:dyDescent="0.25">
      <c r="A933" s="20" t="s">
        <v>5211</v>
      </c>
      <c r="B933" s="21">
        <v>714</v>
      </c>
      <c r="C933" s="22" t="s">
        <v>1749</v>
      </c>
      <c r="D933" s="22" t="s">
        <v>3556</v>
      </c>
      <c r="E933" s="22" t="str">
        <f>CONCATENATE(B933,D933)</f>
        <v>71466779-006</v>
      </c>
      <c r="F933" s="22" t="s">
        <v>3557</v>
      </c>
      <c r="G933" s="22" t="s">
        <v>112</v>
      </c>
      <c r="H933" s="23">
        <v>9.0951000000000004</v>
      </c>
      <c r="I933" s="24">
        <v>25</v>
      </c>
      <c r="J933" s="24">
        <v>0</v>
      </c>
      <c r="K933" s="24">
        <v>0</v>
      </c>
      <c r="L933" s="41">
        <f>Table2[[#This Row],[Column1]]+Table2[[#This Row],[Column2]]</f>
        <v>0</v>
      </c>
      <c r="M933" s="42">
        <f>Table2[[#This Row],[OnHandQty]]-Table2[[#This Row],[Projection Nov/Dec]]</f>
        <v>25</v>
      </c>
      <c r="N933" s="35">
        <f>Table2[[#This Row],[OverStock]]*Table2[[#This Row],[RepCost]]</f>
        <v>227.3775</v>
      </c>
      <c r="O933" s="25">
        <v>46140.479166666664</v>
      </c>
      <c r="P933" s="26" t="s">
        <v>1841</v>
      </c>
    </row>
    <row r="934" spans="1:16" x14ac:dyDescent="0.25">
      <c r="A934" s="20" t="s">
        <v>5211</v>
      </c>
      <c r="B934" s="21">
        <v>714</v>
      </c>
      <c r="C934" s="22" t="s">
        <v>1749</v>
      </c>
      <c r="D934" s="22" t="s">
        <v>3556</v>
      </c>
      <c r="E934" s="22" t="str">
        <f>CONCATENATE(B934,D934)</f>
        <v>71466779-006</v>
      </c>
      <c r="F934" s="22" t="s">
        <v>3557</v>
      </c>
      <c r="G934" s="22" t="s">
        <v>112</v>
      </c>
      <c r="H934" s="23">
        <v>9.0951000000000004</v>
      </c>
      <c r="I934" s="24">
        <v>25</v>
      </c>
      <c r="J934" s="24">
        <v>0</v>
      </c>
      <c r="K934" s="24">
        <v>0</v>
      </c>
      <c r="L934" s="41">
        <f>Table2[[#This Row],[Column1]]+Table2[[#This Row],[Column2]]</f>
        <v>0</v>
      </c>
      <c r="M934" s="42">
        <f>Table2[[#This Row],[OnHandQty]]-Table2[[#This Row],[Projection Nov/Dec]]</f>
        <v>25</v>
      </c>
      <c r="N934" s="35">
        <f>Table2[[#This Row],[OverStock]]*Table2[[#This Row],[RepCost]]</f>
        <v>227.3775</v>
      </c>
      <c r="O934" s="25">
        <v>46140.479166666664</v>
      </c>
      <c r="P934" s="26" t="s">
        <v>1841</v>
      </c>
    </row>
    <row r="935" spans="1:16" x14ac:dyDescent="0.25">
      <c r="A935" s="20" t="s">
        <v>5211</v>
      </c>
      <c r="B935" s="21">
        <v>714</v>
      </c>
      <c r="C935" s="22" t="s">
        <v>1749</v>
      </c>
      <c r="D935" s="22" t="s">
        <v>3556</v>
      </c>
      <c r="E935" s="22" t="str">
        <f>CONCATENATE(B935,D935)</f>
        <v>71466779-006</v>
      </c>
      <c r="F935" s="22" t="s">
        <v>3557</v>
      </c>
      <c r="G935" s="22" t="s">
        <v>112</v>
      </c>
      <c r="H935" s="23">
        <v>9.0951000000000004</v>
      </c>
      <c r="I935" s="24">
        <v>25</v>
      </c>
      <c r="J935" s="24">
        <v>0</v>
      </c>
      <c r="K935" s="24">
        <v>0</v>
      </c>
      <c r="L935" s="41">
        <f>Table2[[#This Row],[Column1]]+Table2[[#This Row],[Column2]]</f>
        <v>0</v>
      </c>
      <c r="M935" s="42">
        <f>Table2[[#This Row],[OnHandQty]]-Table2[[#This Row],[Projection Nov/Dec]]</f>
        <v>25</v>
      </c>
      <c r="N935" s="35">
        <f>Table2[[#This Row],[OverStock]]*Table2[[#This Row],[RepCost]]</f>
        <v>227.3775</v>
      </c>
      <c r="O935" s="25">
        <v>46140.479166666664</v>
      </c>
      <c r="P935" s="26" t="s">
        <v>1841</v>
      </c>
    </row>
    <row r="936" spans="1:16" x14ac:dyDescent="0.25">
      <c r="A936" s="20" t="s">
        <v>5211</v>
      </c>
      <c r="B936" s="21">
        <v>714</v>
      </c>
      <c r="C936" s="22" t="s">
        <v>1749</v>
      </c>
      <c r="D936" s="22" t="s">
        <v>3556</v>
      </c>
      <c r="E936" s="22" t="str">
        <f>CONCATENATE(B936,D936)</f>
        <v>71466779-006</v>
      </c>
      <c r="F936" s="22" t="s">
        <v>3557</v>
      </c>
      <c r="G936" s="22" t="s">
        <v>112</v>
      </c>
      <c r="H936" s="23">
        <v>9.0951000000000004</v>
      </c>
      <c r="I936" s="24">
        <v>25</v>
      </c>
      <c r="J936" s="24">
        <v>0</v>
      </c>
      <c r="K936" s="24">
        <v>0</v>
      </c>
      <c r="L936" s="41">
        <f>Table2[[#This Row],[Column1]]+Table2[[#This Row],[Column2]]</f>
        <v>0</v>
      </c>
      <c r="M936" s="42">
        <f>Table2[[#This Row],[OnHandQty]]-Table2[[#This Row],[Projection Nov/Dec]]</f>
        <v>25</v>
      </c>
      <c r="N936" s="35">
        <f>Table2[[#This Row],[OverStock]]*Table2[[#This Row],[RepCost]]</f>
        <v>227.3775</v>
      </c>
      <c r="O936" s="25">
        <v>46140.479166666664</v>
      </c>
      <c r="P936" s="26" t="s">
        <v>1841</v>
      </c>
    </row>
    <row r="937" spans="1:16" x14ac:dyDescent="0.25">
      <c r="A937" s="20" t="s">
        <v>5211</v>
      </c>
      <c r="B937" s="21">
        <v>714</v>
      </c>
      <c r="C937" s="22" t="s">
        <v>1749</v>
      </c>
      <c r="D937" s="22" t="s">
        <v>3556</v>
      </c>
      <c r="E937" s="22" t="str">
        <f>CONCATENATE(B937,D937)</f>
        <v>71466779-006</v>
      </c>
      <c r="F937" s="22" t="s">
        <v>3557</v>
      </c>
      <c r="G937" s="22" t="s">
        <v>112</v>
      </c>
      <c r="H937" s="23">
        <v>9.0951000000000004</v>
      </c>
      <c r="I937" s="24">
        <v>25</v>
      </c>
      <c r="J937" s="24">
        <v>0</v>
      </c>
      <c r="K937" s="24">
        <v>0</v>
      </c>
      <c r="L937" s="41">
        <f>Table2[[#This Row],[Column1]]+Table2[[#This Row],[Column2]]</f>
        <v>0</v>
      </c>
      <c r="M937" s="42">
        <f>Table2[[#This Row],[OnHandQty]]-Table2[[#This Row],[Projection Nov/Dec]]</f>
        <v>25</v>
      </c>
      <c r="N937" s="35">
        <f>Table2[[#This Row],[OverStock]]*Table2[[#This Row],[RepCost]]</f>
        <v>227.3775</v>
      </c>
      <c r="O937" s="25">
        <v>46140.479166666664</v>
      </c>
      <c r="P937" s="26" t="s">
        <v>1841</v>
      </c>
    </row>
    <row r="938" spans="1:16" x14ac:dyDescent="0.25">
      <c r="A938" s="20" t="s">
        <v>5211</v>
      </c>
      <c r="B938" s="21">
        <v>636</v>
      </c>
      <c r="C938" s="22" t="s">
        <v>143</v>
      </c>
      <c r="D938" s="22" t="s">
        <v>1200</v>
      </c>
      <c r="E938" s="22" t="str">
        <f>CONCATENATE(B938,D938)</f>
        <v>63666782-254</v>
      </c>
      <c r="F938" s="22" t="s">
        <v>1201</v>
      </c>
      <c r="G938" s="22" t="s">
        <v>29</v>
      </c>
      <c r="H938" s="23">
        <v>176.1326</v>
      </c>
      <c r="I938" s="24">
        <v>7</v>
      </c>
      <c r="J938" s="24">
        <v>0</v>
      </c>
      <c r="K938" s="24">
        <v>0</v>
      </c>
      <c r="L938" s="41">
        <f>Table2[[#This Row],[Column1]]+Table2[[#This Row],[Column2]]</f>
        <v>0</v>
      </c>
      <c r="M938" s="42">
        <f>Table2[[#This Row],[OnHandQty]]-Table2[[#This Row],[Projection Nov/Dec]]</f>
        <v>7</v>
      </c>
      <c r="N938" s="35">
        <f>Table2[[#This Row],[OverStock]]*Table2[[#This Row],[RepCost]]</f>
        <v>1232.9282000000001</v>
      </c>
      <c r="O938" s="25">
        <v>46105.497916666667</v>
      </c>
      <c r="P938" s="26" t="s">
        <v>165</v>
      </c>
    </row>
    <row r="939" spans="1:16" x14ac:dyDescent="0.25">
      <c r="A939" s="20" t="s">
        <v>5211</v>
      </c>
      <c r="B939" s="21">
        <v>714</v>
      </c>
      <c r="C939" s="22" t="s">
        <v>143</v>
      </c>
      <c r="D939" s="22" t="s">
        <v>2575</v>
      </c>
      <c r="E939" s="22" t="str">
        <f>CONCATENATE(B939,D939)</f>
        <v>71485089-103</v>
      </c>
      <c r="F939" s="22" t="s">
        <v>2576</v>
      </c>
      <c r="G939" s="22" t="s">
        <v>39</v>
      </c>
      <c r="H939" s="23">
        <v>22.5654</v>
      </c>
      <c r="I939" s="24">
        <v>2</v>
      </c>
      <c r="J939" s="24">
        <v>0</v>
      </c>
      <c r="K939" s="24">
        <v>0</v>
      </c>
      <c r="L939" s="41">
        <f>Table2[[#This Row],[Column1]]+Table2[[#This Row],[Column2]]</f>
        <v>0</v>
      </c>
      <c r="M939" s="42">
        <f>Table2[[#This Row],[OnHandQty]]-Table2[[#This Row],[Projection Nov/Dec]]</f>
        <v>2</v>
      </c>
      <c r="N939" s="35">
        <f>Table2[[#This Row],[OverStock]]*Table2[[#This Row],[RepCost]]</f>
        <v>45.130800000000001</v>
      </c>
      <c r="O939" s="25">
        <v>46185.573611111111</v>
      </c>
      <c r="P939" s="26" t="s">
        <v>140</v>
      </c>
    </row>
    <row r="940" spans="1:16" x14ac:dyDescent="0.25">
      <c r="A940" s="20" t="s">
        <v>5211</v>
      </c>
      <c r="B940" s="21">
        <v>634</v>
      </c>
      <c r="C940" s="22" t="s">
        <v>143</v>
      </c>
      <c r="D940" s="22" t="s">
        <v>277</v>
      </c>
      <c r="E940" s="22" t="str">
        <f>CONCATENATE(B940,D940)</f>
        <v>63480034-254</v>
      </c>
      <c r="F940" s="22" t="s">
        <v>278</v>
      </c>
      <c r="G940" s="22" t="s">
        <v>29</v>
      </c>
      <c r="H940" s="23">
        <v>187.08340000000001</v>
      </c>
      <c r="I940" s="24">
        <v>3</v>
      </c>
      <c r="J940" s="24">
        <v>0</v>
      </c>
      <c r="K940" s="24">
        <v>0</v>
      </c>
      <c r="L940" s="41">
        <f>Table2[[#This Row],[Column1]]+Table2[[#This Row],[Column2]]</f>
        <v>0</v>
      </c>
      <c r="M940" s="42">
        <f>Table2[[#This Row],[OnHandQty]]-Table2[[#This Row],[Projection Nov/Dec]]</f>
        <v>3</v>
      </c>
      <c r="N940" s="35">
        <f>Table2[[#This Row],[OverStock]]*Table2[[#This Row],[RepCost]]</f>
        <v>561.25020000000006</v>
      </c>
      <c r="O940" s="25">
        <v>46119.724999999999</v>
      </c>
      <c r="P940" s="26" t="s">
        <v>165</v>
      </c>
    </row>
    <row r="941" spans="1:16" x14ac:dyDescent="0.25">
      <c r="A941" s="20" t="s">
        <v>5211</v>
      </c>
      <c r="B941" s="21">
        <v>636</v>
      </c>
      <c r="C941" s="22" t="s">
        <v>143</v>
      </c>
      <c r="D941" s="22" t="s">
        <v>1150</v>
      </c>
      <c r="E941" s="22" t="str">
        <f>CONCATENATE(B941,D941)</f>
        <v>63666801-305</v>
      </c>
      <c r="F941" s="22" t="s">
        <v>1151</v>
      </c>
      <c r="G941" s="22" t="s">
        <v>19</v>
      </c>
      <c r="H941" s="23">
        <v>203.73820000000001</v>
      </c>
      <c r="I941" s="24">
        <v>2</v>
      </c>
      <c r="J941" s="24">
        <v>0</v>
      </c>
      <c r="K941" s="24">
        <v>0</v>
      </c>
      <c r="L941" s="41">
        <f>Table2[[#This Row],[Column1]]+Table2[[#This Row],[Column2]]</f>
        <v>0</v>
      </c>
      <c r="M941" s="42">
        <f>Table2[[#This Row],[OnHandQty]]-Table2[[#This Row],[Projection Nov/Dec]]</f>
        <v>2</v>
      </c>
      <c r="N941" s="35">
        <f>Table2[[#This Row],[OverStock]]*Table2[[#This Row],[RepCost]]</f>
        <v>407.47640000000001</v>
      </c>
      <c r="O941" s="25">
        <v>45971.493750000001</v>
      </c>
      <c r="P941" s="26" t="s">
        <v>165</v>
      </c>
    </row>
    <row r="942" spans="1:16" x14ac:dyDescent="0.25">
      <c r="A942" s="20" t="s">
        <v>5211</v>
      </c>
      <c r="B942" s="21">
        <v>634</v>
      </c>
      <c r="C942" s="22" t="s">
        <v>143</v>
      </c>
      <c r="D942" s="22" t="s">
        <v>237</v>
      </c>
      <c r="E942" s="22" t="str">
        <f>CONCATENATE(B942,D942)</f>
        <v>63466801-254</v>
      </c>
      <c r="F942" s="22" t="s">
        <v>238</v>
      </c>
      <c r="G942" s="22" t="s">
        <v>29</v>
      </c>
      <c r="H942" s="23">
        <v>187.08340000000001</v>
      </c>
      <c r="I942" s="24">
        <v>5</v>
      </c>
      <c r="J942" s="24">
        <v>0</v>
      </c>
      <c r="K942" s="24">
        <v>0</v>
      </c>
      <c r="L942" s="41">
        <f>Table2[[#This Row],[Column1]]+Table2[[#This Row],[Column2]]</f>
        <v>0</v>
      </c>
      <c r="M942" s="42">
        <f>Table2[[#This Row],[OnHandQty]]-Table2[[#This Row],[Projection Nov/Dec]]</f>
        <v>5</v>
      </c>
      <c r="N942" s="35">
        <f>Table2[[#This Row],[OverStock]]*Table2[[#This Row],[RepCost]]</f>
        <v>935.41700000000003</v>
      </c>
      <c r="O942" s="25">
        <v>46119.724999999999</v>
      </c>
      <c r="P942" s="26" t="s">
        <v>165</v>
      </c>
    </row>
    <row r="943" spans="1:16" x14ac:dyDescent="0.25">
      <c r="A943" s="20" t="s">
        <v>5211</v>
      </c>
      <c r="B943" s="21">
        <v>634</v>
      </c>
      <c r="C943" s="22" t="s">
        <v>143</v>
      </c>
      <c r="D943" s="22" t="s">
        <v>279</v>
      </c>
      <c r="E943" s="22" t="str">
        <f>CONCATENATE(B943,D943)</f>
        <v>63466797-254</v>
      </c>
      <c r="F943" s="22" t="s">
        <v>280</v>
      </c>
      <c r="G943" s="22" t="s">
        <v>19</v>
      </c>
      <c r="H943" s="23">
        <v>187.08340000000001</v>
      </c>
      <c r="I943" s="24">
        <v>1</v>
      </c>
      <c r="J943" s="24">
        <v>0</v>
      </c>
      <c r="K943" s="24">
        <v>0</v>
      </c>
      <c r="L943" s="41">
        <f>Table2[[#This Row],[Column1]]+Table2[[#This Row],[Column2]]</f>
        <v>0</v>
      </c>
      <c r="M943" s="42">
        <f>Table2[[#This Row],[OnHandQty]]-Table2[[#This Row],[Projection Nov/Dec]]</f>
        <v>1</v>
      </c>
      <c r="N943" s="35">
        <f>Table2[[#This Row],[OverStock]]*Table2[[#This Row],[RepCost]]</f>
        <v>187.08340000000001</v>
      </c>
      <c r="O943" s="25">
        <v>46119.724999999999</v>
      </c>
      <c r="P943" s="26" t="s">
        <v>165</v>
      </c>
    </row>
    <row r="944" spans="1:16" x14ac:dyDescent="0.25">
      <c r="A944" s="20" t="s">
        <v>5211</v>
      </c>
      <c r="B944" s="21">
        <v>634</v>
      </c>
      <c r="C944" s="22" t="s">
        <v>143</v>
      </c>
      <c r="D944" s="22" t="s">
        <v>171</v>
      </c>
      <c r="E944" s="22" t="str">
        <f>CONCATENATE(B944,D944)</f>
        <v>63466825-254</v>
      </c>
      <c r="F944" s="22" t="s">
        <v>172</v>
      </c>
      <c r="G944" s="22" t="s">
        <v>19</v>
      </c>
      <c r="H944" s="23">
        <v>187.08340000000001</v>
      </c>
      <c r="I944" s="24">
        <v>3</v>
      </c>
      <c r="J944" s="24">
        <v>0</v>
      </c>
      <c r="K944" s="24">
        <v>0</v>
      </c>
      <c r="L944" s="41">
        <f>Table2[[#This Row],[Column1]]+Table2[[#This Row],[Column2]]</f>
        <v>0</v>
      </c>
      <c r="M944" s="42">
        <f>Table2[[#This Row],[OnHandQty]]-Table2[[#This Row],[Projection Nov/Dec]]</f>
        <v>3</v>
      </c>
      <c r="N944" s="35">
        <f>Table2[[#This Row],[OverStock]]*Table2[[#This Row],[RepCost]]</f>
        <v>561.25020000000006</v>
      </c>
      <c r="O944" s="25">
        <v>46119.724999999999</v>
      </c>
      <c r="P944" s="26" t="s">
        <v>165</v>
      </c>
    </row>
    <row r="945" spans="1:16" x14ac:dyDescent="0.25">
      <c r="A945" s="20" t="s">
        <v>5211</v>
      </c>
      <c r="B945" s="21">
        <v>714</v>
      </c>
      <c r="C945" s="22" t="s">
        <v>143</v>
      </c>
      <c r="D945" s="22" t="s">
        <v>2589</v>
      </c>
      <c r="E945" s="22" t="str">
        <f>CONCATENATE(B945,D945)</f>
        <v>71466825-103</v>
      </c>
      <c r="F945" s="22" t="s">
        <v>2590</v>
      </c>
      <c r="G945" s="22" t="s">
        <v>29</v>
      </c>
      <c r="H945" s="23">
        <v>17.760200000000001</v>
      </c>
      <c r="I945" s="24">
        <v>14</v>
      </c>
      <c r="J945" s="24">
        <v>0</v>
      </c>
      <c r="K945" s="24">
        <v>0</v>
      </c>
      <c r="L945" s="41">
        <f>Table2[[#This Row],[Column1]]+Table2[[#This Row],[Column2]]</f>
        <v>0</v>
      </c>
      <c r="M945" s="42">
        <f>Table2[[#This Row],[OnHandQty]]-Table2[[#This Row],[Projection Nov/Dec]]</f>
        <v>14</v>
      </c>
      <c r="N945" s="35">
        <f>Table2[[#This Row],[OverStock]]*Table2[[#This Row],[RepCost]]</f>
        <v>248.64280000000002</v>
      </c>
      <c r="O945" s="25">
        <v>46188.35</v>
      </c>
      <c r="P945" s="26" t="s">
        <v>26</v>
      </c>
    </row>
    <row r="946" spans="1:16" x14ac:dyDescent="0.25">
      <c r="A946" s="20" t="s">
        <v>5211</v>
      </c>
      <c r="B946" s="21">
        <v>714</v>
      </c>
      <c r="C946" s="22" t="s">
        <v>143</v>
      </c>
      <c r="D946" s="22" t="s">
        <v>2324</v>
      </c>
      <c r="E946" s="22" t="str">
        <f>CONCATENATE(B946,D946)</f>
        <v>71489916-305</v>
      </c>
      <c r="F946" s="22" t="s">
        <v>2325</v>
      </c>
      <c r="G946" s="22" t="s">
        <v>29</v>
      </c>
      <c r="H946" s="23">
        <v>85.165000000000006</v>
      </c>
      <c r="I946" s="24">
        <v>1</v>
      </c>
      <c r="J946" s="24">
        <v>0</v>
      </c>
      <c r="K946" s="24">
        <v>0</v>
      </c>
      <c r="L946" s="41">
        <f>Table2[[#This Row],[Column1]]+Table2[[#This Row],[Column2]]</f>
        <v>0</v>
      </c>
      <c r="M946" s="42">
        <f>Table2[[#This Row],[OnHandQty]]-Table2[[#This Row],[Projection Nov/Dec]]</f>
        <v>1</v>
      </c>
      <c r="N946" s="35">
        <f>Table2[[#This Row],[OverStock]]*Table2[[#This Row],[RepCost]]</f>
        <v>85.165000000000006</v>
      </c>
      <c r="O946" s="25">
        <v>46083.444444444445</v>
      </c>
      <c r="P946" s="26" t="s">
        <v>137</v>
      </c>
    </row>
    <row r="947" spans="1:16" x14ac:dyDescent="0.25">
      <c r="A947" s="20" t="s">
        <v>5211</v>
      </c>
      <c r="B947" s="21">
        <v>714</v>
      </c>
      <c r="C947" s="22" t="s">
        <v>143</v>
      </c>
      <c r="D947" s="22" t="s">
        <v>2312</v>
      </c>
      <c r="E947" s="22" t="str">
        <f>CONCATENATE(B947,D947)</f>
        <v>71466790-110</v>
      </c>
      <c r="F947" s="22" t="s">
        <v>2313</v>
      </c>
      <c r="G947" s="22" t="s">
        <v>19</v>
      </c>
      <c r="H947" s="23">
        <v>44.299199999999999</v>
      </c>
      <c r="I947" s="24">
        <v>1</v>
      </c>
      <c r="J947" s="24">
        <v>0</v>
      </c>
      <c r="K947" s="24">
        <v>0</v>
      </c>
      <c r="L947" s="41">
        <f>Table2[[#This Row],[Column1]]+Table2[[#This Row],[Column2]]</f>
        <v>0</v>
      </c>
      <c r="M947" s="42">
        <f>Table2[[#This Row],[OnHandQty]]-Table2[[#This Row],[Projection Nov/Dec]]</f>
        <v>1</v>
      </c>
      <c r="N947" s="35">
        <f>Table2[[#This Row],[OverStock]]*Table2[[#This Row],[RepCost]]</f>
        <v>44.299199999999999</v>
      </c>
      <c r="O947" s="25">
        <v>46188.35</v>
      </c>
      <c r="P947" s="26" t="s">
        <v>26</v>
      </c>
    </row>
    <row r="948" spans="1:16" x14ac:dyDescent="0.25">
      <c r="A948" s="20" t="s">
        <v>5211</v>
      </c>
      <c r="B948" s="21">
        <v>718</v>
      </c>
      <c r="C948" s="22" t="s">
        <v>143</v>
      </c>
      <c r="D948" s="22" t="s">
        <v>2288</v>
      </c>
      <c r="E948" s="22" t="str">
        <f>CONCATENATE(B948,D948)</f>
        <v>71866790-105</v>
      </c>
      <c r="F948" s="22" t="s">
        <v>2289</v>
      </c>
      <c r="G948" s="22" t="s">
        <v>29</v>
      </c>
      <c r="H948" s="23">
        <v>24.197299999999998</v>
      </c>
      <c r="I948" s="24">
        <v>2</v>
      </c>
      <c r="J948" s="24">
        <v>0</v>
      </c>
      <c r="K948" s="24">
        <v>0</v>
      </c>
      <c r="L948" s="41">
        <f>Table2[[#This Row],[Column1]]+Table2[[#This Row],[Column2]]</f>
        <v>0</v>
      </c>
      <c r="M948" s="42">
        <f>Table2[[#This Row],[OnHandQty]]-Table2[[#This Row],[Projection Nov/Dec]]</f>
        <v>2</v>
      </c>
      <c r="N948" s="35">
        <f>Table2[[#This Row],[OverStock]]*Table2[[#This Row],[RepCost]]</f>
        <v>48.394599999999997</v>
      </c>
      <c r="O948" s="25">
        <v>45497.509027777778</v>
      </c>
      <c r="P948" s="26" t="s">
        <v>195</v>
      </c>
    </row>
    <row r="949" spans="1:16" x14ac:dyDescent="0.25">
      <c r="A949" s="20" t="s">
        <v>5211</v>
      </c>
      <c r="B949" s="21">
        <v>714</v>
      </c>
      <c r="C949" s="22" t="s">
        <v>143</v>
      </c>
      <c r="D949" s="22" t="s">
        <v>2288</v>
      </c>
      <c r="E949" s="22" t="str">
        <f>CONCATENATE(B949,D949)</f>
        <v>71466790-105</v>
      </c>
      <c r="F949" s="22" t="s">
        <v>2289</v>
      </c>
      <c r="G949" s="22" t="s">
        <v>29</v>
      </c>
      <c r="H949" s="23">
        <v>24.197299999999998</v>
      </c>
      <c r="I949" s="24">
        <v>16</v>
      </c>
      <c r="J949" s="24">
        <v>0</v>
      </c>
      <c r="K949" s="24">
        <v>0</v>
      </c>
      <c r="L949" s="41">
        <f>Table2[[#This Row],[Column1]]+Table2[[#This Row],[Column2]]</f>
        <v>0</v>
      </c>
      <c r="M949" s="42">
        <f>Table2[[#This Row],[OnHandQty]]-Table2[[#This Row],[Projection Nov/Dec]]</f>
        <v>16</v>
      </c>
      <c r="N949" s="35">
        <f>Table2[[#This Row],[OverStock]]*Table2[[#This Row],[RepCost]]</f>
        <v>387.15679999999998</v>
      </c>
      <c r="O949" s="25">
        <v>46188.35</v>
      </c>
      <c r="P949" s="26" t="s">
        <v>26</v>
      </c>
    </row>
    <row r="950" spans="1:16" x14ac:dyDescent="0.25">
      <c r="A950" s="20" t="s">
        <v>5211</v>
      </c>
      <c r="B950" s="21">
        <v>636</v>
      </c>
      <c r="C950" s="22" t="s">
        <v>143</v>
      </c>
      <c r="D950" s="22" t="s">
        <v>1076</v>
      </c>
      <c r="E950" s="22" t="str">
        <f>CONCATENATE(B950,D950)</f>
        <v>63666790-254</v>
      </c>
      <c r="F950" s="22" t="s">
        <v>1077</v>
      </c>
      <c r="G950" s="22" t="s">
        <v>19</v>
      </c>
      <c r="H950" s="23">
        <v>176.1326</v>
      </c>
      <c r="I950" s="24">
        <v>6</v>
      </c>
      <c r="J950" s="24">
        <v>0</v>
      </c>
      <c r="K950" s="24">
        <v>0</v>
      </c>
      <c r="L950" s="41">
        <f>Table2[[#This Row],[Column1]]+Table2[[#This Row],[Column2]]</f>
        <v>0</v>
      </c>
      <c r="M950" s="42">
        <f>Table2[[#This Row],[OnHandQty]]-Table2[[#This Row],[Projection Nov/Dec]]</f>
        <v>6</v>
      </c>
      <c r="N950" s="35">
        <f>Table2[[#This Row],[OverStock]]*Table2[[#This Row],[RepCost]]</f>
        <v>1056.7955999999999</v>
      </c>
      <c r="O950" s="25">
        <v>46105.497916666667</v>
      </c>
      <c r="P950" s="26" t="s">
        <v>165</v>
      </c>
    </row>
    <row r="951" spans="1:16" x14ac:dyDescent="0.25">
      <c r="A951" s="20" t="s">
        <v>5211</v>
      </c>
      <c r="B951" s="21">
        <v>636</v>
      </c>
      <c r="C951" s="22" t="s">
        <v>143</v>
      </c>
      <c r="D951" s="22" t="s">
        <v>1096</v>
      </c>
      <c r="E951" s="22" t="str">
        <f>CONCATENATE(B951,D951)</f>
        <v>63675996-248</v>
      </c>
      <c r="F951" s="22" t="s">
        <v>1097</v>
      </c>
      <c r="G951" s="22" t="s">
        <v>19</v>
      </c>
      <c r="H951" s="23">
        <v>152.5735</v>
      </c>
      <c r="I951" s="24">
        <v>7</v>
      </c>
      <c r="J951" s="24">
        <v>0</v>
      </c>
      <c r="K951" s="24">
        <v>0</v>
      </c>
      <c r="L951" s="41">
        <f>Table2[[#This Row],[Column1]]+Table2[[#This Row],[Column2]]</f>
        <v>0</v>
      </c>
      <c r="M951" s="42">
        <f>Table2[[#This Row],[OnHandQty]]-Table2[[#This Row],[Projection Nov/Dec]]</f>
        <v>7</v>
      </c>
      <c r="N951" s="35">
        <f>Table2[[#This Row],[OverStock]]*Table2[[#This Row],[RepCost]]</f>
        <v>1068.0145</v>
      </c>
      <c r="O951" s="25">
        <v>46105.497916666667</v>
      </c>
      <c r="P951" s="26" t="s">
        <v>165</v>
      </c>
    </row>
    <row r="952" spans="1:16" x14ac:dyDescent="0.25">
      <c r="A952" s="20" t="s">
        <v>5211</v>
      </c>
      <c r="B952" s="21">
        <v>636</v>
      </c>
      <c r="C952" s="22" t="s">
        <v>143</v>
      </c>
      <c r="D952" s="22" t="s">
        <v>1043</v>
      </c>
      <c r="E952" s="22" t="str">
        <f>CONCATENATE(B952,D952)</f>
        <v>63675996-305</v>
      </c>
      <c r="F952" s="27" t="s">
        <v>1044</v>
      </c>
      <c r="G952" s="27" t="s">
        <v>58</v>
      </c>
      <c r="H952" s="23">
        <v>203.73820000000001</v>
      </c>
      <c r="I952" s="24">
        <v>4</v>
      </c>
      <c r="J952" s="24">
        <v>0</v>
      </c>
      <c r="K952" s="24">
        <v>0</v>
      </c>
      <c r="L952" s="41">
        <f>Table2[[#This Row],[Column1]]+Table2[[#This Row],[Column2]]</f>
        <v>0</v>
      </c>
      <c r="M952" s="42">
        <f>Table2[[#This Row],[OnHandQty]]-Table2[[#This Row],[Projection Nov/Dec]]</f>
        <v>4</v>
      </c>
      <c r="N952" s="35">
        <f>Table2[[#This Row],[OverStock]]*Table2[[#This Row],[RepCost]]</f>
        <v>814.95280000000002</v>
      </c>
      <c r="O952" s="25">
        <v>45971.493750000001</v>
      </c>
      <c r="P952" s="26" t="s">
        <v>165</v>
      </c>
    </row>
    <row r="953" spans="1:16" x14ac:dyDescent="0.25">
      <c r="A953" s="20" t="s">
        <v>5211</v>
      </c>
      <c r="B953" s="21">
        <v>714</v>
      </c>
      <c r="C953" s="22" t="s">
        <v>143</v>
      </c>
      <c r="D953" s="22" t="s">
        <v>2338</v>
      </c>
      <c r="E953" s="22" t="str">
        <f>CONCATENATE(B953,D953)</f>
        <v>71466805-105</v>
      </c>
      <c r="F953" s="22" t="s">
        <v>2339</v>
      </c>
      <c r="G953" s="22" t="s">
        <v>39</v>
      </c>
      <c r="H953" s="23">
        <v>24.197299999999998</v>
      </c>
      <c r="I953" s="24">
        <v>3</v>
      </c>
      <c r="J953" s="24">
        <v>0</v>
      </c>
      <c r="K953" s="24">
        <v>0</v>
      </c>
      <c r="L953" s="41">
        <f>Table2[[#This Row],[Column1]]+Table2[[#This Row],[Column2]]</f>
        <v>0</v>
      </c>
      <c r="M953" s="42">
        <f>Table2[[#This Row],[OnHandQty]]-Table2[[#This Row],[Projection Nov/Dec]]</f>
        <v>3</v>
      </c>
      <c r="N953" s="35">
        <f>Table2[[#This Row],[OverStock]]*Table2[[#This Row],[RepCost]]</f>
        <v>72.591899999999995</v>
      </c>
      <c r="O953" s="25">
        <v>46188.35</v>
      </c>
      <c r="P953" s="26" t="s">
        <v>26</v>
      </c>
    </row>
    <row r="954" spans="1:16" x14ac:dyDescent="0.25">
      <c r="A954" s="20" t="s">
        <v>5211</v>
      </c>
      <c r="B954" s="21">
        <v>714</v>
      </c>
      <c r="C954" s="22" t="s">
        <v>143</v>
      </c>
      <c r="D954" s="22" t="s">
        <v>2477</v>
      </c>
      <c r="E954" s="22" t="str">
        <f>CONCATENATE(B954,D954)</f>
        <v>71481298-STD110</v>
      </c>
      <c r="F954" s="22" t="s">
        <v>2478</v>
      </c>
      <c r="G954" s="22" t="s">
        <v>29</v>
      </c>
      <c r="H954" s="23">
        <v>69.934100000000001</v>
      </c>
      <c r="I954" s="24">
        <v>1</v>
      </c>
      <c r="J954" s="24">
        <v>0</v>
      </c>
      <c r="K954" s="24">
        <v>0</v>
      </c>
      <c r="L954" s="41">
        <f>Table2[[#This Row],[Column1]]+Table2[[#This Row],[Column2]]</f>
        <v>0</v>
      </c>
      <c r="M954" s="42">
        <f>Table2[[#This Row],[OnHandQty]]-Table2[[#This Row],[Projection Nov/Dec]]</f>
        <v>1</v>
      </c>
      <c r="N954" s="35">
        <f>Table2[[#This Row],[OverStock]]*Table2[[#This Row],[RepCost]]</f>
        <v>69.934100000000001</v>
      </c>
      <c r="O954" s="25">
        <v>46098.381249999999</v>
      </c>
      <c r="P954" s="26" t="s">
        <v>885</v>
      </c>
    </row>
    <row r="955" spans="1:16" x14ac:dyDescent="0.25">
      <c r="A955" s="20" t="s">
        <v>5211</v>
      </c>
      <c r="B955" s="21">
        <v>714</v>
      </c>
      <c r="C955" s="22" t="s">
        <v>70</v>
      </c>
      <c r="D955" s="22" t="s">
        <v>1983</v>
      </c>
      <c r="E955" s="22" t="str">
        <f>CONCATENATE(B955,D955)</f>
        <v>71486093-102</v>
      </c>
      <c r="F955" s="22" t="s">
        <v>1984</v>
      </c>
      <c r="G955" s="22" t="s">
        <v>39</v>
      </c>
      <c r="H955" s="23">
        <v>14.3201</v>
      </c>
      <c r="I955" s="24">
        <v>7</v>
      </c>
      <c r="J955" s="24">
        <v>0</v>
      </c>
      <c r="K955" s="24">
        <v>0</v>
      </c>
      <c r="L955" s="41">
        <f>Table2[[#This Row],[Column1]]+Table2[[#This Row],[Column2]]</f>
        <v>0</v>
      </c>
      <c r="M955" s="42">
        <f>Table2[[#This Row],[OnHandQty]]-Table2[[#This Row],[Projection Nov/Dec]]</f>
        <v>7</v>
      </c>
      <c r="N955" s="35">
        <f>Table2[[#This Row],[OverStock]]*Table2[[#This Row],[RepCost]]</f>
        <v>100.2407</v>
      </c>
      <c r="O955" s="25">
        <v>46198.40902777778</v>
      </c>
      <c r="P955" s="26" t="s">
        <v>573</v>
      </c>
    </row>
    <row r="956" spans="1:16" x14ac:dyDescent="0.25">
      <c r="A956" s="20" t="s">
        <v>5211</v>
      </c>
      <c r="B956" s="21">
        <v>718</v>
      </c>
      <c r="C956" s="22" t="s">
        <v>70</v>
      </c>
      <c r="D956" s="22" t="s">
        <v>1983</v>
      </c>
      <c r="E956" s="22" t="str">
        <f>CONCATENATE(B956,D956)</f>
        <v>71886093-102</v>
      </c>
      <c r="F956" s="22" t="s">
        <v>1984</v>
      </c>
      <c r="G956" s="22" t="s">
        <v>39</v>
      </c>
      <c r="H956" s="23">
        <v>13.375500000000001</v>
      </c>
      <c r="I956" s="24">
        <v>1</v>
      </c>
      <c r="J956" s="24">
        <v>0</v>
      </c>
      <c r="K956" s="24">
        <v>0</v>
      </c>
      <c r="L956" s="41">
        <f>Table2[[#This Row],[Column1]]+Table2[[#This Row],[Column2]]</f>
        <v>0</v>
      </c>
      <c r="M956" s="42">
        <f>Table2[[#This Row],[OnHandQty]]-Table2[[#This Row],[Projection Nov/Dec]]</f>
        <v>1</v>
      </c>
      <c r="N956" s="35">
        <f>Table2[[#This Row],[OverStock]]*Table2[[#This Row],[RepCost]]</f>
        <v>13.375500000000001</v>
      </c>
      <c r="O956" s="25">
        <v>46232.6</v>
      </c>
      <c r="P956" s="26" t="s">
        <v>573</v>
      </c>
    </row>
    <row r="957" spans="1:16" x14ac:dyDescent="0.25">
      <c r="A957" s="20" t="s">
        <v>5211</v>
      </c>
      <c r="B957" s="21">
        <v>718</v>
      </c>
      <c r="C957" s="22" t="s">
        <v>70</v>
      </c>
      <c r="D957" s="22" t="s">
        <v>3629</v>
      </c>
      <c r="E957" s="22" t="str">
        <f>CONCATENATE(B957,D957)</f>
        <v>71890169-102</v>
      </c>
      <c r="F957" s="22" t="s">
        <v>3630</v>
      </c>
      <c r="G957" s="22" t="s">
        <v>81</v>
      </c>
      <c r="H957" s="23">
        <v>13.375500000000001</v>
      </c>
      <c r="I957" s="24">
        <v>4</v>
      </c>
      <c r="J957" s="24">
        <v>0</v>
      </c>
      <c r="K957" s="24">
        <v>0</v>
      </c>
      <c r="L957" s="41">
        <f>Table2[[#This Row],[Column1]]+Table2[[#This Row],[Column2]]</f>
        <v>0</v>
      </c>
      <c r="M957" s="42">
        <f>Table2[[#This Row],[OnHandQty]]-Table2[[#This Row],[Projection Nov/Dec]]</f>
        <v>4</v>
      </c>
      <c r="N957" s="35">
        <f>Table2[[#This Row],[OverStock]]*Table2[[#This Row],[RepCost]]</f>
        <v>53.502000000000002</v>
      </c>
      <c r="O957" s="25">
        <v>46232.6</v>
      </c>
      <c r="P957" s="26" t="s">
        <v>573</v>
      </c>
    </row>
    <row r="958" spans="1:16" x14ac:dyDescent="0.25">
      <c r="A958" s="20" t="s">
        <v>5211</v>
      </c>
      <c r="B958" s="21">
        <v>636</v>
      </c>
      <c r="C958" s="22" t="s">
        <v>855</v>
      </c>
      <c r="D958" s="22" t="s">
        <v>856</v>
      </c>
      <c r="E958" s="22" t="str">
        <f>CONCATENATE(B958,D958)</f>
        <v>636XMSCNJF90050</v>
      </c>
      <c r="F958" s="22" t="s">
        <v>857</v>
      </c>
      <c r="G958" s="22" t="s">
        <v>29</v>
      </c>
      <c r="H958" s="23">
        <v>1.8646</v>
      </c>
      <c r="I958" s="24">
        <v>19</v>
      </c>
      <c r="J958" s="24">
        <v>9</v>
      </c>
      <c r="K958" s="24">
        <v>2</v>
      </c>
      <c r="L958" s="41">
        <f>Table2[[#This Row],[Column1]]+Table2[[#This Row],[Column2]]</f>
        <v>11</v>
      </c>
      <c r="M958" s="42">
        <f>Table2[[#This Row],[OnHandQty]]-Table2[[#This Row],[Projection Nov/Dec]]</f>
        <v>8</v>
      </c>
      <c r="N958" s="35">
        <f>Table2[[#This Row],[OverStock]]*Table2[[#This Row],[RepCost]]</f>
        <v>14.9168</v>
      </c>
      <c r="O958" s="25">
        <v>45985.390972222223</v>
      </c>
      <c r="P958" s="26" t="s">
        <v>652</v>
      </c>
    </row>
    <row r="959" spans="1:16" x14ac:dyDescent="0.25">
      <c r="A959" s="20" t="s">
        <v>5211</v>
      </c>
      <c r="B959" s="21">
        <v>718</v>
      </c>
      <c r="C959" s="22" t="s">
        <v>70</v>
      </c>
      <c r="D959" s="22" t="s">
        <v>2147</v>
      </c>
      <c r="E959" s="22" t="str">
        <f>CONCATENATE(B959,D959)</f>
        <v>71866867-102</v>
      </c>
      <c r="F959" s="22" t="s">
        <v>2148</v>
      </c>
      <c r="G959" s="22" t="s">
        <v>112</v>
      </c>
      <c r="H959" s="23">
        <v>7.2092999999999998</v>
      </c>
      <c r="I959" s="24">
        <v>40</v>
      </c>
      <c r="J959" s="24">
        <v>6</v>
      </c>
      <c r="K959" s="24">
        <v>0</v>
      </c>
      <c r="L959" s="41">
        <f>Table2[[#This Row],[Column1]]+Table2[[#This Row],[Column2]]</f>
        <v>6</v>
      </c>
      <c r="M959" s="42">
        <f>Table2[[#This Row],[OnHandQty]]-Table2[[#This Row],[Projection Nov/Dec]]</f>
        <v>34</v>
      </c>
      <c r="N959" s="35">
        <f>Table2[[#This Row],[OverStock]]*Table2[[#This Row],[RepCost]]</f>
        <v>245.11619999999999</v>
      </c>
      <c r="O959" s="25">
        <v>46225.595138888886</v>
      </c>
      <c r="P959" s="26" t="s">
        <v>40</v>
      </c>
    </row>
    <row r="960" spans="1:16" x14ac:dyDescent="0.25">
      <c r="A960" s="20" t="s">
        <v>5211</v>
      </c>
      <c r="B960" s="21">
        <v>714</v>
      </c>
      <c r="C960" s="22" t="s">
        <v>70</v>
      </c>
      <c r="D960" s="22" t="s">
        <v>2147</v>
      </c>
      <c r="E960" s="22" t="str">
        <f>CONCATENATE(B960,D960)</f>
        <v>71466867-102</v>
      </c>
      <c r="F960" s="22" t="s">
        <v>2148</v>
      </c>
      <c r="G960" s="22" t="s">
        <v>112</v>
      </c>
      <c r="H960" s="23">
        <v>7.4527000000000001</v>
      </c>
      <c r="I960" s="24">
        <v>9</v>
      </c>
      <c r="J960" s="24">
        <v>6</v>
      </c>
      <c r="K960" s="24">
        <v>0</v>
      </c>
      <c r="L960" s="41">
        <f>Table2[[#This Row],[Column1]]+Table2[[#This Row],[Column2]]</f>
        <v>6</v>
      </c>
      <c r="M960" s="42">
        <f>Table2[[#This Row],[OnHandQty]]-Table2[[#This Row],[Projection Nov/Dec]]</f>
        <v>3</v>
      </c>
      <c r="N960" s="35">
        <f>Table2[[#This Row],[OverStock]]*Table2[[#This Row],[RepCost]]</f>
        <v>22.3581</v>
      </c>
      <c r="O960" s="25">
        <v>46232.375694444447</v>
      </c>
      <c r="P960" s="26" t="s">
        <v>40</v>
      </c>
    </row>
    <row r="961" spans="1:16" x14ac:dyDescent="0.25">
      <c r="A961" s="20" t="s">
        <v>5211</v>
      </c>
      <c r="B961" s="21">
        <v>636</v>
      </c>
      <c r="C961" s="22" t="s">
        <v>70</v>
      </c>
      <c r="D961" s="22" t="s">
        <v>618</v>
      </c>
      <c r="E961" s="22" t="str">
        <f>CONCATENATE(B961,D961)</f>
        <v>63666868-101</v>
      </c>
      <c r="F961" s="22" t="s">
        <v>619</v>
      </c>
      <c r="G961" s="22" t="s">
        <v>29</v>
      </c>
      <c r="H961" s="23">
        <v>7.5644999999999998</v>
      </c>
      <c r="I961" s="24">
        <v>12</v>
      </c>
      <c r="J961" s="24">
        <v>6</v>
      </c>
      <c r="K961" s="24">
        <v>0</v>
      </c>
      <c r="L961" s="41">
        <f>Table2[[#This Row],[Column1]]+Table2[[#This Row],[Column2]]</f>
        <v>6</v>
      </c>
      <c r="M961" s="42">
        <f>Table2[[#This Row],[OnHandQty]]-Table2[[#This Row],[Projection Nov/Dec]]</f>
        <v>6</v>
      </c>
      <c r="N961" s="35">
        <f>Table2[[#This Row],[OverStock]]*Table2[[#This Row],[RepCost]]</f>
        <v>45.387</v>
      </c>
      <c r="O961" s="25">
        <v>46248.390277777777</v>
      </c>
      <c r="P961" s="26" t="s">
        <v>16</v>
      </c>
    </row>
    <row r="962" spans="1:16" x14ac:dyDescent="0.25">
      <c r="A962" s="20" t="s">
        <v>5211</v>
      </c>
      <c r="B962" s="21">
        <v>636</v>
      </c>
      <c r="C962" s="22" t="s">
        <v>70</v>
      </c>
      <c r="D962" s="22" t="s">
        <v>708</v>
      </c>
      <c r="E962" s="22" t="str">
        <f>CONCATENATE(B962,D962)</f>
        <v>63667046-102</v>
      </c>
      <c r="F962" s="22" t="s">
        <v>709</v>
      </c>
      <c r="G962" s="22" t="s">
        <v>29</v>
      </c>
      <c r="H962" s="23">
        <v>7.0396999999999998</v>
      </c>
      <c r="I962" s="24">
        <v>1</v>
      </c>
      <c r="J962" s="24">
        <v>0</v>
      </c>
      <c r="K962" s="24">
        <v>0</v>
      </c>
      <c r="L962" s="41">
        <f>Table2[[#This Row],[Column1]]+Table2[[#This Row],[Column2]]</f>
        <v>0</v>
      </c>
      <c r="M962" s="42">
        <f>Table2[[#This Row],[OnHandQty]]-Table2[[#This Row],[Projection Nov/Dec]]</f>
        <v>1</v>
      </c>
      <c r="N962" s="35">
        <f>Table2[[#This Row],[OverStock]]*Table2[[#This Row],[RepCost]]</f>
        <v>7.0396999999999998</v>
      </c>
      <c r="O962" s="25">
        <v>46216.52847222222</v>
      </c>
      <c r="P962" s="26" t="s">
        <v>40</v>
      </c>
    </row>
    <row r="963" spans="1:16" x14ac:dyDescent="0.25">
      <c r="A963" s="20" t="s">
        <v>5211</v>
      </c>
      <c r="B963" s="21">
        <v>714</v>
      </c>
      <c r="C963" s="22" t="s">
        <v>70</v>
      </c>
      <c r="D963" s="22" t="s">
        <v>2024</v>
      </c>
      <c r="E963" s="22" t="str">
        <f>CONCATENATE(B963,D963)</f>
        <v>71466904-101</v>
      </c>
      <c r="F963" s="22" t="s">
        <v>2025</v>
      </c>
      <c r="G963" s="22" t="s">
        <v>112</v>
      </c>
      <c r="H963" s="23">
        <v>5.5895999999999999</v>
      </c>
      <c r="I963" s="24">
        <v>21</v>
      </c>
      <c r="J963" s="24">
        <v>0</v>
      </c>
      <c r="K963" s="24">
        <v>0</v>
      </c>
      <c r="L963" s="41">
        <f>Table2[[#This Row],[Column1]]+Table2[[#This Row],[Column2]]</f>
        <v>0</v>
      </c>
      <c r="M963" s="42">
        <f>Table2[[#This Row],[OnHandQty]]-Table2[[#This Row],[Projection Nov/Dec]]</f>
        <v>21</v>
      </c>
      <c r="N963" s="35">
        <f>Table2[[#This Row],[OverStock]]*Table2[[#This Row],[RepCost]]</f>
        <v>117.38159999999999</v>
      </c>
      <c r="O963" s="25">
        <v>45987.379861111112</v>
      </c>
      <c r="P963" s="26" t="s">
        <v>40</v>
      </c>
    </row>
    <row r="964" spans="1:16" x14ac:dyDescent="0.25">
      <c r="A964" s="20" t="s">
        <v>5211</v>
      </c>
      <c r="B964" s="21">
        <v>634</v>
      </c>
      <c r="C964" s="22" t="s">
        <v>70</v>
      </c>
      <c r="D964" s="22" t="s">
        <v>90</v>
      </c>
      <c r="E964" s="22" t="str">
        <f>CONCATENATE(B964,D964)</f>
        <v>63467047-101</v>
      </c>
      <c r="F964" s="22" t="s">
        <v>91</v>
      </c>
      <c r="G964" s="22" t="s">
        <v>15</v>
      </c>
      <c r="H964" s="23">
        <v>7.4907000000000004</v>
      </c>
      <c r="I964" s="24">
        <v>10</v>
      </c>
      <c r="J964" s="24">
        <v>0</v>
      </c>
      <c r="K964" s="24">
        <v>0</v>
      </c>
      <c r="L964" s="41">
        <f>Table2[[#This Row],[Column1]]+Table2[[#This Row],[Column2]]</f>
        <v>0</v>
      </c>
      <c r="M964" s="42">
        <f>Table2[[#This Row],[OnHandQty]]-Table2[[#This Row],[Projection Nov/Dec]]</f>
        <v>10</v>
      </c>
      <c r="N964" s="35">
        <f>Table2[[#This Row],[OverStock]]*Table2[[#This Row],[RepCost]]</f>
        <v>74.907000000000011</v>
      </c>
      <c r="O964" s="25">
        <v>45762.431944444441</v>
      </c>
      <c r="P964" s="26" t="s">
        <v>16</v>
      </c>
    </row>
    <row r="965" spans="1:16" x14ac:dyDescent="0.25">
      <c r="A965" s="20" t="s">
        <v>5211</v>
      </c>
      <c r="B965" s="21">
        <v>714</v>
      </c>
      <c r="C965" s="22" t="s">
        <v>70</v>
      </c>
      <c r="D965" s="22" t="s">
        <v>90</v>
      </c>
      <c r="E965" s="22" t="str">
        <f>CONCATENATE(B965,D965)</f>
        <v>71467047-101</v>
      </c>
      <c r="F965" s="22" t="s">
        <v>91</v>
      </c>
      <c r="G965" s="22" t="s">
        <v>123</v>
      </c>
      <c r="H965" s="23">
        <v>5.3125</v>
      </c>
      <c r="I965" s="24">
        <v>13</v>
      </c>
      <c r="J965" s="24">
        <v>0</v>
      </c>
      <c r="K965" s="24">
        <v>0</v>
      </c>
      <c r="L965" s="41">
        <f>Table2[[#This Row],[Column1]]+Table2[[#This Row],[Column2]]</f>
        <v>0</v>
      </c>
      <c r="M965" s="42">
        <f>Table2[[#This Row],[OnHandQty]]-Table2[[#This Row],[Projection Nov/Dec]]</f>
        <v>13</v>
      </c>
      <c r="N965" s="35">
        <f>Table2[[#This Row],[OverStock]]*Table2[[#This Row],[RepCost]]</f>
        <v>69.0625</v>
      </c>
      <c r="O965" s="25">
        <v>46102.36041666667</v>
      </c>
      <c r="P965" s="26" t="s">
        <v>26</v>
      </c>
    </row>
    <row r="966" spans="1:16" x14ac:dyDescent="0.25">
      <c r="A966" s="20" t="s">
        <v>5211</v>
      </c>
      <c r="B966" s="21">
        <v>718</v>
      </c>
      <c r="C966" s="22" t="s">
        <v>70</v>
      </c>
      <c r="D966" s="22" t="s">
        <v>3667</v>
      </c>
      <c r="E966" s="22" t="str">
        <f>CONCATENATE(B966,D966)</f>
        <v>71866917-101</v>
      </c>
      <c r="F966" s="22" t="s">
        <v>3668</v>
      </c>
      <c r="G966" s="22" t="s">
        <v>112</v>
      </c>
      <c r="H966" s="23">
        <v>6.8102999999999998</v>
      </c>
      <c r="I966" s="24">
        <v>51</v>
      </c>
      <c r="J966" s="24">
        <v>3</v>
      </c>
      <c r="K966" s="24">
        <v>0</v>
      </c>
      <c r="L966" s="41">
        <f>Table2[[#This Row],[Column1]]+Table2[[#This Row],[Column2]]</f>
        <v>3</v>
      </c>
      <c r="M966" s="42">
        <f>Table2[[#This Row],[OnHandQty]]-Table2[[#This Row],[Projection Nov/Dec]]</f>
        <v>48</v>
      </c>
      <c r="N966" s="35">
        <f>Table2[[#This Row],[OverStock]]*Table2[[#This Row],[RepCost]]</f>
        <v>326.89440000000002</v>
      </c>
      <c r="O966" s="25">
        <v>46169.443055555559</v>
      </c>
      <c r="P966" s="26" t="s">
        <v>94</v>
      </c>
    </row>
    <row r="967" spans="1:16" x14ac:dyDescent="0.25">
      <c r="A967" s="20" t="s">
        <v>5211</v>
      </c>
      <c r="B967" s="21">
        <v>718</v>
      </c>
      <c r="C967" s="22" t="s">
        <v>70</v>
      </c>
      <c r="D967" s="22" t="s">
        <v>3637</v>
      </c>
      <c r="E967" s="22" t="str">
        <f>CONCATENATE(B967,D967)</f>
        <v>71866917-102</v>
      </c>
      <c r="F967" s="22" t="s">
        <v>3638</v>
      </c>
      <c r="G967" s="22" t="s">
        <v>112</v>
      </c>
      <c r="H967" s="23">
        <v>6.3160999999999996</v>
      </c>
      <c r="I967" s="24">
        <v>11</v>
      </c>
      <c r="J967" s="24">
        <v>0</v>
      </c>
      <c r="K967" s="24">
        <v>0</v>
      </c>
      <c r="L967" s="41">
        <f>Table2[[#This Row],[Column1]]+Table2[[#This Row],[Column2]]</f>
        <v>0</v>
      </c>
      <c r="M967" s="42">
        <f>Table2[[#This Row],[OnHandQty]]-Table2[[#This Row],[Projection Nov/Dec]]</f>
        <v>11</v>
      </c>
      <c r="N967" s="35">
        <f>Table2[[#This Row],[OverStock]]*Table2[[#This Row],[RepCost]]</f>
        <v>69.477099999999993</v>
      </c>
      <c r="O967" s="25">
        <v>46193.592361111114</v>
      </c>
      <c r="P967" s="26" t="s">
        <v>26</v>
      </c>
    </row>
    <row r="968" spans="1:16" x14ac:dyDescent="0.25">
      <c r="A968" s="20" t="s">
        <v>5211</v>
      </c>
      <c r="B968" s="21">
        <v>636</v>
      </c>
      <c r="C968" s="22" t="s">
        <v>70</v>
      </c>
      <c r="D968" s="22" t="s">
        <v>755</v>
      </c>
      <c r="E968" s="22" t="str">
        <f>CONCATENATE(B968,D968)</f>
        <v>63666921-101</v>
      </c>
      <c r="F968" s="22" t="s">
        <v>756</v>
      </c>
      <c r="G968" s="22" t="s">
        <v>39</v>
      </c>
      <c r="H968" s="23">
        <v>8.2673000000000005</v>
      </c>
      <c r="I968" s="24">
        <v>43</v>
      </c>
      <c r="J968" s="24">
        <v>0</v>
      </c>
      <c r="K968" s="24">
        <v>0</v>
      </c>
      <c r="L968" s="41">
        <f>Table2[[#This Row],[Column1]]+Table2[[#This Row],[Column2]]</f>
        <v>0</v>
      </c>
      <c r="M968" s="42">
        <f>Table2[[#This Row],[OnHandQty]]-Table2[[#This Row],[Projection Nov/Dec]]</f>
        <v>43</v>
      </c>
      <c r="N968" s="35">
        <f>Table2[[#This Row],[OverStock]]*Table2[[#This Row],[RepCost]]</f>
        <v>355.4939</v>
      </c>
      <c r="O968" s="25">
        <v>46199.375</v>
      </c>
      <c r="P968" s="26" t="s">
        <v>16</v>
      </c>
    </row>
    <row r="969" spans="1:16" x14ac:dyDescent="0.25">
      <c r="A969" s="20" t="s">
        <v>5211</v>
      </c>
      <c r="B969" s="21">
        <v>718</v>
      </c>
      <c r="C969" s="22" t="s">
        <v>70</v>
      </c>
      <c r="D969" s="22" t="s">
        <v>110</v>
      </c>
      <c r="E969" s="22" t="str">
        <f>CONCATENATE(B969,D969)</f>
        <v>71866927-101</v>
      </c>
      <c r="F969" s="22" t="s">
        <v>111</v>
      </c>
      <c r="G969" s="22" t="s">
        <v>112</v>
      </c>
      <c r="H969" s="23">
        <v>7.1783000000000001</v>
      </c>
      <c r="I969" s="24">
        <v>26</v>
      </c>
      <c r="J969" s="24">
        <v>0</v>
      </c>
      <c r="K969" s="24">
        <v>0</v>
      </c>
      <c r="L969" s="41">
        <f>Table2[[#This Row],[Column1]]+Table2[[#This Row],[Column2]]</f>
        <v>0</v>
      </c>
      <c r="M969" s="42">
        <f>Table2[[#This Row],[OnHandQty]]-Table2[[#This Row],[Projection Nov/Dec]]</f>
        <v>26</v>
      </c>
      <c r="N969" s="35">
        <f>Table2[[#This Row],[OverStock]]*Table2[[#This Row],[RepCost]]</f>
        <v>186.63580000000002</v>
      </c>
      <c r="O969" s="25">
        <v>46169.443055555559</v>
      </c>
      <c r="P969" s="26" t="s">
        <v>94</v>
      </c>
    </row>
    <row r="970" spans="1:16" x14ac:dyDescent="0.25">
      <c r="A970" s="20" t="s">
        <v>5211</v>
      </c>
      <c r="B970" s="21">
        <v>714</v>
      </c>
      <c r="C970" s="22" t="s">
        <v>70</v>
      </c>
      <c r="D970" s="22" t="s">
        <v>110</v>
      </c>
      <c r="E970" s="22" t="str">
        <f>CONCATENATE(B970,D970)</f>
        <v>71466927-101</v>
      </c>
      <c r="F970" s="22" t="s">
        <v>111</v>
      </c>
      <c r="G970" s="22" t="s">
        <v>112</v>
      </c>
      <c r="H970" s="23">
        <v>6.7000999999999999</v>
      </c>
      <c r="I970" s="24">
        <v>17</v>
      </c>
      <c r="J970" s="24">
        <v>0</v>
      </c>
      <c r="K970" s="24">
        <v>0</v>
      </c>
      <c r="L970" s="41">
        <f>Table2[[#This Row],[Column1]]+Table2[[#This Row],[Column2]]</f>
        <v>0</v>
      </c>
      <c r="M970" s="42">
        <f>Table2[[#This Row],[OnHandQty]]-Table2[[#This Row],[Projection Nov/Dec]]</f>
        <v>17</v>
      </c>
      <c r="N970" s="35">
        <f>Table2[[#This Row],[OverStock]]*Table2[[#This Row],[RepCost]]</f>
        <v>113.90170000000001</v>
      </c>
      <c r="O970" s="25">
        <v>46195.50277777778</v>
      </c>
      <c r="P970" s="26" t="s">
        <v>665</v>
      </c>
    </row>
    <row r="971" spans="1:16" x14ac:dyDescent="0.25">
      <c r="A971" s="20" t="s">
        <v>5211</v>
      </c>
      <c r="B971" s="21">
        <v>634</v>
      </c>
      <c r="C971" s="22" t="s">
        <v>70</v>
      </c>
      <c r="D971" s="22" t="s">
        <v>110</v>
      </c>
      <c r="E971" s="22" t="str">
        <f>CONCATENATE(B971,D971)</f>
        <v>63466927-101</v>
      </c>
      <c r="F971" s="22" t="s">
        <v>111</v>
      </c>
      <c r="G971" s="22" t="s">
        <v>112</v>
      </c>
      <c r="H971" s="23">
        <v>7.1395</v>
      </c>
      <c r="I971" s="24">
        <v>15</v>
      </c>
      <c r="J971" s="24">
        <v>0</v>
      </c>
      <c r="K971" s="24">
        <v>0</v>
      </c>
      <c r="L971" s="41">
        <f>Table2[[#This Row],[Column1]]+Table2[[#This Row],[Column2]]</f>
        <v>0</v>
      </c>
      <c r="M971" s="42">
        <f>Table2[[#This Row],[OnHandQty]]-Table2[[#This Row],[Projection Nov/Dec]]</f>
        <v>15</v>
      </c>
      <c r="N971" s="35">
        <f>Table2[[#This Row],[OverStock]]*Table2[[#This Row],[RepCost]]</f>
        <v>107.0925</v>
      </c>
      <c r="O971" s="25">
        <v>46217.376388888886</v>
      </c>
      <c r="P971" s="26" t="s">
        <v>94</v>
      </c>
    </row>
    <row r="972" spans="1:16" x14ac:dyDescent="0.25">
      <c r="A972" s="20" t="s">
        <v>5211</v>
      </c>
      <c r="B972" s="21">
        <v>714</v>
      </c>
      <c r="C972" s="22" t="s">
        <v>70</v>
      </c>
      <c r="D972" s="22" t="s">
        <v>2115</v>
      </c>
      <c r="E972" s="22" t="str">
        <f>CONCATENATE(B972,D972)</f>
        <v>71466942-101</v>
      </c>
      <c r="F972" s="22" t="s">
        <v>2116</v>
      </c>
      <c r="G972" s="22" t="s">
        <v>39</v>
      </c>
      <c r="H972" s="23">
        <v>7.6875999999999998</v>
      </c>
      <c r="I972" s="24">
        <v>11</v>
      </c>
      <c r="J972" s="24">
        <v>0</v>
      </c>
      <c r="K972" s="24">
        <v>0</v>
      </c>
      <c r="L972" s="41">
        <f>Table2[[#This Row],[Column1]]+Table2[[#This Row],[Column2]]</f>
        <v>0</v>
      </c>
      <c r="M972" s="42">
        <f>Table2[[#This Row],[OnHandQty]]-Table2[[#This Row],[Projection Nov/Dec]]</f>
        <v>11</v>
      </c>
      <c r="N972" s="35">
        <f>Table2[[#This Row],[OverStock]]*Table2[[#This Row],[RepCost]]</f>
        <v>84.563599999999994</v>
      </c>
      <c r="O972" s="25">
        <v>45446.334722222222</v>
      </c>
      <c r="P972" s="26" t="s">
        <v>16</v>
      </c>
    </row>
    <row r="973" spans="1:16" x14ac:dyDescent="0.25">
      <c r="A973" s="20" t="s">
        <v>5211</v>
      </c>
      <c r="B973" s="21">
        <v>718</v>
      </c>
      <c r="C973" s="22" t="s">
        <v>70</v>
      </c>
      <c r="D973" s="22" t="s">
        <v>3649</v>
      </c>
      <c r="E973" s="22" t="str">
        <f>CONCATENATE(B973,D973)</f>
        <v>71867049-102</v>
      </c>
      <c r="F973" s="22" t="s">
        <v>3650</v>
      </c>
      <c r="G973" s="22" t="s">
        <v>43</v>
      </c>
      <c r="H973" s="23">
        <v>6.9897999999999998</v>
      </c>
      <c r="I973" s="24">
        <v>59</v>
      </c>
      <c r="J973" s="24">
        <v>0</v>
      </c>
      <c r="K973" s="24">
        <v>3</v>
      </c>
      <c r="L973" s="41">
        <f>Table2[[#This Row],[Column1]]+Table2[[#This Row],[Column2]]</f>
        <v>3</v>
      </c>
      <c r="M973" s="42">
        <f>Table2[[#This Row],[OnHandQty]]-Table2[[#This Row],[Projection Nov/Dec]]</f>
        <v>56</v>
      </c>
      <c r="N973" s="35">
        <f>Table2[[#This Row],[OverStock]]*Table2[[#This Row],[RepCost]]</f>
        <v>391.42879999999997</v>
      </c>
      <c r="O973" s="25">
        <v>46246.392361111109</v>
      </c>
      <c r="P973" s="26" t="s">
        <v>40</v>
      </c>
    </row>
    <row r="974" spans="1:16" x14ac:dyDescent="0.25">
      <c r="A974" s="20" t="s">
        <v>5211</v>
      </c>
      <c r="B974" s="21">
        <v>714</v>
      </c>
      <c r="C974" s="22" t="s">
        <v>70</v>
      </c>
      <c r="D974" s="22" t="s">
        <v>2028</v>
      </c>
      <c r="E974" s="22" t="str">
        <f>CONCATENATE(B974,D974)</f>
        <v>71467049-SP4</v>
      </c>
      <c r="F974" s="22" t="s">
        <v>2029</v>
      </c>
      <c r="G974" s="22" t="s">
        <v>39</v>
      </c>
      <c r="H974" s="23">
        <v>5.2698999999999998</v>
      </c>
      <c r="I974" s="24">
        <v>10</v>
      </c>
      <c r="J974" s="24">
        <v>0</v>
      </c>
      <c r="K974" s="24">
        <v>0</v>
      </c>
      <c r="L974" s="41">
        <f>Table2[[#This Row],[Column1]]+Table2[[#This Row],[Column2]]</f>
        <v>0</v>
      </c>
      <c r="M974" s="42">
        <f>Table2[[#This Row],[OnHandQty]]-Table2[[#This Row],[Projection Nov/Dec]]</f>
        <v>10</v>
      </c>
      <c r="N974" s="35">
        <f>Table2[[#This Row],[OverStock]]*Table2[[#This Row],[RepCost]]</f>
        <v>52.698999999999998</v>
      </c>
      <c r="O974" s="25">
        <v>46149.382638888892</v>
      </c>
      <c r="P974" s="26" t="s">
        <v>573</v>
      </c>
    </row>
    <row r="975" spans="1:16" x14ac:dyDescent="0.25">
      <c r="A975" s="20" t="s">
        <v>5211</v>
      </c>
      <c r="B975" s="21">
        <v>636</v>
      </c>
      <c r="C975" s="22" t="s">
        <v>70</v>
      </c>
      <c r="D975" s="22" t="s">
        <v>822</v>
      </c>
      <c r="E975" s="22" t="str">
        <f>CONCATENATE(B975,D975)</f>
        <v>63666967-101</v>
      </c>
      <c r="F975" s="22" t="s">
        <v>823</v>
      </c>
      <c r="G975" s="22" t="s">
        <v>39</v>
      </c>
      <c r="H975" s="23">
        <v>7.9146999999999998</v>
      </c>
      <c r="I975" s="24">
        <v>2</v>
      </c>
      <c r="J975" s="24">
        <v>0</v>
      </c>
      <c r="K975" s="24">
        <v>0</v>
      </c>
      <c r="L975" s="41">
        <f>Table2[[#This Row],[Column1]]+Table2[[#This Row],[Column2]]</f>
        <v>0</v>
      </c>
      <c r="M975" s="42">
        <f>Table2[[#This Row],[OnHandQty]]-Table2[[#This Row],[Projection Nov/Dec]]</f>
        <v>2</v>
      </c>
      <c r="N975" s="35">
        <f>Table2[[#This Row],[OverStock]]*Table2[[#This Row],[RepCost]]</f>
        <v>15.8294</v>
      </c>
      <c r="O975" s="25">
        <v>46212.4375</v>
      </c>
      <c r="P975" s="26" t="s">
        <v>16</v>
      </c>
    </row>
    <row r="976" spans="1:16" x14ac:dyDescent="0.25">
      <c r="A976" s="20" t="s">
        <v>5211</v>
      </c>
      <c r="B976" s="21">
        <v>718</v>
      </c>
      <c r="C976" s="22" t="s">
        <v>70</v>
      </c>
      <c r="D976" s="22" t="s">
        <v>777</v>
      </c>
      <c r="E976" s="22" t="str">
        <f>CONCATENATE(B976,D976)</f>
        <v>71867063-101</v>
      </c>
      <c r="F976" s="22" t="s">
        <v>778</v>
      </c>
      <c r="G976" s="22" t="s">
        <v>112</v>
      </c>
      <c r="H976" s="23">
        <v>5.1369999999999996</v>
      </c>
      <c r="I976" s="24">
        <v>35</v>
      </c>
      <c r="J976" s="24">
        <v>0</v>
      </c>
      <c r="K976" s="24">
        <v>0</v>
      </c>
      <c r="L976" s="41">
        <f>Table2[[#This Row],[Column1]]+Table2[[#This Row],[Column2]]</f>
        <v>0</v>
      </c>
      <c r="M976" s="42">
        <f>Table2[[#This Row],[OnHandQty]]-Table2[[#This Row],[Projection Nov/Dec]]</f>
        <v>35</v>
      </c>
      <c r="N976" s="35">
        <f>Table2[[#This Row],[OverStock]]*Table2[[#This Row],[RepCost]]</f>
        <v>179.79499999999999</v>
      </c>
      <c r="O976" s="25">
        <v>46193.592361111114</v>
      </c>
      <c r="P976" s="26" t="s">
        <v>26</v>
      </c>
    </row>
    <row r="977" spans="1:16" x14ac:dyDescent="0.25">
      <c r="A977" s="20" t="s">
        <v>5211</v>
      </c>
      <c r="B977" s="21">
        <v>636</v>
      </c>
      <c r="C977" s="22" t="s">
        <v>70</v>
      </c>
      <c r="D977" s="22" t="s">
        <v>777</v>
      </c>
      <c r="E977" s="22" t="str">
        <f>CONCATENATE(B977,D977)</f>
        <v>63667063-101</v>
      </c>
      <c r="F977" s="22" t="s">
        <v>778</v>
      </c>
      <c r="G977" s="22" t="s">
        <v>112</v>
      </c>
      <c r="H977" s="23">
        <v>5.7610999999999999</v>
      </c>
      <c r="I977" s="24">
        <v>8</v>
      </c>
      <c r="J977" s="24">
        <v>0</v>
      </c>
      <c r="K977" s="24">
        <v>0</v>
      </c>
      <c r="L977" s="41">
        <f>Table2[[#This Row],[Column1]]+Table2[[#This Row],[Column2]]</f>
        <v>0</v>
      </c>
      <c r="M977" s="42">
        <f>Table2[[#This Row],[OnHandQty]]-Table2[[#This Row],[Projection Nov/Dec]]</f>
        <v>8</v>
      </c>
      <c r="N977" s="35">
        <f>Table2[[#This Row],[OverStock]]*Table2[[#This Row],[RepCost]]</f>
        <v>46.088799999999999</v>
      </c>
      <c r="O977" s="25">
        <v>46224.376388888886</v>
      </c>
      <c r="P977" s="26" t="s">
        <v>26</v>
      </c>
    </row>
    <row r="978" spans="1:16" x14ac:dyDescent="0.25">
      <c r="A978" s="20" t="s">
        <v>5211</v>
      </c>
      <c r="B978" s="21">
        <v>636</v>
      </c>
      <c r="C978" s="22" t="s">
        <v>70</v>
      </c>
      <c r="D978" s="22" t="s">
        <v>753</v>
      </c>
      <c r="E978" s="22" t="str">
        <f>CONCATENATE(B978,D978)</f>
        <v>63667063-102</v>
      </c>
      <c r="F978" s="22" t="s">
        <v>754</v>
      </c>
      <c r="G978" s="22" t="s">
        <v>39</v>
      </c>
      <c r="H978" s="23">
        <v>7.5812999999999997</v>
      </c>
      <c r="I978" s="24">
        <v>1</v>
      </c>
      <c r="J978" s="24">
        <v>0</v>
      </c>
      <c r="K978" s="24">
        <v>0</v>
      </c>
      <c r="L978" s="41">
        <f>Table2[[#This Row],[Column1]]+Table2[[#This Row],[Column2]]</f>
        <v>0</v>
      </c>
      <c r="M978" s="42">
        <f>Table2[[#This Row],[OnHandQty]]-Table2[[#This Row],[Projection Nov/Dec]]</f>
        <v>1</v>
      </c>
      <c r="N978" s="35">
        <f>Table2[[#This Row],[OverStock]]*Table2[[#This Row],[RepCost]]</f>
        <v>7.5812999999999997</v>
      </c>
      <c r="O978" s="25">
        <v>46177.611805555556</v>
      </c>
      <c r="P978" s="26" t="s">
        <v>26</v>
      </c>
    </row>
    <row r="979" spans="1:16" x14ac:dyDescent="0.25">
      <c r="A979" s="20" t="s">
        <v>5211</v>
      </c>
      <c r="B979" s="21">
        <v>718</v>
      </c>
      <c r="C979" s="22" t="s">
        <v>70</v>
      </c>
      <c r="D979" s="22" t="s">
        <v>753</v>
      </c>
      <c r="E979" s="22" t="str">
        <f>CONCATENATE(B979,D979)</f>
        <v>71867063-102</v>
      </c>
      <c r="F979" s="22" t="s">
        <v>754</v>
      </c>
      <c r="G979" s="22" t="s">
        <v>39</v>
      </c>
      <c r="H979" s="23">
        <v>6.3392999999999997</v>
      </c>
      <c r="I979" s="24">
        <v>45</v>
      </c>
      <c r="J979" s="24">
        <v>0</v>
      </c>
      <c r="K979" s="24">
        <v>0</v>
      </c>
      <c r="L979" s="41">
        <f>Table2[[#This Row],[Column1]]+Table2[[#This Row],[Column2]]</f>
        <v>0</v>
      </c>
      <c r="M979" s="42">
        <f>Table2[[#This Row],[OnHandQty]]-Table2[[#This Row],[Projection Nov/Dec]]</f>
        <v>45</v>
      </c>
      <c r="N979" s="35">
        <f>Table2[[#This Row],[OverStock]]*Table2[[#This Row],[RepCost]]</f>
        <v>285.26849999999996</v>
      </c>
      <c r="O979" s="25">
        <v>46193.592361111114</v>
      </c>
      <c r="P979" s="26" t="s">
        <v>26</v>
      </c>
    </row>
    <row r="980" spans="1:16" x14ac:dyDescent="0.25">
      <c r="A980" s="20" t="s">
        <v>5211</v>
      </c>
      <c r="B980" s="21">
        <v>714</v>
      </c>
      <c r="C980" s="22" t="s">
        <v>70</v>
      </c>
      <c r="D980" s="22" t="s">
        <v>1991</v>
      </c>
      <c r="E980" s="22" t="str">
        <f>CONCATENATE(B980,D980)</f>
        <v>71467064-102</v>
      </c>
      <c r="F980" s="22" t="s">
        <v>1992</v>
      </c>
      <c r="G980" s="22" t="s">
        <v>29</v>
      </c>
      <c r="H980" s="23">
        <v>6.3433999999999999</v>
      </c>
      <c r="I980" s="24">
        <v>27</v>
      </c>
      <c r="J980" s="24">
        <v>0</v>
      </c>
      <c r="K980" s="24">
        <v>0</v>
      </c>
      <c r="L980" s="41">
        <f>Table2[[#This Row],[Column1]]+Table2[[#This Row],[Column2]]</f>
        <v>0</v>
      </c>
      <c r="M980" s="42">
        <f>Table2[[#This Row],[OnHandQty]]-Table2[[#This Row],[Projection Nov/Dec]]</f>
        <v>27</v>
      </c>
      <c r="N980" s="35">
        <f>Table2[[#This Row],[OverStock]]*Table2[[#This Row],[RepCost]]</f>
        <v>171.27179999999998</v>
      </c>
      <c r="O980" s="25">
        <v>46193.431250000001</v>
      </c>
      <c r="P980" s="26" t="s">
        <v>26</v>
      </c>
    </row>
    <row r="981" spans="1:16" x14ac:dyDescent="0.25">
      <c r="A981" s="20" t="s">
        <v>5211</v>
      </c>
      <c r="B981" s="21">
        <v>718</v>
      </c>
      <c r="C981" s="22" t="s">
        <v>70</v>
      </c>
      <c r="D981" s="22" t="s">
        <v>77</v>
      </c>
      <c r="E981" s="22" t="str">
        <f>CONCATENATE(B981,D981)</f>
        <v>71867010-102</v>
      </c>
      <c r="F981" s="22" t="s">
        <v>78</v>
      </c>
      <c r="G981" s="22" t="s">
        <v>81</v>
      </c>
      <c r="H981" s="23">
        <v>6.7211999999999996</v>
      </c>
      <c r="I981" s="24">
        <v>36</v>
      </c>
      <c r="J981" s="24">
        <v>0</v>
      </c>
      <c r="K981" s="24">
        <v>0</v>
      </c>
      <c r="L981" s="41">
        <f>Table2[[#This Row],[Column1]]+Table2[[#This Row],[Column2]]</f>
        <v>0</v>
      </c>
      <c r="M981" s="42">
        <f>Table2[[#This Row],[OnHandQty]]-Table2[[#This Row],[Projection Nov/Dec]]</f>
        <v>36</v>
      </c>
      <c r="N981" s="35">
        <f>Table2[[#This Row],[OverStock]]*Table2[[#This Row],[RepCost]]</f>
        <v>241.96319999999997</v>
      </c>
      <c r="O981" s="25">
        <v>46193.592361111114</v>
      </c>
      <c r="P981" s="26" t="s">
        <v>26</v>
      </c>
    </row>
    <row r="982" spans="1:16" x14ac:dyDescent="0.25">
      <c r="A982" s="20" t="s">
        <v>5211</v>
      </c>
      <c r="B982" s="21">
        <v>714</v>
      </c>
      <c r="C982" s="22" t="s">
        <v>70</v>
      </c>
      <c r="D982" s="22" t="s">
        <v>77</v>
      </c>
      <c r="E982" s="22" t="str">
        <f>CONCATENATE(B982,D982)</f>
        <v>71467010-102</v>
      </c>
      <c r="F982" s="22" t="s">
        <v>78</v>
      </c>
      <c r="G982" s="22" t="s">
        <v>39</v>
      </c>
      <c r="H982" s="23">
        <v>7.2083000000000004</v>
      </c>
      <c r="I982" s="24">
        <v>9</v>
      </c>
      <c r="J982" s="24">
        <v>0</v>
      </c>
      <c r="K982" s="24">
        <v>0</v>
      </c>
      <c r="L982" s="41">
        <f>Table2[[#This Row],[Column1]]+Table2[[#This Row],[Column2]]</f>
        <v>0</v>
      </c>
      <c r="M982" s="42">
        <f>Table2[[#This Row],[OnHandQty]]-Table2[[#This Row],[Projection Nov/Dec]]</f>
        <v>9</v>
      </c>
      <c r="N982" s="35">
        <f>Table2[[#This Row],[OverStock]]*Table2[[#This Row],[RepCost]]</f>
        <v>64.874700000000004</v>
      </c>
      <c r="O982" s="25">
        <v>46200.377083333333</v>
      </c>
      <c r="P982" s="26" t="s">
        <v>40</v>
      </c>
    </row>
    <row r="983" spans="1:16" x14ac:dyDescent="0.25">
      <c r="A983" s="20" t="s">
        <v>5211</v>
      </c>
      <c r="B983" s="21">
        <v>718</v>
      </c>
      <c r="C983" s="22" t="s">
        <v>70</v>
      </c>
      <c r="D983" s="22" t="s">
        <v>2073</v>
      </c>
      <c r="E983" s="22" t="str">
        <f>CONCATENATE(B983,D983)</f>
        <v>71867040-101</v>
      </c>
      <c r="F983" s="22" t="s">
        <v>2074</v>
      </c>
      <c r="G983" s="22" t="s">
        <v>112</v>
      </c>
      <c r="H983" s="23">
        <v>5.1369999999999996</v>
      </c>
      <c r="I983" s="24">
        <v>20</v>
      </c>
      <c r="J983" s="24">
        <v>0</v>
      </c>
      <c r="K983" s="24">
        <v>0</v>
      </c>
      <c r="L983" s="41">
        <f>Table2[[#This Row],[Column1]]+Table2[[#This Row],[Column2]]</f>
        <v>0</v>
      </c>
      <c r="M983" s="42">
        <f>Table2[[#This Row],[OnHandQty]]-Table2[[#This Row],[Projection Nov/Dec]]</f>
        <v>20</v>
      </c>
      <c r="N983" s="35">
        <f>Table2[[#This Row],[OverStock]]*Table2[[#This Row],[RepCost]]</f>
        <v>102.74</v>
      </c>
      <c r="O983" s="25">
        <v>46193.592361111114</v>
      </c>
      <c r="P983" s="26" t="s">
        <v>26</v>
      </c>
    </row>
    <row r="984" spans="1:16" x14ac:dyDescent="0.25">
      <c r="A984" s="20" t="s">
        <v>5211</v>
      </c>
      <c r="B984" s="21">
        <v>714</v>
      </c>
      <c r="C984" s="22" t="s">
        <v>70</v>
      </c>
      <c r="D984" s="22" t="s">
        <v>2073</v>
      </c>
      <c r="E984" s="22" t="str">
        <f>CONCATENATE(B984,D984)</f>
        <v>71467040-101</v>
      </c>
      <c r="F984" s="22" t="s">
        <v>2074</v>
      </c>
      <c r="G984" s="22" t="s">
        <v>112</v>
      </c>
      <c r="H984" s="23">
        <v>5.2291999999999996</v>
      </c>
      <c r="I984" s="24">
        <v>9</v>
      </c>
      <c r="J984" s="24">
        <v>0</v>
      </c>
      <c r="K984" s="24">
        <v>0</v>
      </c>
      <c r="L984" s="41">
        <f>Table2[[#This Row],[Column1]]+Table2[[#This Row],[Column2]]</f>
        <v>0</v>
      </c>
      <c r="M984" s="42">
        <f>Table2[[#This Row],[OnHandQty]]-Table2[[#This Row],[Projection Nov/Dec]]</f>
        <v>9</v>
      </c>
      <c r="N984" s="35">
        <f>Table2[[#This Row],[OverStock]]*Table2[[#This Row],[RepCost]]</f>
        <v>47.062799999999996</v>
      </c>
      <c r="O984" s="25">
        <v>46228.32916666667</v>
      </c>
      <c r="P984" s="26" t="s">
        <v>26</v>
      </c>
    </row>
    <row r="985" spans="1:16" x14ac:dyDescent="0.25">
      <c r="A985" s="20" t="s">
        <v>5211</v>
      </c>
      <c r="B985" s="21">
        <v>636</v>
      </c>
      <c r="C985" s="22" t="s">
        <v>70</v>
      </c>
      <c r="D985" s="22" t="s">
        <v>824</v>
      </c>
      <c r="E985" s="22" t="str">
        <f>CONCATENATE(B985,D985)</f>
        <v>63690662-101</v>
      </c>
      <c r="F985" s="22" t="s">
        <v>825</v>
      </c>
      <c r="G985" s="22" t="s">
        <v>39</v>
      </c>
      <c r="H985" s="23">
        <v>7.2500999999999998</v>
      </c>
      <c r="I985" s="24">
        <v>6</v>
      </c>
      <c r="J985" s="24">
        <v>0</v>
      </c>
      <c r="K985" s="24">
        <v>0</v>
      </c>
      <c r="L985" s="41">
        <f>Table2[[#This Row],[Column1]]+Table2[[#This Row],[Column2]]</f>
        <v>0</v>
      </c>
      <c r="M985" s="42">
        <f>Table2[[#This Row],[OnHandQty]]-Table2[[#This Row],[Projection Nov/Dec]]</f>
        <v>6</v>
      </c>
      <c r="N985" s="35">
        <f>Table2[[#This Row],[OverStock]]*Table2[[#This Row],[RepCost]]</f>
        <v>43.500599999999999</v>
      </c>
      <c r="O985" s="25">
        <v>46177.399305555555</v>
      </c>
      <c r="P985" s="26" t="s">
        <v>16</v>
      </c>
    </row>
    <row r="986" spans="1:16" x14ac:dyDescent="0.25">
      <c r="A986" s="20" t="s">
        <v>5211</v>
      </c>
      <c r="B986" s="21">
        <v>714</v>
      </c>
      <c r="C986" s="22" t="s">
        <v>70</v>
      </c>
      <c r="D986" s="22" t="s">
        <v>2089</v>
      </c>
      <c r="E986" s="22" t="str">
        <f>CONCATENATE(B986,D986)</f>
        <v>71494599-PF4</v>
      </c>
      <c r="F986" s="22" t="s">
        <v>2090</v>
      </c>
      <c r="G986" s="22" t="s">
        <v>29</v>
      </c>
      <c r="H986" s="23">
        <v>7.2713000000000001</v>
      </c>
      <c r="I986" s="24">
        <v>1</v>
      </c>
      <c r="J986" s="24">
        <v>0</v>
      </c>
      <c r="K986" s="24">
        <v>0</v>
      </c>
      <c r="L986" s="41">
        <f>Table2[[#This Row],[Column1]]+Table2[[#This Row],[Column2]]</f>
        <v>0</v>
      </c>
      <c r="M986" s="42">
        <f>Table2[[#This Row],[OnHandQty]]-Table2[[#This Row],[Projection Nov/Dec]]</f>
        <v>1</v>
      </c>
      <c r="N986" s="35">
        <f>Table2[[#This Row],[OverStock]]*Table2[[#This Row],[RepCost]]</f>
        <v>7.2713000000000001</v>
      </c>
      <c r="O986" s="25">
        <v>46119.635416666664</v>
      </c>
      <c r="P986" s="26" t="s">
        <v>40</v>
      </c>
    </row>
    <row r="987" spans="1:16" x14ac:dyDescent="0.25">
      <c r="A987" s="20" t="s">
        <v>5211</v>
      </c>
      <c r="B987" s="21">
        <v>634</v>
      </c>
      <c r="C987" s="22" t="s">
        <v>70</v>
      </c>
      <c r="D987" s="22" t="s">
        <v>113</v>
      </c>
      <c r="E987" s="22" t="str">
        <f>CONCATENATE(B987,D987)</f>
        <v>63491097-PF4</v>
      </c>
      <c r="F987" s="27" t="s">
        <v>114</v>
      </c>
      <c r="G987" s="27" t="s">
        <v>58</v>
      </c>
      <c r="H987" s="23">
        <v>7.0007000000000001</v>
      </c>
      <c r="I987" s="24">
        <v>3</v>
      </c>
      <c r="J987" s="24">
        <v>0</v>
      </c>
      <c r="K987" s="24">
        <v>0</v>
      </c>
      <c r="L987" s="41">
        <f>Table2[[#This Row],[Column1]]+Table2[[#This Row],[Column2]]</f>
        <v>0</v>
      </c>
      <c r="M987" s="42">
        <f>Table2[[#This Row],[OnHandQty]]-Table2[[#This Row],[Projection Nov/Dec]]</f>
        <v>3</v>
      </c>
      <c r="N987" s="35">
        <f>Table2[[#This Row],[OverStock]]*Table2[[#This Row],[RepCost]]</f>
        <v>21.002099999999999</v>
      </c>
      <c r="O987" s="25">
        <v>45057.435416666667</v>
      </c>
      <c r="P987" s="26" t="s">
        <v>40</v>
      </c>
    </row>
    <row r="988" spans="1:16" x14ac:dyDescent="0.25">
      <c r="A988" s="20" t="s">
        <v>5211</v>
      </c>
      <c r="B988" s="21">
        <v>714</v>
      </c>
      <c r="C988" s="22" t="s">
        <v>143</v>
      </c>
      <c r="D988" s="22" t="s">
        <v>2296</v>
      </c>
      <c r="E988" s="22" t="str">
        <f>CONCATENATE(B988,D988)</f>
        <v>71467102-110</v>
      </c>
      <c r="F988" s="22" t="s">
        <v>2297</v>
      </c>
      <c r="G988" s="22" t="s">
        <v>158</v>
      </c>
      <c r="H988" s="23">
        <v>62.304699999999997</v>
      </c>
      <c r="I988" s="24">
        <v>13</v>
      </c>
      <c r="J988" s="24">
        <v>0</v>
      </c>
      <c r="K988" s="24">
        <v>0</v>
      </c>
      <c r="L988" s="41">
        <f>Table2[[#This Row],[Column1]]+Table2[[#This Row],[Column2]]</f>
        <v>0</v>
      </c>
      <c r="M988" s="42">
        <f>Table2[[#This Row],[OnHandQty]]-Table2[[#This Row],[Projection Nov/Dec]]</f>
        <v>13</v>
      </c>
      <c r="N988" s="35">
        <f>Table2[[#This Row],[OverStock]]*Table2[[#This Row],[RepCost]]</f>
        <v>809.96109999999999</v>
      </c>
      <c r="O988" s="25">
        <v>46171.535416666666</v>
      </c>
      <c r="P988" s="26" t="s">
        <v>195</v>
      </c>
    </row>
    <row r="989" spans="1:16" x14ac:dyDescent="0.25">
      <c r="A989" s="20" t="s">
        <v>5211</v>
      </c>
      <c r="B989" s="21">
        <v>714</v>
      </c>
      <c r="C989" s="22" t="s">
        <v>143</v>
      </c>
      <c r="D989" s="22" t="s">
        <v>2272</v>
      </c>
      <c r="E989" s="22" t="str">
        <f>CONCATENATE(B989,D989)</f>
        <v>71495236-105</v>
      </c>
      <c r="F989" s="22" t="s">
        <v>2273</v>
      </c>
      <c r="G989" s="22" t="s">
        <v>19</v>
      </c>
      <c r="H989" s="23">
        <v>34.319800000000001</v>
      </c>
      <c r="I989" s="24">
        <v>4</v>
      </c>
      <c r="J989" s="24">
        <v>0</v>
      </c>
      <c r="K989" s="24">
        <v>0</v>
      </c>
      <c r="L989" s="41">
        <f>Table2[[#This Row],[Column1]]+Table2[[#This Row],[Column2]]</f>
        <v>0</v>
      </c>
      <c r="M989" s="42">
        <f>Table2[[#This Row],[OnHandQty]]-Table2[[#This Row],[Projection Nov/Dec]]</f>
        <v>4</v>
      </c>
      <c r="N989" s="35">
        <f>Table2[[#This Row],[OverStock]]*Table2[[#This Row],[RepCost]]</f>
        <v>137.2792</v>
      </c>
      <c r="O989" s="25">
        <v>46178.441666666666</v>
      </c>
      <c r="P989" s="26" t="s">
        <v>216</v>
      </c>
    </row>
    <row r="990" spans="1:16" x14ac:dyDescent="0.25">
      <c r="A990" s="20" t="s">
        <v>5211</v>
      </c>
      <c r="B990" s="21">
        <v>714</v>
      </c>
      <c r="C990" s="22" t="s">
        <v>143</v>
      </c>
      <c r="D990" s="22" t="s">
        <v>2302</v>
      </c>
      <c r="E990" s="22" t="str">
        <f>CONCATENATE(B990,D990)</f>
        <v>71479586-107</v>
      </c>
      <c r="F990" s="22" t="s">
        <v>2303</v>
      </c>
      <c r="G990" s="22" t="s">
        <v>158</v>
      </c>
      <c r="H990" s="23">
        <v>34.880200000000002</v>
      </c>
      <c r="I990" s="24">
        <v>6</v>
      </c>
      <c r="J990" s="24">
        <v>0</v>
      </c>
      <c r="K990" s="24">
        <v>0</v>
      </c>
      <c r="L990" s="41">
        <f>Table2[[#This Row],[Column1]]+Table2[[#This Row],[Column2]]</f>
        <v>0</v>
      </c>
      <c r="M990" s="42">
        <f>Table2[[#This Row],[OnHandQty]]-Table2[[#This Row],[Projection Nov/Dec]]</f>
        <v>6</v>
      </c>
      <c r="N990" s="35">
        <f>Table2[[#This Row],[OverStock]]*Table2[[#This Row],[RepCost]]</f>
        <v>209.28120000000001</v>
      </c>
      <c r="O990" s="25">
        <v>46199.347916666666</v>
      </c>
      <c r="P990" s="26" t="s">
        <v>216</v>
      </c>
    </row>
    <row r="991" spans="1:16" x14ac:dyDescent="0.25">
      <c r="A991" s="20" t="s">
        <v>5211</v>
      </c>
      <c r="B991" s="21">
        <v>718</v>
      </c>
      <c r="C991" s="22" t="s">
        <v>143</v>
      </c>
      <c r="D991" s="22" t="s">
        <v>3732</v>
      </c>
      <c r="E991" s="22" t="str">
        <f>CONCATENATE(B991,D991)</f>
        <v>71885840-105</v>
      </c>
      <c r="F991" s="27" t="s">
        <v>3733</v>
      </c>
      <c r="G991" s="27" t="s">
        <v>58</v>
      </c>
      <c r="H991" s="23">
        <v>26.473500000000001</v>
      </c>
      <c r="I991" s="24">
        <v>11</v>
      </c>
      <c r="J991" s="24">
        <v>0</v>
      </c>
      <c r="K991" s="24">
        <v>0</v>
      </c>
      <c r="L991" s="41">
        <f>Table2[[#This Row],[Column1]]+Table2[[#This Row],[Column2]]</f>
        <v>0</v>
      </c>
      <c r="M991" s="42">
        <f>Table2[[#This Row],[OnHandQty]]-Table2[[#This Row],[Projection Nov/Dec]]</f>
        <v>11</v>
      </c>
      <c r="N991" s="35">
        <f>Table2[[#This Row],[OverStock]]*Table2[[#This Row],[RepCost]]</f>
        <v>291.20850000000002</v>
      </c>
      <c r="O991" s="25">
        <v>45793.486111111109</v>
      </c>
      <c r="P991" s="26" t="s">
        <v>2468</v>
      </c>
    </row>
    <row r="992" spans="1:16" x14ac:dyDescent="0.25">
      <c r="A992" s="20" t="s">
        <v>5211</v>
      </c>
      <c r="B992" s="21">
        <v>714</v>
      </c>
      <c r="C992" s="22" t="s">
        <v>143</v>
      </c>
      <c r="D992" s="22" t="s">
        <v>2535</v>
      </c>
      <c r="E992" s="22" t="str">
        <f>CONCATENATE(B992,D992)</f>
        <v>71467115-103</v>
      </c>
      <c r="F992" s="22" t="s">
        <v>2536</v>
      </c>
      <c r="G992" s="22" t="s">
        <v>29</v>
      </c>
      <c r="H992" s="23">
        <v>19.688500000000001</v>
      </c>
      <c r="I992" s="24">
        <v>2</v>
      </c>
      <c r="J992" s="24">
        <v>0</v>
      </c>
      <c r="K992" s="24">
        <v>0</v>
      </c>
      <c r="L992" s="41">
        <f>Table2[[#This Row],[Column1]]+Table2[[#This Row],[Column2]]</f>
        <v>0</v>
      </c>
      <c r="M992" s="42">
        <f>Table2[[#This Row],[OnHandQty]]-Table2[[#This Row],[Projection Nov/Dec]]</f>
        <v>2</v>
      </c>
      <c r="N992" s="35">
        <f>Table2[[#This Row],[OverStock]]*Table2[[#This Row],[RepCost]]</f>
        <v>39.377000000000002</v>
      </c>
      <c r="O992" s="25">
        <v>46175.431944444441</v>
      </c>
      <c r="P992" s="26" t="s">
        <v>195</v>
      </c>
    </row>
    <row r="993" spans="1:16" x14ac:dyDescent="0.25">
      <c r="A993" s="20" t="s">
        <v>5211</v>
      </c>
      <c r="B993" s="21">
        <v>714</v>
      </c>
      <c r="C993" s="22" t="s">
        <v>143</v>
      </c>
      <c r="D993" s="22" t="s">
        <v>2661</v>
      </c>
      <c r="E993" s="22" t="str">
        <f>CONCATENATE(B993,D993)</f>
        <v>71467115-107</v>
      </c>
      <c r="F993" s="27" t="s">
        <v>2662</v>
      </c>
      <c r="G993" s="27" t="s">
        <v>58</v>
      </c>
      <c r="H993" s="23">
        <v>33.799500000000002</v>
      </c>
      <c r="I993" s="24">
        <v>2</v>
      </c>
      <c r="J993" s="24">
        <v>0</v>
      </c>
      <c r="K993" s="24">
        <v>0</v>
      </c>
      <c r="L993" s="41">
        <f>Table2[[#This Row],[Column1]]+Table2[[#This Row],[Column2]]</f>
        <v>0</v>
      </c>
      <c r="M993" s="42">
        <f>Table2[[#This Row],[OnHandQty]]-Table2[[#This Row],[Projection Nov/Dec]]</f>
        <v>2</v>
      </c>
      <c r="N993" s="35">
        <f>Table2[[#This Row],[OverStock]]*Table2[[#This Row],[RepCost]]</f>
        <v>67.599000000000004</v>
      </c>
      <c r="O993" s="25">
        <v>45737.652083333334</v>
      </c>
      <c r="P993" s="26" t="s">
        <v>216</v>
      </c>
    </row>
    <row r="994" spans="1:16" x14ac:dyDescent="0.25">
      <c r="A994" s="20" t="s">
        <v>5211</v>
      </c>
      <c r="B994" s="21">
        <v>718</v>
      </c>
      <c r="C994" s="22" t="s">
        <v>143</v>
      </c>
      <c r="D994" s="22" t="s">
        <v>154</v>
      </c>
      <c r="E994" s="22" t="str">
        <f>CONCATENATE(B994,D994)</f>
        <v>71882490-105</v>
      </c>
      <c r="F994" s="22" t="s">
        <v>155</v>
      </c>
      <c r="G994" s="22" t="s">
        <v>112</v>
      </c>
      <c r="H994" s="23">
        <v>28.3596</v>
      </c>
      <c r="I994" s="24">
        <v>12</v>
      </c>
      <c r="J994" s="24">
        <v>4</v>
      </c>
      <c r="K994" s="24">
        <v>0</v>
      </c>
      <c r="L994" s="41">
        <f>Table2[[#This Row],[Column1]]+Table2[[#This Row],[Column2]]</f>
        <v>4</v>
      </c>
      <c r="M994" s="42">
        <f>Table2[[#This Row],[OnHandQty]]-Table2[[#This Row],[Projection Nov/Dec]]</f>
        <v>8</v>
      </c>
      <c r="N994" s="35">
        <f>Table2[[#This Row],[OverStock]]*Table2[[#This Row],[RepCost]]</f>
        <v>226.8768</v>
      </c>
      <c r="O994" s="25">
        <v>46185.552777777775</v>
      </c>
      <c r="P994" s="26" t="s">
        <v>26</v>
      </c>
    </row>
    <row r="995" spans="1:16" x14ac:dyDescent="0.25">
      <c r="A995" s="20" t="s">
        <v>5211</v>
      </c>
      <c r="B995" s="21">
        <v>636</v>
      </c>
      <c r="C995" s="22" t="s">
        <v>143</v>
      </c>
      <c r="D995" s="22" t="s">
        <v>906</v>
      </c>
      <c r="E995" s="22" t="str">
        <f>CONCATENATE(B995,D995)</f>
        <v>63677761-105</v>
      </c>
      <c r="F995" s="22" t="s">
        <v>907</v>
      </c>
      <c r="G995" s="22" t="s">
        <v>43</v>
      </c>
      <c r="H995" s="23">
        <v>31.923100000000002</v>
      </c>
      <c r="I995" s="24">
        <v>16</v>
      </c>
      <c r="J995" s="24">
        <v>6</v>
      </c>
      <c r="K995" s="24">
        <v>0</v>
      </c>
      <c r="L995" s="41">
        <f>Table2[[#This Row],[Column1]]+Table2[[#This Row],[Column2]]</f>
        <v>6</v>
      </c>
      <c r="M995" s="42">
        <f>Table2[[#This Row],[OnHandQty]]-Table2[[#This Row],[Projection Nov/Dec]]</f>
        <v>10</v>
      </c>
      <c r="N995" s="35">
        <f>Table2[[#This Row],[OverStock]]*Table2[[#This Row],[RepCost]]</f>
        <v>319.23099999999999</v>
      </c>
      <c r="O995" s="25">
        <v>46191.598611111112</v>
      </c>
      <c r="P995" s="26" t="s">
        <v>26</v>
      </c>
    </row>
    <row r="996" spans="1:16" x14ac:dyDescent="0.25">
      <c r="A996" s="20" t="s">
        <v>5211</v>
      </c>
      <c r="B996" s="21">
        <v>714</v>
      </c>
      <c r="C996" s="22" t="s">
        <v>143</v>
      </c>
      <c r="D996" s="22" t="s">
        <v>2419</v>
      </c>
      <c r="E996" s="22" t="str">
        <f>CONCATENATE(B996,D996)</f>
        <v>71484272-W236</v>
      </c>
      <c r="F996" s="22" t="s">
        <v>2420</v>
      </c>
      <c r="G996" s="22" t="s">
        <v>35</v>
      </c>
      <c r="H996" s="23">
        <v>89.072599999999994</v>
      </c>
      <c r="I996" s="24">
        <v>5</v>
      </c>
      <c r="J996" s="24">
        <v>0</v>
      </c>
      <c r="K996" s="24">
        <v>1</v>
      </c>
      <c r="L996" s="41">
        <f>Table2[[#This Row],[Column1]]+Table2[[#This Row],[Column2]]</f>
        <v>1</v>
      </c>
      <c r="M996" s="42">
        <f>Table2[[#This Row],[OnHandQty]]-Table2[[#This Row],[Projection Nov/Dec]]</f>
        <v>4</v>
      </c>
      <c r="N996" s="35">
        <f>Table2[[#This Row],[OverStock]]*Table2[[#This Row],[RepCost]]</f>
        <v>356.29039999999998</v>
      </c>
      <c r="O996" s="25">
        <v>45766.383333333331</v>
      </c>
      <c r="P996" s="26" t="s">
        <v>2271</v>
      </c>
    </row>
    <row r="997" spans="1:16" x14ac:dyDescent="0.25">
      <c r="A997" s="20" t="s">
        <v>5211</v>
      </c>
      <c r="B997" s="21">
        <v>714</v>
      </c>
      <c r="C997" s="22" t="s">
        <v>143</v>
      </c>
      <c r="D997" s="22" t="s">
        <v>2399</v>
      </c>
      <c r="E997" s="22" t="str">
        <f>CONCATENATE(B997,D997)</f>
        <v>71467121-103</v>
      </c>
      <c r="F997" s="22" t="s">
        <v>2400</v>
      </c>
      <c r="G997" s="22" t="s">
        <v>35</v>
      </c>
      <c r="H997" s="23">
        <v>12.4475</v>
      </c>
      <c r="I997" s="24">
        <v>3</v>
      </c>
      <c r="J997" s="24">
        <v>0</v>
      </c>
      <c r="K997" s="24">
        <v>0</v>
      </c>
      <c r="L997" s="41">
        <f>Table2[[#This Row],[Column1]]+Table2[[#This Row],[Column2]]</f>
        <v>0</v>
      </c>
      <c r="M997" s="42">
        <f>Table2[[#This Row],[OnHandQty]]-Table2[[#This Row],[Projection Nov/Dec]]</f>
        <v>3</v>
      </c>
      <c r="N997" s="35">
        <f>Table2[[#This Row],[OverStock]]*Table2[[#This Row],[RepCost]]</f>
        <v>37.342500000000001</v>
      </c>
      <c r="O997" s="25">
        <v>45749.587500000001</v>
      </c>
      <c r="P997" s="26" t="s">
        <v>162</v>
      </c>
    </row>
    <row r="998" spans="1:16" x14ac:dyDescent="0.25">
      <c r="A998" s="20" t="s">
        <v>5211</v>
      </c>
      <c r="B998" s="21">
        <v>636</v>
      </c>
      <c r="C998" s="22" t="s">
        <v>143</v>
      </c>
      <c r="D998" s="22" t="s">
        <v>1127</v>
      </c>
      <c r="E998" s="22" t="str">
        <f>CONCATENATE(B998,D998)</f>
        <v>63667158-INT0010</v>
      </c>
      <c r="F998" s="22" t="s">
        <v>1128</v>
      </c>
      <c r="G998" s="22" t="s">
        <v>39</v>
      </c>
      <c r="H998" s="23">
        <v>30.049399999999999</v>
      </c>
      <c r="I998" s="24">
        <v>1</v>
      </c>
      <c r="J998" s="24">
        <v>0</v>
      </c>
      <c r="K998" s="24">
        <v>0</v>
      </c>
      <c r="L998" s="41">
        <f>Table2[[#This Row],[Column1]]+Table2[[#This Row],[Column2]]</f>
        <v>0</v>
      </c>
      <c r="M998" s="42">
        <f>Table2[[#This Row],[OnHandQty]]-Table2[[#This Row],[Projection Nov/Dec]]</f>
        <v>1</v>
      </c>
      <c r="N998" s="35">
        <f>Table2[[#This Row],[OverStock]]*Table2[[#This Row],[RepCost]]</f>
        <v>30.049399999999999</v>
      </c>
      <c r="O998" s="25">
        <v>46119.349305555559</v>
      </c>
      <c r="P998" s="26" t="s">
        <v>652</v>
      </c>
    </row>
    <row r="999" spans="1:16" x14ac:dyDescent="0.25">
      <c r="A999" s="20" t="s">
        <v>5211</v>
      </c>
      <c r="B999" s="21">
        <v>636</v>
      </c>
      <c r="C999" s="22" t="s">
        <v>143</v>
      </c>
      <c r="D999" s="22" t="s">
        <v>1129</v>
      </c>
      <c r="E999" s="22" t="str">
        <f>CONCATENATE(B999,D999)</f>
        <v>63667158-INT006</v>
      </c>
      <c r="F999" s="22" t="s">
        <v>1130</v>
      </c>
      <c r="G999" s="22" t="s">
        <v>29</v>
      </c>
      <c r="H999" s="23">
        <v>11.117699999999999</v>
      </c>
      <c r="I999" s="24">
        <v>4</v>
      </c>
      <c r="J999" s="24">
        <v>0</v>
      </c>
      <c r="K999" s="24">
        <v>0</v>
      </c>
      <c r="L999" s="41">
        <f>Table2[[#This Row],[Column1]]+Table2[[#This Row],[Column2]]</f>
        <v>0</v>
      </c>
      <c r="M999" s="42">
        <f>Table2[[#This Row],[OnHandQty]]-Table2[[#This Row],[Projection Nov/Dec]]</f>
        <v>4</v>
      </c>
      <c r="N999" s="35">
        <f>Table2[[#This Row],[OverStock]]*Table2[[#This Row],[RepCost]]</f>
        <v>44.470799999999997</v>
      </c>
      <c r="O999" s="25">
        <v>46097.35833333333</v>
      </c>
      <c r="P999" s="26" t="s">
        <v>1131</v>
      </c>
    </row>
    <row r="1000" spans="1:16" x14ac:dyDescent="0.25">
      <c r="A1000" s="20" t="s">
        <v>5211</v>
      </c>
      <c r="B1000" s="21">
        <v>636</v>
      </c>
      <c r="C1000" s="22" t="s">
        <v>143</v>
      </c>
      <c r="D1000" s="22" t="s">
        <v>1009</v>
      </c>
      <c r="E1000" s="22" t="str">
        <f>CONCATENATE(B1000,D1000)</f>
        <v>63667158-INT008</v>
      </c>
      <c r="F1000" s="22" t="s">
        <v>1010</v>
      </c>
      <c r="G1000" s="22" t="s">
        <v>39</v>
      </c>
      <c r="H1000" s="23">
        <v>16.5078</v>
      </c>
      <c r="I1000" s="24">
        <v>8</v>
      </c>
      <c r="J1000" s="24">
        <v>0</v>
      </c>
      <c r="K1000" s="24">
        <v>0</v>
      </c>
      <c r="L1000" s="41">
        <f>Table2[[#This Row],[Column1]]+Table2[[#This Row],[Column2]]</f>
        <v>0</v>
      </c>
      <c r="M1000" s="42">
        <f>Table2[[#This Row],[OnHandQty]]-Table2[[#This Row],[Projection Nov/Dec]]</f>
        <v>8</v>
      </c>
      <c r="N1000" s="35">
        <f>Table2[[#This Row],[OverStock]]*Table2[[#This Row],[RepCost]]</f>
        <v>132.0624</v>
      </c>
      <c r="O1000" s="25">
        <v>46114.513194444444</v>
      </c>
      <c r="P1000" s="26" t="s">
        <v>652</v>
      </c>
    </row>
    <row r="1001" spans="1:16" x14ac:dyDescent="0.25">
      <c r="A1001" s="20" t="s">
        <v>5211</v>
      </c>
      <c r="B1001" s="21">
        <v>714</v>
      </c>
      <c r="C1001" s="22" t="s">
        <v>143</v>
      </c>
      <c r="D1001" s="22" t="s">
        <v>2369</v>
      </c>
      <c r="E1001" s="22" t="str">
        <f>CONCATENATE(B1001,D1001)</f>
        <v>71479991-103</v>
      </c>
      <c r="F1001" s="27" t="s">
        <v>2370</v>
      </c>
      <c r="G1001" s="27" t="s">
        <v>58</v>
      </c>
      <c r="H1001" s="23">
        <v>20.142800000000001</v>
      </c>
      <c r="I1001" s="24">
        <v>2</v>
      </c>
      <c r="J1001" s="24">
        <v>0</v>
      </c>
      <c r="K1001" s="24">
        <v>0</v>
      </c>
      <c r="L1001" s="41">
        <f>Table2[[#This Row],[Column1]]+Table2[[#This Row],[Column2]]</f>
        <v>0</v>
      </c>
      <c r="M1001" s="42">
        <f>Table2[[#This Row],[OnHandQty]]-Table2[[#This Row],[Projection Nov/Dec]]</f>
        <v>2</v>
      </c>
      <c r="N1001" s="35">
        <f>Table2[[#This Row],[OverStock]]*Table2[[#This Row],[RepCost]]</f>
        <v>40.285600000000002</v>
      </c>
      <c r="O1001" s="25">
        <v>45140.62777777778</v>
      </c>
      <c r="P1001" s="26" t="s">
        <v>140</v>
      </c>
    </row>
    <row r="1002" spans="1:16" x14ac:dyDescent="0.25">
      <c r="A1002" s="20" t="s">
        <v>5211</v>
      </c>
      <c r="B1002" s="21">
        <v>714</v>
      </c>
      <c r="C1002" s="22" t="s">
        <v>143</v>
      </c>
      <c r="D1002" s="22" t="s">
        <v>2253</v>
      </c>
      <c r="E1002" s="22" t="str">
        <f>CONCATENATE(B1002,D1002)</f>
        <v>71467163-110</v>
      </c>
      <c r="F1002" s="22" t="s">
        <v>2254</v>
      </c>
      <c r="G1002" s="22" t="s">
        <v>158</v>
      </c>
      <c r="H1002" s="23">
        <v>53.450299999999999</v>
      </c>
      <c r="I1002" s="24">
        <v>14</v>
      </c>
      <c r="J1002" s="24">
        <v>0</v>
      </c>
      <c r="K1002" s="24">
        <v>3</v>
      </c>
      <c r="L1002" s="41">
        <f>Table2[[#This Row],[Column1]]+Table2[[#This Row],[Column2]]</f>
        <v>3</v>
      </c>
      <c r="M1002" s="42">
        <f>Table2[[#This Row],[OnHandQty]]-Table2[[#This Row],[Projection Nov/Dec]]</f>
        <v>11</v>
      </c>
      <c r="N1002" s="35">
        <f>Table2[[#This Row],[OverStock]]*Table2[[#This Row],[RepCost]]</f>
        <v>587.95330000000001</v>
      </c>
      <c r="O1002" s="25">
        <v>46204.5625</v>
      </c>
      <c r="P1002" s="26" t="s">
        <v>195</v>
      </c>
    </row>
    <row r="1003" spans="1:16" x14ac:dyDescent="0.25">
      <c r="A1003" s="20" t="s">
        <v>5211</v>
      </c>
      <c r="B1003" s="21">
        <v>718</v>
      </c>
      <c r="C1003" s="22" t="s">
        <v>143</v>
      </c>
      <c r="D1003" s="22" t="s">
        <v>3760</v>
      </c>
      <c r="E1003" s="22" t="str">
        <f>CONCATENATE(B1003,D1003)</f>
        <v>71867163-107</v>
      </c>
      <c r="F1003" s="22" t="s">
        <v>3761</v>
      </c>
      <c r="G1003" s="22" t="s">
        <v>29</v>
      </c>
      <c r="H1003" s="23">
        <v>33.266300000000001</v>
      </c>
      <c r="I1003" s="24">
        <v>6</v>
      </c>
      <c r="J1003" s="24">
        <v>0</v>
      </c>
      <c r="K1003" s="24">
        <v>0</v>
      </c>
      <c r="L1003" s="41">
        <f>Table2[[#This Row],[Column1]]+Table2[[#This Row],[Column2]]</f>
        <v>0</v>
      </c>
      <c r="M1003" s="42">
        <f>Table2[[#This Row],[OnHandQty]]-Table2[[#This Row],[Projection Nov/Dec]]</f>
        <v>6</v>
      </c>
      <c r="N1003" s="35">
        <f>Table2[[#This Row],[OverStock]]*Table2[[#This Row],[RepCost]]</f>
        <v>199.59780000000001</v>
      </c>
      <c r="O1003" s="25">
        <v>45737.495833333334</v>
      </c>
      <c r="P1003" s="26" t="s">
        <v>216</v>
      </c>
    </row>
    <row r="1004" spans="1:16" x14ac:dyDescent="0.25">
      <c r="A1004" s="20" t="s">
        <v>5211</v>
      </c>
      <c r="B1004" s="21">
        <v>718</v>
      </c>
      <c r="C1004" s="22" t="s">
        <v>126</v>
      </c>
      <c r="D1004" s="22" t="s">
        <v>3705</v>
      </c>
      <c r="E1004" s="22" t="str">
        <f>CONCATENATE(B1004,D1004)</f>
        <v>71890977-103PFO</v>
      </c>
      <c r="F1004" s="22" t="s">
        <v>3706</v>
      </c>
      <c r="G1004" s="22" t="s">
        <v>112</v>
      </c>
      <c r="H1004" s="23">
        <v>16.878699999999998</v>
      </c>
      <c r="I1004" s="24">
        <v>14</v>
      </c>
      <c r="J1004" s="24">
        <v>8</v>
      </c>
      <c r="K1004" s="24">
        <v>0</v>
      </c>
      <c r="L1004" s="41">
        <f>Table2[[#This Row],[Column1]]+Table2[[#This Row],[Column2]]</f>
        <v>8</v>
      </c>
      <c r="M1004" s="42">
        <f>Table2[[#This Row],[OnHandQty]]-Table2[[#This Row],[Projection Nov/Dec]]</f>
        <v>6</v>
      </c>
      <c r="N1004" s="35">
        <f>Table2[[#This Row],[OverStock]]*Table2[[#This Row],[RepCost]]</f>
        <v>101.2722</v>
      </c>
      <c r="O1004" s="25">
        <v>46160.443749999999</v>
      </c>
      <c r="P1004" s="26" t="s">
        <v>140</v>
      </c>
    </row>
    <row r="1005" spans="1:16" x14ac:dyDescent="0.25">
      <c r="A1005" s="20" t="s">
        <v>5211</v>
      </c>
      <c r="B1005" s="21">
        <v>714</v>
      </c>
      <c r="C1005" s="22" t="s">
        <v>143</v>
      </c>
      <c r="D1005" s="22" t="s">
        <v>2348</v>
      </c>
      <c r="E1005" s="22" t="str">
        <f>CONCATENATE(B1005,D1005)</f>
        <v>71467165-102</v>
      </c>
      <c r="F1005" s="22" t="s">
        <v>2349</v>
      </c>
      <c r="G1005" s="22" t="s">
        <v>29</v>
      </c>
      <c r="H1005" s="23">
        <v>21.748000000000001</v>
      </c>
      <c r="I1005" s="24">
        <v>1</v>
      </c>
      <c r="J1005" s="24">
        <v>0</v>
      </c>
      <c r="K1005" s="24">
        <v>0</v>
      </c>
      <c r="L1005" s="41">
        <f>Table2[[#This Row],[Column1]]+Table2[[#This Row],[Column2]]</f>
        <v>0</v>
      </c>
      <c r="M1005" s="42">
        <f>Table2[[#This Row],[OnHandQty]]-Table2[[#This Row],[Projection Nov/Dec]]</f>
        <v>1</v>
      </c>
      <c r="N1005" s="35">
        <f>Table2[[#This Row],[OverStock]]*Table2[[#This Row],[RepCost]]</f>
        <v>21.748000000000001</v>
      </c>
      <c r="O1005" s="25">
        <v>45784.373611111114</v>
      </c>
      <c r="P1005" s="26" t="s">
        <v>67</v>
      </c>
    </row>
    <row r="1006" spans="1:16" x14ac:dyDescent="0.25">
      <c r="A1006" s="20" t="s">
        <v>5211</v>
      </c>
      <c r="B1006" s="21">
        <v>714</v>
      </c>
      <c r="C1006" s="22" t="s">
        <v>143</v>
      </c>
      <c r="D1006" s="22" t="s">
        <v>2648</v>
      </c>
      <c r="E1006" s="22" t="str">
        <f>CONCATENATE(B1006,D1006)</f>
        <v>71467160-105</v>
      </c>
      <c r="F1006" s="22" t="s">
        <v>2649</v>
      </c>
      <c r="G1006" s="22" t="s">
        <v>19</v>
      </c>
      <c r="H1006" s="23">
        <v>33.021000000000001</v>
      </c>
      <c r="I1006" s="24">
        <v>5</v>
      </c>
      <c r="J1006" s="24">
        <v>0</v>
      </c>
      <c r="K1006" s="24">
        <v>0</v>
      </c>
      <c r="L1006" s="41">
        <f>Table2[[#This Row],[Column1]]+Table2[[#This Row],[Column2]]</f>
        <v>0</v>
      </c>
      <c r="M1006" s="42">
        <f>Table2[[#This Row],[OnHandQty]]-Table2[[#This Row],[Projection Nov/Dec]]</f>
        <v>5</v>
      </c>
      <c r="N1006" s="35">
        <f>Table2[[#This Row],[OverStock]]*Table2[[#This Row],[RepCost]]</f>
        <v>165.10500000000002</v>
      </c>
      <c r="O1006" s="25">
        <v>43077.925000000003</v>
      </c>
      <c r="P1006" s="26" t="s">
        <v>2650</v>
      </c>
    </row>
    <row r="1007" spans="1:16" x14ac:dyDescent="0.25">
      <c r="A1007" s="20" t="s">
        <v>5211</v>
      </c>
      <c r="B1007" s="21">
        <v>714</v>
      </c>
      <c r="C1007" s="22" t="s">
        <v>143</v>
      </c>
      <c r="D1007" s="22" t="s">
        <v>2430</v>
      </c>
      <c r="E1007" s="22" t="str">
        <f>CONCATENATE(B1007,D1007)</f>
        <v>71492943-103</v>
      </c>
      <c r="F1007" s="22" t="s">
        <v>2431</v>
      </c>
      <c r="G1007" s="22" t="s">
        <v>23</v>
      </c>
      <c r="H1007" s="23">
        <v>20.8325</v>
      </c>
      <c r="I1007" s="24">
        <v>4</v>
      </c>
      <c r="J1007" s="24">
        <v>0</v>
      </c>
      <c r="K1007" s="24">
        <v>0</v>
      </c>
      <c r="L1007" s="41">
        <f>Table2[[#This Row],[Column1]]+Table2[[#This Row],[Column2]]</f>
        <v>0</v>
      </c>
      <c r="M1007" s="42">
        <f>Table2[[#This Row],[OnHandQty]]-Table2[[#This Row],[Projection Nov/Dec]]</f>
        <v>4</v>
      </c>
      <c r="N1007" s="35">
        <f>Table2[[#This Row],[OverStock]]*Table2[[#This Row],[RepCost]]</f>
        <v>83.33</v>
      </c>
      <c r="O1007" s="25">
        <v>46188.35</v>
      </c>
      <c r="P1007" s="26" t="s">
        <v>26</v>
      </c>
    </row>
    <row r="1008" spans="1:16" x14ac:dyDescent="0.25">
      <c r="A1008" s="20" t="s">
        <v>5211</v>
      </c>
      <c r="B1008" s="21">
        <v>714</v>
      </c>
      <c r="C1008" s="22" t="s">
        <v>143</v>
      </c>
      <c r="D1008" s="22" t="s">
        <v>2469</v>
      </c>
      <c r="E1008" s="22" t="str">
        <f>CONCATENATE(B1008,D1008)</f>
        <v>71477774-105</v>
      </c>
      <c r="F1008" s="22" t="s">
        <v>2470</v>
      </c>
      <c r="G1008" s="22" t="s">
        <v>29</v>
      </c>
      <c r="H1008" s="23">
        <v>32.951000000000001</v>
      </c>
      <c r="I1008" s="24">
        <v>1</v>
      </c>
      <c r="J1008" s="24">
        <v>0</v>
      </c>
      <c r="K1008" s="24">
        <v>0</v>
      </c>
      <c r="L1008" s="41">
        <f>Table2[[#This Row],[Column1]]+Table2[[#This Row],[Column2]]</f>
        <v>0</v>
      </c>
      <c r="M1008" s="42">
        <f>Table2[[#This Row],[OnHandQty]]-Table2[[#This Row],[Projection Nov/Dec]]</f>
        <v>1</v>
      </c>
      <c r="N1008" s="35">
        <f>Table2[[#This Row],[OverStock]]*Table2[[#This Row],[RepCost]]</f>
        <v>32.951000000000001</v>
      </c>
      <c r="O1008" s="25">
        <v>45784.373611111114</v>
      </c>
      <c r="P1008" s="26" t="s">
        <v>67</v>
      </c>
    </row>
    <row r="1009" spans="1:16" x14ac:dyDescent="0.25">
      <c r="A1009" s="20" t="s">
        <v>5211</v>
      </c>
      <c r="B1009" s="21">
        <v>714</v>
      </c>
      <c r="C1009" s="22" t="s">
        <v>143</v>
      </c>
      <c r="D1009" s="22" t="s">
        <v>2606</v>
      </c>
      <c r="E1009" s="22" t="str">
        <f>CONCATENATE(B1009,D1009)</f>
        <v>71484270-103</v>
      </c>
      <c r="F1009" s="22" t="s">
        <v>2607</v>
      </c>
      <c r="G1009" s="22" t="s">
        <v>29</v>
      </c>
      <c r="H1009" s="23">
        <v>16.787099999999999</v>
      </c>
      <c r="I1009" s="24">
        <v>3</v>
      </c>
      <c r="J1009" s="24">
        <v>0</v>
      </c>
      <c r="K1009" s="24">
        <v>0</v>
      </c>
      <c r="L1009" s="41">
        <f>Table2[[#This Row],[Column1]]+Table2[[#This Row],[Column2]]</f>
        <v>0</v>
      </c>
      <c r="M1009" s="42">
        <f>Table2[[#This Row],[OnHandQty]]-Table2[[#This Row],[Projection Nov/Dec]]</f>
        <v>3</v>
      </c>
      <c r="N1009" s="35">
        <f>Table2[[#This Row],[OverStock]]*Table2[[#This Row],[RepCost]]</f>
        <v>50.3613</v>
      </c>
      <c r="O1009" s="25">
        <v>46188.35</v>
      </c>
      <c r="P1009" s="26" t="s">
        <v>26</v>
      </c>
    </row>
    <row r="1010" spans="1:16" x14ac:dyDescent="0.25">
      <c r="A1010" s="20" t="s">
        <v>5211</v>
      </c>
      <c r="B1010" s="21">
        <v>718</v>
      </c>
      <c r="C1010" s="22" t="s">
        <v>143</v>
      </c>
      <c r="D1010" s="22" t="s">
        <v>3709</v>
      </c>
      <c r="E1010" s="22" t="str">
        <f>CONCATENATE(B1010,D1010)</f>
        <v>71879612-105</v>
      </c>
      <c r="F1010" s="27" t="s">
        <v>3710</v>
      </c>
      <c r="G1010" s="27" t="s">
        <v>58</v>
      </c>
      <c r="H1010" s="23">
        <v>24.0351</v>
      </c>
      <c r="I1010" s="24">
        <v>7</v>
      </c>
      <c r="J1010" s="24">
        <v>0</v>
      </c>
      <c r="K1010" s="24">
        <v>0</v>
      </c>
      <c r="L1010" s="41">
        <f>Table2[[#This Row],[Column1]]+Table2[[#This Row],[Column2]]</f>
        <v>0</v>
      </c>
      <c r="M1010" s="42">
        <f>Table2[[#This Row],[OnHandQty]]-Table2[[#This Row],[Projection Nov/Dec]]</f>
        <v>7</v>
      </c>
      <c r="N1010" s="35">
        <f>Table2[[#This Row],[OverStock]]*Table2[[#This Row],[RepCost]]</f>
        <v>168.2457</v>
      </c>
      <c r="O1010" s="25">
        <v>45805.669444444444</v>
      </c>
      <c r="P1010" s="26" t="s">
        <v>26</v>
      </c>
    </row>
    <row r="1011" spans="1:16" x14ac:dyDescent="0.25">
      <c r="A1011" s="20" t="s">
        <v>5211</v>
      </c>
      <c r="B1011" s="21">
        <v>636</v>
      </c>
      <c r="C1011" s="22" t="s">
        <v>143</v>
      </c>
      <c r="D1011" s="22" t="s">
        <v>914</v>
      </c>
      <c r="E1011" s="22" t="str">
        <f>CONCATENATE(B1011,D1011)</f>
        <v>63679612-STD110</v>
      </c>
      <c r="F1011" s="22" t="s">
        <v>915</v>
      </c>
      <c r="G1011" s="22" t="s">
        <v>23</v>
      </c>
      <c r="H1011" s="23">
        <v>82.819000000000003</v>
      </c>
      <c r="I1011" s="24">
        <v>5</v>
      </c>
      <c r="J1011" s="24">
        <v>2</v>
      </c>
      <c r="K1011" s="24">
        <v>1</v>
      </c>
      <c r="L1011" s="41">
        <f>Table2[[#This Row],[Column1]]+Table2[[#This Row],[Column2]]</f>
        <v>3</v>
      </c>
      <c r="M1011" s="42">
        <f>Table2[[#This Row],[OnHandQty]]-Table2[[#This Row],[Projection Nov/Dec]]</f>
        <v>2</v>
      </c>
      <c r="N1011" s="35">
        <f>Table2[[#This Row],[OverStock]]*Table2[[#This Row],[RepCost]]</f>
        <v>165.63800000000001</v>
      </c>
      <c r="O1011" s="25">
        <v>46185.387499999997</v>
      </c>
      <c r="P1011" s="26" t="s">
        <v>159</v>
      </c>
    </row>
    <row r="1012" spans="1:16" x14ac:dyDescent="0.25">
      <c r="A1012" s="20" t="s">
        <v>5211</v>
      </c>
      <c r="B1012" s="21">
        <v>718</v>
      </c>
      <c r="C1012" s="22" t="s">
        <v>143</v>
      </c>
      <c r="D1012" s="22" t="s">
        <v>914</v>
      </c>
      <c r="E1012" s="22" t="str">
        <f>CONCATENATE(B1012,D1012)</f>
        <v>71879612-STD110</v>
      </c>
      <c r="F1012" s="22" t="s">
        <v>915</v>
      </c>
      <c r="G1012" s="22" t="s">
        <v>23</v>
      </c>
      <c r="H1012" s="23">
        <v>79.467200000000005</v>
      </c>
      <c r="I1012" s="24">
        <v>12</v>
      </c>
      <c r="J1012" s="24">
        <v>2</v>
      </c>
      <c r="K1012" s="24">
        <v>1</v>
      </c>
      <c r="L1012" s="41">
        <f>Table2[[#This Row],[Column1]]+Table2[[#This Row],[Column2]]</f>
        <v>3</v>
      </c>
      <c r="M1012" s="42">
        <f>Table2[[#This Row],[OnHandQty]]-Table2[[#This Row],[Projection Nov/Dec]]</f>
        <v>9</v>
      </c>
      <c r="N1012" s="35">
        <f>Table2[[#This Row],[OverStock]]*Table2[[#This Row],[RepCost]]</f>
        <v>715.20480000000009</v>
      </c>
      <c r="O1012" s="25">
        <v>46205.533333333333</v>
      </c>
      <c r="P1012" s="26" t="s">
        <v>26</v>
      </c>
    </row>
    <row r="1013" spans="1:16" x14ac:dyDescent="0.25">
      <c r="A1013" s="20" t="s">
        <v>5211</v>
      </c>
      <c r="B1013" s="21">
        <v>636</v>
      </c>
      <c r="C1013" s="22" t="s">
        <v>143</v>
      </c>
      <c r="D1013" s="22" t="s">
        <v>1084</v>
      </c>
      <c r="E1013" s="22" t="str">
        <f>CONCATENATE(B1013,D1013)</f>
        <v>63679612-STD248</v>
      </c>
      <c r="F1013" s="22" t="s">
        <v>1085</v>
      </c>
      <c r="G1013" s="22" t="s">
        <v>19</v>
      </c>
      <c r="H1013" s="23">
        <v>263.63799999999998</v>
      </c>
      <c r="I1013" s="24">
        <v>1</v>
      </c>
      <c r="J1013" s="24">
        <v>0</v>
      </c>
      <c r="K1013" s="24">
        <v>0</v>
      </c>
      <c r="L1013" s="41">
        <f>Table2[[#This Row],[Column1]]+Table2[[#This Row],[Column2]]</f>
        <v>0</v>
      </c>
      <c r="M1013" s="42">
        <f>Table2[[#This Row],[OnHandQty]]-Table2[[#This Row],[Projection Nov/Dec]]</f>
        <v>1</v>
      </c>
      <c r="N1013" s="35">
        <f>Table2[[#This Row],[OverStock]]*Table2[[#This Row],[RepCost]]</f>
        <v>263.63799999999998</v>
      </c>
      <c r="O1013" s="25">
        <v>46105.497916666667</v>
      </c>
      <c r="P1013" s="26" t="s">
        <v>165</v>
      </c>
    </row>
    <row r="1014" spans="1:16" x14ac:dyDescent="0.25">
      <c r="A1014" s="20" t="s">
        <v>5211</v>
      </c>
      <c r="B1014" s="21">
        <v>718</v>
      </c>
      <c r="C1014" s="22" t="s">
        <v>143</v>
      </c>
      <c r="D1014" s="22" t="s">
        <v>2377</v>
      </c>
      <c r="E1014" s="22" t="str">
        <f>CONCATENATE(B1014,D1014)</f>
        <v>71879612-STD305</v>
      </c>
      <c r="F1014" s="27" t="s">
        <v>2378</v>
      </c>
      <c r="G1014" s="27" t="s">
        <v>58</v>
      </c>
      <c r="H1014" s="23">
        <v>174.7184</v>
      </c>
      <c r="I1014" s="24">
        <v>1</v>
      </c>
      <c r="J1014" s="24">
        <v>0</v>
      </c>
      <c r="K1014" s="24">
        <v>0</v>
      </c>
      <c r="L1014" s="41">
        <f>Table2[[#This Row],[Column1]]+Table2[[#This Row],[Column2]]</f>
        <v>0</v>
      </c>
      <c r="M1014" s="42">
        <f>Table2[[#This Row],[OnHandQty]]-Table2[[#This Row],[Projection Nov/Dec]]</f>
        <v>1</v>
      </c>
      <c r="N1014" s="35">
        <f>Table2[[#This Row],[OverStock]]*Table2[[#This Row],[RepCost]]</f>
        <v>174.7184</v>
      </c>
      <c r="O1014" s="25">
        <v>43175.624305555553</v>
      </c>
      <c r="P1014" s="26" t="s">
        <v>3764</v>
      </c>
    </row>
    <row r="1015" spans="1:16" x14ac:dyDescent="0.25">
      <c r="A1015" s="20" t="s">
        <v>5211</v>
      </c>
      <c r="B1015" s="21">
        <v>714</v>
      </c>
      <c r="C1015" s="22" t="s">
        <v>143</v>
      </c>
      <c r="D1015" s="22" t="s">
        <v>2377</v>
      </c>
      <c r="E1015" s="22" t="str">
        <f>CONCATENATE(B1015,D1015)</f>
        <v>71479612-STD305</v>
      </c>
      <c r="F1015" s="27" t="s">
        <v>2378</v>
      </c>
      <c r="G1015" s="27" t="s">
        <v>58</v>
      </c>
      <c r="H1015" s="23">
        <v>174.7184</v>
      </c>
      <c r="I1015" s="24">
        <v>3</v>
      </c>
      <c r="J1015" s="24">
        <v>0</v>
      </c>
      <c r="K1015" s="24">
        <v>0</v>
      </c>
      <c r="L1015" s="41">
        <f>Table2[[#This Row],[Column1]]+Table2[[#This Row],[Column2]]</f>
        <v>0</v>
      </c>
      <c r="M1015" s="42">
        <f>Table2[[#This Row],[OnHandQty]]-Table2[[#This Row],[Projection Nov/Dec]]</f>
        <v>3</v>
      </c>
      <c r="N1015" s="35">
        <f>Table2[[#This Row],[OverStock]]*Table2[[#This Row],[RepCost]]</f>
        <v>524.15520000000004</v>
      </c>
      <c r="O1015" s="25">
        <v>45790.337500000001</v>
      </c>
      <c r="P1015" s="26" t="s">
        <v>2379</v>
      </c>
    </row>
    <row r="1016" spans="1:16" x14ac:dyDescent="0.25">
      <c r="A1016" s="20" t="s">
        <v>5211</v>
      </c>
      <c r="B1016" s="21">
        <v>636</v>
      </c>
      <c r="C1016" s="22" t="s">
        <v>143</v>
      </c>
      <c r="D1016" s="22" t="s">
        <v>1027</v>
      </c>
      <c r="E1016" s="22" t="str">
        <f>CONCATENATE(B1016,D1016)</f>
        <v>63679612-STD306</v>
      </c>
      <c r="F1016" s="22" t="s">
        <v>1028</v>
      </c>
      <c r="G1016" s="22" t="s">
        <v>23</v>
      </c>
      <c r="H1016" s="23">
        <v>273.7278</v>
      </c>
      <c r="I1016" s="24">
        <v>1</v>
      </c>
      <c r="J1016" s="24">
        <v>0</v>
      </c>
      <c r="K1016" s="24">
        <v>0</v>
      </c>
      <c r="L1016" s="41">
        <f>Table2[[#This Row],[Column1]]+Table2[[#This Row],[Column2]]</f>
        <v>0</v>
      </c>
      <c r="M1016" s="42">
        <f>Table2[[#This Row],[OnHandQty]]-Table2[[#This Row],[Projection Nov/Dec]]</f>
        <v>1</v>
      </c>
      <c r="N1016" s="35">
        <f>Table2[[#This Row],[OverStock]]*Table2[[#This Row],[RepCost]]</f>
        <v>273.7278</v>
      </c>
      <c r="O1016" s="25">
        <v>46132.304166666669</v>
      </c>
      <c r="P1016" s="26" t="s">
        <v>178</v>
      </c>
    </row>
    <row r="1017" spans="1:16" x14ac:dyDescent="0.25">
      <c r="A1017" s="20" t="s">
        <v>5211</v>
      </c>
      <c r="B1017" s="21">
        <v>718</v>
      </c>
      <c r="C1017" s="22" t="s">
        <v>143</v>
      </c>
      <c r="D1017" s="22" t="s">
        <v>3822</v>
      </c>
      <c r="E1017" s="22" t="str">
        <f>CONCATENATE(B1017,D1017)</f>
        <v>71891137-STD110</v>
      </c>
      <c r="F1017" s="22" t="s">
        <v>3823</v>
      </c>
      <c r="G1017" s="22" t="s">
        <v>112</v>
      </c>
      <c r="H1017" s="23">
        <v>79.258499999999998</v>
      </c>
      <c r="I1017" s="24">
        <v>4</v>
      </c>
      <c r="J1017" s="24">
        <v>0</v>
      </c>
      <c r="K1017" s="24">
        <v>0</v>
      </c>
      <c r="L1017" s="41">
        <f>Table2[[#This Row],[Column1]]+Table2[[#This Row],[Column2]]</f>
        <v>0</v>
      </c>
      <c r="M1017" s="42">
        <f>Table2[[#This Row],[OnHandQty]]-Table2[[#This Row],[Projection Nov/Dec]]</f>
        <v>4</v>
      </c>
      <c r="N1017" s="35">
        <f>Table2[[#This Row],[OverStock]]*Table2[[#This Row],[RepCost]]</f>
        <v>317.03399999999999</v>
      </c>
      <c r="O1017" s="25">
        <v>46205.533333333333</v>
      </c>
      <c r="P1017" s="26" t="s">
        <v>26</v>
      </c>
    </row>
    <row r="1018" spans="1:16" x14ac:dyDescent="0.25">
      <c r="A1018" s="20" t="s">
        <v>5211</v>
      </c>
      <c r="B1018" s="21">
        <v>718</v>
      </c>
      <c r="C1018" s="22" t="s">
        <v>143</v>
      </c>
      <c r="D1018" s="22" t="s">
        <v>3802</v>
      </c>
      <c r="E1018" s="22" t="str">
        <f>CONCATENATE(B1018,D1018)</f>
        <v>71882303-107</v>
      </c>
      <c r="F1018" s="22" t="s">
        <v>3803</v>
      </c>
      <c r="G1018" s="22" t="s">
        <v>23</v>
      </c>
      <c r="H1018" s="23">
        <v>38.308300000000003</v>
      </c>
      <c r="I1018" s="24">
        <v>17</v>
      </c>
      <c r="J1018" s="24">
        <v>0</v>
      </c>
      <c r="K1018" s="24">
        <v>0</v>
      </c>
      <c r="L1018" s="41">
        <f>Table2[[#This Row],[Column1]]+Table2[[#This Row],[Column2]]</f>
        <v>0</v>
      </c>
      <c r="M1018" s="42">
        <f>Table2[[#This Row],[OnHandQty]]-Table2[[#This Row],[Projection Nov/Dec]]</f>
        <v>17</v>
      </c>
      <c r="N1018" s="35">
        <f>Table2[[#This Row],[OverStock]]*Table2[[#This Row],[RepCost]]</f>
        <v>651.24110000000007</v>
      </c>
      <c r="O1018" s="25">
        <v>46134.55972222222</v>
      </c>
      <c r="P1018" s="26" t="s">
        <v>216</v>
      </c>
    </row>
    <row r="1019" spans="1:16" x14ac:dyDescent="0.25">
      <c r="A1019" s="20" t="s">
        <v>5211</v>
      </c>
      <c r="B1019" s="21">
        <v>718</v>
      </c>
      <c r="C1019" s="22" t="s">
        <v>143</v>
      </c>
      <c r="D1019" s="22" t="s">
        <v>245</v>
      </c>
      <c r="E1019" s="22" t="str">
        <f>CONCATENATE(B1019,D1019)</f>
        <v>71867191-110</v>
      </c>
      <c r="F1019" s="22" t="s">
        <v>246</v>
      </c>
      <c r="G1019" s="22" t="s">
        <v>43</v>
      </c>
      <c r="H1019" s="23">
        <v>54.625999999999998</v>
      </c>
      <c r="I1019" s="24">
        <v>11</v>
      </c>
      <c r="J1019" s="24">
        <v>0</v>
      </c>
      <c r="K1019" s="24">
        <v>0</v>
      </c>
      <c r="L1019" s="41">
        <f>Table2[[#This Row],[Column1]]+Table2[[#This Row],[Column2]]</f>
        <v>0</v>
      </c>
      <c r="M1019" s="42">
        <f>Table2[[#This Row],[OnHandQty]]-Table2[[#This Row],[Projection Nov/Dec]]</f>
        <v>11</v>
      </c>
      <c r="N1019" s="35">
        <f>Table2[[#This Row],[OverStock]]*Table2[[#This Row],[RepCost]]</f>
        <v>600.88599999999997</v>
      </c>
      <c r="O1019" s="25">
        <v>46199.635416666664</v>
      </c>
      <c r="P1019" s="26" t="s">
        <v>26</v>
      </c>
    </row>
    <row r="1020" spans="1:16" x14ac:dyDescent="0.25">
      <c r="A1020" s="20" t="s">
        <v>5211</v>
      </c>
      <c r="B1020" s="21">
        <v>714</v>
      </c>
      <c r="C1020" s="22" t="s">
        <v>143</v>
      </c>
      <c r="D1020" s="22" t="s">
        <v>232</v>
      </c>
      <c r="E1020" s="22" t="str">
        <f>CONCATENATE(B1020,D1020)</f>
        <v>71467191-248</v>
      </c>
      <c r="F1020" s="22" t="s">
        <v>233</v>
      </c>
      <c r="G1020" s="22" t="s">
        <v>19</v>
      </c>
      <c r="H1020" s="23">
        <v>68.489400000000003</v>
      </c>
      <c r="I1020" s="24">
        <v>1</v>
      </c>
      <c r="J1020" s="24">
        <v>0</v>
      </c>
      <c r="K1020" s="24">
        <v>0</v>
      </c>
      <c r="L1020" s="41">
        <f>Table2[[#This Row],[Column1]]+Table2[[#This Row],[Column2]]</f>
        <v>0</v>
      </c>
      <c r="M1020" s="42">
        <f>Table2[[#This Row],[OnHandQty]]-Table2[[#This Row],[Projection Nov/Dec]]</f>
        <v>1</v>
      </c>
      <c r="N1020" s="35">
        <f>Table2[[#This Row],[OverStock]]*Table2[[#This Row],[RepCost]]</f>
        <v>68.489400000000003</v>
      </c>
      <c r="O1020" s="25">
        <v>45785.349305555559</v>
      </c>
      <c r="P1020" s="26" t="s">
        <v>2457</v>
      </c>
    </row>
    <row r="1021" spans="1:16" x14ac:dyDescent="0.25">
      <c r="A1021" s="20" t="s">
        <v>5211</v>
      </c>
      <c r="B1021" s="21">
        <v>636</v>
      </c>
      <c r="C1021" s="22" t="s">
        <v>143</v>
      </c>
      <c r="D1021" s="22" t="s">
        <v>232</v>
      </c>
      <c r="E1021" s="22" t="str">
        <f>CONCATENATE(B1021,D1021)</f>
        <v>63667191-248</v>
      </c>
      <c r="F1021" s="22" t="s">
        <v>233</v>
      </c>
      <c r="G1021" s="22" t="s">
        <v>23</v>
      </c>
      <c r="H1021" s="23">
        <v>108.94329999999999</v>
      </c>
      <c r="I1021" s="24">
        <v>12</v>
      </c>
      <c r="J1021" s="24">
        <v>0</v>
      </c>
      <c r="K1021" s="24">
        <v>0</v>
      </c>
      <c r="L1021" s="41">
        <f>Table2[[#This Row],[Column1]]+Table2[[#This Row],[Column2]]</f>
        <v>0</v>
      </c>
      <c r="M1021" s="42">
        <f>Table2[[#This Row],[OnHandQty]]-Table2[[#This Row],[Projection Nov/Dec]]</f>
        <v>12</v>
      </c>
      <c r="N1021" s="35">
        <f>Table2[[#This Row],[OverStock]]*Table2[[#This Row],[RepCost]]</f>
        <v>1307.3195999999998</v>
      </c>
      <c r="O1021" s="25">
        <v>46107.539583333331</v>
      </c>
      <c r="P1021" s="26" t="s">
        <v>295</v>
      </c>
    </row>
    <row r="1022" spans="1:16" x14ac:dyDescent="0.25">
      <c r="A1022" s="20" t="s">
        <v>5211</v>
      </c>
      <c r="B1022" s="21">
        <v>634</v>
      </c>
      <c r="C1022" s="22" t="s">
        <v>143</v>
      </c>
      <c r="D1022" s="22" t="s">
        <v>232</v>
      </c>
      <c r="E1022" s="22" t="str">
        <f>CONCATENATE(B1022,D1022)</f>
        <v>63467191-248</v>
      </c>
      <c r="F1022" s="22" t="s">
        <v>233</v>
      </c>
      <c r="G1022" s="22" t="s">
        <v>19</v>
      </c>
      <c r="H1022" s="23">
        <v>113.89700000000001</v>
      </c>
      <c r="I1022" s="24">
        <v>7</v>
      </c>
      <c r="J1022" s="24">
        <v>0</v>
      </c>
      <c r="K1022" s="24">
        <v>0</v>
      </c>
      <c r="L1022" s="41">
        <f>Table2[[#This Row],[Column1]]+Table2[[#This Row],[Column2]]</f>
        <v>0</v>
      </c>
      <c r="M1022" s="42">
        <f>Table2[[#This Row],[OnHandQty]]-Table2[[#This Row],[Projection Nov/Dec]]</f>
        <v>7</v>
      </c>
      <c r="N1022" s="35">
        <f>Table2[[#This Row],[OverStock]]*Table2[[#This Row],[RepCost]]</f>
        <v>797.279</v>
      </c>
      <c r="O1022" s="25">
        <v>46119.724999999999</v>
      </c>
      <c r="P1022" s="26" t="s">
        <v>165</v>
      </c>
    </row>
    <row r="1023" spans="1:16" x14ac:dyDescent="0.25">
      <c r="A1023" s="20" t="s">
        <v>5211</v>
      </c>
      <c r="B1023" s="21">
        <v>634</v>
      </c>
      <c r="C1023" s="22" t="s">
        <v>143</v>
      </c>
      <c r="D1023" s="22" t="s">
        <v>176</v>
      </c>
      <c r="E1023" s="22" t="str">
        <f>CONCATENATE(B1023,D1023)</f>
        <v>63467191-305</v>
      </c>
      <c r="F1023" s="27" t="s">
        <v>177</v>
      </c>
      <c r="G1023" s="27" t="s">
        <v>58</v>
      </c>
      <c r="H1023" s="23">
        <v>168.0549</v>
      </c>
      <c r="I1023" s="24">
        <v>5</v>
      </c>
      <c r="J1023" s="24">
        <v>0</v>
      </c>
      <c r="K1023" s="24">
        <v>0</v>
      </c>
      <c r="L1023" s="41">
        <f>Table2[[#This Row],[Column1]]+Table2[[#This Row],[Column2]]</f>
        <v>0</v>
      </c>
      <c r="M1023" s="42">
        <f>Table2[[#This Row],[OnHandQty]]-Table2[[#This Row],[Projection Nov/Dec]]</f>
        <v>5</v>
      </c>
      <c r="N1023" s="35">
        <f>Table2[[#This Row],[OverStock]]*Table2[[#This Row],[RepCost]]</f>
        <v>840.27449999999999</v>
      </c>
      <c r="O1023" s="25">
        <v>45412.510416666664</v>
      </c>
      <c r="P1023" s="26" t="s">
        <v>178</v>
      </c>
    </row>
    <row r="1024" spans="1:16" x14ac:dyDescent="0.25">
      <c r="A1024" s="20" t="s">
        <v>5211</v>
      </c>
      <c r="B1024" s="21">
        <v>636</v>
      </c>
      <c r="C1024" s="22" t="s">
        <v>143</v>
      </c>
      <c r="D1024" s="22" t="s">
        <v>210</v>
      </c>
      <c r="E1024" s="22" t="str">
        <f>CONCATENATE(B1024,D1024)</f>
        <v>63667191-254</v>
      </c>
      <c r="F1024" s="22" t="s">
        <v>211</v>
      </c>
      <c r="G1024" s="22" t="s">
        <v>23</v>
      </c>
      <c r="H1024" s="23">
        <v>157.0609</v>
      </c>
      <c r="I1024" s="24">
        <v>1</v>
      </c>
      <c r="J1024" s="24">
        <v>0</v>
      </c>
      <c r="K1024" s="24">
        <v>0</v>
      </c>
      <c r="L1024" s="41">
        <f>Table2[[#This Row],[Column1]]+Table2[[#This Row],[Column2]]</f>
        <v>0</v>
      </c>
      <c r="M1024" s="42">
        <f>Table2[[#This Row],[OnHandQty]]-Table2[[#This Row],[Projection Nov/Dec]]</f>
        <v>1</v>
      </c>
      <c r="N1024" s="35">
        <f>Table2[[#This Row],[OverStock]]*Table2[[#This Row],[RepCost]]</f>
        <v>157.0609</v>
      </c>
      <c r="O1024" s="25">
        <v>46105.497916666667</v>
      </c>
      <c r="P1024" s="26" t="s">
        <v>165</v>
      </c>
    </row>
    <row r="1025" spans="1:16" x14ac:dyDescent="0.25">
      <c r="A1025" s="20" t="s">
        <v>5211</v>
      </c>
      <c r="B1025" s="21">
        <v>634</v>
      </c>
      <c r="C1025" s="22" t="s">
        <v>143</v>
      </c>
      <c r="D1025" s="22" t="s">
        <v>210</v>
      </c>
      <c r="E1025" s="22" t="str">
        <f>CONCATENATE(B1025,D1025)</f>
        <v>63467191-254</v>
      </c>
      <c r="F1025" s="22" t="s">
        <v>211</v>
      </c>
      <c r="G1025" s="22" t="s">
        <v>19</v>
      </c>
      <c r="H1025" s="23">
        <v>166.82589999999999</v>
      </c>
      <c r="I1025" s="24">
        <v>2</v>
      </c>
      <c r="J1025" s="24">
        <v>0</v>
      </c>
      <c r="K1025" s="24">
        <v>0</v>
      </c>
      <c r="L1025" s="41">
        <f>Table2[[#This Row],[Column1]]+Table2[[#This Row],[Column2]]</f>
        <v>0</v>
      </c>
      <c r="M1025" s="42">
        <f>Table2[[#This Row],[OnHandQty]]-Table2[[#This Row],[Projection Nov/Dec]]</f>
        <v>2</v>
      </c>
      <c r="N1025" s="35">
        <f>Table2[[#This Row],[OverStock]]*Table2[[#This Row],[RepCost]]</f>
        <v>333.65179999999998</v>
      </c>
      <c r="O1025" s="25">
        <v>46119.724999999999</v>
      </c>
      <c r="P1025" s="26" t="s">
        <v>165</v>
      </c>
    </row>
    <row r="1026" spans="1:16" x14ac:dyDescent="0.25">
      <c r="A1026" s="20" t="s">
        <v>5211</v>
      </c>
      <c r="B1026" s="21">
        <v>636</v>
      </c>
      <c r="C1026" s="22" t="s">
        <v>143</v>
      </c>
      <c r="D1026" s="22" t="s">
        <v>1082</v>
      </c>
      <c r="E1026" s="22" t="str">
        <f>CONCATENATE(B1026,D1026)</f>
        <v>63667191-306</v>
      </c>
      <c r="F1026" s="22" t="s">
        <v>1083</v>
      </c>
      <c r="G1026" s="22" t="s">
        <v>19</v>
      </c>
      <c r="H1026" s="23">
        <v>179.16200000000001</v>
      </c>
      <c r="I1026" s="24">
        <v>1</v>
      </c>
      <c r="J1026" s="24">
        <v>0</v>
      </c>
      <c r="K1026" s="24">
        <v>0</v>
      </c>
      <c r="L1026" s="41">
        <f>Table2[[#This Row],[Column1]]+Table2[[#This Row],[Column2]]</f>
        <v>0</v>
      </c>
      <c r="M1026" s="42">
        <f>Table2[[#This Row],[OnHandQty]]-Table2[[#This Row],[Projection Nov/Dec]]</f>
        <v>1</v>
      </c>
      <c r="N1026" s="35">
        <f>Table2[[#This Row],[OverStock]]*Table2[[#This Row],[RepCost]]</f>
        <v>179.16200000000001</v>
      </c>
      <c r="O1026" s="25">
        <v>45786.51666666667</v>
      </c>
      <c r="P1026" s="26" t="s">
        <v>216</v>
      </c>
    </row>
    <row r="1027" spans="1:16" x14ac:dyDescent="0.25">
      <c r="A1027" s="20" t="s">
        <v>5211</v>
      </c>
      <c r="B1027" s="21">
        <v>636</v>
      </c>
      <c r="C1027" s="22" t="s">
        <v>143</v>
      </c>
      <c r="D1027" s="22" t="s">
        <v>1015</v>
      </c>
      <c r="E1027" s="22" t="str">
        <f>CONCATENATE(B1027,D1027)</f>
        <v>63667191-STD248</v>
      </c>
      <c r="F1027" s="22" t="s">
        <v>1016</v>
      </c>
      <c r="G1027" s="22" t="s">
        <v>23</v>
      </c>
      <c r="H1027" s="23">
        <v>185.6026</v>
      </c>
      <c r="I1027" s="24">
        <v>1</v>
      </c>
      <c r="J1027" s="24">
        <v>0</v>
      </c>
      <c r="K1027" s="24">
        <v>0</v>
      </c>
      <c r="L1027" s="41">
        <f>Table2[[#This Row],[Column1]]+Table2[[#This Row],[Column2]]</f>
        <v>0</v>
      </c>
      <c r="M1027" s="42">
        <f>Table2[[#This Row],[OnHandQty]]-Table2[[#This Row],[Projection Nov/Dec]]</f>
        <v>1</v>
      </c>
      <c r="N1027" s="35">
        <f>Table2[[#This Row],[OverStock]]*Table2[[#This Row],[RepCost]]</f>
        <v>185.6026</v>
      </c>
      <c r="O1027" s="25">
        <v>46106.444444444445</v>
      </c>
      <c r="P1027" s="26" t="s">
        <v>357</v>
      </c>
    </row>
    <row r="1028" spans="1:16" x14ac:dyDescent="0.25">
      <c r="A1028" s="20" t="s">
        <v>5211</v>
      </c>
      <c r="B1028" s="21">
        <v>714</v>
      </c>
      <c r="C1028" s="22" t="s">
        <v>143</v>
      </c>
      <c r="D1028" s="22" t="s">
        <v>2428</v>
      </c>
      <c r="E1028" s="22" t="str">
        <f>CONCATENATE(B1028,D1028)</f>
        <v>71467191-STD305</v>
      </c>
      <c r="F1028" s="22" t="s">
        <v>2429</v>
      </c>
      <c r="G1028" s="22" t="s">
        <v>29</v>
      </c>
      <c r="H1028" s="23">
        <v>0</v>
      </c>
      <c r="I1028" s="24">
        <v>5</v>
      </c>
      <c r="J1028" s="24">
        <v>0</v>
      </c>
      <c r="K1028" s="24">
        <v>0</v>
      </c>
      <c r="L1028" s="41">
        <f>Table2[[#This Row],[Column1]]+Table2[[#This Row],[Column2]]</f>
        <v>0</v>
      </c>
      <c r="M1028" s="42">
        <f>Table2[[#This Row],[OnHandQty]]-Table2[[#This Row],[Projection Nov/Dec]]</f>
        <v>5</v>
      </c>
      <c r="N1028" s="35">
        <f>Table2[[#This Row],[OverStock]]*Table2[[#This Row],[RepCost]]</f>
        <v>0</v>
      </c>
      <c r="O1028" s="25">
        <v>46101.615277777775</v>
      </c>
      <c r="P1028" s="26" t="s">
        <v>2271</v>
      </c>
    </row>
    <row r="1029" spans="1:16" x14ac:dyDescent="0.25">
      <c r="A1029" s="20" t="s">
        <v>5211</v>
      </c>
      <c r="B1029" s="21">
        <v>634</v>
      </c>
      <c r="C1029" s="22" t="s">
        <v>143</v>
      </c>
      <c r="D1029" s="22" t="s">
        <v>306</v>
      </c>
      <c r="E1029" s="22" t="str">
        <f>CONCATENATE(B1029,D1029)</f>
        <v>63467191-STD107</v>
      </c>
      <c r="F1029" s="22" t="s">
        <v>307</v>
      </c>
      <c r="G1029" s="22" t="s">
        <v>23</v>
      </c>
      <c r="H1029" s="23">
        <v>66.969300000000004</v>
      </c>
      <c r="I1029" s="24">
        <v>10</v>
      </c>
      <c r="J1029" s="24">
        <v>1</v>
      </c>
      <c r="K1029" s="24">
        <v>0</v>
      </c>
      <c r="L1029" s="41">
        <f>Table2[[#This Row],[Column1]]+Table2[[#This Row],[Column2]]</f>
        <v>1</v>
      </c>
      <c r="M1029" s="42">
        <f>Table2[[#This Row],[OnHandQty]]-Table2[[#This Row],[Projection Nov/Dec]]</f>
        <v>9</v>
      </c>
      <c r="N1029" s="35">
        <f>Table2[[#This Row],[OverStock]]*Table2[[#This Row],[RepCost]]</f>
        <v>602.72370000000001</v>
      </c>
      <c r="O1029" s="25">
        <v>46162.544444444444</v>
      </c>
      <c r="P1029" s="26" t="s">
        <v>162</v>
      </c>
    </row>
    <row r="1030" spans="1:16" x14ac:dyDescent="0.25">
      <c r="A1030" s="20" t="s">
        <v>5211</v>
      </c>
      <c r="B1030" s="21">
        <v>718</v>
      </c>
      <c r="C1030" s="22" t="s">
        <v>143</v>
      </c>
      <c r="D1030" s="22" t="s">
        <v>2563</v>
      </c>
      <c r="E1030" s="22" t="str">
        <f>CONCATENATE(B1030,D1030)</f>
        <v>71879941-107</v>
      </c>
      <c r="F1030" s="27" t="s">
        <v>2564</v>
      </c>
      <c r="G1030" s="27" t="s">
        <v>58</v>
      </c>
      <c r="H1030" s="23">
        <v>37.662799999999997</v>
      </c>
      <c r="I1030" s="24">
        <v>3</v>
      </c>
      <c r="J1030" s="24">
        <v>0</v>
      </c>
      <c r="K1030" s="24">
        <v>0</v>
      </c>
      <c r="L1030" s="41">
        <f>Table2[[#This Row],[Column1]]+Table2[[#This Row],[Column2]]</f>
        <v>0</v>
      </c>
      <c r="M1030" s="42">
        <f>Table2[[#This Row],[OnHandQty]]-Table2[[#This Row],[Projection Nov/Dec]]</f>
        <v>3</v>
      </c>
      <c r="N1030" s="35">
        <f>Table2[[#This Row],[OverStock]]*Table2[[#This Row],[RepCost]]</f>
        <v>112.98839999999998</v>
      </c>
      <c r="O1030" s="25">
        <v>45412.588888888888</v>
      </c>
      <c r="P1030" s="26" t="s">
        <v>562</v>
      </c>
    </row>
    <row r="1031" spans="1:16" x14ac:dyDescent="0.25">
      <c r="A1031" s="20" t="s">
        <v>5211</v>
      </c>
      <c r="B1031" s="21">
        <v>714</v>
      </c>
      <c r="C1031" s="22" t="s">
        <v>143</v>
      </c>
      <c r="D1031" s="22" t="s">
        <v>2563</v>
      </c>
      <c r="E1031" s="22" t="str">
        <f>CONCATENATE(B1031,D1031)</f>
        <v>71479941-107</v>
      </c>
      <c r="F1031" s="22" t="s">
        <v>2564</v>
      </c>
      <c r="G1031" s="22" t="s">
        <v>158</v>
      </c>
      <c r="H1031" s="23">
        <v>34.372</v>
      </c>
      <c r="I1031" s="24">
        <v>2</v>
      </c>
      <c r="J1031" s="24">
        <v>0</v>
      </c>
      <c r="K1031" s="24">
        <v>0</v>
      </c>
      <c r="L1031" s="41">
        <f>Table2[[#This Row],[Column1]]+Table2[[#This Row],[Column2]]</f>
        <v>0</v>
      </c>
      <c r="M1031" s="42">
        <f>Table2[[#This Row],[OnHandQty]]-Table2[[#This Row],[Projection Nov/Dec]]</f>
        <v>2</v>
      </c>
      <c r="N1031" s="35">
        <f>Table2[[#This Row],[OverStock]]*Table2[[#This Row],[RepCost]]</f>
        <v>68.744</v>
      </c>
      <c r="O1031" s="25">
        <v>46178.441666666666</v>
      </c>
      <c r="P1031" s="26" t="s">
        <v>216</v>
      </c>
    </row>
    <row r="1032" spans="1:16" x14ac:dyDescent="0.25">
      <c r="A1032" s="20" t="s">
        <v>5211</v>
      </c>
      <c r="B1032" s="21">
        <v>634</v>
      </c>
      <c r="C1032" s="22" t="s">
        <v>143</v>
      </c>
      <c r="D1032" s="22" t="s">
        <v>273</v>
      </c>
      <c r="E1032" s="22" t="str">
        <f>CONCATENATE(B1032,D1032)</f>
        <v>63479941-STD110</v>
      </c>
      <c r="F1032" s="22" t="s">
        <v>274</v>
      </c>
      <c r="G1032" s="22" t="s">
        <v>23</v>
      </c>
      <c r="H1032" s="23">
        <v>81.986099999999993</v>
      </c>
      <c r="I1032" s="24">
        <v>7</v>
      </c>
      <c r="J1032" s="24">
        <v>0</v>
      </c>
      <c r="K1032" s="24">
        <v>0</v>
      </c>
      <c r="L1032" s="41">
        <f>Table2[[#This Row],[Column1]]+Table2[[#This Row],[Column2]]</f>
        <v>0</v>
      </c>
      <c r="M1032" s="42">
        <f>Table2[[#This Row],[OnHandQty]]-Table2[[#This Row],[Projection Nov/Dec]]</f>
        <v>7</v>
      </c>
      <c r="N1032" s="35">
        <f>Table2[[#This Row],[OverStock]]*Table2[[#This Row],[RepCost]]</f>
        <v>573.90269999999998</v>
      </c>
      <c r="O1032" s="25">
        <v>46184.3</v>
      </c>
      <c r="P1032" s="26" t="s">
        <v>64</v>
      </c>
    </row>
    <row r="1033" spans="1:16" x14ac:dyDescent="0.25">
      <c r="A1033" s="20" t="s">
        <v>5211</v>
      </c>
      <c r="B1033" s="21">
        <v>714</v>
      </c>
      <c r="C1033" s="22" t="s">
        <v>143</v>
      </c>
      <c r="D1033" s="22" t="s">
        <v>2409</v>
      </c>
      <c r="E1033" s="22" t="str">
        <f>CONCATENATE(B1033,D1033)</f>
        <v>71477776-105</v>
      </c>
      <c r="F1033" s="22" t="s">
        <v>2410</v>
      </c>
      <c r="G1033" s="22" t="s">
        <v>29</v>
      </c>
      <c r="H1033" s="23">
        <v>53.900599999999997</v>
      </c>
      <c r="I1033" s="24">
        <v>3</v>
      </c>
      <c r="J1033" s="24">
        <v>0</v>
      </c>
      <c r="K1033" s="24">
        <v>0</v>
      </c>
      <c r="L1033" s="41">
        <f>Table2[[#This Row],[Column1]]+Table2[[#This Row],[Column2]]</f>
        <v>0</v>
      </c>
      <c r="M1033" s="42">
        <f>Table2[[#This Row],[OnHandQty]]-Table2[[#This Row],[Projection Nov/Dec]]</f>
        <v>3</v>
      </c>
      <c r="N1033" s="35">
        <f>Table2[[#This Row],[OverStock]]*Table2[[#This Row],[RepCost]]</f>
        <v>161.70179999999999</v>
      </c>
      <c r="O1033" s="25">
        <v>46197.482638888891</v>
      </c>
      <c r="P1033" s="26" t="s">
        <v>40</v>
      </c>
    </row>
    <row r="1034" spans="1:16" x14ac:dyDescent="0.25">
      <c r="A1034" s="20" t="s">
        <v>5211</v>
      </c>
      <c r="B1034" s="21">
        <v>714</v>
      </c>
      <c r="C1034" s="22" t="s">
        <v>143</v>
      </c>
      <c r="D1034" s="22" t="s">
        <v>1033</v>
      </c>
      <c r="E1034" s="22" t="str">
        <f>CONCATENATE(B1034,D1034)</f>
        <v>71477776-STD110</v>
      </c>
      <c r="F1034" s="22" t="s">
        <v>1034</v>
      </c>
      <c r="G1034" s="22" t="s">
        <v>43</v>
      </c>
      <c r="H1034" s="23">
        <v>76.770700000000005</v>
      </c>
      <c r="I1034" s="24">
        <v>7</v>
      </c>
      <c r="J1034" s="24">
        <v>1</v>
      </c>
      <c r="K1034" s="24">
        <v>0</v>
      </c>
      <c r="L1034" s="41">
        <f>Table2[[#This Row],[Column1]]+Table2[[#This Row],[Column2]]</f>
        <v>1</v>
      </c>
      <c r="M1034" s="42">
        <f>Table2[[#This Row],[OnHandQty]]-Table2[[#This Row],[Projection Nov/Dec]]</f>
        <v>6</v>
      </c>
      <c r="N1034" s="35">
        <f>Table2[[#This Row],[OverStock]]*Table2[[#This Row],[RepCost]]</f>
        <v>460.62420000000003</v>
      </c>
      <c r="O1034" s="25">
        <v>46223.390972222223</v>
      </c>
      <c r="P1034" s="26" t="s">
        <v>47</v>
      </c>
    </row>
    <row r="1035" spans="1:16" x14ac:dyDescent="0.25">
      <c r="A1035" s="20" t="s">
        <v>5211</v>
      </c>
      <c r="B1035" s="21">
        <v>714</v>
      </c>
      <c r="C1035" s="22" t="s">
        <v>143</v>
      </c>
      <c r="D1035" s="22" t="s">
        <v>2744</v>
      </c>
      <c r="E1035" s="22" t="str">
        <f>CONCATENATE(B1035,D1035)</f>
        <v>71477776-STD305</v>
      </c>
      <c r="F1035" s="22" t="s">
        <v>2745</v>
      </c>
      <c r="G1035" s="22" t="s">
        <v>29</v>
      </c>
      <c r="H1035" s="23">
        <v>107.9093</v>
      </c>
      <c r="I1035" s="24">
        <v>3</v>
      </c>
      <c r="J1035" s="24">
        <v>0</v>
      </c>
      <c r="K1035" s="24">
        <v>0</v>
      </c>
      <c r="L1035" s="41">
        <f>Table2[[#This Row],[Column1]]+Table2[[#This Row],[Column2]]</f>
        <v>0</v>
      </c>
      <c r="M1035" s="42">
        <f>Table2[[#This Row],[OnHandQty]]-Table2[[#This Row],[Projection Nov/Dec]]</f>
        <v>3</v>
      </c>
      <c r="N1035" s="35">
        <f>Table2[[#This Row],[OverStock]]*Table2[[#This Row],[RepCost]]</f>
        <v>323.72789999999998</v>
      </c>
      <c r="O1035" s="25">
        <v>44732.934027777781</v>
      </c>
      <c r="P1035" s="26" t="s">
        <v>2271</v>
      </c>
    </row>
    <row r="1036" spans="1:16" x14ac:dyDescent="0.25">
      <c r="A1036" s="20" t="s">
        <v>5211</v>
      </c>
      <c r="B1036" s="21">
        <v>714</v>
      </c>
      <c r="C1036" s="22" t="s">
        <v>143</v>
      </c>
      <c r="D1036" s="22" t="s">
        <v>2659</v>
      </c>
      <c r="E1036" s="22" t="str">
        <f>CONCATENATE(B1036,D1036)</f>
        <v>71482583-103</v>
      </c>
      <c r="F1036" s="22" t="s">
        <v>2660</v>
      </c>
      <c r="G1036" s="22" t="s">
        <v>15</v>
      </c>
      <c r="H1036" s="23">
        <v>19.160699999999999</v>
      </c>
      <c r="I1036" s="24">
        <v>1</v>
      </c>
      <c r="J1036" s="24">
        <v>0</v>
      </c>
      <c r="K1036" s="24">
        <v>0</v>
      </c>
      <c r="L1036" s="41">
        <f>Table2[[#This Row],[Column1]]+Table2[[#This Row],[Column2]]</f>
        <v>0</v>
      </c>
      <c r="M1036" s="42">
        <f>Table2[[#This Row],[OnHandQty]]-Table2[[#This Row],[Projection Nov/Dec]]</f>
        <v>1</v>
      </c>
      <c r="N1036" s="35">
        <f>Table2[[#This Row],[OverStock]]*Table2[[#This Row],[RepCost]]</f>
        <v>19.160699999999999</v>
      </c>
      <c r="O1036" s="25">
        <v>45862.625694444447</v>
      </c>
      <c r="P1036" s="26" t="s">
        <v>26</v>
      </c>
    </row>
    <row r="1037" spans="1:16" x14ac:dyDescent="0.25">
      <c r="A1037" s="20" t="s">
        <v>5211</v>
      </c>
      <c r="B1037" s="21">
        <v>714</v>
      </c>
      <c r="C1037" s="22" t="s">
        <v>143</v>
      </c>
      <c r="D1037" s="22" t="s">
        <v>2616</v>
      </c>
      <c r="E1037" s="22" t="str">
        <f>CONCATENATE(B1037,D1037)</f>
        <v>71490889-110</v>
      </c>
      <c r="F1037" s="22" t="s">
        <v>2617</v>
      </c>
      <c r="G1037" s="22" t="s">
        <v>29</v>
      </c>
      <c r="H1037" s="23">
        <v>47.930999999999997</v>
      </c>
      <c r="I1037" s="24">
        <v>6</v>
      </c>
      <c r="J1037" s="24">
        <v>0</v>
      </c>
      <c r="K1037" s="24">
        <v>0</v>
      </c>
      <c r="L1037" s="41">
        <f>Table2[[#This Row],[Column1]]+Table2[[#This Row],[Column2]]</f>
        <v>0</v>
      </c>
      <c r="M1037" s="42">
        <f>Table2[[#This Row],[OnHandQty]]-Table2[[#This Row],[Projection Nov/Dec]]</f>
        <v>6</v>
      </c>
      <c r="N1037" s="35">
        <f>Table2[[#This Row],[OverStock]]*Table2[[#This Row],[RepCost]]</f>
        <v>287.58600000000001</v>
      </c>
      <c r="O1037" s="25">
        <v>45745.366666666669</v>
      </c>
      <c r="P1037" s="26" t="s">
        <v>26</v>
      </c>
    </row>
    <row r="1038" spans="1:16" x14ac:dyDescent="0.25">
      <c r="A1038" s="20" t="s">
        <v>5211</v>
      </c>
      <c r="B1038" s="21">
        <v>718</v>
      </c>
      <c r="C1038" s="22" t="s">
        <v>143</v>
      </c>
      <c r="D1038" s="22" t="s">
        <v>3734</v>
      </c>
      <c r="E1038" s="22" t="str">
        <f>CONCATENATE(B1038,D1038)</f>
        <v>71890889-STD110</v>
      </c>
      <c r="F1038" s="22" t="s">
        <v>3735</v>
      </c>
      <c r="G1038" s="22" t="s">
        <v>43</v>
      </c>
      <c r="H1038" s="23">
        <v>76.930800000000005</v>
      </c>
      <c r="I1038" s="24">
        <v>1</v>
      </c>
      <c r="J1038" s="24">
        <v>0</v>
      </c>
      <c r="K1038" s="24">
        <v>0</v>
      </c>
      <c r="L1038" s="41">
        <f>Table2[[#This Row],[Column1]]+Table2[[#This Row],[Column2]]</f>
        <v>0</v>
      </c>
      <c r="M1038" s="42">
        <f>Table2[[#This Row],[OnHandQty]]-Table2[[#This Row],[Projection Nov/Dec]]</f>
        <v>1</v>
      </c>
      <c r="N1038" s="35">
        <f>Table2[[#This Row],[OverStock]]*Table2[[#This Row],[RepCost]]</f>
        <v>76.930800000000005</v>
      </c>
      <c r="O1038" s="25">
        <v>46190.654166666667</v>
      </c>
      <c r="P1038" s="26" t="s">
        <v>47</v>
      </c>
    </row>
    <row r="1039" spans="1:16" x14ac:dyDescent="0.25">
      <c r="A1039" s="20" t="s">
        <v>5211</v>
      </c>
      <c r="B1039" s="21">
        <v>714</v>
      </c>
      <c r="C1039" s="22" t="s">
        <v>143</v>
      </c>
      <c r="D1039" s="22" t="s">
        <v>2796</v>
      </c>
      <c r="E1039" s="22" t="str">
        <f>CONCATENATE(B1039,D1039)</f>
        <v>71491812-103</v>
      </c>
      <c r="F1039" s="22" t="s">
        <v>2797</v>
      </c>
      <c r="G1039" s="22" t="s">
        <v>39</v>
      </c>
      <c r="H1039" s="23">
        <v>18.558900000000001</v>
      </c>
      <c r="I1039" s="24">
        <v>1</v>
      </c>
      <c r="J1039" s="24">
        <v>0</v>
      </c>
      <c r="K1039" s="24">
        <v>0</v>
      </c>
      <c r="L1039" s="41">
        <f>Table2[[#This Row],[Column1]]+Table2[[#This Row],[Column2]]</f>
        <v>0</v>
      </c>
      <c r="M1039" s="42">
        <f>Table2[[#This Row],[OnHandQty]]-Table2[[#This Row],[Projection Nov/Dec]]</f>
        <v>1</v>
      </c>
      <c r="N1039" s="35">
        <f>Table2[[#This Row],[OverStock]]*Table2[[#This Row],[RepCost]]</f>
        <v>18.558900000000001</v>
      </c>
      <c r="O1039" s="25">
        <v>46181.388888888891</v>
      </c>
      <c r="P1039" s="26" t="s">
        <v>26</v>
      </c>
    </row>
    <row r="1040" spans="1:16" x14ac:dyDescent="0.25">
      <c r="A1040" s="20" t="s">
        <v>5211</v>
      </c>
      <c r="B1040" s="21">
        <v>634</v>
      </c>
      <c r="C1040" s="22" t="s">
        <v>143</v>
      </c>
      <c r="D1040" s="22" t="s">
        <v>208</v>
      </c>
      <c r="E1040" s="22" t="str">
        <f>CONCATENATE(B1040,D1040)</f>
        <v>63491655-103</v>
      </c>
      <c r="F1040" s="22" t="s">
        <v>209</v>
      </c>
      <c r="G1040" s="22" t="s">
        <v>23</v>
      </c>
      <c r="H1040" s="23">
        <v>21.4237</v>
      </c>
      <c r="I1040" s="24">
        <v>20</v>
      </c>
      <c r="J1040" s="24">
        <v>13</v>
      </c>
      <c r="K1040" s="24">
        <v>0</v>
      </c>
      <c r="L1040" s="41">
        <f>Table2[[#This Row],[Column1]]+Table2[[#This Row],[Column2]]</f>
        <v>13</v>
      </c>
      <c r="M1040" s="42">
        <f>Table2[[#This Row],[OnHandQty]]-Table2[[#This Row],[Projection Nov/Dec]]</f>
        <v>7</v>
      </c>
      <c r="N1040" s="35">
        <f>Table2[[#This Row],[OverStock]]*Table2[[#This Row],[RepCost]]</f>
        <v>149.9659</v>
      </c>
      <c r="O1040" s="25">
        <v>46246.493750000001</v>
      </c>
      <c r="P1040" s="26" t="s">
        <v>40</v>
      </c>
    </row>
    <row r="1041" spans="1:16" x14ac:dyDescent="0.25">
      <c r="A1041" s="20" t="s">
        <v>5211</v>
      </c>
      <c r="B1041" s="21">
        <v>634</v>
      </c>
      <c r="C1041" s="22" t="s">
        <v>143</v>
      </c>
      <c r="D1041" s="22" t="s">
        <v>173</v>
      </c>
      <c r="E1041" s="22" t="str">
        <f>CONCATENATE(B1041,D1041)</f>
        <v>63482948-105</v>
      </c>
      <c r="F1041" s="22" t="s">
        <v>174</v>
      </c>
      <c r="G1041" s="22" t="s">
        <v>39</v>
      </c>
      <c r="H1041" s="23">
        <v>28.628799999999998</v>
      </c>
      <c r="I1041" s="24">
        <v>12</v>
      </c>
      <c r="J1041" s="24">
        <v>0</v>
      </c>
      <c r="K1041" s="24">
        <v>0</v>
      </c>
      <c r="L1041" s="41">
        <f>Table2[[#This Row],[Column1]]+Table2[[#This Row],[Column2]]</f>
        <v>0</v>
      </c>
      <c r="M1041" s="42">
        <f>Table2[[#This Row],[OnHandQty]]-Table2[[#This Row],[Projection Nov/Dec]]</f>
        <v>12</v>
      </c>
      <c r="N1041" s="35">
        <f>Table2[[#This Row],[OverStock]]*Table2[[#This Row],[RepCost]]</f>
        <v>343.54559999999998</v>
      </c>
      <c r="O1041" s="25">
        <v>46157.606249999997</v>
      </c>
      <c r="P1041" s="26" t="s">
        <v>175</v>
      </c>
    </row>
    <row r="1042" spans="1:16" x14ac:dyDescent="0.25">
      <c r="A1042" s="20" t="s">
        <v>5211</v>
      </c>
      <c r="B1042" s="21">
        <v>718</v>
      </c>
      <c r="C1042" s="22" t="s">
        <v>143</v>
      </c>
      <c r="D1042" s="22" t="s">
        <v>3788</v>
      </c>
      <c r="E1042" s="22" t="str">
        <f>CONCATENATE(B1042,D1042)</f>
        <v>71885286-105</v>
      </c>
      <c r="F1042" s="22" t="s">
        <v>3789</v>
      </c>
      <c r="G1042" s="22" t="s">
        <v>35</v>
      </c>
      <c r="H1042" s="23">
        <v>33.116199999999999</v>
      </c>
      <c r="I1042" s="24">
        <v>2</v>
      </c>
      <c r="J1042" s="24">
        <v>0</v>
      </c>
      <c r="K1042" s="24">
        <v>0</v>
      </c>
      <c r="L1042" s="41">
        <f>Table2[[#This Row],[Column1]]+Table2[[#This Row],[Column2]]</f>
        <v>0</v>
      </c>
      <c r="M1042" s="42">
        <f>Table2[[#This Row],[OnHandQty]]-Table2[[#This Row],[Projection Nov/Dec]]</f>
        <v>2</v>
      </c>
      <c r="N1042" s="35">
        <f>Table2[[#This Row],[OverStock]]*Table2[[#This Row],[RepCost]]</f>
        <v>66.232399999999998</v>
      </c>
      <c r="O1042" s="25">
        <v>44658.302083333336</v>
      </c>
      <c r="P1042" s="26" t="s">
        <v>2868</v>
      </c>
    </row>
    <row r="1043" spans="1:16" x14ac:dyDescent="0.25">
      <c r="A1043" s="20" t="s">
        <v>5211</v>
      </c>
      <c r="B1043" s="21">
        <v>718</v>
      </c>
      <c r="C1043" s="22" t="s">
        <v>126</v>
      </c>
      <c r="D1043" s="22" t="s">
        <v>2188</v>
      </c>
      <c r="E1043" s="22" t="str">
        <f>CONCATENATE(B1043,D1043)</f>
        <v>71895147-103PFO</v>
      </c>
      <c r="F1043" s="22" t="s">
        <v>2189</v>
      </c>
      <c r="G1043" s="22" t="s">
        <v>23</v>
      </c>
      <c r="H1043" s="23">
        <v>17.686</v>
      </c>
      <c r="I1043" s="24">
        <v>1</v>
      </c>
      <c r="J1043" s="24">
        <v>0</v>
      </c>
      <c r="K1043" s="24">
        <v>0</v>
      </c>
      <c r="L1043" s="41">
        <f>Table2[[#This Row],[Column1]]+Table2[[#This Row],[Column2]]</f>
        <v>0</v>
      </c>
      <c r="M1043" s="42">
        <f>Table2[[#This Row],[OnHandQty]]-Table2[[#This Row],[Projection Nov/Dec]]</f>
        <v>1</v>
      </c>
      <c r="N1043" s="35">
        <f>Table2[[#This Row],[OverStock]]*Table2[[#This Row],[RepCost]]</f>
        <v>17.686</v>
      </c>
      <c r="O1043" s="25">
        <v>46160.443749999999</v>
      </c>
      <c r="P1043" s="26" t="s">
        <v>140</v>
      </c>
    </row>
    <row r="1044" spans="1:16" x14ac:dyDescent="0.25">
      <c r="A1044" s="20" t="s">
        <v>5211</v>
      </c>
      <c r="B1044" s="21">
        <v>714</v>
      </c>
      <c r="C1044" s="22" t="s">
        <v>126</v>
      </c>
      <c r="D1044" s="22" t="s">
        <v>2188</v>
      </c>
      <c r="E1044" s="22" t="str">
        <f>CONCATENATE(B1044,D1044)</f>
        <v>71495147-103PFO</v>
      </c>
      <c r="F1044" s="22" t="s">
        <v>2189</v>
      </c>
      <c r="G1044" s="22" t="s">
        <v>23</v>
      </c>
      <c r="H1044" s="23">
        <v>17.088699999999999</v>
      </c>
      <c r="I1044" s="24">
        <v>5</v>
      </c>
      <c r="J1044" s="24">
        <v>0</v>
      </c>
      <c r="K1044" s="24">
        <v>0</v>
      </c>
      <c r="L1044" s="41">
        <f>Table2[[#This Row],[Column1]]+Table2[[#This Row],[Column2]]</f>
        <v>0</v>
      </c>
      <c r="M1044" s="42">
        <f>Table2[[#This Row],[OnHandQty]]-Table2[[#This Row],[Projection Nov/Dec]]</f>
        <v>5</v>
      </c>
      <c r="N1044" s="35">
        <f>Table2[[#This Row],[OverStock]]*Table2[[#This Row],[RepCost]]</f>
        <v>85.4435</v>
      </c>
      <c r="O1044" s="25">
        <v>46199.370833333334</v>
      </c>
      <c r="P1044" s="26" t="s">
        <v>140</v>
      </c>
    </row>
    <row r="1045" spans="1:16" x14ac:dyDescent="0.25">
      <c r="A1045" s="20" t="s">
        <v>5211</v>
      </c>
      <c r="B1045" s="21">
        <v>636</v>
      </c>
      <c r="C1045" s="22" t="s">
        <v>143</v>
      </c>
      <c r="D1045" s="22" t="s">
        <v>1110</v>
      </c>
      <c r="E1045" s="22" t="str">
        <f>CONCATENATE(B1045,D1045)</f>
        <v>63667198-248</v>
      </c>
      <c r="F1045" s="22" t="s">
        <v>1111</v>
      </c>
      <c r="G1045" s="22" t="s">
        <v>29</v>
      </c>
      <c r="H1045" s="23">
        <v>151.4239</v>
      </c>
      <c r="I1045" s="24">
        <v>3</v>
      </c>
      <c r="J1045" s="24">
        <v>0</v>
      </c>
      <c r="K1045" s="24">
        <v>0</v>
      </c>
      <c r="L1045" s="41">
        <f>Table2[[#This Row],[Column1]]+Table2[[#This Row],[Column2]]</f>
        <v>0</v>
      </c>
      <c r="M1045" s="42">
        <f>Table2[[#This Row],[OnHandQty]]-Table2[[#This Row],[Projection Nov/Dec]]</f>
        <v>3</v>
      </c>
      <c r="N1045" s="35">
        <f>Table2[[#This Row],[OverStock]]*Table2[[#This Row],[RepCost]]</f>
        <v>454.27170000000001</v>
      </c>
      <c r="O1045" s="25">
        <v>46132.304166666669</v>
      </c>
      <c r="P1045" s="26" t="s">
        <v>178</v>
      </c>
    </row>
    <row r="1046" spans="1:16" x14ac:dyDescent="0.25">
      <c r="A1046" s="20" t="s">
        <v>5211</v>
      </c>
      <c r="B1046" s="21">
        <v>718</v>
      </c>
      <c r="C1046" s="22" t="s">
        <v>143</v>
      </c>
      <c r="D1046" s="22" t="s">
        <v>2715</v>
      </c>
      <c r="E1046" s="22" t="str">
        <f>CONCATENATE(B1046,D1046)</f>
        <v>71867198-107</v>
      </c>
      <c r="F1046" s="22" t="s">
        <v>2716</v>
      </c>
      <c r="G1046" s="22" t="s">
        <v>23</v>
      </c>
      <c r="H1046" s="23">
        <v>31.3504</v>
      </c>
      <c r="I1046" s="24">
        <v>2</v>
      </c>
      <c r="J1046" s="24">
        <v>0</v>
      </c>
      <c r="K1046" s="24">
        <v>0</v>
      </c>
      <c r="L1046" s="41">
        <f>Table2[[#This Row],[Column1]]+Table2[[#This Row],[Column2]]</f>
        <v>0</v>
      </c>
      <c r="M1046" s="42">
        <f>Table2[[#This Row],[OnHandQty]]-Table2[[#This Row],[Projection Nov/Dec]]</f>
        <v>2</v>
      </c>
      <c r="N1046" s="35">
        <f>Table2[[#This Row],[OverStock]]*Table2[[#This Row],[RepCost]]</f>
        <v>62.700800000000001</v>
      </c>
      <c r="O1046" s="25">
        <v>45741.429166666669</v>
      </c>
      <c r="P1046" s="26" t="s">
        <v>1870</v>
      </c>
    </row>
    <row r="1047" spans="1:16" x14ac:dyDescent="0.25">
      <c r="A1047" s="20" t="s">
        <v>5211</v>
      </c>
      <c r="B1047" s="21">
        <v>714</v>
      </c>
      <c r="C1047" s="22" t="s">
        <v>143</v>
      </c>
      <c r="D1047" s="22" t="s">
        <v>2715</v>
      </c>
      <c r="E1047" s="22" t="str">
        <f>CONCATENATE(B1047,D1047)</f>
        <v>71467198-107</v>
      </c>
      <c r="F1047" s="22" t="s">
        <v>2716</v>
      </c>
      <c r="G1047" s="22" t="s">
        <v>15</v>
      </c>
      <c r="H1047" s="23">
        <v>29.641400000000001</v>
      </c>
      <c r="I1047" s="24">
        <v>5</v>
      </c>
      <c r="J1047" s="24">
        <v>0</v>
      </c>
      <c r="K1047" s="24">
        <v>0</v>
      </c>
      <c r="L1047" s="41">
        <f>Table2[[#This Row],[Column1]]+Table2[[#This Row],[Column2]]</f>
        <v>0</v>
      </c>
      <c r="M1047" s="42">
        <f>Table2[[#This Row],[OnHandQty]]-Table2[[#This Row],[Projection Nov/Dec]]</f>
        <v>5</v>
      </c>
      <c r="N1047" s="35">
        <f>Table2[[#This Row],[OverStock]]*Table2[[#This Row],[RepCost]]</f>
        <v>148.20699999999999</v>
      </c>
      <c r="O1047" s="25">
        <v>45756.664583333331</v>
      </c>
      <c r="P1047" s="26" t="s">
        <v>1870</v>
      </c>
    </row>
    <row r="1048" spans="1:16" x14ac:dyDescent="0.25">
      <c r="A1048" s="20" t="s">
        <v>5211</v>
      </c>
      <c r="B1048" s="21">
        <v>714</v>
      </c>
      <c r="C1048" s="22" t="s">
        <v>143</v>
      </c>
      <c r="D1048" s="22" t="s">
        <v>1114</v>
      </c>
      <c r="E1048" s="22" t="str">
        <f>CONCATENATE(B1048,D1048)</f>
        <v>71480832-110</v>
      </c>
      <c r="F1048" s="22" t="s">
        <v>1115</v>
      </c>
      <c r="G1048" s="22" t="s">
        <v>29</v>
      </c>
      <c r="H1048" s="23">
        <v>59.114600000000003</v>
      </c>
      <c r="I1048" s="24">
        <v>2</v>
      </c>
      <c r="J1048" s="24">
        <v>0</v>
      </c>
      <c r="K1048" s="24">
        <v>0</v>
      </c>
      <c r="L1048" s="41">
        <f>Table2[[#This Row],[Column1]]+Table2[[#This Row],[Column2]]</f>
        <v>0</v>
      </c>
      <c r="M1048" s="42">
        <f>Table2[[#This Row],[OnHandQty]]-Table2[[#This Row],[Projection Nov/Dec]]</f>
        <v>2</v>
      </c>
      <c r="N1048" s="35">
        <f>Table2[[#This Row],[OverStock]]*Table2[[#This Row],[RepCost]]</f>
        <v>118.22920000000001</v>
      </c>
      <c r="O1048" s="25">
        <v>45740.375694444447</v>
      </c>
      <c r="P1048" s="26" t="s">
        <v>885</v>
      </c>
    </row>
    <row r="1049" spans="1:16" x14ac:dyDescent="0.25">
      <c r="A1049" s="20" t="s">
        <v>5211</v>
      </c>
      <c r="B1049" s="21">
        <v>718</v>
      </c>
      <c r="C1049" s="22" t="s">
        <v>143</v>
      </c>
      <c r="D1049" s="22" t="s">
        <v>1114</v>
      </c>
      <c r="E1049" s="22" t="str">
        <f>CONCATENATE(B1049,D1049)</f>
        <v>71880832-110</v>
      </c>
      <c r="F1049" s="22" t="s">
        <v>1115</v>
      </c>
      <c r="G1049" s="22" t="s">
        <v>35</v>
      </c>
      <c r="H1049" s="23">
        <v>59.035400000000003</v>
      </c>
      <c r="I1049" s="24">
        <v>4</v>
      </c>
      <c r="J1049" s="24">
        <v>0</v>
      </c>
      <c r="K1049" s="24">
        <v>0</v>
      </c>
      <c r="L1049" s="41">
        <f>Table2[[#This Row],[Column1]]+Table2[[#This Row],[Column2]]</f>
        <v>0</v>
      </c>
      <c r="M1049" s="42">
        <f>Table2[[#This Row],[OnHandQty]]-Table2[[#This Row],[Projection Nov/Dec]]</f>
        <v>4</v>
      </c>
      <c r="N1049" s="35">
        <f>Table2[[#This Row],[OverStock]]*Table2[[#This Row],[RepCost]]</f>
        <v>236.14160000000001</v>
      </c>
      <c r="O1049" s="25">
        <v>45740.618055555555</v>
      </c>
      <c r="P1049" s="26" t="s">
        <v>885</v>
      </c>
    </row>
    <row r="1050" spans="1:16" x14ac:dyDescent="0.25">
      <c r="A1050" s="20" t="s">
        <v>5211</v>
      </c>
      <c r="B1050" s="21">
        <v>714</v>
      </c>
      <c r="C1050" s="22" t="s">
        <v>143</v>
      </c>
      <c r="D1050" s="22" t="s">
        <v>2750</v>
      </c>
      <c r="E1050" s="22" t="str">
        <f>CONCATENATE(B1050,D1050)</f>
        <v>71480832-105</v>
      </c>
      <c r="F1050" s="22" t="s">
        <v>2751</v>
      </c>
      <c r="G1050" s="22" t="s">
        <v>112</v>
      </c>
      <c r="H1050" s="23">
        <v>31.611000000000001</v>
      </c>
      <c r="I1050" s="24">
        <v>12</v>
      </c>
      <c r="J1050" s="24">
        <v>0</v>
      </c>
      <c r="K1050" s="24">
        <v>0</v>
      </c>
      <c r="L1050" s="41">
        <f>Table2[[#This Row],[Column1]]+Table2[[#This Row],[Column2]]</f>
        <v>0</v>
      </c>
      <c r="M1050" s="42">
        <f>Table2[[#This Row],[OnHandQty]]-Table2[[#This Row],[Projection Nov/Dec]]</f>
        <v>12</v>
      </c>
      <c r="N1050" s="35">
        <f>Table2[[#This Row],[OverStock]]*Table2[[#This Row],[RepCost]]</f>
        <v>379.33199999999999</v>
      </c>
      <c r="O1050" s="25">
        <v>46220.35833333333</v>
      </c>
      <c r="P1050" s="26" t="s">
        <v>195</v>
      </c>
    </row>
    <row r="1051" spans="1:16" x14ac:dyDescent="0.25">
      <c r="A1051" s="20" t="s">
        <v>5211</v>
      </c>
      <c r="B1051" s="21">
        <v>718</v>
      </c>
      <c r="C1051" s="22" t="s">
        <v>143</v>
      </c>
      <c r="D1051" s="22" t="s">
        <v>3749</v>
      </c>
      <c r="E1051" s="22" t="str">
        <f>CONCATENATE(B1051,D1051)</f>
        <v>71880832-107</v>
      </c>
      <c r="F1051" s="22" t="s">
        <v>3750</v>
      </c>
      <c r="G1051" s="22" t="s">
        <v>39</v>
      </c>
      <c r="H1051" s="23">
        <v>33.0944</v>
      </c>
      <c r="I1051" s="24">
        <v>5</v>
      </c>
      <c r="J1051" s="24">
        <v>2</v>
      </c>
      <c r="K1051" s="24">
        <v>0</v>
      </c>
      <c r="L1051" s="41">
        <f>Table2[[#This Row],[Column1]]+Table2[[#This Row],[Column2]]</f>
        <v>2</v>
      </c>
      <c r="M1051" s="42">
        <f>Table2[[#This Row],[OnHandQty]]-Table2[[#This Row],[Projection Nov/Dec]]</f>
        <v>3</v>
      </c>
      <c r="N1051" s="35">
        <f>Table2[[#This Row],[OverStock]]*Table2[[#This Row],[RepCost]]</f>
        <v>99.283199999999994</v>
      </c>
      <c r="O1051" s="25">
        <v>45896.34097222222</v>
      </c>
      <c r="P1051" s="26" t="s">
        <v>216</v>
      </c>
    </row>
    <row r="1052" spans="1:16" x14ac:dyDescent="0.25">
      <c r="A1052" s="20" t="s">
        <v>5211</v>
      </c>
      <c r="B1052" s="21">
        <v>636</v>
      </c>
      <c r="C1052" s="22" t="s">
        <v>143</v>
      </c>
      <c r="D1052" s="22" t="s">
        <v>912</v>
      </c>
      <c r="E1052" s="22" t="str">
        <f>CONCATENATE(B1052,D1052)</f>
        <v>63680832-STD115</v>
      </c>
      <c r="F1052" s="22" t="s">
        <v>913</v>
      </c>
      <c r="G1052" s="22" t="s">
        <v>158</v>
      </c>
      <c r="H1052" s="23">
        <v>100.73699999999999</v>
      </c>
      <c r="I1052" s="24">
        <v>10</v>
      </c>
      <c r="J1052" s="24">
        <v>3</v>
      </c>
      <c r="K1052" s="24">
        <v>0</v>
      </c>
      <c r="L1052" s="41">
        <f>Table2[[#This Row],[Column1]]+Table2[[#This Row],[Column2]]</f>
        <v>3</v>
      </c>
      <c r="M1052" s="42">
        <f>Table2[[#This Row],[OnHandQty]]-Table2[[#This Row],[Projection Nov/Dec]]</f>
        <v>7</v>
      </c>
      <c r="N1052" s="35">
        <f>Table2[[#This Row],[OverStock]]*Table2[[#This Row],[RepCost]]</f>
        <v>705.15899999999999</v>
      </c>
      <c r="O1052" s="25">
        <v>46136.45208333333</v>
      </c>
      <c r="P1052" s="26" t="s">
        <v>216</v>
      </c>
    </row>
    <row r="1053" spans="1:16" x14ac:dyDescent="0.25">
      <c r="A1053" s="20" t="s">
        <v>5211</v>
      </c>
      <c r="B1053" s="21">
        <v>714</v>
      </c>
      <c r="C1053" s="22" t="s">
        <v>143</v>
      </c>
      <c r="D1053" s="22" t="s">
        <v>912</v>
      </c>
      <c r="E1053" s="22" t="str">
        <f>CONCATENATE(B1053,D1053)</f>
        <v>71480832-STD115</v>
      </c>
      <c r="F1053" s="22" t="s">
        <v>913</v>
      </c>
      <c r="G1053" s="22" t="s">
        <v>43</v>
      </c>
      <c r="H1053" s="23">
        <v>103.4868</v>
      </c>
      <c r="I1053" s="24">
        <v>7</v>
      </c>
      <c r="J1053" s="24">
        <v>3</v>
      </c>
      <c r="K1053" s="24">
        <v>0</v>
      </c>
      <c r="L1053" s="41">
        <f>Table2[[#This Row],[Column1]]+Table2[[#This Row],[Column2]]</f>
        <v>3</v>
      </c>
      <c r="M1053" s="42">
        <f>Table2[[#This Row],[OnHandQty]]-Table2[[#This Row],[Projection Nov/Dec]]</f>
        <v>4</v>
      </c>
      <c r="N1053" s="35">
        <f>Table2[[#This Row],[OverStock]]*Table2[[#This Row],[RepCost]]</f>
        <v>413.94720000000001</v>
      </c>
      <c r="O1053" s="25">
        <v>46178.441666666666</v>
      </c>
      <c r="P1053" s="26" t="s">
        <v>216</v>
      </c>
    </row>
    <row r="1054" spans="1:16" x14ac:dyDescent="0.25">
      <c r="A1054" s="20" t="s">
        <v>5211</v>
      </c>
      <c r="B1054" s="21">
        <v>718</v>
      </c>
      <c r="C1054" s="22" t="s">
        <v>143</v>
      </c>
      <c r="D1054" s="22" t="s">
        <v>3743</v>
      </c>
      <c r="E1054" s="22" t="str">
        <f>CONCATENATE(B1054,D1054)</f>
        <v>71880832-STD248</v>
      </c>
      <c r="F1054" s="22" t="s">
        <v>3744</v>
      </c>
      <c r="G1054" s="22" t="s">
        <v>23</v>
      </c>
      <c r="H1054" s="23">
        <v>212.10079999999999</v>
      </c>
      <c r="I1054" s="24">
        <v>1</v>
      </c>
      <c r="J1054" s="24">
        <v>0</v>
      </c>
      <c r="K1054" s="24">
        <v>0</v>
      </c>
      <c r="L1054" s="41">
        <f>Table2[[#This Row],[Column1]]+Table2[[#This Row],[Column2]]</f>
        <v>0</v>
      </c>
      <c r="M1054" s="42">
        <f>Table2[[#This Row],[OnHandQty]]-Table2[[#This Row],[Projection Nov/Dec]]</f>
        <v>1</v>
      </c>
      <c r="N1054" s="35">
        <f>Table2[[#This Row],[OverStock]]*Table2[[#This Row],[RepCost]]</f>
        <v>212.10079999999999</v>
      </c>
      <c r="O1054" s="25">
        <v>46134.54791666667</v>
      </c>
      <c r="P1054" s="26" t="s">
        <v>2423</v>
      </c>
    </row>
    <row r="1055" spans="1:16" x14ac:dyDescent="0.25">
      <c r="A1055" s="20" t="s">
        <v>5211</v>
      </c>
      <c r="B1055" s="21">
        <v>718</v>
      </c>
      <c r="C1055" s="22" t="s">
        <v>143</v>
      </c>
      <c r="D1055" s="22" t="s">
        <v>1204</v>
      </c>
      <c r="E1055" s="22" t="str">
        <f>CONCATENATE(B1055,D1055)</f>
        <v>71880832-STD306</v>
      </c>
      <c r="F1055" s="22" t="s">
        <v>1205</v>
      </c>
      <c r="G1055" s="22" t="s">
        <v>29</v>
      </c>
      <c r="H1055" s="23">
        <v>279.36410000000001</v>
      </c>
      <c r="I1055" s="24">
        <v>2</v>
      </c>
      <c r="J1055" s="24">
        <v>0</v>
      </c>
      <c r="K1055" s="24">
        <v>0</v>
      </c>
      <c r="L1055" s="41">
        <f>Table2[[#This Row],[Column1]]+Table2[[#This Row],[Column2]]</f>
        <v>0</v>
      </c>
      <c r="M1055" s="42">
        <f>Table2[[#This Row],[OnHandQty]]-Table2[[#This Row],[Projection Nov/Dec]]</f>
        <v>2</v>
      </c>
      <c r="N1055" s="35">
        <f>Table2[[#This Row],[OverStock]]*Table2[[#This Row],[RepCost]]</f>
        <v>558.72820000000002</v>
      </c>
      <c r="O1055" s="25">
        <v>46128.680555555555</v>
      </c>
      <c r="P1055" s="26" t="s">
        <v>178</v>
      </c>
    </row>
    <row r="1056" spans="1:16" x14ac:dyDescent="0.25">
      <c r="A1056" s="20" t="s">
        <v>5211</v>
      </c>
      <c r="B1056" s="21">
        <v>636</v>
      </c>
      <c r="C1056" s="22" t="s">
        <v>143</v>
      </c>
      <c r="D1056" s="22" t="s">
        <v>1204</v>
      </c>
      <c r="E1056" s="22" t="str">
        <f>CONCATENATE(B1056,D1056)</f>
        <v>63680832-STD306</v>
      </c>
      <c r="F1056" s="22" t="s">
        <v>1205</v>
      </c>
      <c r="G1056" s="22" t="s">
        <v>29</v>
      </c>
      <c r="H1056" s="23">
        <v>273.7278</v>
      </c>
      <c r="I1056" s="24">
        <v>3</v>
      </c>
      <c r="J1056" s="24">
        <v>0</v>
      </c>
      <c r="K1056" s="24">
        <v>0</v>
      </c>
      <c r="L1056" s="41">
        <f>Table2[[#This Row],[Column1]]+Table2[[#This Row],[Column2]]</f>
        <v>0</v>
      </c>
      <c r="M1056" s="42">
        <f>Table2[[#This Row],[OnHandQty]]-Table2[[#This Row],[Projection Nov/Dec]]</f>
        <v>3</v>
      </c>
      <c r="N1056" s="35">
        <f>Table2[[#This Row],[OverStock]]*Table2[[#This Row],[RepCost]]</f>
        <v>821.18340000000001</v>
      </c>
      <c r="O1056" s="25">
        <v>46132.304166666669</v>
      </c>
      <c r="P1056" s="26" t="s">
        <v>178</v>
      </c>
    </row>
    <row r="1057" spans="1:16" x14ac:dyDescent="0.25">
      <c r="A1057" s="20" t="s">
        <v>5211</v>
      </c>
      <c r="B1057" s="21">
        <v>718</v>
      </c>
      <c r="C1057" s="22" t="s">
        <v>12</v>
      </c>
      <c r="D1057" s="22" t="s">
        <v>31</v>
      </c>
      <c r="E1057" s="22" t="str">
        <f>CONCATENATE(B1057,D1057)</f>
        <v>71867205-103</v>
      </c>
      <c r="F1057" s="22" t="s">
        <v>32</v>
      </c>
      <c r="G1057" s="22" t="s">
        <v>29</v>
      </c>
      <c r="H1057" s="23">
        <v>19.4404</v>
      </c>
      <c r="I1057" s="24">
        <v>12</v>
      </c>
      <c r="J1057" s="24">
        <v>1</v>
      </c>
      <c r="K1057" s="24">
        <v>0</v>
      </c>
      <c r="L1057" s="41">
        <f>Table2[[#This Row],[Column1]]+Table2[[#This Row],[Column2]]</f>
        <v>1</v>
      </c>
      <c r="M1057" s="42">
        <f>Table2[[#This Row],[OnHandQty]]-Table2[[#This Row],[Projection Nov/Dec]]</f>
        <v>11</v>
      </c>
      <c r="N1057" s="35">
        <f>Table2[[#This Row],[OverStock]]*Table2[[#This Row],[RepCost]]</f>
        <v>213.84440000000001</v>
      </c>
      <c r="O1057" s="25">
        <v>45897.587500000001</v>
      </c>
      <c r="P1057" s="26" t="s">
        <v>26</v>
      </c>
    </row>
    <row r="1058" spans="1:16" x14ac:dyDescent="0.25">
      <c r="A1058" s="20" t="s">
        <v>5211</v>
      </c>
      <c r="B1058" s="21">
        <v>634</v>
      </c>
      <c r="C1058" s="22" t="s">
        <v>12</v>
      </c>
      <c r="D1058" s="22" t="s">
        <v>31</v>
      </c>
      <c r="E1058" s="22" t="str">
        <f>CONCATENATE(B1058,D1058)</f>
        <v>63467205-103</v>
      </c>
      <c r="F1058" s="22" t="s">
        <v>32</v>
      </c>
      <c r="G1058" s="22" t="s">
        <v>23</v>
      </c>
      <c r="H1058" s="23">
        <v>21.920100000000001</v>
      </c>
      <c r="I1058" s="24">
        <v>11</v>
      </c>
      <c r="J1058" s="24">
        <v>1</v>
      </c>
      <c r="K1058" s="24">
        <v>0</v>
      </c>
      <c r="L1058" s="41">
        <f>Table2[[#This Row],[Column1]]+Table2[[#This Row],[Column2]]</f>
        <v>1</v>
      </c>
      <c r="M1058" s="42">
        <f>Table2[[#This Row],[OnHandQty]]-Table2[[#This Row],[Projection Nov/Dec]]</f>
        <v>10</v>
      </c>
      <c r="N1058" s="35">
        <f>Table2[[#This Row],[OverStock]]*Table2[[#This Row],[RepCost]]</f>
        <v>219.20100000000002</v>
      </c>
      <c r="O1058" s="25">
        <v>46108.673611111109</v>
      </c>
      <c r="P1058" s="26" t="s">
        <v>26</v>
      </c>
    </row>
    <row r="1059" spans="1:16" x14ac:dyDescent="0.25">
      <c r="A1059" s="20" t="s">
        <v>5211</v>
      </c>
      <c r="B1059" s="21">
        <v>714</v>
      </c>
      <c r="C1059" s="22" t="s">
        <v>12</v>
      </c>
      <c r="D1059" s="22" t="s">
        <v>1810</v>
      </c>
      <c r="E1059" s="22" t="str">
        <f>CONCATENATE(B1059,D1059)</f>
        <v>71467205-107</v>
      </c>
      <c r="F1059" s="22" t="s">
        <v>1811</v>
      </c>
      <c r="G1059" s="22" t="s">
        <v>29</v>
      </c>
      <c r="H1059" s="23">
        <v>35.865299999999998</v>
      </c>
      <c r="I1059" s="24">
        <v>2</v>
      </c>
      <c r="J1059" s="24">
        <v>0</v>
      </c>
      <c r="K1059" s="24">
        <v>0</v>
      </c>
      <c r="L1059" s="41">
        <f>Table2[[#This Row],[Column1]]+Table2[[#This Row],[Column2]]</f>
        <v>0</v>
      </c>
      <c r="M1059" s="42">
        <f>Table2[[#This Row],[OnHandQty]]-Table2[[#This Row],[Projection Nov/Dec]]</f>
        <v>2</v>
      </c>
      <c r="N1059" s="35">
        <f>Table2[[#This Row],[OverStock]]*Table2[[#This Row],[RepCost]]</f>
        <v>71.730599999999995</v>
      </c>
      <c r="O1059" s="25">
        <v>46234.475694444445</v>
      </c>
      <c r="P1059" s="26" t="s">
        <v>26</v>
      </c>
    </row>
    <row r="1060" spans="1:16" x14ac:dyDescent="0.25">
      <c r="A1060" s="20" t="s">
        <v>5211</v>
      </c>
      <c r="B1060" s="21">
        <v>634</v>
      </c>
      <c r="C1060" s="22" t="s">
        <v>12</v>
      </c>
      <c r="D1060" s="22" t="s">
        <v>24</v>
      </c>
      <c r="E1060" s="22" t="str">
        <f>CONCATENATE(B1060,D1060)</f>
        <v>63467205-STK103</v>
      </c>
      <c r="F1060" s="22" t="s">
        <v>25</v>
      </c>
      <c r="G1060" s="22" t="s">
        <v>15</v>
      </c>
      <c r="H1060" s="23">
        <v>21.256900000000002</v>
      </c>
      <c r="I1060" s="24">
        <v>9</v>
      </c>
      <c r="J1060" s="24">
        <v>8</v>
      </c>
      <c r="K1060" s="24">
        <v>0</v>
      </c>
      <c r="L1060" s="41">
        <f>Table2[[#This Row],[Column1]]+Table2[[#This Row],[Column2]]</f>
        <v>8</v>
      </c>
      <c r="M1060" s="42">
        <f>Table2[[#This Row],[OnHandQty]]-Table2[[#This Row],[Projection Nov/Dec]]</f>
        <v>1</v>
      </c>
      <c r="N1060" s="35">
        <f>Table2[[#This Row],[OverStock]]*Table2[[#This Row],[RepCost]]</f>
        <v>21.256900000000002</v>
      </c>
      <c r="O1060" s="25">
        <v>45770.384722222225</v>
      </c>
      <c r="P1060" s="26" t="s">
        <v>26</v>
      </c>
    </row>
    <row r="1061" spans="1:16" x14ac:dyDescent="0.25">
      <c r="A1061" s="20" t="s">
        <v>5211</v>
      </c>
      <c r="B1061" s="21">
        <v>634</v>
      </c>
      <c r="C1061" s="22" t="s">
        <v>143</v>
      </c>
      <c r="D1061" s="22" t="s">
        <v>266</v>
      </c>
      <c r="E1061" s="22" t="str">
        <f>CONCATENATE(B1061,D1061)</f>
        <v>63482687-107</v>
      </c>
      <c r="F1061" s="22" t="s">
        <v>267</v>
      </c>
      <c r="G1061" s="22" t="s">
        <v>29</v>
      </c>
      <c r="H1061" s="23">
        <v>26.206800000000001</v>
      </c>
      <c r="I1061" s="24">
        <v>1</v>
      </c>
      <c r="J1061" s="24">
        <v>0</v>
      </c>
      <c r="K1061" s="24">
        <v>0</v>
      </c>
      <c r="L1061" s="41">
        <f>Table2[[#This Row],[Column1]]+Table2[[#This Row],[Column2]]</f>
        <v>0</v>
      </c>
      <c r="M1061" s="42">
        <f>Table2[[#This Row],[OnHandQty]]-Table2[[#This Row],[Projection Nov/Dec]]</f>
        <v>1</v>
      </c>
      <c r="N1061" s="35">
        <f>Table2[[#This Row],[OverStock]]*Table2[[#This Row],[RepCost]]</f>
        <v>26.206800000000001</v>
      </c>
      <c r="O1061" s="25">
        <v>46106.45</v>
      </c>
      <c r="P1061" s="26" t="s">
        <v>268</v>
      </c>
    </row>
    <row r="1062" spans="1:16" x14ac:dyDescent="0.25">
      <c r="A1062" s="20" t="s">
        <v>5211</v>
      </c>
      <c r="B1062" s="21">
        <v>714</v>
      </c>
      <c r="C1062" s="22" t="s">
        <v>143</v>
      </c>
      <c r="D1062" s="22" t="s">
        <v>2620</v>
      </c>
      <c r="E1062" s="22" t="str">
        <f>CONCATENATE(B1062,D1062)</f>
        <v>71481362-103</v>
      </c>
      <c r="F1062" s="22" t="s">
        <v>2621</v>
      </c>
      <c r="G1062" s="22" t="s">
        <v>35</v>
      </c>
      <c r="H1062" s="23">
        <v>21.609200000000001</v>
      </c>
      <c r="I1062" s="24">
        <v>1</v>
      </c>
      <c r="J1062" s="24">
        <v>0</v>
      </c>
      <c r="K1062" s="24">
        <v>0</v>
      </c>
      <c r="L1062" s="41">
        <f>Table2[[#This Row],[Column1]]+Table2[[#This Row],[Column2]]</f>
        <v>0</v>
      </c>
      <c r="M1062" s="42">
        <f>Table2[[#This Row],[OnHandQty]]-Table2[[#This Row],[Projection Nov/Dec]]</f>
        <v>1</v>
      </c>
      <c r="N1062" s="35">
        <f>Table2[[#This Row],[OverStock]]*Table2[[#This Row],[RepCost]]</f>
        <v>21.609200000000001</v>
      </c>
      <c r="O1062" s="25">
        <v>46132.597222222219</v>
      </c>
      <c r="P1062" s="26" t="s">
        <v>40</v>
      </c>
    </row>
    <row r="1063" spans="1:16" x14ac:dyDescent="0.25">
      <c r="A1063" s="20" t="s">
        <v>5211</v>
      </c>
      <c r="B1063" s="21">
        <v>718</v>
      </c>
      <c r="C1063" s="22" t="s">
        <v>143</v>
      </c>
      <c r="D1063" s="22" t="s">
        <v>3776</v>
      </c>
      <c r="E1063" s="22" t="str">
        <f>CONCATENATE(B1063,D1063)</f>
        <v>71867212-107</v>
      </c>
      <c r="F1063" s="22" t="s">
        <v>3777</v>
      </c>
      <c r="G1063" s="22" t="s">
        <v>29</v>
      </c>
      <c r="H1063" s="23">
        <v>33.727400000000003</v>
      </c>
      <c r="I1063" s="24">
        <v>3</v>
      </c>
      <c r="J1063" s="24">
        <v>0</v>
      </c>
      <c r="K1063" s="24">
        <v>0</v>
      </c>
      <c r="L1063" s="41">
        <f>Table2[[#This Row],[Column1]]+Table2[[#This Row],[Column2]]</f>
        <v>0</v>
      </c>
      <c r="M1063" s="42">
        <f>Table2[[#This Row],[OnHandQty]]-Table2[[#This Row],[Projection Nov/Dec]]</f>
        <v>3</v>
      </c>
      <c r="N1063" s="35">
        <f>Table2[[#This Row],[OverStock]]*Table2[[#This Row],[RepCost]]</f>
        <v>101.18220000000001</v>
      </c>
      <c r="O1063" s="25">
        <v>46155.552083333336</v>
      </c>
      <c r="P1063" s="26" t="s">
        <v>216</v>
      </c>
    </row>
    <row r="1064" spans="1:16" x14ac:dyDescent="0.25">
      <c r="A1064" s="20" t="s">
        <v>5211</v>
      </c>
      <c r="B1064" s="21">
        <v>636</v>
      </c>
      <c r="C1064" s="22" t="s">
        <v>143</v>
      </c>
      <c r="D1064" s="22" t="s">
        <v>1171</v>
      </c>
      <c r="E1064" s="22" t="str">
        <f>CONCATENATE(B1064,D1064)</f>
        <v>63667209-102</v>
      </c>
      <c r="F1064" s="22" t="s">
        <v>1172</v>
      </c>
      <c r="G1064" s="22" t="s">
        <v>39</v>
      </c>
      <c r="H1064" s="23">
        <v>14.560499999999999</v>
      </c>
      <c r="I1064" s="24">
        <v>3</v>
      </c>
      <c r="J1064" s="24">
        <v>0</v>
      </c>
      <c r="K1064" s="24">
        <v>0</v>
      </c>
      <c r="L1064" s="41">
        <f>Table2[[#This Row],[Column1]]+Table2[[#This Row],[Column2]]</f>
        <v>0</v>
      </c>
      <c r="M1064" s="42">
        <f>Table2[[#This Row],[OnHandQty]]-Table2[[#This Row],[Projection Nov/Dec]]</f>
        <v>3</v>
      </c>
      <c r="N1064" s="35">
        <f>Table2[[#This Row],[OverStock]]*Table2[[#This Row],[RepCost]]</f>
        <v>43.6815</v>
      </c>
      <c r="O1064" s="25">
        <v>46163.503472222219</v>
      </c>
      <c r="P1064" s="26" t="s">
        <v>40</v>
      </c>
    </row>
    <row r="1065" spans="1:16" x14ac:dyDescent="0.25">
      <c r="A1065" s="20" t="s">
        <v>5211</v>
      </c>
      <c r="B1065" s="21">
        <v>634</v>
      </c>
      <c r="C1065" s="22" t="s">
        <v>143</v>
      </c>
      <c r="D1065" s="22" t="s">
        <v>255</v>
      </c>
      <c r="E1065" s="22" t="str">
        <f>CONCATENATE(B1065,D1065)</f>
        <v>63467209-230</v>
      </c>
      <c r="F1065" s="22" t="s">
        <v>256</v>
      </c>
      <c r="G1065" s="22" t="s">
        <v>29</v>
      </c>
      <c r="H1065" s="23">
        <v>108.43689999999999</v>
      </c>
      <c r="I1065" s="24">
        <v>5</v>
      </c>
      <c r="J1065" s="24">
        <v>0</v>
      </c>
      <c r="K1065" s="24">
        <v>0</v>
      </c>
      <c r="L1065" s="41">
        <f>Table2[[#This Row],[Column1]]+Table2[[#This Row],[Column2]]</f>
        <v>0</v>
      </c>
      <c r="M1065" s="42">
        <f>Table2[[#This Row],[OnHandQty]]-Table2[[#This Row],[Projection Nov/Dec]]</f>
        <v>5</v>
      </c>
      <c r="N1065" s="35">
        <f>Table2[[#This Row],[OverStock]]*Table2[[#This Row],[RepCost]]</f>
        <v>542.18449999999996</v>
      </c>
      <c r="O1065" s="25">
        <v>46119.724999999999</v>
      </c>
      <c r="P1065" s="26" t="s">
        <v>165</v>
      </c>
    </row>
    <row r="1066" spans="1:16" x14ac:dyDescent="0.25">
      <c r="A1066" s="20" t="s">
        <v>5211</v>
      </c>
      <c r="B1066" s="21">
        <v>718</v>
      </c>
      <c r="C1066" s="22" t="s">
        <v>143</v>
      </c>
      <c r="D1066" s="22" t="s">
        <v>3728</v>
      </c>
      <c r="E1066" s="22" t="str">
        <f>CONCATENATE(B1066,D1066)</f>
        <v>71882504-103</v>
      </c>
      <c r="F1066" s="22" t="s">
        <v>3729</v>
      </c>
      <c r="G1066" s="22" t="s">
        <v>29</v>
      </c>
      <c r="H1066" s="23">
        <v>21.764800000000001</v>
      </c>
      <c r="I1066" s="24">
        <v>8</v>
      </c>
      <c r="J1066" s="24">
        <v>0</v>
      </c>
      <c r="K1066" s="24">
        <v>0</v>
      </c>
      <c r="L1066" s="41">
        <f>Table2[[#This Row],[Column1]]+Table2[[#This Row],[Column2]]</f>
        <v>0</v>
      </c>
      <c r="M1066" s="42">
        <f>Table2[[#This Row],[OnHandQty]]-Table2[[#This Row],[Projection Nov/Dec]]</f>
        <v>8</v>
      </c>
      <c r="N1066" s="35">
        <f>Table2[[#This Row],[OverStock]]*Table2[[#This Row],[RepCost]]</f>
        <v>174.11840000000001</v>
      </c>
      <c r="O1066" s="25">
        <v>44337.29791666667</v>
      </c>
      <c r="P1066" s="26" t="s">
        <v>878</v>
      </c>
    </row>
    <row r="1067" spans="1:16" x14ac:dyDescent="0.25">
      <c r="A1067" s="20" t="s">
        <v>5211</v>
      </c>
      <c r="B1067" s="21">
        <v>714</v>
      </c>
      <c r="C1067" s="22" t="s">
        <v>70</v>
      </c>
      <c r="D1067" s="22" t="s">
        <v>2008</v>
      </c>
      <c r="E1067" s="22" t="str">
        <f>CONCATENATE(B1067,D1067)</f>
        <v>71493407-101</v>
      </c>
      <c r="F1067" s="22" t="s">
        <v>2009</v>
      </c>
      <c r="G1067" s="22" t="s">
        <v>39</v>
      </c>
      <c r="H1067" s="23">
        <v>6.8425000000000002</v>
      </c>
      <c r="I1067" s="24">
        <v>9</v>
      </c>
      <c r="J1067" s="24">
        <v>0</v>
      </c>
      <c r="K1067" s="24">
        <v>0</v>
      </c>
      <c r="L1067" s="41">
        <f>Table2[[#This Row],[Column1]]+Table2[[#This Row],[Column2]]</f>
        <v>0</v>
      </c>
      <c r="M1067" s="42">
        <f>Table2[[#This Row],[OnHandQty]]-Table2[[#This Row],[Projection Nov/Dec]]</f>
        <v>9</v>
      </c>
      <c r="N1067" s="35">
        <f>Table2[[#This Row],[OverStock]]*Table2[[#This Row],[RepCost]]</f>
        <v>61.582500000000003</v>
      </c>
      <c r="O1067" s="25">
        <v>46198.40902777778</v>
      </c>
      <c r="P1067" s="26" t="s">
        <v>573</v>
      </c>
    </row>
    <row r="1068" spans="1:16" x14ac:dyDescent="0.25">
      <c r="A1068" s="20" t="s">
        <v>5211</v>
      </c>
      <c r="B1068" s="21">
        <v>636</v>
      </c>
      <c r="C1068" s="22" t="s">
        <v>70</v>
      </c>
      <c r="D1068" s="22" t="s">
        <v>781</v>
      </c>
      <c r="E1068" s="22" t="str">
        <f>CONCATENATE(B1068,D1068)</f>
        <v>63667255-101</v>
      </c>
      <c r="F1068" s="22" t="s">
        <v>782</v>
      </c>
      <c r="G1068" s="22" t="s">
        <v>39</v>
      </c>
      <c r="H1068" s="23">
        <v>5.4555999999999996</v>
      </c>
      <c r="I1068" s="24">
        <v>1</v>
      </c>
      <c r="J1068" s="24">
        <v>0</v>
      </c>
      <c r="K1068" s="24">
        <v>0</v>
      </c>
      <c r="L1068" s="41">
        <f>Table2[[#This Row],[Column1]]+Table2[[#This Row],[Column2]]</f>
        <v>0</v>
      </c>
      <c r="M1068" s="42">
        <f>Table2[[#This Row],[OnHandQty]]-Table2[[#This Row],[Projection Nov/Dec]]</f>
        <v>1</v>
      </c>
      <c r="N1068" s="35">
        <f>Table2[[#This Row],[OverStock]]*Table2[[#This Row],[RepCost]]</f>
        <v>5.4555999999999996</v>
      </c>
      <c r="O1068" s="25">
        <v>46189.418749999997</v>
      </c>
      <c r="P1068" s="26" t="s">
        <v>16</v>
      </c>
    </row>
    <row r="1069" spans="1:16" x14ac:dyDescent="0.25">
      <c r="A1069" s="20" t="s">
        <v>5211</v>
      </c>
      <c r="B1069" s="21">
        <v>714</v>
      </c>
      <c r="C1069" s="22" t="s">
        <v>70</v>
      </c>
      <c r="D1069" s="22" t="s">
        <v>2159</v>
      </c>
      <c r="E1069" s="22" t="str">
        <f>CONCATENATE(B1069,D1069)</f>
        <v>71472624-101</v>
      </c>
      <c r="F1069" s="22" t="s">
        <v>2160</v>
      </c>
      <c r="G1069" s="22" t="s">
        <v>39</v>
      </c>
      <c r="H1069" s="23">
        <v>7.2346000000000004</v>
      </c>
      <c r="I1069" s="24">
        <v>29</v>
      </c>
      <c r="J1069" s="24">
        <v>0</v>
      </c>
      <c r="K1069" s="24">
        <v>0</v>
      </c>
      <c r="L1069" s="41">
        <f>Table2[[#This Row],[Column1]]+Table2[[#This Row],[Column2]]</f>
        <v>0</v>
      </c>
      <c r="M1069" s="42">
        <f>Table2[[#This Row],[OnHandQty]]-Table2[[#This Row],[Projection Nov/Dec]]</f>
        <v>29</v>
      </c>
      <c r="N1069" s="35">
        <f>Table2[[#This Row],[OverStock]]*Table2[[#This Row],[RepCost]]</f>
        <v>209.80340000000001</v>
      </c>
      <c r="O1069" s="25">
        <v>46213.455555555556</v>
      </c>
      <c r="P1069" s="26" t="s">
        <v>573</v>
      </c>
    </row>
    <row r="1070" spans="1:16" x14ac:dyDescent="0.25">
      <c r="A1070" s="20" t="s">
        <v>5211</v>
      </c>
      <c r="B1070" s="21">
        <v>718</v>
      </c>
      <c r="C1070" s="22" t="s">
        <v>70</v>
      </c>
      <c r="D1070" s="22" t="s">
        <v>2159</v>
      </c>
      <c r="E1070" s="22" t="str">
        <f>CONCATENATE(B1070,D1070)</f>
        <v>71872624-101</v>
      </c>
      <c r="F1070" s="22" t="s">
        <v>2160</v>
      </c>
      <c r="G1070" s="22" t="s">
        <v>39</v>
      </c>
      <c r="H1070" s="23">
        <v>6.9968000000000004</v>
      </c>
      <c r="I1070" s="24">
        <v>11</v>
      </c>
      <c r="J1070" s="24">
        <v>0</v>
      </c>
      <c r="K1070" s="24">
        <v>0</v>
      </c>
      <c r="L1070" s="41">
        <f>Table2[[#This Row],[Column1]]+Table2[[#This Row],[Column2]]</f>
        <v>0</v>
      </c>
      <c r="M1070" s="42">
        <f>Table2[[#This Row],[OnHandQty]]-Table2[[#This Row],[Projection Nov/Dec]]</f>
        <v>11</v>
      </c>
      <c r="N1070" s="35">
        <f>Table2[[#This Row],[OverStock]]*Table2[[#This Row],[RepCost]]</f>
        <v>76.964799999999997</v>
      </c>
      <c r="O1070" s="25">
        <v>46232.6</v>
      </c>
      <c r="P1070" s="26" t="s">
        <v>573</v>
      </c>
    </row>
    <row r="1071" spans="1:16" x14ac:dyDescent="0.25">
      <c r="A1071" s="20" t="s">
        <v>5211</v>
      </c>
      <c r="B1071" s="21">
        <v>714</v>
      </c>
      <c r="C1071" s="22" t="s">
        <v>70</v>
      </c>
      <c r="D1071" s="22" t="s">
        <v>2018</v>
      </c>
      <c r="E1071" s="22" t="str">
        <f>CONCATENATE(B1071,D1071)</f>
        <v>71467252-101</v>
      </c>
      <c r="F1071" s="22" t="s">
        <v>2019</v>
      </c>
      <c r="G1071" s="22" t="s">
        <v>39</v>
      </c>
      <c r="H1071" s="23">
        <v>7.8270999999999997</v>
      </c>
      <c r="I1071" s="24">
        <v>2</v>
      </c>
      <c r="J1071" s="24">
        <v>0</v>
      </c>
      <c r="K1071" s="24">
        <v>0</v>
      </c>
      <c r="L1071" s="41">
        <f>Table2[[#This Row],[Column1]]+Table2[[#This Row],[Column2]]</f>
        <v>0</v>
      </c>
      <c r="M1071" s="42">
        <f>Table2[[#This Row],[OnHandQty]]-Table2[[#This Row],[Projection Nov/Dec]]</f>
        <v>2</v>
      </c>
      <c r="N1071" s="35">
        <f>Table2[[#This Row],[OverStock]]*Table2[[#This Row],[RepCost]]</f>
        <v>15.654199999999999</v>
      </c>
      <c r="O1071" s="25">
        <v>46239.576388888891</v>
      </c>
      <c r="P1071" s="26" t="s">
        <v>573</v>
      </c>
    </row>
    <row r="1072" spans="1:16" x14ac:dyDescent="0.25">
      <c r="A1072" s="20" t="s">
        <v>5211</v>
      </c>
      <c r="B1072" s="21">
        <v>636</v>
      </c>
      <c r="C1072" s="22" t="s">
        <v>70</v>
      </c>
      <c r="D1072" s="22" t="s">
        <v>725</v>
      </c>
      <c r="E1072" s="22" t="str">
        <f>CONCATENATE(B1072,D1072)</f>
        <v>63684846-101</v>
      </c>
      <c r="F1072" s="22" t="s">
        <v>726</v>
      </c>
      <c r="G1072" s="22" t="s">
        <v>39</v>
      </c>
      <c r="H1072" s="23">
        <v>6.0396999999999998</v>
      </c>
      <c r="I1072" s="24">
        <v>1</v>
      </c>
      <c r="J1072" s="24">
        <v>0</v>
      </c>
      <c r="K1072" s="24">
        <v>0</v>
      </c>
      <c r="L1072" s="41">
        <f>Table2[[#This Row],[Column1]]+Table2[[#This Row],[Column2]]</f>
        <v>0</v>
      </c>
      <c r="M1072" s="42">
        <f>Table2[[#This Row],[OnHandQty]]-Table2[[#This Row],[Projection Nov/Dec]]</f>
        <v>1</v>
      </c>
      <c r="N1072" s="35">
        <f>Table2[[#This Row],[OverStock]]*Table2[[#This Row],[RepCost]]</f>
        <v>6.0396999999999998</v>
      </c>
      <c r="O1072" s="25">
        <v>46189.418749999997</v>
      </c>
      <c r="P1072" s="26" t="s">
        <v>16</v>
      </c>
    </row>
    <row r="1073" spans="1:16" x14ac:dyDescent="0.25">
      <c r="A1073" s="20" t="s">
        <v>5211</v>
      </c>
      <c r="B1073" s="21">
        <v>636</v>
      </c>
      <c r="C1073" s="22" t="s">
        <v>12</v>
      </c>
      <c r="D1073" s="22" t="s">
        <v>532</v>
      </c>
      <c r="E1073" s="22" t="str">
        <f>CONCATENATE(B1073,D1073)</f>
        <v>63683003-101</v>
      </c>
      <c r="F1073" s="22" t="s">
        <v>533</v>
      </c>
      <c r="G1073" s="22" t="s">
        <v>39</v>
      </c>
      <c r="H1073" s="23">
        <v>6.9603999999999999</v>
      </c>
      <c r="I1073" s="24">
        <v>1</v>
      </c>
      <c r="J1073" s="24">
        <v>0</v>
      </c>
      <c r="K1073" s="24">
        <v>0</v>
      </c>
      <c r="L1073" s="41">
        <f>Table2[[#This Row],[Column1]]+Table2[[#This Row],[Column2]]</f>
        <v>0</v>
      </c>
      <c r="M1073" s="42">
        <f>Table2[[#This Row],[OnHandQty]]-Table2[[#This Row],[Projection Nov/Dec]]</f>
        <v>1</v>
      </c>
      <c r="N1073" s="35">
        <f>Table2[[#This Row],[OverStock]]*Table2[[#This Row],[RepCost]]</f>
        <v>6.9603999999999999</v>
      </c>
      <c r="O1073" s="25">
        <v>46135.39166666667</v>
      </c>
      <c r="P1073" s="26" t="s">
        <v>522</v>
      </c>
    </row>
    <row r="1074" spans="1:16" x14ac:dyDescent="0.25">
      <c r="A1074" s="20" t="s">
        <v>5211</v>
      </c>
      <c r="B1074" s="21">
        <v>714</v>
      </c>
      <c r="C1074" s="22" t="s">
        <v>12</v>
      </c>
      <c r="D1074" s="22" t="s">
        <v>538</v>
      </c>
      <c r="E1074" s="22" t="str">
        <f>CONCATENATE(B1074,D1074)</f>
        <v>71490688-101</v>
      </c>
      <c r="F1074" s="22" t="s">
        <v>539</v>
      </c>
      <c r="G1074" s="22" t="s">
        <v>39</v>
      </c>
      <c r="H1074" s="23">
        <v>7.8270999999999997</v>
      </c>
      <c r="I1074" s="24">
        <v>10</v>
      </c>
      <c r="J1074" s="24">
        <v>0</v>
      </c>
      <c r="K1074" s="24">
        <v>0</v>
      </c>
      <c r="L1074" s="41">
        <f>Table2[[#This Row],[Column1]]+Table2[[#This Row],[Column2]]</f>
        <v>0</v>
      </c>
      <c r="M1074" s="42">
        <f>Table2[[#This Row],[OnHandQty]]-Table2[[#This Row],[Projection Nov/Dec]]</f>
        <v>10</v>
      </c>
      <c r="N1074" s="35">
        <f>Table2[[#This Row],[OverStock]]*Table2[[#This Row],[RepCost]]</f>
        <v>78.271000000000001</v>
      </c>
      <c r="O1074" s="25">
        <v>46239.576388888891</v>
      </c>
      <c r="P1074" s="26" t="s">
        <v>573</v>
      </c>
    </row>
    <row r="1075" spans="1:16" x14ac:dyDescent="0.25">
      <c r="A1075" s="20" t="s">
        <v>5211</v>
      </c>
      <c r="B1075" s="21">
        <v>636</v>
      </c>
      <c r="C1075" s="22" t="s">
        <v>12</v>
      </c>
      <c r="D1075" s="22" t="s">
        <v>538</v>
      </c>
      <c r="E1075" s="22" t="str">
        <f>CONCATENATE(B1075,D1075)</f>
        <v>63690688-101</v>
      </c>
      <c r="F1075" s="22" t="s">
        <v>539</v>
      </c>
      <c r="G1075" s="22" t="s">
        <v>39</v>
      </c>
      <c r="H1075" s="23">
        <v>6.2127999999999997</v>
      </c>
      <c r="I1075" s="24">
        <v>1</v>
      </c>
      <c r="J1075" s="24">
        <v>0</v>
      </c>
      <c r="K1075" s="24">
        <v>0</v>
      </c>
      <c r="L1075" s="41">
        <f>Table2[[#This Row],[Column1]]+Table2[[#This Row],[Column2]]</f>
        <v>0</v>
      </c>
      <c r="M1075" s="42">
        <f>Table2[[#This Row],[OnHandQty]]-Table2[[#This Row],[Projection Nov/Dec]]</f>
        <v>1</v>
      </c>
      <c r="N1075" s="35">
        <f>Table2[[#This Row],[OverStock]]*Table2[[#This Row],[RepCost]]</f>
        <v>6.2127999999999997</v>
      </c>
      <c r="O1075" s="25">
        <v>46248.390277777777</v>
      </c>
      <c r="P1075" s="26" t="s">
        <v>16</v>
      </c>
    </row>
    <row r="1076" spans="1:16" x14ac:dyDescent="0.25">
      <c r="A1076" s="20" t="s">
        <v>5211</v>
      </c>
      <c r="B1076" s="21">
        <v>714</v>
      </c>
      <c r="C1076" s="22" t="s">
        <v>323</v>
      </c>
      <c r="D1076" s="22" t="s">
        <v>3332</v>
      </c>
      <c r="E1076" s="22" t="str">
        <f>CONCATENATE(B1076,D1076)</f>
        <v>71467261-115</v>
      </c>
      <c r="F1076" s="22" t="s">
        <v>3333</v>
      </c>
      <c r="G1076" s="22" t="s">
        <v>29</v>
      </c>
      <c r="H1076" s="23">
        <v>108.0942</v>
      </c>
      <c r="I1076" s="24">
        <v>4</v>
      </c>
      <c r="J1076" s="24">
        <v>0</v>
      </c>
      <c r="K1076" s="24">
        <v>0</v>
      </c>
      <c r="L1076" s="41">
        <f>Table2[[#This Row],[Column1]]+Table2[[#This Row],[Column2]]</f>
        <v>0</v>
      </c>
      <c r="M1076" s="42">
        <f>Table2[[#This Row],[OnHandQty]]-Table2[[#This Row],[Projection Nov/Dec]]</f>
        <v>4</v>
      </c>
      <c r="N1076" s="35">
        <f>Table2[[#This Row],[OverStock]]*Table2[[#This Row],[RepCost]]</f>
        <v>432.3768</v>
      </c>
      <c r="O1076" s="25">
        <v>46171.327777777777</v>
      </c>
      <c r="P1076" s="26" t="s">
        <v>1841</v>
      </c>
    </row>
    <row r="1077" spans="1:16" x14ac:dyDescent="0.25">
      <c r="A1077" s="20" t="s">
        <v>5211</v>
      </c>
      <c r="B1077" s="21">
        <v>636</v>
      </c>
      <c r="C1077" s="22" t="s">
        <v>323</v>
      </c>
      <c r="D1077" s="22" t="s">
        <v>1468</v>
      </c>
      <c r="E1077" s="22" t="str">
        <f>CONCATENATE(B1077,D1077)</f>
        <v>63667262-0012</v>
      </c>
      <c r="F1077" s="22" t="s">
        <v>1469</v>
      </c>
      <c r="G1077" s="22" t="s">
        <v>29</v>
      </c>
      <c r="H1077" s="23">
        <v>31.796500000000002</v>
      </c>
      <c r="I1077" s="24">
        <v>2</v>
      </c>
      <c r="J1077" s="24">
        <v>0</v>
      </c>
      <c r="K1077" s="24">
        <v>0</v>
      </c>
      <c r="L1077" s="41">
        <f>Table2[[#This Row],[Column1]]+Table2[[#This Row],[Column2]]</f>
        <v>0</v>
      </c>
      <c r="M1077" s="42">
        <f>Table2[[#This Row],[OnHandQty]]-Table2[[#This Row],[Projection Nov/Dec]]</f>
        <v>2</v>
      </c>
      <c r="N1077" s="35">
        <f>Table2[[#This Row],[OverStock]]*Table2[[#This Row],[RepCost]]</f>
        <v>63.593000000000004</v>
      </c>
      <c r="O1077" s="25">
        <v>46114.597916666666</v>
      </c>
      <c r="P1077" s="26" t="s">
        <v>797</v>
      </c>
    </row>
    <row r="1078" spans="1:16" x14ac:dyDescent="0.25">
      <c r="A1078" s="20" t="s">
        <v>5211</v>
      </c>
      <c r="B1078" s="21">
        <v>714</v>
      </c>
      <c r="C1078" s="22" t="s">
        <v>143</v>
      </c>
      <c r="D1078" s="22" t="s">
        <v>2346</v>
      </c>
      <c r="E1078" s="22" t="str">
        <f>CONCATENATE(B1078,D1078)</f>
        <v>71467278-105</v>
      </c>
      <c r="F1078" s="22" t="s">
        <v>2347</v>
      </c>
      <c r="G1078" s="22" t="s">
        <v>29</v>
      </c>
      <c r="H1078" s="23">
        <v>34.055700000000002</v>
      </c>
      <c r="I1078" s="24">
        <v>7</v>
      </c>
      <c r="J1078" s="24">
        <v>0</v>
      </c>
      <c r="K1078" s="24">
        <v>0</v>
      </c>
      <c r="L1078" s="41">
        <f>Table2[[#This Row],[Column1]]+Table2[[#This Row],[Column2]]</f>
        <v>0</v>
      </c>
      <c r="M1078" s="42">
        <f>Table2[[#This Row],[OnHandQty]]-Table2[[#This Row],[Projection Nov/Dec]]</f>
        <v>7</v>
      </c>
      <c r="N1078" s="35">
        <f>Table2[[#This Row],[OverStock]]*Table2[[#This Row],[RepCost]]</f>
        <v>238.38990000000001</v>
      </c>
      <c r="O1078" s="25">
        <v>46143.318749999999</v>
      </c>
      <c r="P1078" s="26" t="s">
        <v>36</v>
      </c>
    </row>
    <row r="1079" spans="1:16" x14ac:dyDescent="0.25">
      <c r="A1079" s="20" t="s">
        <v>5211</v>
      </c>
      <c r="B1079" s="21">
        <v>714</v>
      </c>
      <c r="C1079" s="22" t="s">
        <v>70</v>
      </c>
      <c r="D1079" s="22" t="s">
        <v>2143</v>
      </c>
      <c r="E1079" s="22" t="str">
        <f>CONCATENATE(B1079,D1079)</f>
        <v>71467310-101</v>
      </c>
      <c r="F1079" s="22" t="s">
        <v>2144</v>
      </c>
      <c r="G1079" s="22" t="s">
        <v>39</v>
      </c>
      <c r="H1079" s="23">
        <v>6.5136000000000003</v>
      </c>
      <c r="I1079" s="24">
        <v>8</v>
      </c>
      <c r="J1079" s="24">
        <v>0</v>
      </c>
      <c r="K1079" s="24">
        <v>0</v>
      </c>
      <c r="L1079" s="41">
        <f>Table2[[#This Row],[Column1]]+Table2[[#This Row],[Column2]]</f>
        <v>0</v>
      </c>
      <c r="M1079" s="42">
        <f>Table2[[#This Row],[OnHandQty]]-Table2[[#This Row],[Projection Nov/Dec]]</f>
        <v>8</v>
      </c>
      <c r="N1079" s="35">
        <f>Table2[[#This Row],[OverStock]]*Table2[[#This Row],[RepCost]]</f>
        <v>52.108800000000002</v>
      </c>
      <c r="O1079" s="25">
        <v>46118.575694444444</v>
      </c>
      <c r="P1079" s="26" t="s">
        <v>573</v>
      </c>
    </row>
    <row r="1080" spans="1:16" x14ac:dyDescent="0.25">
      <c r="A1080" s="20" t="s">
        <v>5211</v>
      </c>
      <c r="B1080" s="21">
        <v>636</v>
      </c>
      <c r="C1080" s="22" t="s">
        <v>70</v>
      </c>
      <c r="D1080" s="22" t="s">
        <v>828</v>
      </c>
      <c r="E1080" s="22" t="str">
        <f>CONCATENATE(B1080,D1080)</f>
        <v>63667311-101</v>
      </c>
      <c r="F1080" s="22" t="s">
        <v>829</v>
      </c>
      <c r="G1080" s="22" t="s">
        <v>39</v>
      </c>
      <c r="H1080" s="23">
        <v>6.2789999999999999</v>
      </c>
      <c r="I1080" s="24">
        <v>8</v>
      </c>
      <c r="J1080" s="24">
        <v>0</v>
      </c>
      <c r="K1080" s="24">
        <v>0</v>
      </c>
      <c r="L1080" s="41">
        <f>Table2[[#This Row],[Column1]]+Table2[[#This Row],[Column2]]</f>
        <v>0</v>
      </c>
      <c r="M1080" s="42">
        <f>Table2[[#This Row],[OnHandQty]]-Table2[[#This Row],[Projection Nov/Dec]]</f>
        <v>8</v>
      </c>
      <c r="N1080" s="35">
        <f>Table2[[#This Row],[OverStock]]*Table2[[#This Row],[RepCost]]</f>
        <v>50.231999999999999</v>
      </c>
      <c r="O1080" s="25">
        <v>46163.305555555555</v>
      </c>
      <c r="P1080" s="26" t="s">
        <v>830</v>
      </c>
    </row>
    <row r="1081" spans="1:16" x14ac:dyDescent="0.25">
      <c r="A1081" s="20" t="s">
        <v>5211</v>
      </c>
      <c r="B1081" s="21">
        <v>718</v>
      </c>
      <c r="C1081" s="22" t="s">
        <v>143</v>
      </c>
      <c r="D1081" s="22" t="s">
        <v>2413</v>
      </c>
      <c r="E1081" s="22" t="str">
        <f>CONCATENATE(B1081,D1081)</f>
        <v>71867332-107PREM</v>
      </c>
      <c r="F1081" s="22" t="s">
        <v>2414</v>
      </c>
      <c r="G1081" s="22" t="s">
        <v>29</v>
      </c>
      <c r="H1081" s="23">
        <v>100.9192</v>
      </c>
      <c r="I1081" s="24">
        <v>8</v>
      </c>
      <c r="J1081" s="24">
        <v>0</v>
      </c>
      <c r="K1081" s="24">
        <v>0</v>
      </c>
      <c r="L1081" s="41">
        <f>Table2[[#This Row],[Column1]]+Table2[[#This Row],[Column2]]</f>
        <v>0</v>
      </c>
      <c r="M1081" s="42">
        <f>Table2[[#This Row],[OnHandQty]]-Table2[[#This Row],[Projection Nov/Dec]]</f>
        <v>8</v>
      </c>
      <c r="N1081" s="35">
        <f>Table2[[#This Row],[OverStock]]*Table2[[#This Row],[RepCost]]</f>
        <v>807.35360000000003</v>
      </c>
      <c r="O1081" s="25">
        <v>46112.350694444445</v>
      </c>
      <c r="P1081" s="26" t="s">
        <v>36</v>
      </c>
    </row>
    <row r="1082" spans="1:16" x14ac:dyDescent="0.25">
      <c r="A1082" s="20" t="s">
        <v>5211</v>
      </c>
      <c r="B1082" s="21">
        <v>714</v>
      </c>
      <c r="C1082" s="22" t="s">
        <v>143</v>
      </c>
      <c r="D1082" s="22" t="s">
        <v>2413</v>
      </c>
      <c r="E1082" s="22" t="str">
        <f>CONCATENATE(B1082,D1082)</f>
        <v>71467332-107PREM</v>
      </c>
      <c r="F1082" s="22" t="s">
        <v>2414</v>
      </c>
      <c r="G1082" s="22" t="s">
        <v>23</v>
      </c>
      <c r="H1082" s="23">
        <v>100.93899999999999</v>
      </c>
      <c r="I1082" s="24">
        <v>10</v>
      </c>
      <c r="J1082" s="24">
        <v>0</v>
      </c>
      <c r="K1082" s="24">
        <v>0</v>
      </c>
      <c r="L1082" s="41">
        <f>Table2[[#This Row],[Column1]]+Table2[[#This Row],[Column2]]</f>
        <v>0</v>
      </c>
      <c r="M1082" s="42">
        <f>Table2[[#This Row],[OnHandQty]]-Table2[[#This Row],[Projection Nov/Dec]]</f>
        <v>10</v>
      </c>
      <c r="N1082" s="35">
        <f>Table2[[#This Row],[OverStock]]*Table2[[#This Row],[RepCost]]</f>
        <v>1009.3899999999999</v>
      </c>
      <c r="O1082" s="25">
        <v>46196.347916666666</v>
      </c>
      <c r="P1082" s="26" t="s">
        <v>36</v>
      </c>
    </row>
    <row r="1083" spans="1:16" x14ac:dyDescent="0.25">
      <c r="A1083" s="20" t="s">
        <v>5211</v>
      </c>
      <c r="B1083" s="21">
        <v>718</v>
      </c>
      <c r="C1083" s="22" t="s">
        <v>143</v>
      </c>
      <c r="D1083" s="22" t="s">
        <v>2665</v>
      </c>
      <c r="E1083" s="22" t="str">
        <f>CONCATENATE(B1083,D1083)</f>
        <v>71879764-120</v>
      </c>
      <c r="F1083" s="22" t="s">
        <v>2666</v>
      </c>
      <c r="G1083" s="22" t="s">
        <v>29</v>
      </c>
      <c r="H1083" s="23">
        <v>144.8297</v>
      </c>
      <c r="I1083" s="24">
        <v>10</v>
      </c>
      <c r="J1083" s="24">
        <v>0</v>
      </c>
      <c r="K1083" s="24">
        <v>0</v>
      </c>
      <c r="L1083" s="41">
        <f>Table2[[#This Row],[Column1]]+Table2[[#This Row],[Column2]]</f>
        <v>0</v>
      </c>
      <c r="M1083" s="42">
        <f>Table2[[#This Row],[OnHandQty]]-Table2[[#This Row],[Projection Nov/Dec]]</f>
        <v>10</v>
      </c>
      <c r="N1083" s="35">
        <f>Table2[[#This Row],[OverStock]]*Table2[[#This Row],[RepCost]]</f>
        <v>1448.297</v>
      </c>
      <c r="O1083" s="25">
        <v>46130.615277777775</v>
      </c>
      <c r="P1083" s="26" t="s">
        <v>30</v>
      </c>
    </row>
    <row r="1084" spans="1:16" x14ac:dyDescent="0.25">
      <c r="A1084" s="20" t="s">
        <v>5211</v>
      </c>
      <c r="B1084" s="21">
        <v>714</v>
      </c>
      <c r="C1084" s="22" t="s">
        <v>143</v>
      </c>
      <c r="D1084" s="22" t="s">
        <v>2665</v>
      </c>
      <c r="E1084" s="22" t="str">
        <f>CONCATENATE(B1084,D1084)</f>
        <v>71479764-120</v>
      </c>
      <c r="F1084" s="22" t="s">
        <v>2666</v>
      </c>
      <c r="G1084" s="22" t="s">
        <v>158</v>
      </c>
      <c r="H1084" s="23">
        <v>142.9924</v>
      </c>
      <c r="I1084" s="24">
        <v>1</v>
      </c>
      <c r="J1084" s="24">
        <v>0</v>
      </c>
      <c r="K1084" s="24">
        <v>0</v>
      </c>
      <c r="L1084" s="41">
        <f>Table2[[#This Row],[Column1]]+Table2[[#This Row],[Column2]]</f>
        <v>0</v>
      </c>
      <c r="M1084" s="42">
        <f>Table2[[#This Row],[OnHandQty]]-Table2[[#This Row],[Projection Nov/Dec]]</f>
        <v>1</v>
      </c>
      <c r="N1084" s="35">
        <f>Table2[[#This Row],[OverStock]]*Table2[[#This Row],[RepCost]]</f>
        <v>142.9924</v>
      </c>
      <c r="O1084" s="25">
        <v>46213.497916666667</v>
      </c>
      <c r="P1084" s="26" t="s">
        <v>175</v>
      </c>
    </row>
    <row r="1085" spans="1:16" x14ac:dyDescent="0.25">
      <c r="A1085" s="20" t="s">
        <v>5211</v>
      </c>
      <c r="B1085" s="21">
        <v>634</v>
      </c>
      <c r="C1085" s="22" t="s">
        <v>143</v>
      </c>
      <c r="D1085" s="22" t="s">
        <v>291</v>
      </c>
      <c r="E1085" s="22" t="str">
        <f>CONCATENATE(B1085,D1085)</f>
        <v>63467364-110</v>
      </c>
      <c r="F1085" s="27" t="s">
        <v>292</v>
      </c>
      <c r="G1085" s="27" t="s">
        <v>58</v>
      </c>
      <c r="H1085" s="23">
        <v>41.062899999999999</v>
      </c>
      <c r="I1085" s="24">
        <v>7</v>
      </c>
      <c r="J1085" s="24">
        <v>0</v>
      </c>
      <c r="K1085" s="24">
        <v>0</v>
      </c>
      <c r="L1085" s="41">
        <f>Table2[[#This Row],[Column1]]+Table2[[#This Row],[Column2]]</f>
        <v>0</v>
      </c>
      <c r="M1085" s="42">
        <f>Table2[[#This Row],[OnHandQty]]-Table2[[#This Row],[Projection Nov/Dec]]</f>
        <v>7</v>
      </c>
      <c r="N1085" s="35">
        <f>Table2[[#This Row],[OverStock]]*Table2[[#This Row],[RepCost]]</f>
        <v>287.44029999999998</v>
      </c>
      <c r="O1085" s="25">
        <v>45759.454861111109</v>
      </c>
      <c r="P1085" s="26" t="s">
        <v>175</v>
      </c>
    </row>
    <row r="1086" spans="1:16" x14ac:dyDescent="0.25">
      <c r="A1086" s="20" t="s">
        <v>5211</v>
      </c>
      <c r="B1086" s="21">
        <v>718</v>
      </c>
      <c r="C1086" s="22" t="s">
        <v>143</v>
      </c>
      <c r="D1086" s="22" t="s">
        <v>3810</v>
      </c>
      <c r="E1086" s="22" t="str">
        <f>CONCATENATE(B1086,D1086)</f>
        <v>71867368-105</v>
      </c>
      <c r="F1086" s="27" t="s">
        <v>3811</v>
      </c>
      <c r="G1086" s="27" t="s">
        <v>58</v>
      </c>
      <c r="H1086" s="23">
        <v>20.654299999999999</v>
      </c>
      <c r="I1086" s="24">
        <v>1</v>
      </c>
      <c r="J1086" s="24">
        <v>0</v>
      </c>
      <c r="K1086" s="24">
        <v>0</v>
      </c>
      <c r="L1086" s="41">
        <f>Table2[[#This Row],[Column1]]+Table2[[#This Row],[Column2]]</f>
        <v>0</v>
      </c>
      <c r="M1086" s="42">
        <f>Table2[[#This Row],[OnHandQty]]-Table2[[#This Row],[Projection Nov/Dec]]</f>
        <v>1</v>
      </c>
      <c r="N1086" s="35">
        <f>Table2[[#This Row],[OverStock]]*Table2[[#This Row],[RepCost]]</f>
        <v>20.654299999999999</v>
      </c>
      <c r="O1086" s="25">
        <v>45897.446527777778</v>
      </c>
      <c r="P1086" s="26" t="s">
        <v>175</v>
      </c>
    </row>
    <row r="1087" spans="1:16" x14ac:dyDescent="0.25">
      <c r="A1087" s="20" t="s">
        <v>5211</v>
      </c>
      <c r="B1087" s="21">
        <v>714</v>
      </c>
      <c r="C1087" s="22" t="s">
        <v>143</v>
      </c>
      <c r="D1087" s="22" t="s">
        <v>2517</v>
      </c>
      <c r="E1087" s="22" t="str">
        <f>CONCATENATE(B1087,D1087)</f>
        <v>71467380-115</v>
      </c>
      <c r="F1087" s="22" t="s">
        <v>2518</v>
      </c>
      <c r="G1087" s="22" t="s">
        <v>29</v>
      </c>
      <c r="H1087" s="23">
        <v>66.917699999999996</v>
      </c>
      <c r="I1087" s="24">
        <v>3</v>
      </c>
      <c r="J1087" s="24">
        <v>0</v>
      </c>
      <c r="K1087" s="24">
        <v>0</v>
      </c>
      <c r="L1087" s="41">
        <f>Table2[[#This Row],[Column1]]+Table2[[#This Row],[Column2]]</f>
        <v>0</v>
      </c>
      <c r="M1087" s="42">
        <f>Table2[[#This Row],[OnHandQty]]-Table2[[#This Row],[Projection Nov/Dec]]</f>
        <v>3</v>
      </c>
      <c r="N1087" s="35">
        <f>Table2[[#This Row],[OverStock]]*Table2[[#This Row],[RepCost]]</f>
        <v>200.75309999999999</v>
      </c>
      <c r="O1087" s="25">
        <v>46128.709722222222</v>
      </c>
      <c r="P1087" s="26" t="s">
        <v>195</v>
      </c>
    </row>
    <row r="1088" spans="1:16" x14ac:dyDescent="0.25">
      <c r="A1088" s="20" t="s">
        <v>5211</v>
      </c>
      <c r="B1088" s="21">
        <v>714</v>
      </c>
      <c r="C1088" s="22" t="s">
        <v>143</v>
      </c>
      <c r="D1088" s="22" t="s">
        <v>2734</v>
      </c>
      <c r="E1088" s="22" t="str">
        <f>CONCATENATE(B1088,D1088)</f>
        <v>71485624-103</v>
      </c>
      <c r="F1088" s="22" t="s">
        <v>2735</v>
      </c>
      <c r="G1088" s="22" t="s">
        <v>29</v>
      </c>
      <c r="H1088" s="23">
        <v>23.067699999999999</v>
      </c>
      <c r="I1088" s="24">
        <v>3</v>
      </c>
      <c r="J1088" s="24">
        <v>0</v>
      </c>
      <c r="K1088" s="24">
        <v>0</v>
      </c>
      <c r="L1088" s="41">
        <f>Table2[[#This Row],[Column1]]+Table2[[#This Row],[Column2]]</f>
        <v>0</v>
      </c>
      <c r="M1088" s="42">
        <f>Table2[[#This Row],[OnHandQty]]-Table2[[#This Row],[Projection Nov/Dec]]</f>
        <v>3</v>
      </c>
      <c r="N1088" s="35">
        <f>Table2[[#This Row],[OverStock]]*Table2[[#This Row],[RepCost]]</f>
        <v>69.203099999999992</v>
      </c>
      <c r="O1088" s="25">
        <v>46178.753472222219</v>
      </c>
      <c r="P1088" s="26" t="s">
        <v>40</v>
      </c>
    </row>
    <row r="1089" spans="1:16" x14ac:dyDescent="0.25">
      <c r="A1089" s="20" t="s">
        <v>5211</v>
      </c>
      <c r="B1089" s="21">
        <v>718</v>
      </c>
      <c r="C1089" s="22" t="s">
        <v>143</v>
      </c>
      <c r="D1089" s="22" t="s">
        <v>3820</v>
      </c>
      <c r="E1089" s="22" t="str">
        <f>CONCATENATE(B1089,D1089)</f>
        <v>71890388-103</v>
      </c>
      <c r="F1089" s="22" t="s">
        <v>3821</v>
      </c>
      <c r="G1089" s="22" t="s">
        <v>29</v>
      </c>
      <c r="H1089" s="23">
        <v>22.1553</v>
      </c>
      <c r="I1089" s="24">
        <v>4</v>
      </c>
      <c r="J1089" s="24">
        <v>0</v>
      </c>
      <c r="K1089" s="24">
        <v>0</v>
      </c>
      <c r="L1089" s="41">
        <f>Table2[[#This Row],[Column1]]+Table2[[#This Row],[Column2]]</f>
        <v>0</v>
      </c>
      <c r="M1089" s="42">
        <f>Table2[[#This Row],[OnHandQty]]-Table2[[#This Row],[Projection Nov/Dec]]</f>
        <v>4</v>
      </c>
      <c r="N1089" s="35">
        <f>Table2[[#This Row],[OverStock]]*Table2[[#This Row],[RepCost]]</f>
        <v>88.621200000000002</v>
      </c>
      <c r="O1089" s="25">
        <v>46225.595138888886</v>
      </c>
      <c r="P1089" s="26" t="s">
        <v>40</v>
      </c>
    </row>
    <row r="1090" spans="1:16" x14ac:dyDescent="0.25">
      <c r="A1090" s="20" t="s">
        <v>5211</v>
      </c>
      <c r="B1090" s="21">
        <v>714</v>
      </c>
      <c r="C1090" s="22" t="s">
        <v>143</v>
      </c>
      <c r="D1090" s="22" t="s">
        <v>2434</v>
      </c>
      <c r="E1090" s="22" t="str">
        <f>CONCATENATE(B1090,D1090)</f>
        <v>71494490-103</v>
      </c>
      <c r="F1090" s="22" t="s">
        <v>2435</v>
      </c>
      <c r="G1090" s="22" t="s">
        <v>29</v>
      </c>
      <c r="H1090" s="23">
        <v>16.770399999999999</v>
      </c>
      <c r="I1090" s="24">
        <v>17</v>
      </c>
      <c r="J1090" s="24">
        <v>0</v>
      </c>
      <c r="K1090" s="24">
        <v>0</v>
      </c>
      <c r="L1090" s="41">
        <f>Table2[[#This Row],[Column1]]+Table2[[#This Row],[Column2]]</f>
        <v>0</v>
      </c>
      <c r="M1090" s="42">
        <f>Table2[[#This Row],[OnHandQty]]-Table2[[#This Row],[Projection Nov/Dec]]</f>
        <v>17</v>
      </c>
      <c r="N1090" s="35">
        <f>Table2[[#This Row],[OverStock]]*Table2[[#This Row],[RepCost]]</f>
        <v>285.09679999999997</v>
      </c>
      <c r="O1090" s="25">
        <v>46156.481944444444</v>
      </c>
      <c r="P1090" s="26" t="s">
        <v>140</v>
      </c>
    </row>
    <row r="1091" spans="1:16" x14ac:dyDescent="0.25">
      <c r="A1091" s="20" t="s">
        <v>5211</v>
      </c>
      <c r="B1091" s="21">
        <v>714</v>
      </c>
      <c r="C1091" s="22" t="s">
        <v>323</v>
      </c>
      <c r="D1091" s="22" t="s">
        <v>2850</v>
      </c>
      <c r="E1091" s="22" t="str">
        <f>CONCATENATE(B1091,D1091)</f>
        <v>71477846-307</v>
      </c>
      <c r="F1091" s="22" t="s">
        <v>2851</v>
      </c>
      <c r="G1091" s="22" t="s">
        <v>19</v>
      </c>
      <c r="H1091" s="23">
        <v>207.89660000000001</v>
      </c>
      <c r="I1091" s="24">
        <v>7</v>
      </c>
      <c r="J1091" s="24">
        <v>0</v>
      </c>
      <c r="K1091" s="24">
        <v>0</v>
      </c>
      <c r="L1091" s="41">
        <f>Table2[[#This Row],[Column1]]+Table2[[#This Row],[Column2]]</f>
        <v>0</v>
      </c>
      <c r="M1091" s="42">
        <f>Table2[[#This Row],[OnHandQty]]-Table2[[#This Row],[Projection Nov/Dec]]</f>
        <v>7</v>
      </c>
      <c r="N1091" s="35">
        <f>Table2[[#This Row],[OverStock]]*Table2[[#This Row],[RepCost]]</f>
        <v>1455.2762</v>
      </c>
      <c r="O1091" s="25">
        <v>46161.380555555559</v>
      </c>
      <c r="P1091" s="26" t="s">
        <v>151</v>
      </c>
    </row>
    <row r="1092" spans="1:16" x14ac:dyDescent="0.25">
      <c r="A1092" s="20" t="s">
        <v>5211</v>
      </c>
      <c r="B1092" s="21">
        <v>714</v>
      </c>
      <c r="C1092" s="22" t="s">
        <v>323</v>
      </c>
      <c r="D1092" s="22" t="s">
        <v>3349</v>
      </c>
      <c r="E1092" s="22" t="str">
        <f>CONCATENATE(B1092,D1092)</f>
        <v>71477846-308</v>
      </c>
      <c r="F1092" s="22" t="s">
        <v>3350</v>
      </c>
      <c r="G1092" s="22" t="s">
        <v>158</v>
      </c>
      <c r="H1092" s="23">
        <v>279.44839999999999</v>
      </c>
      <c r="I1092" s="24">
        <v>1</v>
      </c>
      <c r="J1092" s="24">
        <v>0</v>
      </c>
      <c r="K1092" s="24">
        <v>0</v>
      </c>
      <c r="L1092" s="41">
        <f>Table2[[#This Row],[Column1]]+Table2[[#This Row],[Column2]]</f>
        <v>0</v>
      </c>
      <c r="M1092" s="42">
        <f>Table2[[#This Row],[OnHandQty]]-Table2[[#This Row],[Projection Nov/Dec]]</f>
        <v>1</v>
      </c>
      <c r="N1092" s="35">
        <f>Table2[[#This Row],[OverStock]]*Table2[[#This Row],[RepCost]]</f>
        <v>279.44839999999999</v>
      </c>
      <c r="O1092" s="25">
        <v>46161.380555555559</v>
      </c>
      <c r="P1092" s="26" t="s">
        <v>151</v>
      </c>
    </row>
    <row r="1093" spans="1:16" x14ac:dyDescent="0.25">
      <c r="A1093" s="20" t="s">
        <v>5211</v>
      </c>
      <c r="B1093" s="21">
        <v>714</v>
      </c>
      <c r="C1093" s="22" t="s">
        <v>323</v>
      </c>
      <c r="D1093" s="22" t="s">
        <v>3010</v>
      </c>
      <c r="E1093" s="22" t="str">
        <f>CONCATENATE(B1093,D1093)</f>
        <v>71467434-308</v>
      </c>
      <c r="F1093" s="22" t="s">
        <v>3011</v>
      </c>
      <c r="G1093" s="22" t="s">
        <v>29</v>
      </c>
      <c r="H1093" s="23">
        <v>301.54289999999997</v>
      </c>
      <c r="I1093" s="24">
        <v>5</v>
      </c>
      <c r="J1093" s="24">
        <v>0</v>
      </c>
      <c r="K1093" s="24">
        <v>0</v>
      </c>
      <c r="L1093" s="41">
        <f>Table2[[#This Row],[Column1]]+Table2[[#This Row],[Column2]]</f>
        <v>0</v>
      </c>
      <c r="M1093" s="42">
        <f>Table2[[#This Row],[OnHandQty]]-Table2[[#This Row],[Projection Nov/Dec]]</f>
        <v>5</v>
      </c>
      <c r="N1093" s="35">
        <f>Table2[[#This Row],[OverStock]]*Table2[[#This Row],[RepCost]]</f>
        <v>1507.7144999999998</v>
      </c>
      <c r="O1093" s="25">
        <v>46144.581944444442</v>
      </c>
      <c r="P1093" s="26" t="s">
        <v>2379</v>
      </c>
    </row>
    <row r="1094" spans="1:16" x14ac:dyDescent="0.25">
      <c r="A1094" s="20" t="s">
        <v>5211</v>
      </c>
      <c r="B1094" s="21">
        <v>714</v>
      </c>
      <c r="C1094" s="22" t="s">
        <v>323</v>
      </c>
      <c r="D1094" s="22" t="s">
        <v>2947</v>
      </c>
      <c r="E1094" s="22" t="str">
        <f>CONCATENATE(B1094,D1094)</f>
        <v>71496479-306</v>
      </c>
      <c r="F1094" s="22" t="s">
        <v>2948</v>
      </c>
      <c r="G1094" s="22" t="s">
        <v>19</v>
      </c>
      <c r="H1094" s="23">
        <v>187.774</v>
      </c>
      <c r="I1094" s="24">
        <v>3</v>
      </c>
      <c r="J1094" s="24">
        <v>0</v>
      </c>
      <c r="K1094" s="24">
        <v>0</v>
      </c>
      <c r="L1094" s="41">
        <f>Table2[[#This Row],[Column1]]+Table2[[#This Row],[Column2]]</f>
        <v>0</v>
      </c>
      <c r="M1094" s="42">
        <f>Table2[[#This Row],[OnHandQty]]-Table2[[#This Row],[Projection Nov/Dec]]</f>
        <v>3</v>
      </c>
      <c r="N1094" s="35">
        <f>Table2[[#This Row],[OverStock]]*Table2[[#This Row],[RepCost]]</f>
        <v>563.322</v>
      </c>
      <c r="O1094" s="25">
        <v>46144.581944444442</v>
      </c>
      <c r="P1094" s="26" t="s">
        <v>2379</v>
      </c>
    </row>
    <row r="1095" spans="1:16" x14ac:dyDescent="0.25">
      <c r="A1095" s="20" t="s">
        <v>5211</v>
      </c>
      <c r="B1095" s="21">
        <v>714</v>
      </c>
      <c r="C1095" s="22" t="s">
        <v>323</v>
      </c>
      <c r="D1095" s="22" t="s">
        <v>3272</v>
      </c>
      <c r="E1095" s="22" t="str">
        <f>CONCATENATE(B1095,D1095)</f>
        <v>71484280-306</v>
      </c>
      <c r="F1095" s="22" t="s">
        <v>3273</v>
      </c>
      <c r="G1095" s="22" t="s">
        <v>158</v>
      </c>
      <c r="H1095" s="23">
        <v>190.2542</v>
      </c>
      <c r="I1095" s="24">
        <v>1</v>
      </c>
      <c r="J1095" s="24">
        <v>0</v>
      </c>
      <c r="K1095" s="24">
        <v>0</v>
      </c>
      <c r="L1095" s="41">
        <f>Table2[[#This Row],[Column1]]+Table2[[#This Row],[Column2]]</f>
        <v>0</v>
      </c>
      <c r="M1095" s="42">
        <f>Table2[[#This Row],[OnHandQty]]-Table2[[#This Row],[Projection Nov/Dec]]</f>
        <v>1</v>
      </c>
      <c r="N1095" s="35">
        <f>Table2[[#This Row],[OverStock]]*Table2[[#This Row],[RepCost]]</f>
        <v>190.2542</v>
      </c>
      <c r="O1095" s="25">
        <v>46137.60833333333</v>
      </c>
      <c r="P1095" s="26" t="s">
        <v>2379</v>
      </c>
    </row>
    <row r="1096" spans="1:16" x14ac:dyDescent="0.25">
      <c r="A1096" s="20" t="s">
        <v>5211</v>
      </c>
      <c r="B1096" s="21">
        <v>714</v>
      </c>
      <c r="C1096" s="22" t="s">
        <v>323</v>
      </c>
      <c r="D1096" s="22" t="s">
        <v>1538</v>
      </c>
      <c r="E1096" s="22" t="str">
        <f>CONCATENATE(B1096,D1096)</f>
        <v>71467427-307</v>
      </c>
      <c r="F1096" s="22" t="s">
        <v>1539</v>
      </c>
      <c r="G1096" s="22" t="s">
        <v>455</v>
      </c>
      <c r="H1096" s="23">
        <v>234.1652</v>
      </c>
      <c r="I1096" s="24">
        <v>4</v>
      </c>
      <c r="J1096" s="24">
        <v>0</v>
      </c>
      <c r="K1096" s="24">
        <v>0</v>
      </c>
      <c r="L1096" s="41">
        <f>Table2[[#This Row],[Column1]]+Table2[[#This Row],[Column2]]</f>
        <v>0</v>
      </c>
      <c r="M1096" s="42">
        <f>Table2[[#This Row],[OnHandQty]]-Table2[[#This Row],[Projection Nov/Dec]]</f>
        <v>4</v>
      </c>
      <c r="N1096" s="35">
        <f>Table2[[#This Row],[OverStock]]*Table2[[#This Row],[RepCost]]</f>
        <v>936.66079999999999</v>
      </c>
      <c r="O1096" s="25">
        <v>46144.581944444442</v>
      </c>
      <c r="P1096" s="26" t="s">
        <v>2379</v>
      </c>
    </row>
    <row r="1097" spans="1:16" x14ac:dyDescent="0.25">
      <c r="A1097" s="20" t="s">
        <v>5211</v>
      </c>
      <c r="B1097" s="21">
        <v>636</v>
      </c>
      <c r="C1097" s="22" t="s">
        <v>323</v>
      </c>
      <c r="D1097" s="22" t="s">
        <v>1538</v>
      </c>
      <c r="E1097" s="22" t="str">
        <f>CONCATENATE(B1097,D1097)</f>
        <v>63667427-307</v>
      </c>
      <c r="F1097" s="22" t="s">
        <v>1539</v>
      </c>
      <c r="G1097" s="22" t="s">
        <v>19</v>
      </c>
      <c r="H1097" s="23">
        <v>281.69830000000002</v>
      </c>
      <c r="I1097" s="24">
        <v>4</v>
      </c>
      <c r="J1097" s="24">
        <v>0</v>
      </c>
      <c r="K1097" s="24">
        <v>0</v>
      </c>
      <c r="L1097" s="41">
        <f>Table2[[#This Row],[Column1]]+Table2[[#This Row],[Column2]]</f>
        <v>0</v>
      </c>
      <c r="M1097" s="42">
        <f>Table2[[#This Row],[OnHandQty]]-Table2[[#This Row],[Projection Nov/Dec]]</f>
        <v>4</v>
      </c>
      <c r="N1097" s="35">
        <f>Table2[[#This Row],[OverStock]]*Table2[[#This Row],[RepCost]]</f>
        <v>1126.7932000000001</v>
      </c>
      <c r="O1097" s="25">
        <v>46240.484027777777</v>
      </c>
      <c r="P1097" s="26" t="s">
        <v>151</v>
      </c>
    </row>
    <row r="1098" spans="1:16" x14ac:dyDescent="0.25">
      <c r="A1098" s="20" t="s">
        <v>5211</v>
      </c>
      <c r="B1098" s="21">
        <v>714</v>
      </c>
      <c r="C1098" s="22" t="s">
        <v>323</v>
      </c>
      <c r="D1098" s="22" t="s">
        <v>3071</v>
      </c>
      <c r="E1098" s="22" t="str">
        <f>CONCATENATE(B1098,D1098)</f>
        <v>71467427-308</v>
      </c>
      <c r="F1098" s="22" t="s">
        <v>3072</v>
      </c>
      <c r="G1098" s="22" t="s">
        <v>455</v>
      </c>
      <c r="H1098" s="23">
        <v>286.9085</v>
      </c>
      <c r="I1098" s="24">
        <v>7</v>
      </c>
      <c r="J1098" s="24">
        <v>6</v>
      </c>
      <c r="K1098" s="24">
        <v>0</v>
      </c>
      <c r="L1098" s="41">
        <f>Table2[[#This Row],[Column1]]+Table2[[#This Row],[Column2]]</f>
        <v>6</v>
      </c>
      <c r="M1098" s="42">
        <f>Table2[[#This Row],[OnHandQty]]-Table2[[#This Row],[Projection Nov/Dec]]</f>
        <v>1</v>
      </c>
      <c r="N1098" s="35">
        <f>Table2[[#This Row],[OverStock]]*Table2[[#This Row],[RepCost]]</f>
        <v>286.9085</v>
      </c>
      <c r="O1098" s="25">
        <v>46200.335416666669</v>
      </c>
      <c r="P1098" s="26" t="s">
        <v>151</v>
      </c>
    </row>
    <row r="1099" spans="1:16" x14ac:dyDescent="0.25">
      <c r="A1099" s="20" t="s">
        <v>5211</v>
      </c>
      <c r="B1099" s="21">
        <v>718</v>
      </c>
      <c r="C1099" s="22" t="s">
        <v>143</v>
      </c>
      <c r="D1099" s="22" t="s">
        <v>988</v>
      </c>
      <c r="E1099" s="22" t="str">
        <f>CONCATENATE(B1099,D1099)</f>
        <v>71867446-103</v>
      </c>
      <c r="F1099" s="27" t="s">
        <v>989</v>
      </c>
      <c r="G1099" s="27" t="s">
        <v>58</v>
      </c>
      <c r="H1099" s="23">
        <v>13.0442</v>
      </c>
      <c r="I1099" s="24">
        <v>5</v>
      </c>
      <c r="J1099" s="24">
        <v>0</v>
      </c>
      <c r="K1099" s="24">
        <v>0</v>
      </c>
      <c r="L1099" s="41">
        <f>Table2[[#This Row],[Column1]]+Table2[[#This Row],[Column2]]</f>
        <v>0</v>
      </c>
      <c r="M1099" s="42">
        <f>Table2[[#This Row],[OnHandQty]]-Table2[[#This Row],[Projection Nov/Dec]]</f>
        <v>5</v>
      </c>
      <c r="N1099" s="35">
        <f>Table2[[#This Row],[OverStock]]*Table2[[#This Row],[RepCost]]</f>
        <v>65.221000000000004</v>
      </c>
      <c r="O1099" s="25">
        <v>45890.426388888889</v>
      </c>
      <c r="P1099" s="26" t="s">
        <v>268</v>
      </c>
    </row>
    <row r="1100" spans="1:16" x14ac:dyDescent="0.25">
      <c r="A1100" s="20" t="s">
        <v>5211</v>
      </c>
      <c r="B1100" s="21">
        <v>714</v>
      </c>
      <c r="C1100" s="22" t="s">
        <v>143</v>
      </c>
      <c r="D1100" s="22" t="s">
        <v>2298</v>
      </c>
      <c r="E1100" s="22" t="str">
        <f>CONCATENATE(B1100,D1100)</f>
        <v>71467446-107</v>
      </c>
      <c r="F1100" s="22" t="s">
        <v>2299</v>
      </c>
      <c r="G1100" s="22" t="s">
        <v>29</v>
      </c>
      <c r="H1100" s="23">
        <v>48.456000000000003</v>
      </c>
      <c r="I1100" s="24">
        <v>10</v>
      </c>
      <c r="J1100" s="24">
        <v>0</v>
      </c>
      <c r="K1100" s="24">
        <v>0</v>
      </c>
      <c r="L1100" s="41">
        <f>Table2[[#This Row],[Column1]]+Table2[[#This Row],[Column2]]</f>
        <v>0</v>
      </c>
      <c r="M1100" s="42">
        <f>Table2[[#This Row],[OnHandQty]]-Table2[[#This Row],[Projection Nov/Dec]]</f>
        <v>10</v>
      </c>
      <c r="N1100" s="35">
        <f>Table2[[#This Row],[OverStock]]*Table2[[#This Row],[RepCost]]</f>
        <v>484.56000000000006</v>
      </c>
      <c r="O1100" s="25">
        <v>46154.629861111112</v>
      </c>
      <c r="P1100" s="26" t="s">
        <v>30</v>
      </c>
    </row>
    <row r="1101" spans="1:16" x14ac:dyDescent="0.25">
      <c r="A1101" s="20" t="s">
        <v>5211</v>
      </c>
      <c r="B1101" s="21">
        <v>636</v>
      </c>
      <c r="C1101" s="22" t="s">
        <v>143</v>
      </c>
      <c r="D1101" s="22" t="s">
        <v>1138</v>
      </c>
      <c r="E1101" s="22" t="str">
        <f>CONCATENATE(B1101,D1101)</f>
        <v>63677852-105</v>
      </c>
      <c r="F1101" s="22" t="s">
        <v>1139</v>
      </c>
      <c r="G1101" s="22" t="s">
        <v>29</v>
      </c>
      <c r="H1101" s="23">
        <v>29.978300000000001</v>
      </c>
      <c r="I1101" s="24">
        <v>8</v>
      </c>
      <c r="J1101" s="24">
        <v>0</v>
      </c>
      <c r="K1101" s="24">
        <v>0</v>
      </c>
      <c r="L1101" s="41">
        <f>Table2[[#This Row],[Column1]]+Table2[[#This Row],[Column2]]</f>
        <v>0</v>
      </c>
      <c r="M1101" s="42">
        <f>Table2[[#This Row],[OnHandQty]]-Table2[[#This Row],[Projection Nov/Dec]]</f>
        <v>8</v>
      </c>
      <c r="N1101" s="35">
        <f>Table2[[#This Row],[OverStock]]*Table2[[#This Row],[RepCost]]</f>
        <v>239.82640000000001</v>
      </c>
      <c r="O1101" s="25">
        <v>46149.512499999997</v>
      </c>
      <c r="P1101" s="26" t="s">
        <v>195</v>
      </c>
    </row>
    <row r="1102" spans="1:16" x14ac:dyDescent="0.25">
      <c r="A1102" s="20" t="s">
        <v>5211</v>
      </c>
      <c r="B1102" s="21">
        <v>634</v>
      </c>
      <c r="C1102" s="22" t="s">
        <v>143</v>
      </c>
      <c r="D1102" s="22" t="s">
        <v>214</v>
      </c>
      <c r="E1102" s="22" t="str">
        <f>CONCATENATE(B1102,D1102)</f>
        <v>63477852-107</v>
      </c>
      <c r="F1102" s="22" t="s">
        <v>215</v>
      </c>
      <c r="G1102" s="22" t="s">
        <v>29</v>
      </c>
      <c r="H1102" s="23">
        <v>30.6188</v>
      </c>
      <c r="I1102" s="24">
        <v>10</v>
      </c>
      <c r="J1102" s="24">
        <v>4</v>
      </c>
      <c r="K1102" s="24">
        <v>0</v>
      </c>
      <c r="L1102" s="41">
        <f>Table2[[#This Row],[Column1]]+Table2[[#This Row],[Column2]]</f>
        <v>4</v>
      </c>
      <c r="M1102" s="42">
        <f>Table2[[#This Row],[OnHandQty]]-Table2[[#This Row],[Projection Nov/Dec]]</f>
        <v>6</v>
      </c>
      <c r="N1102" s="35">
        <f>Table2[[#This Row],[OverStock]]*Table2[[#This Row],[RepCost]]</f>
        <v>183.71280000000002</v>
      </c>
      <c r="O1102" s="25">
        <v>46125.589583333334</v>
      </c>
      <c r="P1102" s="26" t="s">
        <v>216</v>
      </c>
    </row>
    <row r="1103" spans="1:16" x14ac:dyDescent="0.25">
      <c r="A1103" s="20" t="s">
        <v>5211</v>
      </c>
      <c r="B1103" s="21">
        <v>636</v>
      </c>
      <c r="C1103" s="22" t="s">
        <v>323</v>
      </c>
      <c r="D1103" s="22" t="s">
        <v>1407</v>
      </c>
      <c r="E1103" s="22" t="str">
        <f>CONCATENATE(B1103,D1103)</f>
        <v>63677855-308</v>
      </c>
      <c r="F1103" s="22" t="s">
        <v>1408</v>
      </c>
      <c r="G1103" s="22" t="s">
        <v>455</v>
      </c>
      <c r="H1103" s="23">
        <v>264.48910000000001</v>
      </c>
      <c r="I1103" s="24">
        <v>3</v>
      </c>
      <c r="J1103" s="24">
        <v>0</v>
      </c>
      <c r="K1103" s="24">
        <v>0</v>
      </c>
      <c r="L1103" s="41">
        <f>Table2[[#This Row],[Column1]]+Table2[[#This Row],[Column2]]</f>
        <v>0</v>
      </c>
      <c r="M1103" s="42">
        <f>Table2[[#This Row],[OnHandQty]]-Table2[[#This Row],[Projection Nov/Dec]]</f>
        <v>3</v>
      </c>
      <c r="N1103" s="35">
        <f>Table2[[#This Row],[OverStock]]*Table2[[#This Row],[RepCost]]</f>
        <v>793.46730000000002</v>
      </c>
      <c r="O1103" s="25">
        <v>46122.613888888889</v>
      </c>
      <c r="P1103" s="26" t="s">
        <v>151</v>
      </c>
    </row>
    <row r="1104" spans="1:16" x14ac:dyDescent="0.25">
      <c r="A1104" s="20" t="s">
        <v>5211</v>
      </c>
      <c r="B1104" s="21">
        <v>636</v>
      </c>
      <c r="C1104" s="22" t="s">
        <v>323</v>
      </c>
      <c r="D1104" s="22" t="s">
        <v>1596</v>
      </c>
      <c r="E1104" s="22" t="str">
        <f>CONCATENATE(B1104,D1104)</f>
        <v>63667408-310</v>
      </c>
      <c r="F1104" s="22" t="s">
        <v>1597</v>
      </c>
      <c r="G1104" s="22" t="s">
        <v>29</v>
      </c>
      <c r="H1104" s="23">
        <v>305.69319999999999</v>
      </c>
      <c r="I1104" s="24">
        <v>1</v>
      </c>
      <c r="J1104" s="24">
        <v>0</v>
      </c>
      <c r="K1104" s="24">
        <v>0</v>
      </c>
      <c r="L1104" s="41">
        <f>Table2[[#This Row],[Column1]]+Table2[[#This Row],[Column2]]</f>
        <v>0</v>
      </c>
      <c r="M1104" s="42">
        <f>Table2[[#This Row],[OnHandQty]]-Table2[[#This Row],[Projection Nov/Dec]]</f>
        <v>1</v>
      </c>
      <c r="N1104" s="35">
        <f>Table2[[#This Row],[OverStock]]*Table2[[#This Row],[RepCost]]</f>
        <v>305.69319999999999</v>
      </c>
      <c r="O1104" s="25">
        <v>46161.474999999999</v>
      </c>
      <c r="P1104" s="26" t="s">
        <v>216</v>
      </c>
    </row>
    <row r="1105" spans="1:16" x14ac:dyDescent="0.25">
      <c r="A1105" s="20" t="s">
        <v>5211</v>
      </c>
      <c r="B1105" s="21">
        <v>636</v>
      </c>
      <c r="C1105" s="22" t="s">
        <v>323</v>
      </c>
      <c r="D1105" s="22" t="s">
        <v>1723</v>
      </c>
      <c r="E1105" s="22" t="str">
        <f>CONCATENATE(B1105,D1105)</f>
        <v>63667408-306</v>
      </c>
      <c r="F1105" s="22" t="s">
        <v>1724</v>
      </c>
      <c r="G1105" s="22" t="s">
        <v>23</v>
      </c>
      <c r="H1105" s="23">
        <v>189.6337</v>
      </c>
      <c r="I1105" s="24">
        <v>14</v>
      </c>
      <c r="J1105" s="24">
        <v>0</v>
      </c>
      <c r="K1105" s="24">
        <v>0</v>
      </c>
      <c r="L1105" s="41">
        <f>Table2[[#This Row],[Column1]]+Table2[[#This Row],[Column2]]</f>
        <v>0</v>
      </c>
      <c r="M1105" s="42">
        <f>Table2[[#This Row],[OnHandQty]]-Table2[[#This Row],[Projection Nov/Dec]]</f>
        <v>14</v>
      </c>
      <c r="N1105" s="35">
        <f>Table2[[#This Row],[OverStock]]*Table2[[#This Row],[RepCost]]</f>
        <v>2654.8717999999999</v>
      </c>
      <c r="O1105" s="25">
        <v>46122.613888888889</v>
      </c>
      <c r="P1105" s="26" t="s">
        <v>151</v>
      </c>
    </row>
    <row r="1106" spans="1:16" x14ac:dyDescent="0.25">
      <c r="A1106" s="20" t="s">
        <v>5211</v>
      </c>
      <c r="B1106" s="21">
        <v>714</v>
      </c>
      <c r="C1106" s="22" t="s">
        <v>323</v>
      </c>
      <c r="D1106" s="22" t="s">
        <v>1723</v>
      </c>
      <c r="E1106" s="22" t="str">
        <f>CONCATENATE(B1106,D1106)</f>
        <v>71467408-306</v>
      </c>
      <c r="F1106" s="22" t="s">
        <v>1724</v>
      </c>
      <c r="G1106" s="22" t="s">
        <v>158</v>
      </c>
      <c r="H1106" s="23">
        <v>170.58629999999999</v>
      </c>
      <c r="I1106" s="24">
        <v>11</v>
      </c>
      <c r="J1106" s="24">
        <v>0</v>
      </c>
      <c r="K1106" s="24">
        <v>0</v>
      </c>
      <c r="L1106" s="41">
        <f>Table2[[#This Row],[Column1]]+Table2[[#This Row],[Column2]]</f>
        <v>0</v>
      </c>
      <c r="M1106" s="42">
        <f>Table2[[#This Row],[OnHandQty]]-Table2[[#This Row],[Projection Nov/Dec]]</f>
        <v>11</v>
      </c>
      <c r="N1106" s="35">
        <f>Table2[[#This Row],[OverStock]]*Table2[[#This Row],[RepCost]]</f>
        <v>1876.4493</v>
      </c>
      <c r="O1106" s="25">
        <v>46137.60833333333</v>
      </c>
      <c r="P1106" s="26" t="s">
        <v>2379</v>
      </c>
    </row>
    <row r="1107" spans="1:16" x14ac:dyDescent="0.25">
      <c r="A1107" s="20" t="s">
        <v>5211</v>
      </c>
      <c r="B1107" s="21">
        <v>714</v>
      </c>
      <c r="C1107" s="22" t="s">
        <v>323</v>
      </c>
      <c r="D1107" s="22" t="s">
        <v>3330</v>
      </c>
      <c r="E1107" s="22" t="str">
        <f>CONCATENATE(B1107,D1107)</f>
        <v>71467408-307</v>
      </c>
      <c r="F1107" s="22" t="s">
        <v>3331</v>
      </c>
      <c r="G1107" s="22" t="s">
        <v>29</v>
      </c>
      <c r="H1107" s="23">
        <v>136.9828</v>
      </c>
      <c r="I1107" s="24">
        <v>9</v>
      </c>
      <c r="J1107" s="24">
        <v>0</v>
      </c>
      <c r="K1107" s="24">
        <v>0</v>
      </c>
      <c r="L1107" s="41">
        <f>Table2[[#This Row],[Column1]]+Table2[[#This Row],[Column2]]</f>
        <v>0</v>
      </c>
      <c r="M1107" s="42">
        <f>Table2[[#This Row],[OnHandQty]]-Table2[[#This Row],[Projection Nov/Dec]]</f>
        <v>9</v>
      </c>
      <c r="N1107" s="35">
        <f>Table2[[#This Row],[OverStock]]*Table2[[#This Row],[RepCost]]</f>
        <v>1232.8452</v>
      </c>
      <c r="O1107" s="25">
        <v>46118.304861111108</v>
      </c>
      <c r="P1107" s="26" t="s">
        <v>2423</v>
      </c>
    </row>
    <row r="1108" spans="1:16" x14ac:dyDescent="0.25">
      <c r="A1108" s="20" t="s">
        <v>5211</v>
      </c>
      <c r="B1108" s="21">
        <v>634</v>
      </c>
      <c r="C1108" s="22" t="s">
        <v>323</v>
      </c>
      <c r="D1108" s="22" t="s">
        <v>440</v>
      </c>
      <c r="E1108" s="22" t="str">
        <f>CONCATENATE(B1108,D1108)</f>
        <v>63487157-120</v>
      </c>
      <c r="F1108" s="22" t="s">
        <v>441</v>
      </c>
      <c r="G1108" s="22" t="s">
        <v>43</v>
      </c>
      <c r="H1108" s="23">
        <v>131.7039</v>
      </c>
      <c r="I1108" s="24">
        <v>1</v>
      </c>
      <c r="J1108" s="24">
        <v>0</v>
      </c>
      <c r="K1108" s="24">
        <v>0</v>
      </c>
      <c r="L1108" s="41">
        <f>Table2[[#This Row],[Column1]]+Table2[[#This Row],[Column2]]</f>
        <v>0</v>
      </c>
      <c r="M1108" s="42">
        <f>Table2[[#This Row],[OnHandQty]]-Table2[[#This Row],[Projection Nov/Dec]]</f>
        <v>1</v>
      </c>
      <c r="N1108" s="35">
        <f>Table2[[#This Row],[OverStock]]*Table2[[#This Row],[RepCost]]</f>
        <v>131.7039</v>
      </c>
      <c r="O1108" s="25">
        <v>46120.659722222219</v>
      </c>
      <c r="P1108" s="26" t="s">
        <v>30</v>
      </c>
    </row>
    <row r="1109" spans="1:16" x14ac:dyDescent="0.25">
      <c r="A1109" s="20" t="s">
        <v>5211</v>
      </c>
      <c r="B1109" s="21">
        <v>714</v>
      </c>
      <c r="C1109" s="22" t="s">
        <v>323</v>
      </c>
      <c r="D1109" s="22" t="s">
        <v>2920</v>
      </c>
      <c r="E1109" s="22" t="str">
        <f>CONCATENATE(B1109,D1109)</f>
        <v>71476915-115</v>
      </c>
      <c r="F1109" s="22" t="s">
        <v>2921</v>
      </c>
      <c r="G1109" s="22" t="s">
        <v>29</v>
      </c>
      <c r="H1109" s="23">
        <v>94.3703</v>
      </c>
      <c r="I1109" s="24">
        <v>1</v>
      </c>
      <c r="J1109" s="24">
        <v>0</v>
      </c>
      <c r="K1109" s="24">
        <v>0</v>
      </c>
      <c r="L1109" s="41">
        <f>Table2[[#This Row],[Column1]]+Table2[[#This Row],[Column2]]</f>
        <v>0</v>
      </c>
      <c r="M1109" s="42">
        <f>Table2[[#This Row],[OnHandQty]]-Table2[[#This Row],[Projection Nov/Dec]]</f>
        <v>1</v>
      </c>
      <c r="N1109" s="35">
        <f>Table2[[#This Row],[OverStock]]*Table2[[#This Row],[RepCost]]</f>
        <v>94.3703</v>
      </c>
      <c r="O1109" s="25">
        <v>45979.525000000001</v>
      </c>
      <c r="P1109" s="26" t="s">
        <v>2268</v>
      </c>
    </row>
    <row r="1110" spans="1:16" x14ac:dyDescent="0.25">
      <c r="A1110" s="20" t="s">
        <v>5211</v>
      </c>
      <c r="B1110" s="21">
        <v>636</v>
      </c>
      <c r="C1110" s="22" t="s">
        <v>323</v>
      </c>
      <c r="D1110" s="22" t="s">
        <v>1562</v>
      </c>
      <c r="E1110" s="22" t="str">
        <f>CONCATENATE(B1110,D1110)</f>
        <v>63676915-305</v>
      </c>
      <c r="F1110" s="22" t="s">
        <v>1563</v>
      </c>
      <c r="G1110" s="22" t="s">
        <v>158</v>
      </c>
      <c r="H1110" s="23">
        <v>191.0043</v>
      </c>
      <c r="I1110" s="24">
        <v>10</v>
      </c>
      <c r="J1110" s="24">
        <v>0</v>
      </c>
      <c r="K1110" s="24">
        <v>0</v>
      </c>
      <c r="L1110" s="41">
        <f>Table2[[#This Row],[Column1]]+Table2[[#This Row],[Column2]]</f>
        <v>0</v>
      </c>
      <c r="M1110" s="42">
        <f>Table2[[#This Row],[OnHandQty]]-Table2[[#This Row],[Projection Nov/Dec]]</f>
        <v>10</v>
      </c>
      <c r="N1110" s="35">
        <f>Table2[[#This Row],[OverStock]]*Table2[[#This Row],[RepCost]]</f>
        <v>1910.0430000000001</v>
      </c>
      <c r="O1110" s="25">
        <v>46128.305555555555</v>
      </c>
      <c r="P1110" s="26" t="s">
        <v>903</v>
      </c>
    </row>
    <row r="1111" spans="1:16" x14ac:dyDescent="0.25">
      <c r="A1111" s="20" t="s">
        <v>5211</v>
      </c>
      <c r="B1111" s="21">
        <v>636</v>
      </c>
      <c r="C1111" s="22" t="s">
        <v>323</v>
      </c>
      <c r="D1111" s="22" t="s">
        <v>1480</v>
      </c>
      <c r="E1111" s="22" t="str">
        <f>CONCATENATE(B1111,D1111)</f>
        <v>63676915-307</v>
      </c>
      <c r="F1111" s="22" t="s">
        <v>1481</v>
      </c>
      <c r="G1111" s="22" t="s">
        <v>19</v>
      </c>
      <c r="H1111" s="23">
        <v>344.98570000000001</v>
      </c>
      <c r="I1111" s="24">
        <v>6</v>
      </c>
      <c r="J1111" s="24">
        <v>0</v>
      </c>
      <c r="K1111" s="24">
        <v>0</v>
      </c>
      <c r="L1111" s="41">
        <f>Table2[[#This Row],[Column1]]+Table2[[#This Row],[Column2]]</f>
        <v>0</v>
      </c>
      <c r="M1111" s="42">
        <f>Table2[[#This Row],[OnHandQty]]-Table2[[#This Row],[Projection Nov/Dec]]</f>
        <v>6</v>
      </c>
      <c r="N1111" s="35">
        <f>Table2[[#This Row],[OverStock]]*Table2[[#This Row],[RepCost]]</f>
        <v>2069.9142000000002</v>
      </c>
      <c r="O1111" s="25">
        <v>46128.305555555555</v>
      </c>
      <c r="P1111" s="26" t="s">
        <v>903</v>
      </c>
    </row>
    <row r="1112" spans="1:16" x14ac:dyDescent="0.25">
      <c r="A1112" s="20" t="s">
        <v>5211</v>
      </c>
      <c r="B1112" s="21">
        <v>634</v>
      </c>
      <c r="C1112" s="22" t="s">
        <v>323</v>
      </c>
      <c r="D1112" s="22" t="s">
        <v>478</v>
      </c>
      <c r="E1112" s="22" t="str">
        <f>CONCATENATE(B1112,D1112)</f>
        <v>63467317-312</v>
      </c>
      <c r="F1112" s="22" t="s">
        <v>479</v>
      </c>
      <c r="G1112" s="22" t="s">
        <v>158</v>
      </c>
      <c r="H1112" s="23">
        <v>355.30709999999999</v>
      </c>
      <c r="I1112" s="24">
        <v>4</v>
      </c>
      <c r="J1112" s="24">
        <v>0</v>
      </c>
      <c r="K1112" s="24">
        <v>0</v>
      </c>
      <c r="L1112" s="41">
        <f>Table2[[#This Row],[Column1]]+Table2[[#This Row],[Column2]]</f>
        <v>0</v>
      </c>
      <c r="M1112" s="42">
        <f>Table2[[#This Row],[OnHandQty]]-Table2[[#This Row],[Projection Nov/Dec]]</f>
        <v>4</v>
      </c>
      <c r="N1112" s="35">
        <f>Table2[[#This Row],[OverStock]]*Table2[[#This Row],[RepCost]]</f>
        <v>1421.2284</v>
      </c>
      <c r="O1112" s="25">
        <v>46248.663888888892</v>
      </c>
      <c r="P1112" s="26" t="s">
        <v>151</v>
      </c>
    </row>
    <row r="1113" spans="1:16" x14ac:dyDescent="0.25">
      <c r="A1113" s="20" t="s">
        <v>5211</v>
      </c>
      <c r="B1113" s="21">
        <v>714</v>
      </c>
      <c r="C1113" s="22" t="s">
        <v>143</v>
      </c>
      <c r="D1113" s="22" t="s">
        <v>2669</v>
      </c>
      <c r="E1113" s="22" t="str">
        <f>CONCATENATE(B1113,D1113)</f>
        <v>71482875-2T105</v>
      </c>
      <c r="F1113" s="22" t="s">
        <v>2670</v>
      </c>
      <c r="G1113" s="22" t="s">
        <v>29</v>
      </c>
      <c r="H1113" s="23">
        <v>107.55200000000001</v>
      </c>
      <c r="I1113" s="24">
        <v>2</v>
      </c>
      <c r="J1113" s="24">
        <v>0</v>
      </c>
      <c r="K1113" s="24">
        <v>0</v>
      </c>
      <c r="L1113" s="41">
        <f>Table2[[#This Row],[Column1]]+Table2[[#This Row],[Column2]]</f>
        <v>0</v>
      </c>
      <c r="M1113" s="42">
        <f>Table2[[#This Row],[OnHandQty]]-Table2[[#This Row],[Projection Nov/Dec]]</f>
        <v>2</v>
      </c>
      <c r="N1113" s="35">
        <f>Table2[[#This Row],[OverStock]]*Table2[[#This Row],[RepCost]]</f>
        <v>215.10400000000001</v>
      </c>
      <c r="O1113" s="25">
        <v>46200.382638888892</v>
      </c>
      <c r="P1113" s="26" t="s">
        <v>1062</v>
      </c>
    </row>
    <row r="1114" spans="1:16" x14ac:dyDescent="0.25">
      <c r="A1114" s="20" t="s">
        <v>5211</v>
      </c>
      <c r="B1114" s="21">
        <v>714</v>
      </c>
      <c r="C1114" s="22" t="s">
        <v>143</v>
      </c>
      <c r="D1114" s="22" t="s">
        <v>2691</v>
      </c>
      <c r="E1114" s="22" t="str">
        <f>CONCATENATE(B1114,D1114)</f>
        <v>71482875-3T107PREM</v>
      </c>
      <c r="F1114" s="22" t="s">
        <v>2692</v>
      </c>
      <c r="G1114" s="22" t="s">
        <v>23</v>
      </c>
      <c r="H1114" s="23">
        <v>191.4836</v>
      </c>
      <c r="I1114" s="24">
        <v>5</v>
      </c>
      <c r="J1114" s="24">
        <v>2</v>
      </c>
      <c r="K1114" s="24">
        <v>0</v>
      </c>
      <c r="L1114" s="41">
        <f>Table2[[#This Row],[Column1]]+Table2[[#This Row],[Column2]]</f>
        <v>2</v>
      </c>
      <c r="M1114" s="42">
        <f>Table2[[#This Row],[OnHandQty]]-Table2[[#This Row],[Projection Nov/Dec]]</f>
        <v>3</v>
      </c>
      <c r="N1114" s="35">
        <f>Table2[[#This Row],[OverStock]]*Table2[[#This Row],[RepCost]]</f>
        <v>574.45079999999996</v>
      </c>
      <c r="O1114" s="25">
        <v>46149.429861111108</v>
      </c>
      <c r="P1114" s="26" t="s">
        <v>1062</v>
      </c>
    </row>
    <row r="1115" spans="1:16" x14ac:dyDescent="0.25">
      <c r="A1115" s="20" t="s">
        <v>5211</v>
      </c>
      <c r="B1115" s="21">
        <v>714</v>
      </c>
      <c r="C1115" s="22" t="s">
        <v>143</v>
      </c>
      <c r="D1115" s="22" t="s">
        <v>2543</v>
      </c>
      <c r="E1115" s="22" t="str">
        <f>CONCATENATE(B1115,D1115)</f>
        <v>71482875-SP110PREM</v>
      </c>
      <c r="F1115" s="22" t="s">
        <v>2544</v>
      </c>
      <c r="G1115" s="22" t="s">
        <v>23</v>
      </c>
      <c r="H1115" s="23">
        <v>186.40690000000001</v>
      </c>
      <c r="I1115" s="24">
        <v>3</v>
      </c>
      <c r="J1115" s="24">
        <v>0</v>
      </c>
      <c r="K1115" s="24">
        <v>0</v>
      </c>
      <c r="L1115" s="41">
        <f>Table2[[#This Row],[Column1]]+Table2[[#This Row],[Column2]]</f>
        <v>0</v>
      </c>
      <c r="M1115" s="42">
        <f>Table2[[#This Row],[OnHandQty]]-Table2[[#This Row],[Projection Nov/Dec]]</f>
        <v>3</v>
      </c>
      <c r="N1115" s="35">
        <f>Table2[[#This Row],[OverStock]]*Table2[[#This Row],[RepCost]]</f>
        <v>559.22070000000008</v>
      </c>
      <c r="O1115" s="25">
        <v>46165.331944444442</v>
      </c>
      <c r="P1115" s="26" t="s">
        <v>1062</v>
      </c>
    </row>
    <row r="1116" spans="1:16" x14ac:dyDescent="0.25">
      <c r="A1116" s="20" t="s">
        <v>5211</v>
      </c>
      <c r="B1116" s="21">
        <v>714</v>
      </c>
      <c r="C1116" s="22" t="s">
        <v>323</v>
      </c>
      <c r="D1116" s="22" t="s">
        <v>3290</v>
      </c>
      <c r="E1116" s="22" t="str">
        <f>CONCATENATE(B1116,D1116)</f>
        <v>71467320-306</v>
      </c>
      <c r="F1116" s="22" t="s">
        <v>3291</v>
      </c>
      <c r="G1116" s="22" t="s">
        <v>19</v>
      </c>
      <c r="H1116" s="23">
        <v>192.7217</v>
      </c>
      <c r="I1116" s="24">
        <v>10</v>
      </c>
      <c r="J1116" s="24">
        <v>9</v>
      </c>
      <c r="K1116" s="24">
        <v>0</v>
      </c>
      <c r="L1116" s="41">
        <f>Table2[[#This Row],[Column1]]+Table2[[#This Row],[Column2]]</f>
        <v>9</v>
      </c>
      <c r="M1116" s="42">
        <f>Table2[[#This Row],[OnHandQty]]-Table2[[#This Row],[Projection Nov/Dec]]</f>
        <v>1</v>
      </c>
      <c r="N1116" s="35">
        <f>Table2[[#This Row],[OverStock]]*Table2[[#This Row],[RepCost]]</f>
        <v>192.7217</v>
      </c>
      <c r="O1116" s="25">
        <v>46200.335416666669</v>
      </c>
      <c r="P1116" s="26" t="s">
        <v>151</v>
      </c>
    </row>
    <row r="1117" spans="1:16" x14ac:dyDescent="0.25">
      <c r="A1117" s="20" t="s">
        <v>5211</v>
      </c>
      <c r="B1117" s="21">
        <v>718</v>
      </c>
      <c r="C1117" s="22" t="s">
        <v>143</v>
      </c>
      <c r="D1117" s="22" t="s">
        <v>899</v>
      </c>
      <c r="E1117" s="22" t="str">
        <f>CONCATENATE(B1117,D1117)</f>
        <v>71877836-110</v>
      </c>
      <c r="F1117" s="22" t="s">
        <v>900</v>
      </c>
      <c r="G1117" s="22" t="s">
        <v>23</v>
      </c>
      <c r="H1117" s="23">
        <v>41.76</v>
      </c>
      <c r="I1117" s="24">
        <v>8</v>
      </c>
      <c r="J1117" s="24">
        <v>0</v>
      </c>
      <c r="K1117" s="24">
        <v>0</v>
      </c>
      <c r="L1117" s="41">
        <f>Table2[[#This Row],[Column1]]+Table2[[#This Row],[Column2]]</f>
        <v>0</v>
      </c>
      <c r="M1117" s="42">
        <f>Table2[[#This Row],[OnHandQty]]-Table2[[#This Row],[Projection Nov/Dec]]</f>
        <v>8</v>
      </c>
      <c r="N1117" s="35">
        <f>Table2[[#This Row],[OverStock]]*Table2[[#This Row],[RepCost]]</f>
        <v>334.08</v>
      </c>
      <c r="O1117" s="25">
        <v>46196.34375</v>
      </c>
      <c r="P1117" s="26" t="s">
        <v>2225</v>
      </c>
    </row>
    <row r="1118" spans="1:16" x14ac:dyDescent="0.25">
      <c r="A1118" s="20" t="s">
        <v>5211</v>
      </c>
      <c r="B1118" s="21">
        <v>718</v>
      </c>
      <c r="C1118" s="22" t="s">
        <v>143</v>
      </c>
      <c r="D1118" s="22" t="s">
        <v>2569</v>
      </c>
      <c r="E1118" s="22" t="str">
        <f>CONCATENATE(B1118,D1118)</f>
        <v>71877836-115</v>
      </c>
      <c r="F1118" s="22" t="s">
        <v>2570</v>
      </c>
      <c r="G1118" s="22" t="s">
        <v>23</v>
      </c>
      <c r="H1118" s="23">
        <v>56.870199999999997</v>
      </c>
      <c r="I1118" s="24">
        <v>1</v>
      </c>
      <c r="J1118" s="24">
        <v>0</v>
      </c>
      <c r="K1118" s="24">
        <v>0</v>
      </c>
      <c r="L1118" s="41">
        <f>Table2[[#This Row],[Column1]]+Table2[[#This Row],[Column2]]</f>
        <v>0</v>
      </c>
      <c r="M1118" s="42">
        <f>Table2[[#This Row],[OnHandQty]]-Table2[[#This Row],[Projection Nov/Dec]]</f>
        <v>1</v>
      </c>
      <c r="N1118" s="35">
        <f>Table2[[#This Row],[OverStock]]*Table2[[#This Row],[RepCost]]</f>
        <v>56.870199999999997</v>
      </c>
      <c r="O1118" s="25">
        <v>46154.724999999999</v>
      </c>
      <c r="P1118" s="26" t="s">
        <v>310</v>
      </c>
    </row>
    <row r="1119" spans="1:16" x14ac:dyDescent="0.25">
      <c r="A1119" s="20" t="s">
        <v>5211</v>
      </c>
      <c r="B1119" s="21">
        <v>714</v>
      </c>
      <c r="C1119" s="22" t="s">
        <v>143</v>
      </c>
      <c r="D1119" s="22" t="s">
        <v>2569</v>
      </c>
      <c r="E1119" s="22" t="str">
        <f>CONCATENATE(B1119,D1119)</f>
        <v>71477836-115</v>
      </c>
      <c r="F1119" s="22" t="s">
        <v>2570</v>
      </c>
      <c r="G1119" s="22" t="s">
        <v>23</v>
      </c>
      <c r="H1119" s="23">
        <v>54.036799999999999</v>
      </c>
      <c r="I1119" s="24">
        <v>4</v>
      </c>
      <c r="J1119" s="24">
        <v>0</v>
      </c>
      <c r="K1119" s="24">
        <v>0</v>
      </c>
      <c r="L1119" s="41">
        <f>Table2[[#This Row],[Column1]]+Table2[[#This Row],[Column2]]</f>
        <v>0</v>
      </c>
      <c r="M1119" s="42">
        <f>Table2[[#This Row],[OnHandQty]]-Table2[[#This Row],[Projection Nov/Dec]]</f>
        <v>4</v>
      </c>
      <c r="N1119" s="35">
        <f>Table2[[#This Row],[OverStock]]*Table2[[#This Row],[RepCost]]</f>
        <v>216.1472</v>
      </c>
      <c r="O1119" s="25">
        <v>46174.37777777778</v>
      </c>
      <c r="P1119" s="26" t="s">
        <v>310</v>
      </c>
    </row>
    <row r="1120" spans="1:16" x14ac:dyDescent="0.25">
      <c r="A1120" s="20" t="s">
        <v>5211</v>
      </c>
      <c r="B1120" s="21">
        <v>636</v>
      </c>
      <c r="C1120" s="22" t="s">
        <v>143</v>
      </c>
      <c r="D1120" s="22" t="s">
        <v>901</v>
      </c>
      <c r="E1120" s="22" t="str">
        <f>CONCATENATE(B1120,D1120)</f>
        <v>63677836-236</v>
      </c>
      <c r="F1120" s="22" t="s">
        <v>902</v>
      </c>
      <c r="G1120" s="22" t="s">
        <v>158</v>
      </c>
      <c r="H1120" s="23">
        <v>74.234200000000001</v>
      </c>
      <c r="I1120" s="24">
        <v>4</v>
      </c>
      <c r="J1120" s="24">
        <v>0</v>
      </c>
      <c r="K1120" s="24">
        <v>0</v>
      </c>
      <c r="L1120" s="41">
        <f>Table2[[#This Row],[Column1]]+Table2[[#This Row],[Column2]]</f>
        <v>0</v>
      </c>
      <c r="M1120" s="42">
        <f>Table2[[#This Row],[OnHandQty]]-Table2[[#This Row],[Projection Nov/Dec]]</f>
        <v>4</v>
      </c>
      <c r="N1120" s="35">
        <f>Table2[[#This Row],[OverStock]]*Table2[[#This Row],[RepCost]]</f>
        <v>296.93680000000001</v>
      </c>
      <c r="O1120" s="25">
        <v>46191.365277777775</v>
      </c>
      <c r="P1120" s="26" t="s">
        <v>903</v>
      </c>
    </row>
    <row r="1121" spans="1:16" x14ac:dyDescent="0.25">
      <c r="A1121" s="20" t="s">
        <v>5211</v>
      </c>
      <c r="B1121" s="21">
        <v>718</v>
      </c>
      <c r="C1121" s="22" t="s">
        <v>143</v>
      </c>
      <c r="D1121" s="22" t="s">
        <v>2539</v>
      </c>
      <c r="E1121" s="22" t="str">
        <f>CONCATENATE(B1121,D1121)</f>
        <v>71877836-242</v>
      </c>
      <c r="F1121" s="22" t="s">
        <v>2540</v>
      </c>
      <c r="G1121" s="22" t="s">
        <v>29</v>
      </c>
      <c r="H1121" s="23">
        <v>110.79510000000001</v>
      </c>
      <c r="I1121" s="24">
        <v>5</v>
      </c>
      <c r="J1121" s="24">
        <v>0</v>
      </c>
      <c r="K1121" s="24">
        <v>0</v>
      </c>
      <c r="L1121" s="41">
        <f>Table2[[#This Row],[Column1]]+Table2[[#This Row],[Column2]]</f>
        <v>0</v>
      </c>
      <c r="M1121" s="42">
        <f>Table2[[#This Row],[OnHandQty]]-Table2[[#This Row],[Projection Nov/Dec]]</f>
        <v>5</v>
      </c>
      <c r="N1121" s="35">
        <f>Table2[[#This Row],[OverStock]]*Table2[[#This Row],[RepCost]]</f>
        <v>553.97550000000001</v>
      </c>
      <c r="O1121" s="25">
        <v>44749.308333333334</v>
      </c>
      <c r="P1121" s="26" t="s">
        <v>903</v>
      </c>
    </row>
    <row r="1122" spans="1:16" x14ac:dyDescent="0.25">
      <c r="A1122" s="20" t="s">
        <v>5211</v>
      </c>
      <c r="B1122" s="21">
        <v>714</v>
      </c>
      <c r="C1122" s="22" t="s">
        <v>143</v>
      </c>
      <c r="D1122" s="22" t="s">
        <v>2539</v>
      </c>
      <c r="E1122" s="22" t="str">
        <f>CONCATENATE(B1122,D1122)</f>
        <v>71477836-242</v>
      </c>
      <c r="F1122" s="22" t="s">
        <v>2540</v>
      </c>
      <c r="G1122" s="22" t="s">
        <v>29</v>
      </c>
      <c r="H1122" s="23">
        <v>110.79510000000001</v>
      </c>
      <c r="I1122" s="24">
        <v>5</v>
      </c>
      <c r="J1122" s="24">
        <v>0</v>
      </c>
      <c r="K1122" s="24">
        <v>0</v>
      </c>
      <c r="L1122" s="41">
        <f>Table2[[#This Row],[Column1]]+Table2[[#This Row],[Column2]]</f>
        <v>0</v>
      </c>
      <c r="M1122" s="42">
        <f>Table2[[#This Row],[OnHandQty]]-Table2[[#This Row],[Projection Nov/Dec]]</f>
        <v>5</v>
      </c>
      <c r="N1122" s="35">
        <f>Table2[[#This Row],[OverStock]]*Table2[[#This Row],[RepCost]]</f>
        <v>553.97550000000001</v>
      </c>
      <c r="O1122" s="25">
        <v>46137.60833333333</v>
      </c>
      <c r="P1122" s="26" t="s">
        <v>2379</v>
      </c>
    </row>
    <row r="1123" spans="1:16" x14ac:dyDescent="0.25">
      <c r="A1123" s="20" t="s">
        <v>5211</v>
      </c>
      <c r="B1123" s="21">
        <v>636</v>
      </c>
      <c r="C1123" s="22" t="s">
        <v>143</v>
      </c>
      <c r="D1123" s="22" t="s">
        <v>1035</v>
      </c>
      <c r="E1123" s="22" t="str">
        <f>CONCATENATE(B1123,D1123)</f>
        <v>63677836-305</v>
      </c>
      <c r="F1123" s="22" t="s">
        <v>1036</v>
      </c>
      <c r="G1123" s="22" t="s">
        <v>158</v>
      </c>
      <c r="H1123" s="23">
        <v>192.2045</v>
      </c>
      <c r="I1123" s="24">
        <v>10</v>
      </c>
      <c r="J1123" s="24">
        <v>0</v>
      </c>
      <c r="K1123" s="24">
        <v>0</v>
      </c>
      <c r="L1123" s="41">
        <f>Table2[[#This Row],[Column1]]+Table2[[#This Row],[Column2]]</f>
        <v>0</v>
      </c>
      <c r="M1123" s="42">
        <f>Table2[[#This Row],[OnHandQty]]-Table2[[#This Row],[Projection Nov/Dec]]</f>
        <v>10</v>
      </c>
      <c r="N1123" s="35">
        <f>Table2[[#This Row],[OverStock]]*Table2[[#This Row],[RepCost]]</f>
        <v>1922.0450000000001</v>
      </c>
      <c r="O1123" s="25">
        <v>46142.486111111109</v>
      </c>
      <c r="P1123" s="26" t="s">
        <v>903</v>
      </c>
    </row>
    <row r="1124" spans="1:16" x14ac:dyDescent="0.25">
      <c r="A1124" s="20" t="s">
        <v>5211</v>
      </c>
      <c r="B1124" s="21">
        <v>636</v>
      </c>
      <c r="C1124" s="22" t="s">
        <v>143</v>
      </c>
      <c r="D1124" s="22" t="s">
        <v>285</v>
      </c>
      <c r="E1124" s="22" t="str">
        <f>CONCATENATE(B1124,D1124)</f>
        <v>63677836-105</v>
      </c>
      <c r="F1124" s="22" t="s">
        <v>286</v>
      </c>
      <c r="G1124" s="22" t="s">
        <v>23</v>
      </c>
      <c r="H1124" s="23">
        <v>27.072299999999998</v>
      </c>
      <c r="I1124" s="24">
        <v>6</v>
      </c>
      <c r="J1124" s="24">
        <v>0</v>
      </c>
      <c r="K1124" s="24">
        <v>0</v>
      </c>
      <c r="L1124" s="41">
        <f>Table2[[#This Row],[Column1]]+Table2[[#This Row],[Column2]]</f>
        <v>0</v>
      </c>
      <c r="M1124" s="42">
        <f>Table2[[#This Row],[OnHandQty]]-Table2[[#This Row],[Projection Nov/Dec]]</f>
        <v>6</v>
      </c>
      <c r="N1124" s="35">
        <f>Table2[[#This Row],[OverStock]]*Table2[[#This Row],[RepCost]]</f>
        <v>162.43379999999999</v>
      </c>
      <c r="O1124" s="25">
        <v>46132.306944444441</v>
      </c>
      <c r="P1124" s="26" t="s">
        <v>30</v>
      </c>
    </row>
    <row r="1125" spans="1:16" x14ac:dyDescent="0.25">
      <c r="A1125" s="20" t="s">
        <v>5211</v>
      </c>
      <c r="B1125" s="21">
        <v>714</v>
      </c>
      <c r="C1125" s="22" t="s">
        <v>143</v>
      </c>
      <c r="D1125" s="22" t="s">
        <v>2521</v>
      </c>
      <c r="E1125" s="22" t="str">
        <f>CONCATENATE(B1125,D1125)</f>
        <v>71467406-248</v>
      </c>
      <c r="F1125" s="22" t="s">
        <v>2522</v>
      </c>
      <c r="G1125" s="22" t="s">
        <v>19</v>
      </c>
      <c r="H1125" s="23">
        <v>139.1157</v>
      </c>
      <c r="I1125" s="24">
        <v>23</v>
      </c>
      <c r="J1125" s="24">
        <v>0</v>
      </c>
      <c r="K1125" s="24">
        <v>0</v>
      </c>
      <c r="L1125" s="41">
        <f>Table2[[#This Row],[Column1]]+Table2[[#This Row],[Column2]]</f>
        <v>0</v>
      </c>
      <c r="M1125" s="42">
        <f>Table2[[#This Row],[OnHandQty]]-Table2[[#This Row],[Projection Nov/Dec]]</f>
        <v>23</v>
      </c>
      <c r="N1125" s="35">
        <f>Table2[[#This Row],[OverStock]]*Table2[[#This Row],[RepCost]]</f>
        <v>3199.6611000000003</v>
      </c>
      <c r="O1125" s="25">
        <v>46191.602083333331</v>
      </c>
      <c r="P1125" s="26" t="s">
        <v>903</v>
      </c>
    </row>
    <row r="1126" spans="1:16" x14ac:dyDescent="0.25">
      <c r="A1126" s="20" t="s">
        <v>5211</v>
      </c>
      <c r="B1126" s="21">
        <v>636</v>
      </c>
      <c r="C1126" s="22" t="s">
        <v>143</v>
      </c>
      <c r="D1126" s="22" t="s">
        <v>1108</v>
      </c>
      <c r="E1126" s="22" t="str">
        <f>CONCATENATE(B1126,D1126)</f>
        <v>63667406-305</v>
      </c>
      <c r="F1126" s="22" t="s">
        <v>1109</v>
      </c>
      <c r="G1126" s="22" t="s">
        <v>23</v>
      </c>
      <c r="H1126" s="23">
        <v>172</v>
      </c>
      <c r="I1126" s="24">
        <v>3</v>
      </c>
      <c r="J1126" s="24">
        <v>0</v>
      </c>
      <c r="K1126" s="24">
        <v>0</v>
      </c>
      <c r="L1126" s="41">
        <f>Table2[[#This Row],[Column1]]+Table2[[#This Row],[Column2]]</f>
        <v>0</v>
      </c>
      <c r="M1126" s="42">
        <f>Table2[[#This Row],[OnHandQty]]-Table2[[#This Row],[Projection Nov/Dec]]</f>
        <v>3</v>
      </c>
      <c r="N1126" s="35">
        <f>Table2[[#This Row],[OverStock]]*Table2[[#This Row],[RepCost]]</f>
        <v>516</v>
      </c>
      <c r="O1126" s="25">
        <v>46142.313194444447</v>
      </c>
      <c r="P1126" s="26" t="s">
        <v>61</v>
      </c>
    </row>
    <row r="1127" spans="1:16" x14ac:dyDescent="0.25">
      <c r="A1127" s="20" t="s">
        <v>5211</v>
      </c>
      <c r="B1127" s="21">
        <v>634</v>
      </c>
      <c r="C1127" s="22" t="s">
        <v>143</v>
      </c>
      <c r="D1127" s="22" t="s">
        <v>283</v>
      </c>
      <c r="E1127" s="22" t="str">
        <f>CONCATENATE(B1127,D1127)</f>
        <v>63467406-105</v>
      </c>
      <c r="F1127" s="22" t="s">
        <v>284</v>
      </c>
      <c r="G1127" s="22" t="s">
        <v>112</v>
      </c>
      <c r="H1127" s="23">
        <v>35.908799999999999</v>
      </c>
      <c r="I1127" s="24">
        <v>4</v>
      </c>
      <c r="J1127" s="24">
        <v>0</v>
      </c>
      <c r="K1127" s="24">
        <v>0</v>
      </c>
      <c r="L1127" s="41">
        <f>Table2[[#This Row],[Column1]]+Table2[[#This Row],[Column2]]</f>
        <v>0</v>
      </c>
      <c r="M1127" s="42">
        <f>Table2[[#This Row],[OnHandQty]]-Table2[[#This Row],[Projection Nov/Dec]]</f>
        <v>4</v>
      </c>
      <c r="N1127" s="35">
        <f>Table2[[#This Row],[OverStock]]*Table2[[#This Row],[RepCost]]</f>
        <v>143.6352</v>
      </c>
      <c r="O1127" s="25">
        <v>46143.454861111109</v>
      </c>
      <c r="P1127" s="26" t="s">
        <v>40</v>
      </c>
    </row>
    <row r="1128" spans="1:16" x14ac:dyDescent="0.25">
      <c r="A1128" s="20" t="s">
        <v>5211</v>
      </c>
      <c r="B1128" s="21">
        <v>636</v>
      </c>
      <c r="C1128" s="22" t="s">
        <v>143</v>
      </c>
      <c r="D1128" s="22" t="s">
        <v>1025</v>
      </c>
      <c r="E1128" s="22" t="str">
        <f>CONCATENATE(B1128,D1128)</f>
        <v>63667407-236</v>
      </c>
      <c r="F1128" s="22" t="s">
        <v>1026</v>
      </c>
      <c r="G1128" s="22" t="s">
        <v>23</v>
      </c>
      <c r="H1128" s="23">
        <v>82.661299999999997</v>
      </c>
      <c r="I1128" s="24">
        <v>17</v>
      </c>
      <c r="J1128" s="24">
        <v>0</v>
      </c>
      <c r="K1128" s="24">
        <v>0</v>
      </c>
      <c r="L1128" s="41">
        <f>Table2[[#This Row],[Column1]]+Table2[[#This Row],[Column2]]</f>
        <v>0</v>
      </c>
      <c r="M1128" s="42">
        <f>Table2[[#This Row],[OnHandQty]]-Table2[[#This Row],[Projection Nov/Dec]]</f>
        <v>17</v>
      </c>
      <c r="N1128" s="35">
        <f>Table2[[#This Row],[OverStock]]*Table2[[#This Row],[RepCost]]</f>
        <v>1405.2420999999999</v>
      </c>
      <c r="O1128" s="25">
        <v>46191.365277777775</v>
      </c>
      <c r="P1128" s="26" t="s">
        <v>903</v>
      </c>
    </row>
    <row r="1129" spans="1:16" x14ac:dyDescent="0.25">
      <c r="A1129" s="20" t="s">
        <v>5211</v>
      </c>
      <c r="B1129" s="21">
        <v>634</v>
      </c>
      <c r="C1129" s="22" t="s">
        <v>143</v>
      </c>
      <c r="D1129" s="22" t="s">
        <v>223</v>
      </c>
      <c r="E1129" s="22" t="str">
        <f>CONCATENATE(B1129,D1129)</f>
        <v>63467407-248</v>
      </c>
      <c r="F1129" s="22" t="s">
        <v>224</v>
      </c>
      <c r="G1129" s="22" t="s">
        <v>158</v>
      </c>
      <c r="H1129" s="23">
        <v>187.82130000000001</v>
      </c>
      <c r="I1129" s="24">
        <v>1</v>
      </c>
      <c r="J1129" s="24">
        <v>0</v>
      </c>
      <c r="K1129" s="24">
        <v>0</v>
      </c>
      <c r="L1129" s="41">
        <f>Table2[[#This Row],[Column1]]+Table2[[#This Row],[Column2]]</f>
        <v>0</v>
      </c>
      <c r="M1129" s="42">
        <f>Table2[[#This Row],[OnHandQty]]-Table2[[#This Row],[Projection Nov/Dec]]</f>
        <v>1</v>
      </c>
      <c r="N1129" s="35">
        <f>Table2[[#This Row],[OverStock]]*Table2[[#This Row],[RepCost]]</f>
        <v>187.82130000000001</v>
      </c>
      <c r="O1129" s="25">
        <v>46170.463194444441</v>
      </c>
      <c r="P1129" s="26" t="s">
        <v>61</v>
      </c>
    </row>
    <row r="1130" spans="1:16" x14ac:dyDescent="0.25">
      <c r="A1130" s="20" t="s">
        <v>5211</v>
      </c>
      <c r="B1130" s="21">
        <v>636</v>
      </c>
      <c r="C1130" s="22" t="s">
        <v>143</v>
      </c>
      <c r="D1130" s="22" t="s">
        <v>223</v>
      </c>
      <c r="E1130" s="22" t="str">
        <f>CONCATENATE(B1130,D1130)</f>
        <v>63667407-248</v>
      </c>
      <c r="F1130" s="22" t="s">
        <v>224</v>
      </c>
      <c r="G1130" s="22" t="s">
        <v>158</v>
      </c>
      <c r="H1130" s="23">
        <v>140.03280000000001</v>
      </c>
      <c r="I1130" s="24">
        <v>6</v>
      </c>
      <c r="J1130" s="24">
        <v>0</v>
      </c>
      <c r="K1130" s="24">
        <v>0</v>
      </c>
      <c r="L1130" s="41">
        <f>Table2[[#This Row],[Column1]]+Table2[[#This Row],[Column2]]</f>
        <v>0</v>
      </c>
      <c r="M1130" s="42">
        <f>Table2[[#This Row],[OnHandQty]]-Table2[[#This Row],[Projection Nov/Dec]]</f>
        <v>6</v>
      </c>
      <c r="N1130" s="35">
        <f>Table2[[#This Row],[OverStock]]*Table2[[#This Row],[RepCost]]</f>
        <v>840.19680000000005</v>
      </c>
      <c r="O1130" s="25">
        <v>46191.365277777775</v>
      </c>
      <c r="P1130" s="26" t="s">
        <v>903</v>
      </c>
    </row>
    <row r="1131" spans="1:16" x14ac:dyDescent="0.25">
      <c r="A1131" s="20" t="s">
        <v>5211</v>
      </c>
      <c r="B1131" s="21">
        <v>714</v>
      </c>
      <c r="C1131" s="22" t="s">
        <v>143</v>
      </c>
      <c r="D1131" s="22" t="s">
        <v>223</v>
      </c>
      <c r="E1131" s="22" t="str">
        <f>CONCATENATE(B1131,D1131)</f>
        <v>71467407-248</v>
      </c>
      <c r="F1131" s="22" t="s">
        <v>224</v>
      </c>
      <c r="G1131" s="22" t="s">
        <v>19</v>
      </c>
      <c r="H1131" s="23">
        <v>139.1157</v>
      </c>
      <c r="I1131" s="24">
        <v>14</v>
      </c>
      <c r="J1131" s="24">
        <v>0</v>
      </c>
      <c r="K1131" s="24">
        <v>0</v>
      </c>
      <c r="L1131" s="41">
        <f>Table2[[#This Row],[Column1]]+Table2[[#This Row],[Column2]]</f>
        <v>0</v>
      </c>
      <c r="M1131" s="42">
        <f>Table2[[#This Row],[OnHandQty]]-Table2[[#This Row],[Projection Nov/Dec]]</f>
        <v>14</v>
      </c>
      <c r="N1131" s="35">
        <f>Table2[[#This Row],[OverStock]]*Table2[[#This Row],[RepCost]]</f>
        <v>1947.6197999999999</v>
      </c>
      <c r="O1131" s="25">
        <v>46191.602083333331</v>
      </c>
      <c r="P1131" s="26" t="s">
        <v>903</v>
      </c>
    </row>
    <row r="1132" spans="1:16" x14ac:dyDescent="0.25">
      <c r="A1132" s="20" t="s">
        <v>5211</v>
      </c>
      <c r="B1132" s="21">
        <v>634</v>
      </c>
      <c r="C1132" s="22" t="s">
        <v>143</v>
      </c>
      <c r="D1132" s="22" t="s">
        <v>191</v>
      </c>
      <c r="E1132" s="22" t="str">
        <f>CONCATENATE(B1132,D1132)</f>
        <v>63467407-305</v>
      </c>
      <c r="F1132" s="22" t="s">
        <v>192</v>
      </c>
      <c r="G1132" s="22" t="s">
        <v>29</v>
      </c>
      <c r="H1132" s="23">
        <v>244.73679999999999</v>
      </c>
      <c r="I1132" s="24">
        <v>5</v>
      </c>
      <c r="J1132" s="24">
        <v>0</v>
      </c>
      <c r="K1132" s="24">
        <v>0</v>
      </c>
      <c r="L1132" s="41">
        <f>Table2[[#This Row],[Column1]]+Table2[[#This Row],[Column2]]</f>
        <v>0</v>
      </c>
      <c r="M1132" s="42">
        <f>Table2[[#This Row],[OnHandQty]]-Table2[[#This Row],[Projection Nov/Dec]]</f>
        <v>5</v>
      </c>
      <c r="N1132" s="35">
        <f>Table2[[#This Row],[OverStock]]*Table2[[#This Row],[RepCost]]</f>
        <v>1223.684</v>
      </c>
      <c r="O1132" s="25">
        <v>46170.463194444441</v>
      </c>
      <c r="P1132" s="26" t="s">
        <v>61</v>
      </c>
    </row>
    <row r="1133" spans="1:16" x14ac:dyDescent="0.25">
      <c r="A1133" s="20" t="s">
        <v>5211</v>
      </c>
      <c r="B1133" s="21">
        <v>636</v>
      </c>
      <c r="C1133" s="22" t="s">
        <v>143</v>
      </c>
      <c r="D1133" s="22" t="s">
        <v>972</v>
      </c>
      <c r="E1133" s="22" t="str">
        <f>CONCATENATE(B1133,D1133)</f>
        <v>63667407-105</v>
      </c>
      <c r="F1133" s="22" t="s">
        <v>973</v>
      </c>
      <c r="G1133" s="22" t="s">
        <v>23</v>
      </c>
      <c r="H1133" s="23">
        <v>27.072299999999998</v>
      </c>
      <c r="I1133" s="24">
        <v>8</v>
      </c>
      <c r="J1133" s="24">
        <v>5</v>
      </c>
      <c r="K1133" s="24">
        <v>0</v>
      </c>
      <c r="L1133" s="41">
        <f>Table2[[#This Row],[Column1]]+Table2[[#This Row],[Column2]]</f>
        <v>5</v>
      </c>
      <c r="M1133" s="42">
        <f>Table2[[#This Row],[OnHandQty]]-Table2[[#This Row],[Projection Nov/Dec]]</f>
        <v>3</v>
      </c>
      <c r="N1133" s="35">
        <f>Table2[[#This Row],[OverStock]]*Table2[[#This Row],[RepCost]]</f>
        <v>81.216899999999995</v>
      </c>
      <c r="O1133" s="25">
        <v>46132.306944444441</v>
      </c>
      <c r="P1133" s="26" t="s">
        <v>30</v>
      </c>
    </row>
    <row r="1134" spans="1:16" x14ac:dyDescent="0.25">
      <c r="A1134" s="20" t="s">
        <v>5211</v>
      </c>
      <c r="B1134" s="21">
        <v>636</v>
      </c>
      <c r="C1134" s="22" t="s">
        <v>143</v>
      </c>
      <c r="D1134" s="22" t="s">
        <v>1165</v>
      </c>
      <c r="E1134" s="22" t="str">
        <f>CONCATENATE(B1134,D1134)</f>
        <v>63667407-306</v>
      </c>
      <c r="F1134" s="22" t="s">
        <v>1166</v>
      </c>
      <c r="G1134" s="22" t="s">
        <v>158</v>
      </c>
      <c r="H1134" s="23">
        <v>325.55579999999998</v>
      </c>
      <c r="I1134" s="24">
        <v>3</v>
      </c>
      <c r="J1134" s="24">
        <v>0</v>
      </c>
      <c r="K1134" s="24">
        <v>0</v>
      </c>
      <c r="L1134" s="41">
        <f>Table2[[#This Row],[Column1]]+Table2[[#This Row],[Column2]]</f>
        <v>0</v>
      </c>
      <c r="M1134" s="42">
        <f>Table2[[#This Row],[OnHandQty]]-Table2[[#This Row],[Projection Nov/Dec]]</f>
        <v>3</v>
      </c>
      <c r="N1134" s="35">
        <f>Table2[[#This Row],[OverStock]]*Table2[[#This Row],[RepCost]]</f>
        <v>976.66739999999993</v>
      </c>
      <c r="O1134" s="25">
        <v>45756.427777777775</v>
      </c>
      <c r="P1134" s="26" t="s">
        <v>61</v>
      </c>
    </row>
    <row r="1135" spans="1:16" x14ac:dyDescent="0.25">
      <c r="A1135" s="20" t="s">
        <v>5211</v>
      </c>
      <c r="B1135" s="21">
        <v>636</v>
      </c>
      <c r="C1135" s="22" t="s">
        <v>143</v>
      </c>
      <c r="D1135" s="22" t="s">
        <v>974</v>
      </c>
      <c r="E1135" s="22" t="str">
        <f>CONCATENATE(B1135,D1135)</f>
        <v>63667407-107</v>
      </c>
      <c r="F1135" s="22" t="s">
        <v>975</v>
      </c>
      <c r="G1135" s="22" t="s">
        <v>23</v>
      </c>
      <c r="H1135" s="23">
        <v>30.3841</v>
      </c>
      <c r="I1135" s="24">
        <v>3</v>
      </c>
      <c r="J1135" s="24">
        <v>1</v>
      </c>
      <c r="K1135" s="24">
        <v>0</v>
      </c>
      <c r="L1135" s="41">
        <f>Table2[[#This Row],[Column1]]+Table2[[#This Row],[Column2]]</f>
        <v>1</v>
      </c>
      <c r="M1135" s="42">
        <f>Table2[[#This Row],[OnHandQty]]-Table2[[#This Row],[Projection Nov/Dec]]</f>
        <v>2</v>
      </c>
      <c r="N1135" s="35">
        <f>Table2[[#This Row],[OverStock]]*Table2[[#This Row],[RepCost]]</f>
        <v>60.7682</v>
      </c>
      <c r="O1135" s="25">
        <v>46127.302777777775</v>
      </c>
      <c r="P1135" s="26" t="s">
        <v>162</v>
      </c>
    </row>
    <row r="1136" spans="1:16" x14ac:dyDescent="0.25">
      <c r="A1136" s="20" t="s">
        <v>5211</v>
      </c>
      <c r="B1136" s="21">
        <v>714</v>
      </c>
      <c r="C1136" s="22" t="s">
        <v>323</v>
      </c>
      <c r="D1136" s="22" t="s">
        <v>2879</v>
      </c>
      <c r="E1136" s="22" t="str">
        <f>CONCATENATE(B1136,D1136)</f>
        <v>71467325-305</v>
      </c>
      <c r="F1136" s="22" t="s">
        <v>2880</v>
      </c>
      <c r="G1136" s="22" t="s">
        <v>29</v>
      </c>
      <c r="H1136" s="23">
        <v>127.7658</v>
      </c>
      <c r="I1136" s="24">
        <v>7</v>
      </c>
      <c r="J1136" s="24">
        <v>0</v>
      </c>
      <c r="K1136" s="24">
        <v>0</v>
      </c>
      <c r="L1136" s="41">
        <f>Table2[[#This Row],[Column1]]+Table2[[#This Row],[Column2]]</f>
        <v>0</v>
      </c>
      <c r="M1136" s="42">
        <f>Table2[[#This Row],[OnHandQty]]-Table2[[#This Row],[Projection Nov/Dec]]</f>
        <v>7</v>
      </c>
      <c r="N1136" s="35">
        <f>Table2[[#This Row],[OverStock]]*Table2[[#This Row],[RepCost]]</f>
        <v>894.36059999999998</v>
      </c>
      <c r="O1136" s="25">
        <v>46189.518750000003</v>
      </c>
      <c r="P1136" s="26" t="s">
        <v>2271</v>
      </c>
    </row>
    <row r="1137" spans="1:16" x14ac:dyDescent="0.25">
      <c r="A1137" s="20" t="s">
        <v>5211</v>
      </c>
      <c r="B1137" s="21">
        <v>718</v>
      </c>
      <c r="C1137" s="22" t="s">
        <v>323</v>
      </c>
      <c r="D1137" s="22" t="s">
        <v>3877</v>
      </c>
      <c r="E1137" s="22" t="str">
        <f>CONCATENATE(B1137,D1137)</f>
        <v>71877841-110</v>
      </c>
      <c r="F1137" s="22" t="s">
        <v>3878</v>
      </c>
      <c r="G1137" s="22" t="s">
        <v>19</v>
      </c>
      <c r="H1137" s="23">
        <v>78.392099999999999</v>
      </c>
      <c r="I1137" s="24">
        <v>5</v>
      </c>
      <c r="J1137" s="24">
        <v>0</v>
      </c>
      <c r="K1137" s="24">
        <v>0</v>
      </c>
      <c r="L1137" s="41">
        <f>Table2[[#This Row],[Column1]]+Table2[[#This Row],[Column2]]</f>
        <v>0</v>
      </c>
      <c r="M1137" s="42">
        <f>Table2[[#This Row],[OnHandQty]]-Table2[[#This Row],[Projection Nov/Dec]]</f>
        <v>5</v>
      </c>
      <c r="N1137" s="35">
        <f>Table2[[#This Row],[OverStock]]*Table2[[#This Row],[RepCost]]</f>
        <v>391.96050000000002</v>
      </c>
      <c r="O1137" s="25">
        <v>46188.697222222225</v>
      </c>
      <c r="P1137" s="26" t="s">
        <v>1062</v>
      </c>
    </row>
    <row r="1138" spans="1:16" x14ac:dyDescent="0.25">
      <c r="A1138" s="20" t="s">
        <v>5211</v>
      </c>
      <c r="B1138" s="21">
        <v>714</v>
      </c>
      <c r="C1138" s="22" t="s">
        <v>323</v>
      </c>
      <c r="D1138" s="22" t="s">
        <v>1247</v>
      </c>
      <c r="E1138" s="22" t="str">
        <f>CONCATENATE(B1138,D1138)</f>
        <v>71477841-306</v>
      </c>
      <c r="F1138" s="22" t="s">
        <v>1248</v>
      </c>
      <c r="G1138" s="22" t="s">
        <v>19</v>
      </c>
      <c r="H1138" s="23">
        <v>159.8638</v>
      </c>
      <c r="I1138" s="24">
        <v>5</v>
      </c>
      <c r="J1138" s="24">
        <v>0</v>
      </c>
      <c r="K1138" s="24">
        <v>0</v>
      </c>
      <c r="L1138" s="41">
        <f>Table2[[#This Row],[Column1]]+Table2[[#This Row],[Column2]]</f>
        <v>0</v>
      </c>
      <c r="M1138" s="42">
        <f>Table2[[#This Row],[OnHandQty]]-Table2[[#This Row],[Projection Nov/Dec]]</f>
        <v>5</v>
      </c>
      <c r="N1138" s="35">
        <f>Table2[[#This Row],[OverStock]]*Table2[[#This Row],[RepCost]]</f>
        <v>799.31899999999996</v>
      </c>
      <c r="O1138" s="25">
        <v>46189.518750000003</v>
      </c>
      <c r="P1138" s="26" t="s">
        <v>2271</v>
      </c>
    </row>
    <row r="1139" spans="1:16" x14ac:dyDescent="0.25">
      <c r="A1139" s="20" t="s">
        <v>5211</v>
      </c>
      <c r="B1139" s="21">
        <v>636</v>
      </c>
      <c r="C1139" s="22" t="s">
        <v>323</v>
      </c>
      <c r="D1139" s="22" t="s">
        <v>1247</v>
      </c>
      <c r="E1139" s="22" t="str">
        <f>CONCATENATE(B1139,D1139)</f>
        <v>63677841-306</v>
      </c>
      <c r="F1139" s="22" t="s">
        <v>1248</v>
      </c>
      <c r="G1139" s="22" t="s">
        <v>23</v>
      </c>
      <c r="H1139" s="23">
        <v>168.40799999999999</v>
      </c>
      <c r="I1139" s="24">
        <v>1</v>
      </c>
      <c r="J1139" s="24">
        <v>0</v>
      </c>
      <c r="K1139" s="24">
        <v>0</v>
      </c>
      <c r="L1139" s="41">
        <f>Table2[[#This Row],[Column1]]+Table2[[#This Row],[Column2]]</f>
        <v>0</v>
      </c>
      <c r="M1139" s="42">
        <f>Table2[[#This Row],[OnHandQty]]-Table2[[#This Row],[Projection Nov/Dec]]</f>
        <v>1</v>
      </c>
      <c r="N1139" s="35">
        <f>Table2[[#This Row],[OverStock]]*Table2[[#This Row],[RepCost]]</f>
        <v>168.40799999999999</v>
      </c>
      <c r="O1139" s="25">
        <v>46225.477083333331</v>
      </c>
      <c r="P1139" s="26" t="s">
        <v>402</v>
      </c>
    </row>
    <row r="1140" spans="1:16" x14ac:dyDescent="0.25">
      <c r="A1140" s="20" t="s">
        <v>5211</v>
      </c>
      <c r="B1140" s="21">
        <v>634</v>
      </c>
      <c r="C1140" s="22" t="s">
        <v>323</v>
      </c>
      <c r="D1140" s="22" t="s">
        <v>367</v>
      </c>
      <c r="E1140" s="22" t="str">
        <f>CONCATENATE(B1140,D1140)</f>
        <v>63477841-307</v>
      </c>
      <c r="F1140" s="22" t="s">
        <v>368</v>
      </c>
      <c r="G1140" s="22" t="s">
        <v>158</v>
      </c>
      <c r="H1140" s="23">
        <v>218.41130000000001</v>
      </c>
      <c r="I1140" s="24">
        <v>10</v>
      </c>
      <c r="J1140" s="24">
        <v>0</v>
      </c>
      <c r="K1140" s="24">
        <v>3</v>
      </c>
      <c r="L1140" s="41">
        <f>Table2[[#This Row],[Column1]]+Table2[[#This Row],[Column2]]</f>
        <v>3</v>
      </c>
      <c r="M1140" s="42">
        <f>Table2[[#This Row],[OnHandQty]]-Table2[[#This Row],[Projection Nov/Dec]]</f>
        <v>7</v>
      </c>
      <c r="N1140" s="35">
        <f>Table2[[#This Row],[OverStock]]*Table2[[#This Row],[RepCost]]</f>
        <v>1528.8791000000001</v>
      </c>
      <c r="O1140" s="25">
        <v>46209.655555555553</v>
      </c>
      <c r="P1140" s="26" t="s">
        <v>151</v>
      </c>
    </row>
    <row r="1141" spans="1:16" x14ac:dyDescent="0.25">
      <c r="A1141" s="20" t="s">
        <v>5211</v>
      </c>
      <c r="B1141" s="21">
        <v>714</v>
      </c>
      <c r="C1141" s="22" t="s">
        <v>143</v>
      </c>
      <c r="D1141" s="22" t="s">
        <v>2264</v>
      </c>
      <c r="E1141" s="22" t="str">
        <f>CONCATENATE(B1141,D1141)</f>
        <v>71477858-115</v>
      </c>
      <c r="F1141" s="22" t="s">
        <v>2265</v>
      </c>
      <c r="G1141" s="22" t="s">
        <v>29</v>
      </c>
      <c r="H1141" s="23">
        <v>98.150300000000001</v>
      </c>
      <c r="I1141" s="24">
        <v>4</v>
      </c>
      <c r="J1141" s="24">
        <v>0</v>
      </c>
      <c r="K1141" s="24">
        <v>0</v>
      </c>
      <c r="L1141" s="41">
        <f>Table2[[#This Row],[Column1]]+Table2[[#This Row],[Column2]]</f>
        <v>0</v>
      </c>
      <c r="M1141" s="42">
        <f>Table2[[#This Row],[OnHandQty]]-Table2[[#This Row],[Projection Nov/Dec]]</f>
        <v>4</v>
      </c>
      <c r="N1141" s="35">
        <f>Table2[[#This Row],[OverStock]]*Table2[[#This Row],[RepCost]]</f>
        <v>392.60120000000001</v>
      </c>
      <c r="O1141" s="25">
        <v>46241.401388888888</v>
      </c>
      <c r="P1141" s="26" t="s">
        <v>175</v>
      </c>
    </row>
    <row r="1142" spans="1:16" x14ac:dyDescent="0.25">
      <c r="A1142" s="20" t="s">
        <v>5211</v>
      </c>
      <c r="B1142" s="21">
        <v>714</v>
      </c>
      <c r="C1142" s="22" t="s">
        <v>70</v>
      </c>
      <c r="D1142" s="22" t="s">
        <v>2005</v>
      </c>
      <c r="E1142" s="22" t="str">
        <f>CONCATENATE(B1142,D1142)</f>
        <v>71482981-1001</v>
      </c>
      <c r="F1142" s="22" t="s">
        <v>2006</v>
      </c>
      <c r="G1142" s="22" t="s">
        <v>43</v>
      </c>
      <c r="H1142" s="23">
        <v>17.936599999999999</v>
      </c>
      <c r="I1142" s="24">
        <v>1</v>
      </c>
      <c r="J1142" s="24">
        <v>0</v>
      </c>
      <c r="K1142" s="24">
        <v>0</v>
      </c>
      <c r="L1142" s="41">
        <f>Table2[[#This Row],[Column1]]+Table2[[#This Row],[Column2]]</f>
        <v>0</v>
      </c>
      <c r="M1142" s="42">
        <f>Table2[[#This Row],[OnHandQty]]-Table2[[#This Row],[Projection Nov/Dec]]</f>
        <v>1</v>
      </c>
      <c r="N1142" s="35">
        <f>Table2[[#This Row],[OverStock]]*Table2[[#This Row],[RepCost]]</f>
        <v>17.936599999999999</v>
      </c>
      <c r="O1142" s="25">
        <v>46181.625694444447</v>
      </c>
      <c r="P1142" s="26" t="s">
        <v>2007</v>
      </c>
    </row>
    <row r="1143" spans="1:16" x14ac:dyDescent="0.25">
      <c r="A1143" s="20" t="s">
        <v>5211</v>
      </c>
      <c r="B1143" s="21">
        <v>714</v>
      </c>
      <c r="C1143" s="22" t="s">
        <v>70</v>
      </c>
      <c r="D1143" s="22" t="s">
        <v>2095</v>
      </c>
      <c r="E1143" s="22" t="str">
        <f>CONCATENATE(B1143,D1143)</f>
        <v>71467644-101</v>
      </c>
      <c r="F1143" s="22" t="s">
        <v>2096</v>
      </c>
      <c r="G1143" s="22" t="s">
        <v>29</v>
      </c>
      <c r="H1143" s="23">
        <v>6.3117999999999999</v>
      </c>
      <c r="I1143" s="24">
        <v>13</v>
      </c>
      <c r="J1143" s="24">
        <v>0</v>
      </c>
      <c r="K1143" s="24">
        <v>0</v>
      </c>
      <c r="L1143" s="41">
        <f>Table2[[#This Row],[Column1]]+Table2[[#This Row],[Column2]]</f>
        <v>0</v>
      </c>
      <c r="M1143" s="42">
        <f>Table2[[#This Row],[OnHandQty]]-Table2[[#This Row],[Projection Nov/Dec]]</f>
        <v>13</v>
      </c>
      <c r="N1143" s="35">
        <f>Table2[[#This Row],[OverStock]]*Table2[[#This Row],[RepCost]]</f>
        <v>82.053399999999996</v>
      </c>
      <c r="O1143" s="25">
        <v>46155.599305555559</v>
      </c>
      <c r="P1143" s="26" t="s">
        <v>878</v>
      </c>
    </row>
    <row r="1144" spans="1:16" x14ac:dyDescent="0.25">
      <c r="A1144" s="20" t="s">
        <v>5211</v>
      </c>
      <c r="B1144" s="21">
        <v>714</v>
      </c>
      <c r="C1144" s="22" t="s">
        <v>70</v>
      </c>
      <c r="D1144" s="22" t="s">
        <v>2003</v>
      </c>
      <c r="E1144" s="22" t="str">
        <f>CONCATENATE(B1144,D1144)</f>
        <v>71487661-102</v>
      </c>
      <c r="F1144" s="22" t="s">
        <v>2004</v>
      </c>
      <c r="G1144" s="22" t="s">
        <v>39</v>
      </c>
      <c r="H1144" s="23">
        <v>11.4337</v>
      </c>
      <c r="I1144" s="24">
        <v>25</v>
      </c>
      <c r="J1144" s="24">
        <v>0</v>
      </c>
      <c r="K1144" s="24">
        <v>0</v>
      </c>
      <c r="L1144" s="41">
        <f>Table2[[#This Row],[Column1]]+Table2[[#This Row],[Column2]]</f>
        <v>0</v>
      </c>
      <c r="M1144" s="42">
        <f>Table2[[#This Row],[OnHandQty]]-Table2[[#This Row],[Projection Nov/Dec]]</f>
        <v>25</v>
      </c>
      <c r="N1144" s="35">
        <f>Table2[[#This Row],[OverStock]]*Table2[[#This Row],[RepCost]]</f>
        <v>285.84249999999997</v>
      </c>
      <c r="O1144" s="25">
        <v>46198.40902777778</v>
      </c>
      <c r="P1144" s="26" t="s">
        <v>573</v>
      </c>
    </row>
    <row r="1145" spans="1:16" x14ac:dyDescent="0.25">
      <c r="A1145" s="20" t="s">
        <v>5211</v>
      </c>
      <c r="B1145" s="21">
        <v>636</v>
      </c>
      <c r="C1145" s="22" t="s">
        <v>70</v>
      </c>
      <c r="D1145" s="22" t="s">
        <v>716</v>
      </c>
      <c r="E1145" s="22" t="str">
        <f>CONCATENATE(B1145,D1145)</f>
        <v>63667692-101</v>
      </c>
      <c r="F1145" s="22" t="s">
        <v>717</v>
      </c>
      <c r="G1145" s="22" t="s">
        <v>29</v>
      </c>
      <c r="H1145" s="23">
        <v>8.1361000000000008</v>
      </c>
      <c r="I1145" s="24">
        <v>1</v>
      </c>
      <c r="J1145" s="24">
        <v>0</v>
      </c>
      <c r="K1145" s="24">
        <v>0</v>
      </c>
      <c r="L1145" s="41">
        <f>Table2[[#This Row],[Column1]]+Table2[[#This Row],[Column2]]</f>
        <v>0</v>
      </c>
      <c r="M1145" s="42">
        <f>Table2[[#This Row],[OnHandQty]]-Table2[[#This Row],[Projection Nov/Dec]]</f>
        <v>1</v>
      </c>
      <c r="N1145" s="35">
        <f>Table2[[#This Row],[OverStock]]*Table2[[#This Row],[RepCost]]</f>
        <v>8.1361000000000008</v>
      </c>
      <c r="O1145" s="25">
        <v>46140.380555555559</v>
      </c>
      <c r="P1145" s="26" t="s">
        <v>16</v>
      </c>
    </row>
    <row r="1146" spans="1:16" x14ac:dyDescent="0.25">
      <c r="A1146" s="20" t="s">
        <v>5211</v>
      </c>
      <c r="B1146" s="21">
        <v>636</v>
      </c>
      <c r="C1146" s="22" t="s">
        <v>70</v>
      </c>
      <c r="D1146" s="22" t="s">
        <v>791</v>
      </c>
      <c r="E1146" s="22" t="str">
        <f>CONCATENATE(B1146,D1146)</f>
        <v>63696791-101</v>
      </c>
      <c r="F1146" s="22" t="s">
        <v>792</v>
      </c>
      <c r="G1146" s="22" t="s">
        <v>29</v>
      </c>
      <c r="H1146" s="23">
        <v>6.2728999999999999</v>
      </c>
      <c r="I1146" s="24">
        <v>10</v>
      </c>
      <c r="J1146" s="24">
        <v>0</v>
      </c>
      <c r="K1146" s="24">
        <v>0</v>
      </c>
      <c r="L1146" s="41">
        <f>Table2[[#This Row],[Column1]]+Table2[[#This Row],[Column2]]</f>
        <v>0</v>
      </c>
      <c r="M1146" s="42">
        <f>Table2[[#This Row],[OnHandQty]]-Table2[[#This Row],[Projection Nov/Dec]]</f>
        <v>10</v>
      </c>
      <c r="N1146" s="35">
        <f>Table2[[#This Row],[OverStock]]*Table2[[#This Row],[RepCost]]</f>
        <v>62.728999999999999</v>
      </c>
      <c r="O1146" s="25">
        <v>46105.411111111112</v>
      </c>
      <c r="P1146" s="26" t="s">
        <v>16</v>
      </c>
    </row>
    <row r="1147" spans="1:16" x14ac:dyDescent="0.25">
      <c r="A1147" s="20" t="s">
        <v>5211</v>
      </c>
      <c r="B1147" s="21">
        <v>714</v>
      </c>
      <c r="C1147" s="22" t="s">
        <v>70</v>
      </c>
      <c r="D1147" s="22" t="s">
        <v>2121</v>
      </c>
      <c r="E1147" s="22" t="str">
        <f>CONCATENATE(B1147,D1147)</f>
        <v>71467768-102</v>
      </c>
      <c r="F1147" s="22" t="s">
        <v>2122</v>
      </c>
      <c r="G1147" s="22" t="s">
        <v>39</v>
      </c>
      <c r="H1147" s="23">
        <v>9.0134000000000007</v>
      </c>
      <c r="I1147" s="24">
        <v>9</v>
      </c>
      <c r="J1147" s="24">
        <v>0</v>
      </c>
      <c r="K1147" s="24">
        <v>0</v>
      </c>
      <c r="L1147" s="41">
        <f>Table2[[#This Row],[Column1]]+Table2[[#This Row],[Column2]]</f>
        <v>0</v>
      </c>
      <c r="M1147" s="42">
        <f>Table2[[#This Row],[OnHandQty]]-Table2[[#This Row],[Projection Nov/Dec]]</f>
        <v>9</v>
      </c>
      <c r="N1147" s="35">
        <f>Table2[[#This Row],[OverStock]]*Table2[[#This Row],[RepCost]]</f>
        <v>81.12060000000001</v>
      </c>
      <c r="O1147" s="25">
        <v>46176.375</v>
      </c>
      <c r="P1147" s="26" t="s">
        <v>40</v>
      </c>
    </row>
    <row r="1148" spans="1:16" x14ac:dyDescent="0.25">
      <c r="A1148" s="20" t="s">
        <v>5211</v>
      </c>
      <c r="B1148" s="21">
        <v>714</v>
      </c>
      <c r="C1148" s="22" t="s">
        <v>70</v>
      </c>
      <c r="D1148" s="22" t="s">
        <v>1981</v>
      </c>
      <c r="E1148" s="22" t="str">
        <f>CONCATENATE(B1148,D1148)</f>
        <v>71467768-SP4</v>
      </c>
      <c r="F1148" s="22" t="s">
        <v>1982</v>
      </c>
      <c r="G1148" s="22" t="s">
        <v>29</v>
      </c>
      <c r="H1148" s="23">
        <v>5.6185999999999998</v>
      </c>
      <c r="I1148" s="24">
        <v>18</v>
      </c>
      <c r="J1148" s="24">
        <v>0</v>
      </c>
      <c r="K1148" s="24">
        <v>0</v>
      </c>
      <c r="L1148" s="41">
        <f>Table2[[#This Row],[Column1]]+Table2[[#This Row],[Column2]]</f>
        <v>0</v>
      </c>
      <c r="M1148" s="42">
        <f>Table2[[#This Row],[OnHandQty]]-Table2[[#This Row],[Projection Nov/Dec]]</f>
        <v>18</v>
      </c>
      <c r="N1148" s="35">
        <f>Table2[[#This Row],[OverStock]]*Table2[[#This Row],[RepCost]]</f>
        <v>101.1348</v>
      </c>
      <c r="O1148" s="25">
        <v>46120.630555555559</v>
      </c>
      <c r="P1148" s="26" t="s">
        <v>44</v>
      </c>
    </row>
    <row r="1149" spans="1:16" x14ac:dyDescent="0.25">
      <c r="A1149" s="20" t="s">
        <v>5211</v>
      </c>
      <c r="B1149" s="21">
        <v>636</v>
      </c>
      <c r="C1149" s="22" t="s">
        <v>70</v>
      </c>
      <c r="D1149" s="22" t="s">
        <v>682</v>
      </c>
      <c r="E1149" s="22" t="str">
        <f>CONCATENATE(B1149,D1149)</f>
        <v>63690666-101</v>
      </c>
      <c r="F1149" s="22" t="s">
        <v>683</v>
      </c>
      <c r="G1149" s="22" t="s">
        <v>29</v>
      </c>
      <c r="H1149" s="23">
        <v>10.066700000000001</v>
      </c>
      <c r="I1149" s="24">
        <v>9</v>
      </c>
      <c r="J1149" s="24">
        <v>0</v>
      </c>
      <c r="K1149" s="24">
        <v>0</v>
      </c>
      <c r="L1149" s="41">
        <f>Table2[[#This Row],[Column1]]+Table2[[#This Row],[Column2]]</f>
        <v>0</v>
      </c>
      <c r="M1149" s="42">
        <f>Table2[[#This Row],[OnHandQty]]-Table2[[#This Row],[Projection Nov/Dec]]</f>
        <v>9</v>
      </c>
      <c r="N1149" s="35">
        <f>Table2[[#This Row],[OverStock]]*Table2[[#This Row],[RepCost]]</f>
        <v>90.600300000000004</v>
      </c>
      <c r="O1149" s="25">
        <v>46171.48541666667</v>
      </c>
      <c r="P1149" s="26" t="s">
        <v>16</v>
      </c>
    </row>
    <row r="1150" spans="1:16" x14ac:dyDescent="0.25">
      <c r="A1150" s="20" t="s">
        <v>5211</v>
      </c>
      <c r="B1150" s="21">
        <v>718</v>
      </c>
      <c r="C1150" s="22" t="s">
        <v>70</v>
      </c>
      <c r="D1150" s="22" t="s">
        <v>682</v>
      </c>
      <c r="E1150" s="22" t="str">
        <f>CONCATENATE(B1150,D1150)</f>
        <v>71890666-101</v>
      </c>
      <c r="F1150" s="22" t="s">
        <v>683</v>
      </c>
      <c r="G1150" s="22" t="s">
        <v>29</v>
      </c>
      <c r="H1150" s="23">
        <v>7.1074999999999999</v>
      </c>
      <c r="I1150" s="24">
        <v>10</v>
      </c>
      <c r="J1150" s="24">
        <v>0</v>
      </c>
      <c r="K1150" s="24">
        <v>0</v>
      </c>
      <c r="L1150" s="41">
        <f>Table2[[#This Row],[Column1]]+Table2[[#This Row],[Column2]]</f>
        <v>0</v>
      </c>
      <c r="M1150" s="42">
        <f>Table2[[#This Row],[OnHandQty]]-Table2[[#This Row],[Projection Nov/Dec]]</f>
        <v>10</v>
      </c>
      <c r="N1150" s="35">
        <f>Table2[[#This Row],[OverStock]]*Table2[[#This Row],[RepCost]]</f>
        <v>71.075000000000003</v>
      </c>
      <c r="O1150" s="25">
        <v>46212.438888888886</v>
      </c>
      <c r="P1150" s="26" t="s">
        <v>40</v>
      </c>
    </row>
    <row r="1151" spans="1:16" x14ac:dyDescent="0.25">
      <c r="A1151" s="20" t="s">
        <v>5211</v>
      </c>
      <c r="B1151" s="21">
        <v>714</v>
      </c>
      <c r="C1151" s="22" t="s">
        <v>12</v>
      </c>
      <c r="D1151" s="22" t="s">
        <v>1941</v>
      </c>
      <c r="E1151" s="22" t="str">
        <f>CONCATENATE(B1151,D1151)</f>
        <v>71478194-SP4</v>
      </c>
      <c r="F1151" s="22" t="s">
        <v>1942</v>
      </c>
      <c r="G1151" s="22" t="s">
        <v>29</v>
      </c>
      <c r="H1151" s="23">
        <v>3.27</v>
      </c>
      <c r="I1151" s="24">
        <v>8</v>
      </c>
      <c r="J1151" s="24">
        <v>0</v>
      </c>
      <c r="K1151" s="24">
        <v>0</v>
      </c>
      <c r="L1151" s="41">
        <f>Table2[[#This Row],[Column1]]+Table2[[#This Row],[Column2]]</f>
        <v>0</v>
      </c>
      <c r="M1151" s="42">
        <f>Table2[[#This Row],[OnHandQty]]-Table2[[#This Row],[Projection Nov/Dec]]</f>
        <v>8</v>
      </c>
      <c r="N1151" s="35">
        <f>Table2[[#This Row],[OverStock]]*Table2[[#This Row],[RepCost]]</f>
        <v>26.16</v>
      </c>
      <c r="O1151" s="25">
        <v>46150.495138888888</v>
      </c>
      <c r="P1151" s="26" t="s">
        <v>522</v>
      </c>
    </row>
    <row r="1152" spans="1:16" x14ac:dyDescent="0.25">
      <c r="A1152" s="20" t="s">
        <v>5211</v>
      </c>
      <c r="B1152" s="21">
        <v>714</v>
      </c>
      <c r="C1152" s="22" t="s">
        <v>143</v>
      </c>
      <c r="D1152" s="22" t="s">
        <v>2598</v>
      </c>
      <c r="E1152" s="22" t="str">
        <f>CONCATENATE(B1152,D1152)</f>
        <v>71491995-103</v>
      </c>
      <c r="F1152" s="22" t="s">
        <v>2599</v>
      </c>
      <c r="G1152" s="22" t="s">
        <v>29</v>
      </c>
      <c r="H1152" s="23">
        <v>16.199100000000001</v>
      </c>
      <c r="I1152" s="24">
        <v>22</v>
      </c>
      <c r="J1152" s="24">
        <v>0</v>
      </c>
      <c r="K1152" s="24">
        <v>0</v>
      </c>
      <c r="L1152" s="41">
        <f>Table2[[#This Row],[Column1]]+Table2[[#This Row],[Column2]]</f>
        <v>0</v>
      </c>
      <c r="M1152" s="42">
        <f>Table2[[#This Row],[OnHandQty]]-Table2[[#This Row],[Projection Nov/Dec]]</f>
        <v>22</v>
      </c>
      <c r="N1152" s="35">
        <f>Table2[[#This Row],[OverStock]]*Table2[[#This Row],[RepCost]]</f>
        <v>356.38020000000006</v>
      </c>
      <c r="O1152" s="25">
        <v>46188.35</v>
      </c>
      <c r="P1152" s="26" t="s">
        <v>26</v>
      </c>
    </row>
    <row r="1153" spans="1:16" x14ac:dyDescent="0.25">
      <c r="A1153" s="20" t="s">
        <v>5211</v>
      </c>
      <c r="B1153" s="21">
        <v>718</v>
      </c>
      <c r="C1153" s="22" t="s">
        <v>143</v>
      </c>
      <c r="D1153" s="22" t="s">
        <v>2598</v>
      </c>
      <c r="E1153" s="22" t="str">
        <f>CONCATENATE(B1153,D1153)</f>
        <v>71891995-103</v>
      </c>
      <c r="F1153" s="22" t="s">
        <v>2599</v>
      </c>
      <c r="G1153" s="22" t="s">
        <v>29</v>
      </c>
      <c r="H1153" s="23">
        <v>16.495699999999999</v>
      </c>
      <c r="I1153" s="24">
        <v>54</v>
      </c>
      <c r="J1153" s="24">
        <v>0</v>
      </c>
      <c r="K1153" s="24">
        <v>0</v>
      </c>
      <c r="L1153" s="41">
        <f>Table2[[#This Row],[Column1]]+Table2[[#This Row],[Column2]]</f>
        <v>0</v>
      </c>
      <c r="M1153" s="42">
        <f>Table2[[#This Row],[OnHandQty]]-Table2[[#This Row],[Projection Nov/Dec]]</f>
        <v>54</v>
      </c>
      <c r="N1153" s="35">
        <f>Table2[[#This Row],[OverStock]]*Table2[[#This Row],[RepCost]]</f>
        <v>890.76779999999997</v>
      </c>
      <c r="O1153" s="25">
        <v>46199.635416666664</v>
      </c>
      <c r="P1153" s="26" t="s">
        <v>26</v>
      </c>
    </row>
    <row r="1154" spans="1:16" x14ac:dyDescent="0.25">
      <c r="A1154" s="20" t="s">
        <v>5211</v>
      </c>
      <c r="B1154" s="21">
        <v>718</v>
      </c>
      <c r="C1154" s="22" t="s">
        <v>143</v>
      </c>
      <c r="D1154" s="22" t="s">
        <v>3713</v>
      </c>
      <c r="E1154" s="22" t="str">
        <f>CONCATENATE(B1154,D1154)</f>
        <v>71874869-103</v>
      </c>
      <c r="F1154" s="22" t="s">
        <v>3714</v>
      </c>
      <c r="G1154" s="22" t="s">
        <v>19</v>
      </c>
      <c r="H1154" s="23">
        <v>19.282499999999999</v>
      </c>
      <c r="I1154" s="24">
        <v>40</v>
      </c>
      <c r="J1154" s="24">
        <v>0</v>
      </c>
      <c r="K1154" s="24">
        <v>0</v>
      </c>
      <c r="L1154" s="41">
        <f>Table2[[#This Row],[Column1]]+Table2[[#This Row],[Column2]]</f>
        <v>0</v>
      </c>
      <c r="M1154" s="42">
        <f>Table2[[#This Row],[OnHandQty]]-Table2[[#This Row],[Projection Nov/Dec]]</f>
        <v>40</v>
      </c>
      <c r="N1154" s="35">
        <f>Table2[[#This Row],[OverStock]]*Table2[[#This Row],[RepCost]]</f>
        <v>771.3</v>
      </c>
      <c r="O1154" s="25">
        <v>46183.404861111114</v>
      </c>
      <c r="P1154" s="26" t="s">
        <v>40</v>
      </c>
    </row>
    <row r="1155" spans="1:16" x14ac:dyDescent="0.25">
      <c r="A1155" s="20" t="s">
        <v>5211</v>
      </c>
      <c r="B1155" s="21">
        <v>714</v>
      </c>
      <c r="C1155" s="22" t="s">
        <v>1749</v>
      </c>
      <c r="D1155" s="22" t="s">
        <v>3546</v>
      </c>
      <c r="E1155" s="22" t="str">
        <f>CONCATENATE(B1155,D1155)</f>
        <v>71467790-103</v>
      </c>
      <c r="F1155" s="22" t="s">
        <v>3547</v>
      </c>
      <c r="G1155" s="22" t="s">
        <v>39</v>
      </c>
      <c r="H1155" s="23">
        <v>23.8432</v>
      </c>
      <c r="I1155" s="24">
        <v>1</v>
      </c>
      <c r="J1155" s="24">
        <v>0</v>
      </c>
      <c r="K1155" s="24">
        <v>0</v>
      </c>
      <c r="L1155" s="41">
        <f>Table2[[#This Row],[Column1]]+Table2[[#This Row],[Column2]]</f>
        <v>0</v>
      </c>
      <c r="M1155" s="42">
        <f>Table2[[#This Row],[OnHandQty]]-Table2[[#This Row],[Projection Nov/Dec]]</f>
        <v>1</v>
      </c>
      <c r="N1155" s="35">
        <f>Table2[[#This Row],[OverStock]]*Table2[[#This Row],[RepCost]]</f>
        <v>23.8432</v>
      </c>
      <c r="O1155" s="25">
        <v>46140.479166666664</v>
      </c>
      <c r="P1155" s="26" t="s">
        <v>1841</v>
      </c>
    </row>
    <row r="1156" spans="1:16" x14ac:dyDescent="0.25">
      <c r="A1156" s="20" t="s">
        <v>5211</v>
      </c>
      <c r="B1156" s="21">
        <v>636</v>
      </c>
      <c r="C1156" s="22" t="s">
        <v>12</v>
      </c>
      <c r="D1156" s="22" t="s">
        <v>523</v>
      </c>
      <c r="E1156" s="22" t="str">
        <f>CONCATENATE(B1156,D1156)</f>
        <v>63674877-101</v>
      </c>
      <c r="F1156" s="22" t="s">
        <v>524</v>
      </c>
      <c r="G1156" s="22" t="s">
        <v>29</v>
      </c>
      <c r="H1156" s="23">
        <v>4.9005999999999998</v>
      </c>
      <c r="I1156" s="24">
        <v>3</v>
      </c>
      <c r="J1156" s="24">
        <v>0</v>
      </c>
      <c r="K1156" s="24">
        <v>0</v>
      </c>
      <c r="L1156" s="41">
        <f>Table2[[#This Row],[Column1]]+Table2[[#This Row],[Column2]]</f>
        <v>0</v>
      </c>
      <c r="M1156" s="42">
        <f>Table2[[#This Row],[OnHandQty]]-Table2[[#This Row],[Projection Nov/Dec]]</f>
        <v>3</v>
      </c>
      <c r="N1156" s="35">
        <f>Table2[[#This Row],[OverStock]]*Table2[[#This Row],[RepCost]]</f>
        <v>14.701799999999999</v>
      </c>
      <c r="O1156" s="25">
        <v>46163.495138888888</v>
      </c>
      <c r="P1156" s="26" t="s">
        <v>509</v>
      </c>
    </row>
    <row r="1157" spans="1:16" x14ac:dyDescent="0.25">
      <c r="A1157" s="20" t="s">
        <v>5211</v>
      </c>
      <c r="B1157" s="21">
        <v>718</v>
      </c>
      <c r="C1157" s="22" t="s">
        <v>126</v>
      </c>
      <c r="D1157" s="22" t="s">
        <v>3701</v>
      </c>
      <c r="E1157" s="22" t="str">
        <f>CONCATENATE(B1157,D1157)</f>
        <v>71881936-PF4PFO</v>
      </c>
      <c r="F1157" s="22" t="s">
        <v>3702</v>
      </c>
      <c r="G1157" s="22" t="s">
        <v>112</v>
      </c>
      <c r="H1157" s="23">
        <v>7.2240000000000002</v>
      </c>
      <c r="I1157" s="24">
        <v>29</v>
      </c>
      <c r="J1157" s="24">
        <v>0</v>
      </c>
      <c r="K1157" s="24">
        <v>0</v>
      </c>
      <c r="L1157" s="41">
        <f>Table2[[#This Row],[Column1]]+Table2[[#This Row],[Column2]]</f>
        <v>0</v>
      </c>
      <c r="M1157" s="42">
        <f>Table2[[#This Row],[OnHandQty]]-Table2[[#This Row],[Projection Nov/Dec]]</f>
        <v>29</v>
      </c>
      <c r="N1157" s="35">
        <f>Table2[[#This Row],[OverStock]]*Table2[[#This Row],[RepCost]]</f>
        <v>209.49600000000001</v>
      </c>
      <c r="O1157" s="25">
        <v>46185.338888888888</v>
      </c>
      <c r="P1157" s="26" t="s">
        <v>16</v>
      </c>
    </row>
    <row r="1158" spans="1:16" x14ac:dyDescent="0.25">
      <c r="A1158" s="20" t="s">
        <v>5211</v>
      </c>
      <c r="B1158" s="21">
        <v>718</v>
      </c>
      <c r="C1158" s="22" t="s">
        <v>323</v>
      </c>
      <c r="D1158" s="22" t="s">
        <v>3839</v>
      </c>
      <c r="E1158" s="22" t="str">
        <f>CONCATENATE(B1158,D1158)</f>
        <v>71875653-305</v>
      </c>
      <c r="F1158" s="22" t="s">
        <v>3840</v>
      </c>
      <c r="G1158" s="22" t="s">
        <v>29</v>
      </c>
      <c r="H1158" s="23">
        <v>111.0369</v>
      </c>
      <c r="I1158" s="24">
        <v>4</v>
      </c>
      <c r="J1158" s="24">
        <v>0</v>
      </c>
      <c r="K1158" s="24">
        <v>0</v>
      </c>
      <c r="L1158" s="41">
        <f>Table2[[#This Row],[Column1]]+Table2[[#This Row],[Column2]]</f>
        <v>0</v>
      </c>
      <c r="M1158" s="42">
        <f>Table2[[#This Row],[OnHandQty]]-Table2[[#This Row],[Projection Nov/Dec]]</f>
        <v>4</v>
      </c>
      <c r="N1158" s="35">
        <f>Table2[[#This Row],[OverStock]]*Table2[[#This Row],[RepCost]]</f>
        <v>444.14760000000001</v>
      </c>
      <c r="O1158" s="25">
        <v>45768.57708333333</v>
      </c>
      <c r="P1158" s="26" t="s">
        <v>137</v>
      </c>
    </row>
    <row r="1159" spans="1:16" x14ac:dyDescent="0.25">
      <c r="A1159" s="20" t="s">
        <v>5211</v>
      </c>
      <c r="B1159" s="21">
        <v>718</v>
      </c>
      <c r="C1159" s="22" t="s">
        <v>323</v>
      </c>
      <c r="D1159" s="22" t="s">
        <v>3958</v>
      </c>
      <c r="E1159" s="22" t="str">
        <f>CONCATENATE(B1159,D1159)</f>
        <v>71875653-SP105</v>
      </c>
      <c r="F1159" s="22" t="s">
        <v>3959</v>
      </c>
      <c r="G1159" s="22" t="s">
        <v>29</v>
      </c>
      <c r="H1159" s="23">
        <v>111.3368</v>
      </c>
      <c r="I1159" s="24">
        <v>1</v>
      </c>
      <c r="J1159" s="24">
        <v>0</v>
      </c>
      <c r="K1159" s="24">
        <v>0</v>
      </c>
      <c r="L1159" s="41">
        <f>Table2[[#This Row],[Column1]]+Table2[[#This Row],[Column2]]</f>
        <v>0</v>
      </c>
      <c r="M1159" s="42">
        <f>Table2[[#This Row],[OnHandQty]]-Table2[[#This Row],[Projection Nov/Dec]]</f>
        <v>1</v>
      </c>
      <c r="N1159" s="35">
        <f>Table2[[#This Row],[OverStock]]*Table2[[#This Row],[RepCost]]</f>
        <v>111.3368</v>
      </c>
      <c r="O1159" s="25">
        <v>46147.688194444447</v>
      </c>
      <c r="P1159" s="26" t="s">
        <v>2066</v>
      </c>
    </row>
    <row r="1160" spans="1:16" x14ac:dyDescent="0.25">
      <c r="A1160" s="20" t="s">
        <v>5211</v>
      </c>
      <c r="B1160" s="21">
        <v>636</v>
      </c>
      <c r="C1160" s="22" t="s">
        <v>323</v>
      </c>
      <c r="D1160" s="22" t="s">
        <v>487</v>
      </c>
      <c r="E1160" s="22" t="str">
        <f>CONCATENATE(B1160,D1160)</f>
        <v>63677882-310</v>
      </c>
      <c r="F1160" s="22" t="s">
        <v>488</v>
      </c>
      <c r="G1160" s="22" t="s">
        <v>29</v>
      </c>
      <c r="H1160" s="23">
        <v>176.9811</v>
      </c>
      <c r="I1160" s="24">
        <v>4</v>
      </c>
      <c r="J1160" s="24">
        <v>0</v>
      </c>
      <c r="K1160" s="24">
        <v>0</v>
      </c>
      <c r="L1160" s="41">
        <f>Table2[[#This Row],[Column1]]+Table2[[#This Row],[Column2]]</f>
        <v>0</v>
      </c>
      <c r="M1160" s="42">
        <f>Table2[[#This Row],[OnHandQty]]-Table2[[#This Row],[Projection Nov/Dec]]</f>
        <v>4</v>
      </c>
      <c r="N1160" s="35">
        <f>Table2[[#This Row],[OverStock]]*Table2[[#This Row],[RepCost]]</f>
        <v>707.92439999999999</v>
      </c>
      <c r="O1160" s="25">
        <v>46120.484027777777</v>
      </c>
      <c r="P1160" s="26" t="s">
        <v>354</v>
      </c>
    </row>
    <row r="1161" spans="1:16" x14ac:dyDescent="0.25">
      <c r="A1161" s="20" t="s">
        <v>5211</v>
      </c>
      <c r="B1161" s="21">
        <v>634</v>
      </c>
      <c r="C1161" s="22" t="s">
        <v>323</v>
      </c>
      <c r="D1161" s="22" t="s">
        <v>487</v>
      </c>
      <c r="E1161" s="22" t="str">
        <f>CONCATENATE(B1161,D1161)</f>
        <v>63477882-310</v>
      </c>
      <c r="F1161" s="22" t="s">
        <v>488</v>
      </c>
      <c r="G1161" s="22" t="s">
        <v>29</v>
      </c>
      <c r="H1161" s="23">
        <v>180.48570000000001</v>
      </c>
      <c r="I1161" s="24">
        <v>10</v>
      </c>
      <c r="J1161" s="24">
        <v>0</v>
      </c>
      <c r="K1161" s="24">
        <v>0</v>
      </c>
      <c r="L1161" s="41">
        <f>Table2[[#This Row],[Column1]]+Table2[[#This Row],[Column2]]</f>
        <v>0</v>
      </c>
      <c r="M1161" s="42">
        <f>Table2[[#This Row],[OnHandQty]]-Table2[[#This Row],[Projection Nov/Dec]]</f>
        <v>10</v>
      </c>
      <c r="N1161" s="35">
        <f>Table2[[#This Row],[OverStock]]*Table2[[#This Row],[RepCost]]</f>
        <v>1804.857</v>
      </c>
      <c r="O1161" s="25">
        <v>46122.515277777777</v>
      </c>
      <c r="P1161" s="26" t="s">
        <v>354</v>
      </c>
    </row>
    <row r="1162" spans="1:16" x14ac:dyDescent="0.25">
      <c r="A1162" s="20" t="s">
        <v>5211</v>
      </c>
      <c r="B1162" s="21">
        <v>636</v>
      </c>
      <c r="C1162" s="22" t="s">
        <v>323</v>
      </c>
      <c r="D1162" s="22" t="s">
        <v>1367</v>
      </c>
      <c r="E1162" s="22" t="str">
        <f>CONCATENATE(B1162,D1162)</f>
        <v>63677882-115</v>
      </c>
      <c r="F1162" s="22" t="s">
        <v>1368</v>
      </c>
      <c r="G1162" s="22" t="s">
        <v>158</v>
      </c>
      <c r="H1162" s="23">
        <v>74.7804</v>
      </c>
      <c r="I1162" s="24">
        <v>5</v>
      </c>
      <c r="J1162" s="24">
        <v>0</v>
      </c>
      <c r="K1162" s="24">
        <v>0</v>
      </c>
      <c r="L1162" s="41">
        <f>Table2[[#This Row],[Column1]]+Table2[[#This Row],[Column2]]</f>
        <v>0</v>
      </c>
      <c r="M1162" s="42">
        <f>Table2[[#This Row],[OnHandQty]]-Table2[[#This Row],[Projection Nov/Dec]]</f>
        <v>5</v>
      </c>
      <c r="N1162" s="35">
        <f>Table2[[#This Row],[OverStock]]*Table2[[#This Row],[RepCost]]</f>
        <v>373.90199999999999</v>
      </c>
      <c r="O1162" s="25">
        <v>46199.425694444442</v>
      </c>
      <c r="P1162" s="26" t="s">
        <v>1154</v>
      </c>
    </row>
    <row r="1163" spans="1:16" x14ac:dyDescent="0.25">
      <c r="A1163" s="20" t="s">
        <v>5211</v>
      </c>
      <c r="B1163" s="21">
        <v>714</v>
      </c>
      <c r="C1163" s="22" t="s">
        <v>323</v>
      </c>
      <c r="D1163" s="22" t="s">
        <v>2918</v>
      </c>
      <c r="E1163" s="22" t="str">
        <f>CONCATENATE(B1163,D1163)</f>
        <v>71477882-2T105</v>
      </c>
      <c r="F1163" s="22" t="s">
        <v>2919</v>
      </c>
      <c r="G1163" s="22" t="s">
        <v>29</v>
      </c>
      <c r="H1163" s="23">
        <v>94.956599999999995</v>
      </c>
      <c r="I1163" s="24">
        <v>3</v>
      </c>
      <c r="J1163" s="24">
        <v>1</v>
      </c>
      <c r="K1163" s="24">
        <v>0</v>
      </c>
      <c r="L1163" s="41">
        <f>Table2[[#This Row],[Column1]]+Table2[[#This Row],[Column2]]</f>
        <v>1</v>
      </c>
      <c r="M1163" s="42">
        <f>Table2[[#This Row],[OnHandQty]]-Table2[[#This Row],[Projection Nov/Dec]]</f>
        <v>2</v>
      </c>
      <c r="N1163" s="35">
        <f>Table2[[#This Row],[OverStock]]*Table2[[#This Row],[RepCost]]</f>
        <v>189.91319999999999</v>
      </c>
      <c r="O1163" s="25">
        <v>45793.530555555553</v>
      </c>
      <c r="P1163" s="26" t="s">
        <v>1062</v>
      </c>
    </row>
    <row r="1164" spans="1:16" x14ac:dyDescent="0.25">
      <c r="A1164" s="20" t="s">
        <v>5211</v>
      </c>
      <c r="B1164" s="21">
        <v>714</v>
      </c>
      <c r="C1164" s="22" t="s">
        <v>323</v>
      </c>
      <c r="D1164" s="22" t="s">
        <v>2926</v>
      </c>
      <c r="E1164" s="22" t="str">
        <f>CONCATENATE(B1164,D1164)</f>
        <v>71477882-3T107MON</v>
      </c>
      <c r="F1164" s="27" t="s">
        <v>2927</v>
      </c>
      <c r="G1164" s="27" t="s">
        <v>58</v>
      </c>
      <c r="H1164" s="23">
        <v>171.05119999999999</v>
      </c>
      <c r="I1164" s="24">
        <v>2</v>
      </c>
      <c r="J1164" s="24">
        <v>0</v>
      </c>
      <c r="K1164" s="24">
        <v>0</v>
      </c>
      <c r="L1164" s="41">
        <f>Table2[[#This Row],[Column1]]+Table2[[#This Row],[Column2]]</f>
        <v>0</v>
      </c>
      <c r="M1164" s="42">
        <f>Table2[[#This Row],[OnHandQty]]-Table2[[#This Row],[Projection Nov/Dec]]</f>
        <v>2</v>
      </c>
      <c r="N1164" s="35">
        <f>Table2[[#This Row],[OverStock]]*Table2[[#This Row],[RepCost]]</f>
        <v>342.10239999999999</v>
      </c>
      <c r="O1164" s="25">
        <v>45811.341666666667</v>
      </c>
      <c r="P1164" s="26" t="s">
        <v>1062</v>
      </c>
    </row>
    <row r="1165" spans="1:16" x14ac:dyDescent="0.25">
      <c r="A1165" s="20" t="s">
        <v>5211</v>
      </c>
      <c r="B1165" s="21">
        <v>714</v>
      </c>
      <c r="C1165" s="22" t="s">
        <v>323</v>
      </c>
      <c r="D1165" s="22" t="s">
        <v>3018</v>
      </c>
      <c r="E1165" s="22" t="str">
        <f>CONCATENATE(B1165,D1165)</f>
        <v>71477882-306</v>
      </c>
      <c r="F1165" s="27" t="s">
        <v>3019</v>
      </c>
      <c r="G1165" s="27" t="s">
        <v>58</v>
      </c>
      <c r="H1165" s="23">
        <v>139.03989999999999</v>
      </c>
      <c r="I1165" s="24">
        <v>2</v>
      </c>
      <c r="J1165" s="24">
        <v>0</v>
      </c>
      <c r="K1165" s="24">
        <v>0</v>
      </c>
      <c r="L1165" s="41">
        <f>Table2[[#This Row],[Column1]]+Table2[[#This Row],[Column2]]</f>
        <v>0</v>
      </c>
      <c r="M1165" s="42">
        <f>Table2[[#This Row],[OnHandQty]]-Table2[[#This Row],[Projection Nov/Dec]]</f>
        <v>2</v>
      </c>
      <c r="N1165" s="35">
        <f>Table2[[#This Row],[OverStock]]*Table2[[#This Row],[RepCost]]</f>
        <v>278.07979999999998</v>
      </c>
      <c r="O1165" s="25">
        <v>45017.467361111114</v>
      </c>
      <c r="P1165" s="26" t="s">
        <v>903</v>
      </c>
    </row>
    <row r="1166" spans="1:16" x14ac:dyDescent="0.25">
      <c r="A1166" s="20" t="s">
        <v>5211</v>
      </c>
      <c r="B1166" s="21">
        <v>714</v>
      </c>
      <c r="C1166" s="22" t="s">
        <v>323</v>
      </c>
      <c r="D1166" s="22" t="s">
        <v>2933</v>
      </c>
      <c r="E1166" s="22" t="str">
        <f>CONCATENATE(B1166,D1166)</f>
        <v>71477882-115PREM</v>
      </c>
      <c r="F1166" s="22" t="s">
        <v>2934</v>
      </c>
      <c r="G1166" s="22" t="s">
        <v>19</v>
      </c>
      <c r="H1166" s="23">
        <v>151.61689999999999</v>
      </c>
      <c r="I1166" s="24">
        <v>9</v>
      </c>
      <c r="J1166" s="24">
        <v>1</v>
      </c>
      <c r="K1166" s="24">
        <v>0</v>
      </c>
      <c r="L1166" s="41">
        <f>Table2[[#This Row],[Column1]]+Table2[[#This Row],[Column2]]</f>
        <v>1</v>
      </c>
      <c r="M1166" s="42">
        <f>Table2[[#This Row],[OnHandQty]]-Table2[[#This Row],[Projection Nov/Dec]]</f>
        <v>8</v>
      </c>
      <c r="N1166" s="35">
        <f>Table2[[#This Row],[OverStock]]*Table2[[#This Row],[RepCost]]</f>
        <v>1212.9351999999999</v>
      </c>
      <c r="O1166" s="25">
        <v>46165.331944444442</v>
      </c>
      <c r="P1166" s="26" t="s">
        <v>1062</v>
      </c>
    </row>
    <row r="1167" spans="1:16" x14ac:dyDescent="0.25">
      <c r="A1167" s="20" t="s">
        <v>5211</v>
      </c>
      <c r="B1167" s="21">
        <v>718</v>
      </c>
      <c r="C1167" s="22" t="s">
        <v>323</v>
      </c>
      <c r="D1167" s="22" t="s">
        <v>3372</v>
      </c>
      <c r="E1167" s="22" t="str">
        <f>CONCATENATE(B1167,D1167)</f>
        <v>71877882-107PREM</v>
      </c>
      <c r="F1167" s="22" t="s">
        <v>3373</v>
      </c>
      <c r="G1167" s="22" t="s">
        <v>29</v>
      </c>
      <c r="H1167" s="23">
        <v>92.393100000000004</v>
      </c>
      <c r="I1167" s="24">
        <v>3</v>
      </c>
      <c r="J1167" s="24">
        <v>0</v>
      </c>
      <c r="K1167" s="24">
        <v>0</v>
      </c>
      <c r="L1167" s="41">
        <f>Table2[[#This Row],[Column1]]+Table2[[#This Row],[Column2]]</f>
        <v>0</v>
      </c>
      <c r="M1167" s="42">
        <f>Table2[[#This Row],[OnHandQty]]-Table2[[#This Row],[Projection Nov/Dec]]</f>
        <v>3</v>
      </c>
      <c r="N1167" s="35">
        <f>Table2[[#This Row],[OverStock]]*Table2[[#This Row],[RepCost]]</f>
        <v>277.17930000000001</v>
      </c>
      <c r="O1167" s="25">
        <v>45762.447222222225</v>
      </c>
      <c r="P1167" s="26" t="s">
        <v>1062</v>
      </c>
    </row>
    <row r="1168" spans="1:16" x14ac:dyDescent="0.25">
      <c r="A1168" s="20" t="s">
        <v>5211</v>
      </c>
      <c r="B1168" s="21">
        <v>714</v>
      </c>
      <c r="C1168" s="22" t="s">
        <v>323</v>
      </c>
      <c r="D1168" s="22" t="s">
        <v>3372</v>
      </c>
      <c r="E1168" s="22" t="str">
        <f>CONCATENATE(B1168,D1168)</f>
        <v>71477882-107PREM</v>
      </c>
      <c r="F1168" s="27" t="s">
        <v>3373</v>
      </c>
      <c r="G1168" s="27" t="s">
        <v>58</v>
      </c>
      <c r="H1168" s="23">
        <v>59.951099999999997</v>
      </c>
      <c r="I1168" s="24">
        <v>5</v>
      </c>
      <c r="J1168" s="24">
        <v>0</v>
      </c>
      <c r="K1168" s="24">
        <v>0</v>
      </c>
      <c r="L1168" s="41">
        <f>Table2[[#This Row],[Column1]]+Table2[[#This Row],[Column2]]</f>
        <v>0</v>
      </c>
      <c r="M1168" s="42">
        <f>Table2[[#This Row],[OnHandQty]]-Table2[[#This Row],[Projection Nov/Dec]]</f>
        <v>5</v>
      </c>
      <c r="N1168" s="35">
        <f>Table2[[#This Row],[OverStock]]*Table2[[#This Row],[RepCost]]</f>
        <v>299.75549999999998</v>
      </c>
      <c r="O1168" s="25">
        <v>45924.445138888892</v>
      </c>
      <c r="P1168" s="26" t="s">
        <v>140</v>
      </c>
    </row>
    <row r="1169" spans="1:16" x14ac:dyDescent="0.25">
      <c r="A1169" s="20" t="s">
        <v>5211</v>
      </c>
      <c r="B1169" s="21">
        <v>714</v>
      </c>
      <c r="C1169" s="22" t="s">
        <v>323</v>
      </c>
      <c r="D1169" s="22" t="s">
        <v>3280</v>
      </c>
      <c r="E1169" s="22" t="str">
        <f>CONCATENATE(B1169,D1169)</f>
        <v>71477882-SP110MON</v>
      </c>
      <c r="F1169" s="22" t="s">
        <v>3281</v>
      </c>
      <c r="G1169" s="22" t="s">
        <v>29</v>
      </c>
      <c r="H1169" s="23">
        <v>171.8501</v>
      </c>
      <c r="I1169" s="24">
        <v>1</v>
      </c>
      <c r="J1169" s="24">
        <v>0</v>
      </c>
      <c r="K1169" s="24">
        <v>0</v>
      </c>
      <c r="L1169" s="41">
        <f>Table2[[#This Row],[Column1]]+Table2[[#This Row],[Column2]]</f>
        <v>0</v>
      </c>
      <c r="M1169" s="42">
        <f>Table2[[#This Row],[OnHandQty]]-Table2[[#This Row],[Projection Nov/Dec]]</f>
        <v>1</v>
      </c>
      <c r="N1169" s="35">
        <f>Table2[[#This Row],[OverStock]]*Table2[[#This Row],[RepCost]]</f>
        <v>171.8501</v>
      </c>
      <c r="O1169" s="25">
        <v>45793.530555555553</v>
      </c>
      <c r="P1169" s="26" t="s">
        <v>1062</v>
      </c>
    </row>
    <row r="1170" spans="1:16" x14ac:dyDescent="0.25">
      <c r="A1170" s="20" t="s">
        <v>5211</v>
      </c>
      <c r="B1170" s="21">
        <v>634</v>
      </c>
      <c r="C1170" s="22" t="s">
        <v>323</v>
      </c>
      <c r="D1170" s="22" t="s">
        <v>396</v>
      </c>
      <c r="E1170" s="22" t="str">
        <f>CONCATENATE(B1170,D1170)</f>
        <v>63474875-307</v>
      </c>
      <c r="F1170" s="22" t="s">
        <v>397</v>
      </c>
      <c r="G1170" s="22" t="s">
        <v>19</v>
      </c>
      <c r="H1170" s="23">
        <v>141.81020000000001</v>
      </c>
      <c r="I1170" s="24">
        <v>2</v>
      </c>
      <c r="J1170" s="24">
        <v>0</v>
      </c>
      <c r="K1170" s="24">
        <v>0</v>
      </c>
      <c r="L1170" s="41">
        <f>Table2[[#This Row],[Column1]]+Table2[[#This Row],[Column2]]</f>
        <v>0</v>
      </c>
      <c r="M1170" s="42">
        <f>Table2[[#This Row],[OnHandQty]]-Table2[[#This Row],[Projection Nov/Dec]]</f>
        <v>2</v>
      </c>
      <c r="N1170" s="35">
        <f>Table2[[#This Row],[OverStock]]*Table2[[#This Row],[RepCost]]</f>
        <v>283.62040000000002</v>
      </c>
      <c r="O1170" s="25">
        <v>46122.515277777777</v>
      </c>
      <c r="P1170" s="26" t="s">
        <v>354</v>
      </c>
    </row>
    <row r="1171" spans="1:16" x14ac:dyDescent="0.25">
      <c r="A1171" s="20" t="s">
        <v>5211</v>
      </c>
      <c r="B1171" s="21">
        <v>714</v>
      </c>
      <c r="C1171" s="22" t="s">
        <v>323</v>
      </c>
      <c r="D1171" s="22" t="s">
        <v>2973</v>
      </c>
      <c r="E1171" s="22" t="str">
        <f>CONCATENATE(B1171,D1171)</f>
        <v>71477888-PM102MON</v>
      </c>
      <c r="F1171" s="22" t="s">
        <v>2974</v>
      </c>
      <c r="G1171" s="22" t="s">
        <v>29</v>
      </c>
      <c r="H1171" s="23">
        <v>72.320499999999996</v>
      </c>
      <c r="I1171" s="24">
        <v>1</v>
      </c>
      <c r="J1171" s="24">
        <v>0</v>
      </c>
      <c r="K1171" s="24">
        <v>0</v>
      </c>
      <c r="L1171" s="41">
        <f>Table2[[#This Row],[Column1]]+Table2[[#This Row],[Column2]]</f>
        <v>0</v>
      </c>
      <c r="M1171" s="42">
        <f>Table2[[#This Row],[OnHandQty]]-Table2[[#This Row],[Projection Nov/Dec]]</f>
        <v>1</v>
      </c>
      <c r="N1171" s="35">
        <f>Table2[[#This Row],[OverStock]]*Table2[[#This Row],[RepCost]]</f>
        <v>72.320499999999996</v>
      </c>
      <c r="O1171" s="25">
        <v>46126.649305555555</v>
      </c>
      <c r="P1171" s="26" t="s">
        <v>67</v>
      </c>
    </row>
    <row r="1172" spans="1:16" x14ac:dyDescent="0.25">
      <c r="A1172" s="20" t="s">
        <v>5211</v>
      </c>
      <c r="B1172" s="21">
        <v>718</v>
      </c>
      <c r="C1172" s="22" t="s">
        <v>323</v>
      </c>
      <c r="D1172" s="22" t="s">
        <v>3875</v>
      </c>
      <c r="E1172" s="22" t="str">
        <f>CONCATENATE(B1172,D1172)</f>
        <v>71867965-306</v>
      </c>
      <c r="F1172" s="22" t="s">
        <v>3876</v>
      </c>
      <c r="G1172" s="22" t="s">
        <v>35</v>
      </c>
      <c r="H1172" s="23">
        <v>127.658</v>
      </c>
      <c r="I1172" s="24">
        <v>1</v>
      </c>
      <c r="J1172" s="24">
        <v>0</v>
      </c>
      <c r="K1172" s="24">
        <v>0</v>
      </c>
      <c r="L1172" s="41">
        <f>Table2[[#This Row],[Column1]]+Table2[[#This Row],[Column2]]</f>
        <v>0</v>
      </c>
      <c r="M1172" s="42">
        <f>Table2[[#This Row],[OnHandQty]]-Table2[[#This Row],[Projection Nov/Dec]]</f>
        <v>1</v>
      </c>
      <c r="N1172" s="35">
        <f>Table2[[#This Row],[OverStock]]*Table2[[#This Row],[RepCost]]</f>
        <v>127.658</v>
      </c>
      <c r="O1172" s="25">
        <v>45765.5</v>
      </c>
      <c r="P1172" s="26" t="s">
        <v>2271</v>
      </c>
    </row>
    <row r="1173" spans="1:16" x14ac:dyDescent="0.25">
      <c r="A1173" s="20" t="s">
        <v>5211</v>
      </c>
      <c r="B1173" s="21">
        <v>714</v>
      </c>
      <c r="C1173" s="22" t="s">
        <v>323</v>
      </c>
      <c r="D1173" s="22" t="s">
        <v>3345</v>
      </c>
      <c r="E1173" s="22" t="str">
        <f>CONCATENATE(B1173,D1173)</f>
        <v>71467965-307</v>
      </c>
      <c r="F1173" s="22" t="s">
        <v>3346</v>
      </c>
      <c r="G1173" s="22" t="s">
        <v>29</v>
      </c>
      <c r="H1173" s="23">
        <v>154.62620000000001</v>
      </c>
      <c r="I1173" s="24">
        <v>6</v>
      </c>
      <c r="J1173" s="24">
        <v>0</v>
      </c>
      <c r="K1173" s="24">
        <v>0</v>
      </c>
      <c r="L1173" s="41">
        <f>Table2[[#This Row],[Column1]]+Table2[[#This Row],[Column2]]</f>
        <v>0</v>
      </c>
      <c r="M1173" s="42">
        <f>Table2[[#This Row],[OnHandQty]]-Table2[[#This Row],[Projection Nov/Dec]]</f>
        <v>6</v>
      </c>
      <c r="N1173" s="35">
        <f>Table2[[#This Row],[OverStock]]*Table2[[#This Row],[RepCost]]</f>
        <v>927.75720000000001</v>
      </c>
      <c r="O1173" s="25">
        <v>46153.668749999997</v>
      </c>
      <c r="P1173" s="26" t="s">
        <v>2271</v>
      </c>
    </row>
    <row r="1174" spans="1:16" x14ac:dyDescent="0.25">
      <c r="A1174" s="20" t="s">
        <v>5211</v>
      </c>
      <c r="B1174" s="21">
        <v>714</v>
      </c>
      <c r="C1174" s="22" t="s">
        <v>143</v>
      </c>
      <c r="D1174" s="22" t="s">
        <v>2342</v>
      </c>
      <c r="E1174" s="22" t="str">
        <f>CONCATENATE(B1174,D1174)</f>
        <v>71467837-2T105</v>
      </c>
      <c r="F1174" s="22" t="s">
        <v>2343</v>
      </c>
      <c r="G1174" s="22" t="s">
        <v>29</v>
      </c>
      <c r="H1174" s="23">
        <v>108.92959999999999</v>
      </c>
      <c r="I1174" s="24">
        <v>3</v>
      </c>
      <c r="J1174" s="24">
        <v>0</v>
      </c>
      <c r="K1174" s="24">
        <v>0</v>
      </c>
      <c r="L1174" s="41">
        <f>Table2[[#This Row],[Column1]]+Table2[[#This Row],[Column2]]</f>
        <v>0</v>
      </c>
      <c r="M1174" s="42">
        <f>Table2[[#This Row],[OnHandQty]]-Table2[[#This Row],[Projection Nov/Dec]]</f>
        <v>3</v>
      </c>
      <c r="N1174" s="35">
        <f>Table2[[#This Row],[OverStock]]*Table2[[#This Row],[RepCost]]</f>
        <v>326.78879999999998</v>
      </c>
      <c r="O1174" s="25">
        <v>46198.373611111114</v>
      </c>
      <c r="P1174" s="26" t="s">
        <v>67</v>
      </c>
    </row>
    <row r="1175" spans="1:16" x14ac:dyDescent="0.25">
      <c r="A1175" s="20" t="s">
        <v>5211</v>
      </c>
      <c r="B1175" s="21">
        <v>714</v>
      </c>
      <c r="C1175" s="22" t="s">
        <v>143</v>
      </c>
      <c r="D1175" s="22" t="s">
        <v>2260</v>
      </c>
      <c r="E1175" s="22" t="str">
        <f>CONCATENATE(B1175,D1175)</f>
        <v>71467837-2T102</v>
      </c>
      <c r="F1175" s="22" t="s">
        <v>2261</v>
      </c>
      <c r="G1175" s="22" t="s">
        <v>29</v>
      </c>
      <c r="H1175" s="23">
        <v>75.832800000000006</v>
      </c>
      <c r="I1175" s="24">
        <v>4</v>
      </c>
      <c r="J1175" s="24">
        <v>0</v>
      </c>
      <c r="K1175" s="24">
        <v>0</v>
      </c>
      <c r="L1175" s="41">
        <f>Table2[[#This Row],[Column1]]+Table2[[#This Row],[Column2]]</f>
        <v>0</v>
      </c>
      <c r="M1175" s="42">
        <f>Table2[[#This Row],[OnHandQty]]-Table2[[#This Row],[Projection Nov/Dec]]</f>
        <v>4</v>
      </c>
      <c r="N1175" s="35">
        <f>Table2[[#This Row],[OverStock]]*Table2[[#This Row],[RepCost]]</f>
        <v>303.33120000000002</v>
      </c>
      <c r="O1175" s="25">
        <v>46198.373611111114</v>
      </c>
      <c r="P1175" s="26" t="s">
        <v>67</v>
      </c>
    </row>
    <row r="1176" spans="1:16" x14ac:dyDescent="0.25">
      <c r="A1176" s="20" t="s">
        <v>5211</v>
      </c>
      <c r="B1176" s="21">
        <v>714</v>
      </c>
      <c r="C1176" s="22" t="s">
        <v>143</v>
      </c>
      <c r="D1176" s="22" t="s">
        <v>2489</v>
      </c>
      <c r="E1176" s="22" t="str">
        <f>CONCATENATE(B1176,D1176)</f>
        <v>71467837-105</v>
      </c>
      <c r="F1176" s="22" t="s">
        <v>2490</v>
      </c>
      <c r="G1176" s="22" t="s">
        <v>19</v>
      </c>
      <c r="H1176" s="23">
        <v>28.116599999999998</v>
      </c>
      <c r="I1176" s="24">
        <v>20</v>
      </c>
      <c r="J1176" s="24">
        <v>0</v>
      </c>
      <c r="K1176" s="24">
        <v>8</v>
      </c>
      <c r="L1176" s="41">
        <f>Table2[[#This Row],[Column1]]+Table2[[#This Row],[Column2]]</f>
        <v>8</v>
      </c>
      <c r="M1176" s="42">
        <f>Table2[[#This Row],[OnHandQty]]-Table2[[#This Row],[Projection Nov/Dec]]</f>
        <v>12</v>
      </c>
      <c r="N1176" s="35">
        <f>Table2[[#This Row],[OverStock]]*Table2[[#This Row],[RepCost]]</f>
        <v>337.39919999999995</v>
      </c>
      <c r="O1176" s="25">
        <v>46112.315972222219</v>
      </c>
      <c r="P1176" s="26" t="s">
        <v>36</v>
      </c>
    </row>
    <row r="1177" spans="1:16" x14ac:dyDescent="0.25">
      <c r="A1177" s="20" t="s">
        <v>5211</v>
      </c>
      <c r="B1177" s="21">
        <v>718</v>
      </c>
      <c r="C1177" s="22" t="s">
        <v>143</v>
      </c>
      <c r="D1177" s="22" t="s">
        <v>2403</v>
      </c>
      <c r="E1177" s="22" t="str">
        <f>CONCATENATE(B1177,D1177)</f>
        <v>71867837-ESP105</v>
      </c>
      <c r="F1177" s="27" t="s">
        <v>2404</v>
      </c>
      <c r="G1177" s="27" t="s">
        <v>58</v>
      </c>
      <c r="H1177" s="23">
        <v>103.43600000000001</v>
      </c>
      <c r="I1177" s="24">
        <v>1</v>
      </c>
      <c r="J1177" s="24">
        <v>0</v>
      </c>
      <c r="K1177" s="24">
        <v>0</v>
      </c>
      <c r="L1177" s="41">
        <f>Table2[[#This Row],[Column1]]+Table2[[#This Row],[Column2]]</f>
        <v>0</v>
      </c>
      <c r="M1177" s="42">
        <f>Table2[[#This Row],[OnHandQty]]-Table2[[#This Row],[Projection Nov/Dec]]</f>
        <v>1</v>
      </c>
      <c r="N1177" s="35">
        <f>Table2[[#This Row],[OverStock]]*Table2[[#This Row],[RepCost]]</f>
        <v>103.43600000000001</v>
      </c>
      <c r="O1177" s="25">
        <v>45745.640277777777</v>
      </c>
      <c r="P1177" s="26" t="s">
        <v>67</v>
      </c>
    </row>
    <row r="1178" spans="1:16" x14ac:dyDescent="0.25">
      <c r="A1178" s="20" t="s">
        <v>5211</v>
      </c>
      <c r="B1178" s="21">
        <v>714</v>
      </c>
      <c r="C1178" s="22" t="s">
        <v>143</v>
      </c>
      <c r="D1178" s="22" t="s">
        <v>2403</v>
      </c>
      <c r="E1178" s="22" t="str">
        <f>CONCATENATE(B1178,D1178)</f>
        <v>71467837-ESP105</v>
      </c>
      <c r="F1178" s="27" t="s">
        <v>2404</v>
      </c>
      <c r="G1178" s="27" t="s">
        <v>58</v>
      </c>
      <c r="H1178" s="23">
        <v>104.8066</v>
      </c>
      <c r="I1178" s="24">
        <v>3</v>
      </c>
      <c r="J1178" s="24">
        <v>0</v>
      </c>
      <c r="K1178" s="24">
        <v>0</v>
      </c>
      <c r="L1178" s="41">
        <f>Table2[[#This Row],[Column1]]+Table2[[#This Row],[Column2]]</f>
        <v>0</v>
      </c>
      <c r="M1178" s="42">
        <f>Table2[[#This Row],[OnHandQty]]-Table2[[#This Row],[Projection Nov/Dec]]</f>
        <v>3</v>
      </c>
      <c r="N1178" s="35">
        <f>Table2[[#This Row],[OverStock]]*Table2[[#This Row],[RepCost]]</f>
        <v>314.41980000000001</v>
      </c>
      <c r="O1178" s="25">
        <v>46126.649305555555</v>
      </c>
      <c r="P1178" s="26" t="s">
        <v>67</v>
      </c>
    </row>
    <row r="1179" spans="1:16" x14ac:dyDescent="0.25">
      <c r="A1179" s="20" t="s">
        <v>5211</v>
      </c>
      <c r="B1179" s="21">
        <v>714</v>
      </c>
      <c r="C1179" s="22" t="s">
        <v>143</v>
      </c>
      <c r="D1179" s="22" t="s">
        <v>2545</v>
      </c>
      <c r="E1179" s="22" t="str">
        <f>CONCATENATE(B1179,D1179)</f>
        <v>71467837-OPP105</v>
      </c>
      <c r="F1179" s="22" t="s">
        <v>2546</v>
      </c>
      <c r="G1179" s="22" t="s">
        <v>29</v>
      </c>
      <c r="H1179" s="23">
        <v>127.1078</v>
      </c>
      <c r="I1179" s="24">
        <v>2</v>
      </c>
      <c r="J1179" s="24">
        <v>0</v>
      </c>
      <c r="K1179" s="24">
        <v>0</v>
      </c>
      <c r="L1179" s="41">
        <f>Table2[[#This Row],[Column1]]+Table2[[#This Row],[Column2]]</f>
        <v>0</v>
      </c>
      <c r="M1179" s="42">
        <f>Table2[[#This Row],[OnHandQty]]-Table2[[#This Row],[Projection Nov/Dec]]</f>
        <v>2</v>
      </c>
      <c r="N1179" s="35">
        <f>Table2[[#This Row],[OverStock]]*Table2[[#This Row],[RepCost]]</f>
        <v>254.21559999999999</v>
      </c>
      <c r="O1179" s="25">
        <v>45804.446527777778</v>
      </c>
      <c r="P1179" s="26" t="s">
        <v>67</v>
      </c>
    </row>
    <row r="1180" spans="1:16" x14ac:dyDescent="0.25">
      <c r="A1180" s="20" t="s">
        <v>5211</v>
      </c>
      <c r="B1180" s="21">
        <v>714</v>
      </c>
      <c r="C1180" s="22" t="s">
        <v>143</v>
      </c>
      <c r="D1180" s="22" t="s">
        <v>2651</v>
      </c>
      <c r="E1180" s="22" t="str">
        <f>CONCATENATE(B1180,D1180)</f>
        <v>71467837-PM105</v>
      </c>
      <c r="F1180" s="22" t="s">
        <v>2652</v>
      </c>
      <c r="G1180" s="22" t="s">
        <v>19</v>
      </c>
      <c r="H1180" s="23">
        <v>117.0159</v>
      </c>
      <c r="I1180" s="24">
        <v>4</v>
      </c>
      <c r="J1180" s="24">
        <v>0</v>
      </c>
      <c r="K1180" s="24">
        <v>0</v>
      </c>
      <c r="L1180" s="41">
        <f>Table2[[#This Row],[Column1]]+Table2[[#This Row],[Column2]]</f>
        <v>0</v>
      </c>
      <c r="M1180" s="42">
        <f>Table2[[#This Row],[OnHandQty]]-Table2[[#This Row],[Projection Nov/Dec]]</f>
        <v>4</v>
      </c>
      <c r="N1180" s="35">
        <f>Table2[[#This Row],[OverStock]]*Table2[[#This Row],[RepCost]]</f>
        <v>468.06360000000001</v>
      </c>
      <c r="O1180" s="25">
        <v>46143.319444444445</v>
      </c>
      <c r="P1180" s="26" t="s">
        <v>67</v>
      </c>
    </row>
    <row r="1181" spans="1:16" x14ac:dyDescent="0.25">
      <c r="A1181" s="20" t="s">
        <v>5211</v>
      </c>
      <c r="B1181" s="21">
        <v>714</v>
      </c>
      <c r="C1181" s="22" t="s">
        <v>143</v>
      </c>
      <c r="D1181" s="22" t="s">
        <v>2583</v>
      </c>
      <c r="E1181" s="22" t="str">
        <f>CONCATENATE(B1181,D1181)</f>
        <v>71467837-SP110</v>
      </c>
      <c r="F1181" s="22" t="s">
        <v>2584</v>
      </c>
      <c r="G1181" s="22" t="s">
        <v>29</v>
      </c>
      <c r="H1181" s="23">
        <v>203.57490000000001</v>
      </c>
      <c r="I1181" s="24">
        <v>3</v>
      </c>
      <c r="J1181" s="24">
        <v>0</v>
      </c>
      <c r="K1181" s="24">
        <v>0</v>
      </c>
      <c r="L1181" s="41">
        <f>Table2[[#This Row],[Column1]]+Table2[[#This Row],[Column2]]</f>
        <v>0</v>
      </c>
      <c r="M1181" s="42">
        <f>Table2[[#This Row],[OnHandQty]]-Table2[[#This Row],[Projection Nov/Dec]]</f>
        <v>3</v>
      </c>
      <c r="N1181" s="35">
        <f>Table2[[#This Row],[OverStock]]*Table2[[#This Row],[RepCost]]</f>
        <v>610.72469999999998</v>
      </c>
      <c r="O1181" s="25">
        <v>46198.373611111114</v>
      </c>
      <c r="P1181" s="26" t="s">
        <v>67</v>
      </c>
    </row>
    <row r="1182" spans="1:16" x14ac:dyDescent="0.25">
      <c r="A1182" s="20" t="s">
        <v>5211</v>
      </c>
      <c r="B1182" s="21">
        <v>714</v>
      </c>
      <c r="C1182" s="22" t="s">
        <v>143</v>
      </c>
      <c r="D1182" s="22" t="s">
        <v>2209</v>
      </c>
      <c r="E1182" s="22" t="str">
        <f>CONCATENATE(B1182,D1182)</f>
        <v>71467837-SP105</v>
      </c>
      <c r="F1182" s="22" t="s">
        <v>2210</v>
      </c>
      <c r="G1182" s="22" t="s">
        <v>19</v>
      </c>
      <c r="H1182" s="23">
        <v>133.49700000000001</v>
      </c>
      <c r="I1182" s="24">
        <v>7</v>
      </c>
      <c r="J1182" s="24">
        <v>0</v>
      </c>
      <c r="K1182" s="24">
        <v>0</v>
      </c>
      <c r="L1182" s="41">
        <f>Table2[[#This Row],[Column1]]+Table2[[#This Row],[Column2]]</f>
        <v>0</v>
      </c>
      <c r="M1182" s="42">
        <f>Table2[[#This Row],[OnHandQty]]-Table2[[#This Row],[Projection Nov/Dec]]</f>
        <v>7</v>
      </c>
      <c r="N1182" s="35">
        <f>Table2[[#This Row],[OverStock]]*Table2[[#This Row],[RepCost]]</f>
        <v>934.47900000000004</v>
      </c>
      <c r="O1182" s="25">
        <v>46143.319444444445</v>
      </c>
      <c r="P1182" s="26" t="s">
        <v>67</v>
      </c>
    </row>
    <row r="1183" spans="1:16" x14ac:dyDescent="0.25">
      <c r="A1183" s="20" t="s">
        <v>5211</v>
      </c>
      <c r="B1183" s="21">
        <v>714</v>
      </c>
      <c r="C1183" s="22" t="s">
        <v>143</v>
      </c>
      <c r="D1183" s="22" t="s">
        <v>2352</v>
      </c>
      <c r="E1183" s="22" t="str">
        <f>CONCATENATE(B1183,D1183)</f>
        <v>71467837-SP107</v>
      </c>
      <c r="F1183" s="22" t="s">
        <v>2353</v>
      </c>
      <c r="G1183" s="22" t="s">
        <v>29</v>
      </c>
      <c r="H1183" s="23">
        <v>174.5883</v>
      </c>
      <c r="I1183" s="24">
        <v>3</v>
      </c>
      <c r="J1183" s="24">
        <v>0</v>
      </c>
      <c r="K1183" s="24">
        <v>0</v>
      </c>
      <c r="L1183" s="41">
        <f>Table2[[#This Row],[Column1]]+Table2[[#This Row],[Column2]]</f>
        <v>0</v>
      </c>
      <c r="M1183" s="42">
        <f>Table2[[#This Row],[OnHandQty]]-Table2[[#This Row],[Projection Nov/Dec]]</f>
        <v>3</v>
      </c>
      <c r="N1183" s="35">
        <f>Table2[[#This Row],[OverStock]]*Table2[[#This Row],[RepCost]]</f>
        <v>523.76490000000001</v>
      </c>
      <c r="O1183" s="25">
        <v>46126.649305555555</v>
      </c>
      <c r="P1183" s="26" t="s">
        <v>67</v>
      </c>
    </row>
    <row r="1184" spans="1:16" x14ac:dyDescent="0.25">
      <c r="A1184" s="20" t="s">
        <v>5211</v>
      </c>
      <c r="B1184" s="21">
        <v>718</v>
      </c>
      <c r="C1184" s="22" t="s">
        <v>143</v>
      </c>
      <c r="D1184" s="22" t="s">
        <v>2304</v>
      </c>
      <c r="E1184" s="22" t="str">
        <f>CONCATENATE(B1184,D1184)</f>
        <v>71867837-SP102</v>
      </c>
      <c r="F1184" s="22" t="s">
        <v>2305</v>
      </c>
      <c r="G1184" s="22" t="s">
        <v>35</v>
      </c>
      <c r="H1184" s="23">
        <v>81.351200000000006</v>
      </c>
      <c r="I1184" s="24">
        <v>4</v>
      </c>
      <c r="J1184" s="24">
        <v>1</v>
      </c>
      <c r="K1184" s="24">
        <v>0</v>
      </c>
      <c r="L1184" s="41">
        <f>Table2[[#This Row],[Column1]]+Table2[[#This Row],[Column2]]</f>
        <v>1</v>
      </c>
      <c r="M1184" s="42">
        <f>Table2[[#This Row],[OnHandQty]]-Table2[[#This Row],[Projection Nov/Dec]]</f>
        <v>3</v>
      </c>
      <c r="N1184" s="35">
        <f>Table2[[#This Row],[OverStock]]*Table2[[#This Row],[RepCost]]</f>
        <v>244.05360000000002</v>
      </c>
      <c r="O1184" s="25">
        <v>45745.640277777777</v>
      </c>
      <c r="P1184" s="26" t="s">
        <v>67</v>
      </c>
    </row>
    <row r="1185" spans="1:16" x14ac:dyDescent="0.25">
      <c r="A1185" s="20" t="s">
        <v>5211</v>
      </c>
      <c r="B1185" s="21">
        <v>714</v>
      </c>
      <c r="C1185" s="22" t="s">
        <v>143</v>
      </c>
      <c r="D1185" s="22" t="s">
        <v>2304</v>
      </c>
      <c r="E1185" s="22" t="str">
        <f>CONCATENATE(B1185,D1185)</f>
        <v>71467837-SP102</v>
      </c>
      <c r="F1185" s="22" t="s">
        <v>2305</v>
      </c>
      <c r="G1185" s="22" t="s">
        <v>29</v>
      </c>
      <c r="H1185" s="23">
        <v>82.711500000000001</v>
      </c>
      <c r="I1185" s="24">
        <v>2</v>
      </c>
      <c r="J1185" s="24">
        <v>1</v>
      </c>
      <c r="K1185" s="24">
        <v>0</v>
      </c>
      <c r="L1185" s="41">
        <f>Table2[[#This Row],[Column1]]+Table2[[#This Row],[Column2]]</f>
        <v>1</v>
      </c>
      <c r="M1185" s="42">
        <f>Table2[[#This Row],[OnHandQty]]-Table2[[#This Row],[Projection Nov/Dec]]</f>
        <v>1</v>
      </c>
      <c r="N1185" s="35">
        <f>Table2[[#This Row],[OverStock]]*Table2[[#This Row],[RepCost]]</f>
        <v>82.711500000000001</v>
      </c>
      <c r="O1185" s="25">
        <v>46126.649305555555</v>
      </c>
      <c r="P1185" s="26" t="s">
        <v>67</v>
      </c>
    </row>
    <row r="1186" spans="1:16" x14ac:dyDescent="0.25">
      <c r="A1186" s="20" t="s">
        <v>5211</v>
      </c>
      <c r="B1186" s="21">
        <v>714</v>
      </c>
      <c r="C1186" s="22" t="s">
        <v>323</v>
      </c>
      <c r="D1186" s="22" t="s">
        <v>3403</v>
      </c>
      <c r="E1186" s="22" t="str">
        <f>CONCATENATE(B1186,D1186)</f>
        <v>71467847-308</v>
      </c>
      <c r="F1186" s="22" t="s">
        <v>3404</v>
      </c>
      <c r="G1186" s="22" t="s">
        <v>29</v>
      </c>
      <c r="H1186" s="23">
        <v>169.25829999999999</v>
      </c>
      <c r="I1186" s="24">
        <v>4</v>
      </c>
      <c r="J1186" s="24">
        <v>0</v>
      </c>
      <c r="K1186" s="24">
        <v>0</v>
      </c>
      <c r="L1186" s="41">
        <f>Table2[[#This Row],[Column1]]+Table2[[#This Row],[Column2]]</f>
        <v>0</v>
      </c>
      <c r="M1186" s="42">
        <f>Table2[[#This Row],[OnHandQty]]-Table2[[#This Row],[Projection Nov/Dec]]</f>
        <v>4</v>
      </c>
      <c r="N1186" s="35">
        <f>Table2[[#This Row],[OverStock]]*Table2[[#This Row],[RepCost]]</f>
        <v>677.03319999999997</v>
      </c>
      <c r="O1186" s="25">
        <v>44271.386805555558</v>
      </c>
      <c r="P1186" s="26" t="s">
        <v>216</v>
      </c>
    </row>
    <row r="1187" spans="1:16" x14ac:dyDescent="0.25">
      <c r="A1187" s="20" t="s">
        <v>5211</v>
      </c>
      <c r="B1187" s="21">
        <v>718</v>
      </c>
      <c r="C1187" s="22" t="s">
        <v>323</v>
      </c>
      <c r="D1187" s="22" t="s">
        <v>3403</v>
      </c>
      <c r="E1187" s="22" t="str">
        <f>CONCATENATE(B1187,D1187)</f>
        <v>71867847-308</v>
      </c>
      <c r="F1187" s="27" t="s">
        <v>3404</v>
      </c>
      <c r="G1187" s="27" t="s">
        <v>58</v>
      </c>
      <c r="H1187" s="23">
        <v>169.25829999999999</v>
      </c>
      <c r="I1187" s="24">
        <v>3</v>
      </c>
      <c r="J1187" s="24">
        <v>0</v>
      </c>
      <c r="K1187" s="24">
        <v>0</v>
      </c>
      <c r="L1187" s="41">
        <f>Table2[[#This Row],[Column1]]+Table2[[#This Row],[Column2]]</f>
        <v>0</v>
      </c>
      <c r="M1187" s="42">
        <f>Table2[[#This Row],[OnHandQty]]-Table2[[#This Row],[Projection Nov/Dec]]</f>
        <v>3</v>
      </c>
      <c r="N1187" s="35">
        <f>Table2[[#This Row],[OverStock]]*Table2[[#This Row],[RepCost]]</f>
        <v>507.7749</v>
      </c>
      <c r="O1187" s="25">
        <v>45505.375</v>
      </c>
      <c r="P1187" s="26" t="s">
        <v>360</v>
      </c>
    </row>
    <row r="1188" spans="1:16" x14ac:dyDescent="0.25">
      <c r="A1188" s="20" t="s">
        <v>5211</v>
      </c>
      <c r="B1188" s="21">
        <v>714</v>
      </c>
      <c r="C1188" s="22" t="s">
        <v>143</v>
      </c>
      <c r="D1188" s="22" t="s">
        <v>2547</v>
      </c>
      <c r="E1188" s="22" t="str">
        <f>CONCATENATE(B1188,D1188)</f>
        <v>71477901-OPP105PREM</v>
      </c>
      <c r="F1188" s="22" t="s">
        <v>2548</v>
      </c>
      <c r="G1188" s="22" t="s">
        <v>29</v>
      </c>
      <c r="H1188" s="23">
        <v>139.45339999999999</v>
      </c>
      <c r="I1188" s="24">
        <v>1</v>
      </c>
      <c r="J1188" s="24">
        <v>0</v>
      </c>
      <c r="K1188" s="24">
        <v>0</v>
      </c>
      <c r="L1188" s="41">
        <f>Table2[[#This Row],[Column1]]+Table2[[#This Row],[Column2]]</f>
        <v>0</v>
      </c>
      <c r="M1188" s="42">
        <f>Table2[[#This Row],[OnHandQty]]-Table2[[#This Row],[Projection Nov/Dec]]</f>
        <v>1</v>
      </c>
      <c r="N1188" s="35">
        <f>Table2[[#This Row],[OverStock]]*Table2[[#This Row],[RepCost]]</f>
        <v>139.45339999999999</v>
      </c>
      <c r="O1188" s="25">
        <v>46126.649305555555</v>
      </c>
      <c r="P1188" s="26" t="s">
        <v>67</v>
      </c>
    </row>
    <row r="1189" spans="1:16" x14ac:dyDescent="0.25">
      <c r="A1189" s="20" t="s">
        <v>5211</v>
      </c>
      <c r="B1189" s="21">
        <v>718</v>
      </c>
      <c r="C1189" s="22" t="s">
        <v>323</v>
      </c>
      <c r="D1189" s="22" t="s">
        <v>3950</v>
      </c>
      <c r="E1189" s="22" t="str">
        <f>CONCATENATE(B1189,D1189)</f>
        <v>71867852-2T105PREM</v>
      </c>
      <c r="F1189" s="27" t="s">
        <v>3951</v>
      </c>
      <c r="G1189" s="27" t="s">
        <v>58</v>
      </c>
      <c r="H1189" s="23">
        <v>103.4637</v>
      </c>
      <c r="I1189" s="24">
        <v>2</v>
      </c>
      <c r="J1189" s="24">
        <v>0</v>
      </c>
      <c r="K1189" s="24">
        <v>0</v>
      </c>
      <c r="L1189" s="41">
        <f>Table2[[#This Row],[Column1]]+Table2[[#This Row],[Column2]]</f>
        <v>0</v>
      </c>
      <c r="M1189" s="42">
        <f>Table2[[#This Row],[OnHandQty]]-Table2[[#This Row],[Projection Nov/Dec]]</f>
        <v>2</v>
      </c>
      <c r="N1189" s="35">
        <f>Table2[[#This Row],[OverStock]]*Table2[[#This Row],[RepCost]]</f>
        <v>206.92740000000001</v>
      </c>
      <c r="O1189" s="25">
        <v>45745.640277777777</v>
      </c>
      <c r="P1189" s="26" t="s">
        <v>67</v>
      </c>
    </row>
    <row r="1190" spans="1:16" x14ac:dyDescent="0.25">
      <c r="A1190" s="20" t="s">
        <v>5211</v>
      </c>
      <c r="B1190" s="21">
        <v>718</v>
      </c>
      <c r="C1190" s="22" t="s">
        <v>323</v>
      </c>
      <c r="D1190" s="22" t="s">
        <v>3907</v>
      </c>
      <c r="E1190" s="22" t="str">
        <f>CONCATENATE(B1190,D1190)</f>
        <v>71867852-305</v>
      </c>
      <c r="F1190" s="22" t="s">
        <v>3908</v>
      </c>
      <c r="G1190" s="22" t="s">
        <v>455</v>
      </c>
      <c r="H1190" s="23">
        <v>162.34389999999999</v>
      </c>
      <c r="I1190" s="24">
        <v>5</v>
      </c>
      <c r="J1190" s="24">
        <v>0</v>
      </c>
      <c r="K1190" s="24">
        <v>0</v>
      </c>
      <c r="L1190" s="41">
        <f>Table2[[#This Row],[Column1]]+Table2[[#This Row],[Column2]]</f>
        <v>0</v>
      </c>
      <c r="M1190" s="42">
        <f>Table2[[#This Row],[OnHandQty]]-Table2[[#This Row],[Projection Nov/Dec]]</f>
        <v>5</v>
      </c>
      <c r="N1190" s="35">
        <f>Table2[[#This Row],[OverStock]]*Table2[[#This Row],[RepCost]]</f>
        <v>811.71949999999993</v>
      </c>
      <c r="O1190" s="25">
        <v>46195.657638888886</v>
      </c>
      <c r="P1190" s="26" t="s">
        <v>1535</v>
      </c>
    </row>
    <row r="1191" spans="1:16" x14ac:dyDescent="0.25">
      <c r="A1191" s="20" t="s">
        <v>5211</v>
      </c>
      <c r="B1191" s="21">
        <v>714</v>
      </c>
      <c r="C1191" s="22" t="s">
        <v>323</v>
      </c>
      <c r="D1191" s="22" t="s">
        <v>3190</v>
      </c>
      <c r="E1191" s="22" t="str">
        <f>CONCATENATE(B1191,D1191)</f>
        <v>71467852-307</v>
      </c>
      <c r="F1191" s="22" t="s">
        <v>3191</v>
      </c>
      <c r="G1191" s="22" t="s">
        <v>19</v>
      </c>
      <c r="H1191" s="23">
        <v>115</v>
      </c>
      <c r="I1191" s="24">
        <v>4</v>
      </c>
      <c r="J1191" s="24">
        <v>0</v>
      </c>
      <c r="K1191" s="24">
        <v>0</v>
      </c>
      <c r="L1191" s="41">
        <f>Table2[[#This Row],[Column1]]+Table2[[#This Row],[Column2]]</f>
        <v>0</v>
      </c>
      <c r="M1191" s="42">
        <f>Table2[[#This Row],[OnHandQty]]-Table2[[#This Row],[Projection Nov/Dec]]</f>
        <v>4</v>
      </c>
      <c r="N1191" s="35">
        <f>Table2[[#This Row],[OverStock]]*Table2[[#This Row],[RepCost]]</f>
        <v>460</v>
      </c>
      <c r="O1191" s="25">
        <v>46112.67291666667</v>
      </c>
      <c r="P1191" s="26" t="s">
        <v>2444</v>
      </c>
    </row>
    <row r="1192" spans="1:16" x14ac:dyDescent="0.25">
      <c r="A1192" s="20" t="s">
        <v>5211</v>
      </c>
      <c r="B1192" s="21">
        <v>714</v>
      </c>
      <c r="C1192" s="22" t="s">
        <v>323</v>
      </c>
      <c r="D1192" s="22" t="s">
        <v>2910</v>
      </c>
      <c r="E1192" s="22" t="str">
        <f>CONCATENATE(B1192,D1192)</f>
        <v>71467852-SP110</v>
      </c>
      <c r="F1192" s="22" t="s">
        <v>2911</v>
      </c>
      <c r="G1192" s="22" t="s">
        <v>23</v>
      </c>
      <c r="H1192" s="23">
        <v>190.98609999999999</v>
      </c>
      <c r="I1192" s="24">
        <v>6</v>
      </c>
      <c r="J1192" s="24">
        <v>2</v>
      </c>
      <c r="K1192" s="24">
        <v>0</v>
      </c>
      <c r="L1192" s="41">
        <f>Table2[[#This Row],[Column1]]+Table2[[#This Row],[Column2]]</f>
        <v>2</v>
      </c>
      <c r="M1192" s="42">
        <f>Table2[[#This Row],[OnHandQty]]-Table2[[#This Row],[Projection Nov/Dec]]</f>
        <v>4</v>
      </c>
      <c r="N1192" s="35">
        <f>Table2[[#This Row],[OverStock]]*Table2[[#This Row],[RepCost]]</f>
        <v>763.94439999999997</v>
      </c>
      <c r="O1192" s="25">
        <v>46126.649305555555</v>
      </c>
      <c r="P1192" s="26" t="s">
        <v>67</v>
      </c>
    </row>
    <row r="1193" spans="1:16" x14ac:dyDescent="0.25">
      <c r="A1193" s="20" t="s">
        <v>5211</v>
      </c>
      <c r="B1193" s="21">
        <v>714</v>
      </c>
      <c r="C1193" s="22" t="s">
        <v>323</v>
      </c>
      <c r="D1193" s="22" t="s">
        <v>2949</v>
      </c>
      <c r="E1193" s="22" t="str">
        <f>CONCATENATE(B1193,D1193)</f>
        <v>71467852-SP120</v>
      </c>
      <c r="F1193" s="22" t="s">
        <v>2950</v>
      </c>
      <c r="G1193" s="22" t="s">
        <v>19</v>
      </c>
      <c r="H1193" s="23">
        <v>268.58109999999999</v>
      </c>
      <c r="I1193" s="24">
        <v>3</v>
      </c>
      <c r="J1193" s="24">
        <v>0</v>
      </c>
      <c r="K1193" s="24">
        <v>0</v>
      </c>
      <c r="L1193" s="41">
        <f>Table2[[#This Row],[Column1]]+Table2[[#This Row],[Column2]]</f>
        <v>0</v>
      </c>
      <c r="M1193" s="42">
        <f>Table2[[#This Row],[OnHandQty]]-Table2[[#This Row],[Projection Nov/Dec]]</f>
        <v>3</v>
      </c>
      <c r="N1193" s="35">
        <f>Table2[[#This Row],[OverStock]]*Table2[[#This Row],[RepCost]]</f>
        <v>805.74329999999998</v>
      </c>
      <c r="O1193" s="25">
        <v>46163.381944444445</v>
      </c>
      <c r="P1193" s="26" t="s">
        <v>137</v>
      </c>
    </row>
    <row r="1194" spans="1:16" x14ac:dyDescent="0.25">
      <c r="A1194" s="20" t="s">
        <v>5211</v>
      </c>
      <c r="B1194" s="21">
        <v>714</v>
      </c>
      <c r="C1194" s="22" t="s">
        <v>323</v>
      </c>
      <c r="D1194" s="22" t="s">
        <v>3315</v>
      </c>
      <c r="E1194" s="22" t="str">
        <f>CONCATENATE(B1194,D1194)</f>
        <v>71467852-SP105</v>
      </c>
      <c r="F1194" s="27" t="s">
        <v>3316</v>
      </c>
      <c r="G1194" s="27" t="s">
        <v>58</v>
      </c>
      <c r="H1194" s="23">
        <v>136.34209999999999</v>
      </c>
      <c r="I1194" s="24">
        <v>1</v>
      </c>
      <c r="J1194" s="24">
        <v>0</v>
      </c>
      <c r="K1194" s="24">
        <v>0</v>
      </c>
      <c r="L1194" s="41">
        <f>Table2[[#This Row],[Column1]]+Table2[[#This Row],[Column2]]</f>
        <v>0</v>
      </c>
      <c r="M1194" s="42">
        <f>Table2[[#This Row],[OnHandQty]]-Table2[[#This Row],[Projection Nov/Dec]]</f>
        <v>1</v>
      </c>
      <c r="N1194" s="35">
        <f>Table2[[#This Row],[OverStock]]*Table2[[#This Row],[RepCost]]</f>
        <v>136.34209999999999</v>
      </c>
      <c r="O1194" s="25">
        <v>45784.373611111114</v>
      </c>
      <c r="P1194" s="26" t="s">
        <v>67</v>
      </c>
    </row>
    <row r="1195" spans="1:16" x14ac:dyDescent="0.25">
      <c r="A1195" s="20" t="s">
        <v>5211</v>
      </c>
      <c r="B1195" s="21">
        <v>718</v>
      </c>
      <c r="C1195" s="22" t="s">
        <v>323</v>
      </c>
      <c r="D1195" s="22" t="s">
        <v>3847</v>
      </c>
      <c r="E1195" s="22" t="str">
        <f>CONCATENATE(B1195,D1195)</f>
        <v>71867853-SP105</v>
      </c>
      <c r="F1195" s="22" t="s">
        <v>3848</v>
      </c>
      <c r="G1195" s="22" t="s">
        <v>29</v>
      </c>
      <c r="H1195" s="23">
        <v>111.3368</v>
      </c>
      <c r="I1195" s="24">
        <v>1</v>
      </c>
      <c r="J1195" s="24">
        <v>0</v>
      </c>
      <c r="K1195" s="24">
        <v>0</v>
      </c>
      <c r="L1195" s="41">
        <f>Table2[[#This Row],[Column1]]+Table2[[#This Row],[Column2]]</f>
        <v>0</v>
      </c>
      <c r="M1195" s="42">
        <f>Table2[[#This Row],[OnHandQty]]-Table2[[#This Row],[Projection Nov/Dec]]</f>
        <v>1</v>
      </c>
      <c r="N1195" s="35">
        <f>Table2[[#This Row],[OverStock]]*Table2[[#This Row],[RepCost]]</f>
        <v>111.3368</v>
      </c>
      <c r="O1195" s="25">
        <v>46147.688194444447</v>
      </c>
      <c r="P1195" s="26" t="s">
        <v>2066</v>
      </c>
    </row>
    <row r="1196" spans="1:16" x14ac:dyDescent="0.25">
      <c r="A1196" s="20" t="s">
        <v>5211</v>
      </c>
      <c r="B1196" s="21">
        <v>714</v>
      </c>
      <c r="C1196" s="22" t="s">
        <v>323</v>
      </c>
      <c r="D1196" s="22" t="s">
        <v>3385</v>
      </c>
      <c r="E1196" s="22" t="str">
        <f>CONCATENATE(B1196,D1196)</f>
        <v>71467856-312</v>
      </c>
      <c r="F1196" s="22" t="s">
        <v>3386</v>
      </c>
      <c r="G1196" s="22" t="s">
        <v>29</v>
      </c>
      <c r="H1196" s="23">
        <v>372.70409999999998</v>
      </c>
      <c r="I1196" s="24">
        <v>2</v>
      </c>
      <c r="J1196" s="24">
        <v>0</v>
      </c>
      <c r="K1196" s="24">
        <v>0</v>
      </c>
      <c r="L1196" s="41">
        <f>Table2[[#This Row],[Column1]]+Table2[[#This Row],[Column2]]</f>
        <v>0</v>
      </c>
      <c r="M1196" s="42">
        <f>Table2[[#This Row],[OnHandQty]]-Table2[[#This Row],[Projection Nov/Dec]]</f>
        <v>2</v>
      </c>
      <c r="N1196" s="35">
        <f>Table2[[#This Row],[OverStock]]*Table2[[#This Row],[RepCost]]</f>
        <v>745.40819999999997</v>
      </c>
      <c r="O1196" s="25">
        <v>46183.614583333336</v>
      </c>
      <c r="P1196" s="26" t="s">
        <v>402</v>
      </c>
    </row>
    <row r="1197" spans="1:16" x14ac:dyDescent="0.25">
      <c r="A1197" s="20" t="s">
        <v>5211</v>
      </c>
      <c r="B1197" s="21">
        <v>634</v>
      </c>
      <c r="C1197" s="22" t="s">
        <v>323</v>
      </c>
      <c r="D1197" s="22" t="s">
        <v>390</v>
      </c>
      <c r="E1197" s="22" t="str">
        <f>CONCATENATE(B1197,D1197)</f>
        <v>63467856-307</v>
      </c>
      <c r="F1197" s="22" t="s">
        <v>391</v>
      </c>
      <c r="G1197" s="22" t="s">
        <v>29</v>
      </c>
      <c r="H1197" s="23">
        <v>141.81020000000001</v>
      </c>
      <c r="I1197" s="24">
        <v>6</v>
      </c>
      <c r="J1197" s="24">
        <v>0</v>
      </c>
      <c r="K1197" s="24">
        <v>0</v>
      </c>
      <c r="L1197" s="41">
        <f>Table2[[#This Row],[Column1]]+Table2[[#This Row],[Column2]]</f>
        <v>0</v>
      </c>
      <c r="M1197" s="42">
        <f>Table2[[#This Row],[OnHandQty]]-Table2[[#This Row],[Projection Nov/Dec]]</f>
        <v>6</v>
      </c>
      <c r="N1197" s="35">
        <f>Table2[[#This Row],[OverStock]]*Table2[[#This Row],[RepCost]]</f>
        <v>850.86120000000005</v>
      </c>
      <c r="O1197" s="25">
        <v>46122.515277777777</v>
      </c>
      <c r="P1197" s="26" t="s">
        <v>354</v>
      </c>
    </row>
    <row r="1198" spans="1:16" x14ac:dyDescent="0.25">
      <c r="A1198" s="20" t="s">
        <v>5211</v>
      </c>
      <c r="B1198" s="21">
        <v>718</v>
      </c>
      <c r="C1198" s="22" t="s">
        <v>323</v>
      </c>
      <c r="D1198" s="22" t="s">
        <v>3952</v>
      </c>
      <c r="E1198" s="22" t="str">
        <f>CONCATENATE(B1198,D1198)</f>
        <v>71867856-107</v>
      </c>
      <c r="F1198" s="22" t="s">
        <v>3953</v>
      </c>
      <c r="G1198" s="22" t="s">
        <v>43</v>
      </c>
      <c r="H1198" s="23">
        <v>43.585500000000003</v>
      </c>
      <c r="I1198" s="24">
        <v>30</v>
      </c>
      <c r="J1198" s="24">
        <v>0</v>
      </c>
      <c r="K1198" s="24">
        <v>0</v>
      </c>
      <c r="L1198" s="41">
        <f>Table2[[#This Row],[Column1]]+Table2[[#This Row],[Column2]]</f>
        <v>0</v>
      </c>
      <c r="M1198" s="42">
        <f>Table2[[#This Row],[OnHandQty]]-Table2[[#This Row],[Projection Nov/Dec]]</f>
        <v>30</v>
      </c>
      <c r="N1198" s="35">
        <f>Table2[[#This Row],[OverStock]]*Table2[[#This Row],[RepCost]]</f>
        <v>1307.5650000000001</v>
      </c>
      <c r="O1198" s="25">
        <v>46246.515972222223</v>
      </c>
      <c r="P1198" s="26" t="s">
        <v>159</v>
      </c>
    </row>
    <row r="1199" spans="1:16" x14ac:dyDescent="0.25">
      <c r="A1199" s="20" t="s">
        <v>5211</v>
      </c>
      <c r="B1199" s="21">
        <v>718</v>
      </c>
      <c r="C1199" s="22" t="s">
        <v>323</v>
      </c>
      <c r="D1199" s="22" t="s">
        <v>2824</v>
      </c>
      <c r="E1199" s="22" t="str">
        <f>CONCATENATE(B1199,D1199)</f>
        <v>71867856-308</v>
      </c>
      <c r="F1199" s="22" t="s">
        <v>2825</v>
      </c>
      <c r="G1199" s="22" t="s">
        <v>23</v>
      </c>
      <c r="H1199" s="23">
        <v>215.62459999999999</v>
      </c>
      <c r="I1199" s="24">
        <v>3</v>
      </c>
      <c r="J1199" s="24">
        <v>0</v>
      </c>
      <c r="K1199" s="24">
        <v>0</v>
      </c>
      <c r="L1199" s="41">
        <f>Table2[[#This Row],[Column1]]+Table2[[#This Row],[Column2]]</f>
        <v>0</v>
      </c>
      <c r="M1199" s="42">
        <f>Table2[[#This Row],[OnHandQty]]-Table2[[#This Row],[Projection Nov/Dec]]</f>
        <v>3</v>
      </c>
      <c r="N1199" s="35">
        <f>Table2[[#This Row],[OverStock]]*Table2[[#This Row],[RepCost]]</f>
        <v>646.87379999999996</v>
      </c>
      <c r="O1199" s="25">
        <v>46143.611805555556</v>
      </c>
      <c r="P1199" s="26" t="s">
        <v>354</v>
      </c>
    </row>
    <row r="1200" spans="1:16" x14ac:dyDescent="0.25">
      <c r="A1200" s="20" t="s">
        <v>5211</v>
      </c>
      <c r="B1200" s="21">
        <v>714</v>
      </c>
      <c r="C1200" s="22" t="s">
        <v>323</v>
      </c>
      <c r="D1200" s="22" t="s">
        <v>2824</v>
      </c>
      <c r="E1200" s="22" t="str">
        <f>CONCATENATE(B1200,D1200)</f>
        <v>71467856-308</v>
      </c>
      <c r="F1200" s="22" t="s">
        <v>2825</v>
      </c>
      <c r="G1200" s="22" t="s">
        <v>19</v>
      </c>
      <c r="H1200" s="23">
        <v>123.4923</v>
      </c>
      <c r="I1200" s="24">
        <v>3</v>
      </c>
      <c r="J1200" s="24">
        <v>0</v>
      </c>
      <c r="K1200" s="24">
        <v>0</v>
      </c>
      <c r="L1200" s="41">
        <f>Table2[[#This Row],[Column1]]+Table2[[#This Row],[Column2]]</f>
        <v>0</v>
      </c>
      <c r="M1200" s="42">
        <f>Table2[[#This Row],[OnHandQty]]-Table2[[#This Row],[Projection Nov/Dec]]</f>
        <v>3</v>
      </c>
      <c r="N1200" s="35">
        <f>Table2[[#This Row],[OverStock]]*Table2[[#This Row],[RepCost]]</f>
        <v>370.4769</v>
      </c>
      <c r="O1200" s="25">
        <v>46151.382638888892</v>
      </c>
      <c r="P1200" s="26" t="s">
        <v>2225</v>
      </c>
    </row>
    <row r="1201" spans="1:16" x14ac:dyDescent="0.25">
      <c r="A1201" s="20" t="s">
        <v>5211</v>
      </c>
      <c r="B1201" s="21">
        <v>714</v>
      </c>
      <c r="C1201" s="22" t="s">
        <v>323</v>
      </c>
      <c r="D1201" s="22" t="s">
        <v>3480</v>
      </c>
      <c r="E1201" s="22" t="str">
        <f>CONCATENATE(B1201,D1201)</f>
        <v>71467856-PM110</v>
      </c>
      <c r="F1201" s="22" t="s">
        <v>3481</v>
      </c>
      <c r="G1201" s="22" t="s">
        <v>29</v>
      </c>
      <c r="H1201" s="23">
        <v>208.4571</v>
      </c>
      <c r="I1201" s="24">
        <v>4</v>
      </c>
      <c r="J1201" s="24">
        <v>0</v>
      </c>
      <c r="K1201" s="24">
        <v>0</v>
      </c>
      <c r="L1201" s="41">
        <f>Table2[[#This Row],[Column1]]+Table2[[#This Row],[Column2]]</f>
        <v>0</v>
      </c>
      <c r="M1201" s="42">
        <f>Table2[[#This Row],[OnHandQty]]-Table2[[#This Row],[Projection Nov/Dec]]</f>
        <v>4</v>
      </c>
      <c r="N1201" s="35">
        <f>Table2[[#This Row],[OverStock]]*Table2[[#This Row],[RepCost]]</f>
        <v>833.82839999999999</v>
      </c>
      <c r="O1201" s="25">
        <v>46143.319444444445</v>
      </c>
      <c r="P1201" s="26" t="s">
        <v>67</v>
      </c>
    </row>
    <row r="1202" spans="1:16" x14ac:dyDescent="0.25">
      <c r="A1202" s="20" t="s">
        <v>5211</v>
      </c>
      <c r="B1202" s="21">
        <v>718</v>
      </c>
      <c r="C1202" s="22" t="s">
        <v>323</v>
      </c>
      <c r="D1202" s="22" t="s">
        <v>3480</v>
      </c>
      <c r="E1202" s="22" t="str">
        <f>CONCATENATE(B1202,D1202)</f>
        <v>71867856-PM110</v>
      </c>
      <c r="F1202" s="22" t="s">
        <v>3481</v>
      </c>
      <c r="G1202" s="22" t="s">
        <v>19</v>
      </c>
      <c r="H1202" s="23">
        <v>202.1404</v>
      </c>
      <c r="I1202" s="24">
        <v>2</v>
      </c>
      <c r="J1202" s="24">
        <v>0</v>
      </c>
      <c r="K1202" s="24">
        <v>0</v>
      </c>
      <c r="L1202" s="41">
        <f>Table2[[#This Row],[Column1]]+Table2[[#This Row],[Column2]]</f>
        <v>0</v>
      </c>
      <c r="M1202" s="42">
        <f>Table2[[#This Row],[OnHandQty]]-Table2[[#This Row],[Projection Nov/Dec]]</f>
        <v>2</v>
      </c>
      <c r="N1202" s="35">
        <f>Table2[[#This Row],[OverStock]]*Table2[[#This Row],[RepCost]]</f>
        <v>404.2808</v>
      </c>
      <c r="O1202" s="25">
        <v>46181.580555555556</v>
      </c>
      <c r="P1202" s="26" t="s">
        <v>67</v>
      </c>
    </row>
    <row r="1203" spans="1:16" x14ac:dyDescent="0.25">
      <c r="A1203" s="20" t="s">
        <v>5211</v>
      </c>
      <c r="B1203" s="21">
        <v>636</v>
      </c>
      <c r="C1203" s="22" t="s">
        <v>143</v>
      </c>
      <c r="D1203" s="22" t="s">
        <v>1152</v>
      </c>
      <c r="E1203" s="22" t="str">
        <f>CONCATENATE(B1203,D1203)</f>
        <v>63667860-102</v>
      </c>
      <c r="F1203" s="22" t="s">
        <v>1153</v>
      </c>
      <c r="G1203" s="22" t="s">
        <v>29</v>
      </c>
      <c r="H1203" s="23">
        <v>13.098000000000001</v>
      </c>
      <c r="I1203" s="24">
        <v>48</v>
      </c>
      <c r="J1203" s="24">
        <v>0</v>
      </c>
      <c r="K1203" s="24">
        <v>0</v>
      </c>
      <c r="L1203" s="41">
        <f>Table2[[#This Row],[Column1]]+Table2[[#This Row],[Column2]]</f>
        <v>0</v>
      </c>
      <c r="M1203" s="42">
        <f>Table2[[#This Row],[OnHandQty]]-Table2[[#This Row],[Projection Nov/Dec]]</f>
        <v>48</v>
      </c>
      <c r="N1203" s="35">
        <f>Table2[[#This Row],[OverStock]]*Table2[[#This Row],[RepCost]]</f>
        <v>628.70400000000006</v>
      </c>
      <c r="O1203" s="25">
        <v>44616.540277777778</v>
      </c>
      <c r="P1203" s="26" t="s">
        <v>1154</v>
      </c>
    </row>
    <row r="1204" spans="1:16" x14ac:dyDescent="0.25">
      <c r="A1204" s="20" t="s">
        <v>5211</v>
      </c>
      <c r="B1204" s="21">
        <v>636</v>
      </c>
      <c r="C1204" s="22" t="s">
        <v>143</v>
      </c>
      <c r="D1204" s="22" t="s">
        <v>984</v>
      </c>
      <c r="E1204" s="22" t="str">
        <f>CONCATENATE(B1204,D1204)</f>
        <v>63677886-105</v>
      </c>
      <c r="F1204" s="22" t="s">
        <v>985</v>
      </c>
      <c r="G1204" s="22" t="s">
        <v>29</v>
      </c>
      <c r="H1204" s="23">
        <v>43.445700000000002</v>
      </c>
      <c r="I1204" s="24">
        <v>9</v>
      </c>
      <c r="J1204" s="24">
        <v>0</v>
      </c>
      <c r="K1204" s="24">
        <v>0</v>
      </c>
      <c r="L1204" s="41">
        <f>Table2[[#This Row],[Column1]]+Table2[[#This Row],[Column2]]</f>
        <v>0</v>
      </c>
      <c r="M1204" s="42">
        <f>Table2[[#This Row],[OnHandQty]]-Table2[[#This Row],[Projection Nov/Dec]]</f>
        <v>9</v>
      </c>
      <c r="N1204" s="35">
        <f>Table2[[#This Row],[OverStock]]*Table2[[#This Row],[RepCost]]</f>
        <v>391.01130000000001</v>
      </c>
      <c r="O1204" s="25">
        <v>46177.604166666664</v>
      </c>
      <c r="P1204" s="26" t="s">
        <v>40</v>
      </c>
    </row>
    <row r="1205" spans="1:16" x14ac:dyDescent="0.25">
      <c r="A1205" s="20" t="s">
        <v>5211</v>
      </c>
      <c r="B1205" s="21">
        <v>714</v>
      </c>
      <c r="C1205" s="22" t="s">
        <v>143</v>
      </c>
      <c r="D1205" s="22" t="s">
        <v>2491</v>
      </c>
      <c r="E1205" s="22" t="str">
        <f>CONCATENATE(B1205,D1205)</f>
        <v>71467872-101</v>
      </c>
      <c r="F1205" s="22" t="s">
        <v>2492</v>
      </c>
      <c r="G1205" s="22" t="s">
        <v>29</v>
      </c>
      <c r="H1205" s="23">
        <v>5.7523999999999997</v>
      </c>
      <c r="I1205" s="24">
        <v>63</v>
      </c>
      <c r="J1205" s="24">
        <v>0</v>
      </c>
      <c r="K1205" s="24">
        <v>0</v>
      </c>
      <c r="L1205" s="41">
        <f>Table2[[#This Row],[Column1]]+Table2[[#This Row],[Column2]]</f>
        <v>0</v>
      </c>
      <c r="M1205" s="42">
        <f>Table2[[#This Row],[OnHandQty]]-Table2[[#This Row],[Projection Nov/Dec]]</f>
        <v>63</v>
      </c>
      <c r="N1205" s="35">
        <f>Table2[[#This Row],[OverStock]]*Table2[[#This Row],[RepCost]]</f>
        <v>362.40119999999996</v>
      </c>
      <c r="O1205" s="25">
        <v>46195.50277777778</v>
      </c>
      <c r="P1205" s="26" t="s">
        <v>665</v>
      </c>
    </row>
    <row r="1206" spans="1:16" x14ac:dyDescent="0.25">
      <c r="A1206" s="20" t="s">
        <v>5211</v>
      </c>
      <c r="B1206" s="21">
        <v>714</v>
      </c>
      <c r="C1206" s="22" t="s">
        <v>143</v>
      </c>
      <c r="D1206" s="22" t="s">
        <v>2282</v>
      </c>
      <c r="E1206" s="22" t="str">
        <f>CONCATENATE(B1206,D1206)</f>
        <v>71467872-102</v>
      </c>
      <c r="F1206" s="22" t="s">
        <v>2283</v>
      </c>
      <c r="G1206" s="22" t="s">
        <v>23</v>
      </c>
      <c r="H1206" s="23">
        <v>7.9355000000000002</v>
      </c>
      <c r="I1206" s="24">
        <v>2</v>
      </c>
      <c r="J1206" s="24">
        <v>0</v>
      </c>
      <c r="K1206" s="24">
        <v>0</v>
      </c>
      <c r="L1206" s="41">
        <f>Table2[[#This Row],[Column1]]+Table2[[#This Row],[Column2]]</f>
        <v>0</v>
      </c>
      <c r="M1206" s="42">
        <f>Table2[[#This Row],[OnHandQty]]-Table2[[#This Row],[Projection Nov/Dec]]</f>
        <v>2</v>
      </c>
      <c r="N1206" s="35">
        <f>Table2[[#This Row],[OverStock]]*Table2[[#This Row],[RepCost]]</f>
        <v>15.871</v>
      </c>
      <c r="O1206" s="25">
        <v>46200.333333333336</v>
      </c>
      <c r="P1206" s="26" t="s">
        <v>1154</v>
      </c>
    </row>
    <row r="1207" spans="1:16" x14ac:dyDescent="0.25">
      <c r="A1207" s="20" t="s">
        <v>5211</v>
      </c>
      <c r="B1207" s="21">
        <v>714</v>
      </c>
      <c r="C1207" s="22" t="s">
        <v>143</v>
      </c>
      <c r="D1207" s="22" t="s">
        <v>2760</v>
      </c>
      <c r="E1207" s="22" t="str">
        <f>CONCATENATE(B1207,D1207)</f>
        <v>71467885-101</v>
      </c>
      <c r="F1207" s="22" t="s">
        <v>2761</v>
      </c>
      <c r="G1207" s="22" t="s">
        <v>23</v>
      </c>
      <c r="H1207" s="23">
        <v>5.9580000000000002</v>
      </c>
      <c r="I1207" s="24">
        <v>15</v>
      </c>
      <c r="J1207" s="24">
        <v>12</v>
      </c>
      <c r="K1207" s="24">
        <v>0</v>
      </c>
      <c r="L1207" s="41">
        <f>Table2[[#This Row],[Column1]]+Table2[[#This Row],[Column2]]</f>
        <v>12</v>
      </c>
      <c r="M1207" s="42">
        <f>Table2[[#This Row],[OnHandQty]]-Table2[[#This Row],[Projection Nov/Dec]]</f>
        <v>3</v>
      </c>
      <c r="N1207" s="35">
        <f>Table2[[#This Row],[OverStock]]*Table2[[#This Row],[RepCost]]</f>
        <v>17.874000000000002</v>
      </c>
      <c r="O1207" s="25">
        <v>46213.45</v>
      </c>
      <c r="P1207" s="26" t="s">
        <v>1877</v>
      </c>
    </row>
    <row r="1208" spans="1:16" x14ac:dyDescent="0.25">
      <c r="A1208" s="20" t="s">
        <v>5211</v>
      </c>
      <c r="B1208" s="21">
        <v>714</v>
      </c>
      <c r="C1208" s="22" t="s">
        <v>143</v>
      </c>
      <c r="D1208" s="22" t="s">
        <v>2529</v>
      </c>
      <c r="E1208" s="22" t="str">
        <f>CONCATENATE(B1208,D1208)</f>
        <v>71467887-103</v>
      </c>
      <c r="F1208" s="22" t="s">
        <v>2530</v>
      </c>
      <c r="G1208" s="22" t="s">
        <v>29</v>
      </c>
      <c r="H1208" s="23">
        <v>10.5984</v>
      </c>
      <c r="I1208" s="24">
        <v>3</v>
      </c>
      <c r="J1208" s="24">
        <v>0</v>
      </c>
      <c r="K1208" s="24">
        <v>0</v>
      </c>
      <c r="L1208" s="41">
        <f>Table2[[#This Row],[Column1]]+Table2[[#This Row],[Column2]]</f>
        <v>0</v>
      </c>
      <c r="M1208" s="42">
        <f>Table2[[#This Row],[OnHandQty]]-Table2[[#This Row],[Projection Nov/Dec]]</f>
        <v>3</v>
      </c>
      <c r="N1208" s="35">
        <f>Table2[[#This Row],[OverStock]]*Table2[[#This Row],[RepCost]]</f>
        <v>31.795200000000001</v>
      </c>
      <c r="O1208" s="25">
        <v>45941.409722222219</v>
      </c>
      <c r="P1208" s="26" t="s">
        <v>2225</v>
      </c>
    </row>
    <row r="1209" spans="1:16" x14ac:dyDescent="0.25">
      <c r="A1209" s="20" t="s">
        <v>5211</v>
      </c>
      <c r="B1209" s="21">
        <v>636</v>
      </c>
      <c r="C1209" s="22" t="s">
        <v>143</v>
      </c>
      <c r="D1209" s="22" t="s">
        <v>1125</v>
      </c>
      <c r="E1209" s="22" t="str">
        <f>CONCATENATE(B1209,D1209)</f>
        <v>63667912-BS007</v>
      </c>
      <c r="F1209" s="22" t="s">
        <v>1126</v>
      </c>
      <c r="G1209" s="22" t="s">
        <v>29</v>
      </c>
      <c r="H1209" s="23">
        <v>25.4939</v>
      </c>
      <c r="I1209" s="24">
        <v>4</v>
      </c>
      <c r="J1209" s="24">
        <v>0</v>
      </c>
      <c r="K1209" s="24">
        <v>0</v>
      </c>
      <c r="L1209" s="41">
        <f>Table2[[#This Row],[Column1]]+Table2[[#This Row],[Column2]]</f>
        <v>0</v>
      </c>
      <c r="M1209" s="42">
        <f>Table2[[#This Row],[OnHandQty]]-Table2[[#This Row],[Projection Nov/Dec]]</f>
        <v>4</v>
      </c>
      <c r="N1209" s="35">
        <f>Table2[[#This Row],[OverStock]]*Table2[[#This Row],[RepCost]]</f>
        <v>101.9756</v>
      </c>
      <c r="O1209" s="25">
        <v>46114.597916666666</v>
      </c>
      <c r="P1209" s="26" t="s">
        <v>797</v>
      </c>
    </row>
    <row r="1210" spans="1:16" x14ac:dyDescent="0.25">
      <c r="A1210" s="20" t="s">
        <v>5211</v>
      </c>
      <c r="B1210" s="21">
        <v>714</v>
      </c>
      <c r="C1210" s="22" t="s">
        <v>143</v>
      </c>
      <c r="D1210" s="22" t="s">
        <v>2440</v>
      </c>
      <c r="E1210" s="22" t="str">
        <f>CONCATENATE(B1210,D1210)</f>
        <v>71467912-STK105</v>
      </c>
      <c r="F1210" s="22" t="s">
        <v>2441</v>
      </c>
      <c r="G1210" s="22" t="s">
        <v>29</v>
      </c>
      <c r="H1210" s="23">
        <v>51.570099999999996</v>
      </c>
      <c r="I1210" s="24">
        <v>3</v>
      </c>
      <c r="J1210" s="24">
        <v>0</v>
      </c>
      <c r="K1210" s="24">
        <v>0</v>
      </c>
      <c r="L1210" s="41">
        <f>Table2[[#This Row],[Column1]]+Table2[[#This Row],[Column2]]</f>
        <v>0</v>
      </c>
      <c r="M1210" s="42">
        <f>Table2[[#This Row],[OnHandQty]]-Table2[[#This Row],[Projection Nov/Dec]]</f>
        <v>3</v>
      </c>
      <c r="N1210" s="35">
        <f>Table2[[#This Row],[OverStock]]*Table2[[#This Row],[RepCost]]</f>
        <v>154.71029999999999</v>
      </c>
      <c r="O1210" s="25">
        <v>46126.649305555555</v>
      </c>
      <c r="P1210" s="26" t="s">
        <v>67</v>
      </c>
    </row>
    <row r="1211" spans="1:16" x14ac:dyDescent="0.25">
      <c r="A1211" s="20" t="s">
        <v>5211</v>
      </c>
      <c r="B1211" s="21">
        <v>714</v>
      </c>
      <c r="C1211" s="22" t="s">
        <v>323</v>
      </c>
      <c r="D1211" s="22" t="s">
        <v>2844</v>
      </c>
      <c r="E1211" s="22" t="str">
        <f>CONCATENATE(B1211,D1211)</f>
        <v>71477878-110</v>
      </c>
      <c r="F1211" s="22" t="s">
        <v>2845</v>
      </c>
      <c r="G1211" s="22" t="s">
        <v>23</v>
      </c>
      <c r="H1211" s="23">
        <v>128.53149999999999</v>
      </c>
      <c r="I1211" s="24">
        <v>13</v>
      </c>
      <c r="J1211" s="24">
        <v>0</v>
      </c>
      <c r="K1211" s="24">
        <v>0</v>
      </c>
      <c r="L1211" s="41">
        <f>Table2[[#This Row],[Column1]]+Table2[[#This Row],[Column2]]</f>
        <v>0</v>
      </c>
      <c r="M1211" s="42">
        <f>Table2[[#This Row],[OnHandQty]]-Table2[[#This Row],[Projection Nov/Dec]]</f>
        <v>13</v>
      </c>
      <c r="N1211" s="35">
        <f>Table2[[#This Row],[OverStock]]*Table2[[#This Row],[RepCost]]</f>
        <v>1670.9095</v>
      </c>
      <c r="O1211" s="25">
        <v>46198.373611111114</v>
      </c>
      <c r="P1211" s="26" t="s">
        <v>67</v>
      </c>
    </row>
    <row r="1212" spans="1:16" x14ac:dyDescent="0.25">
      <c r="A1212" s="20" t="s">
        <v>5211</v>
      </c>
      <c r="B1212" s="21">
        <v>714</v>
      </c>
      <c r="C1212" s="22" t="s">
        <v>323</v>
      </c>
      <c r="D1212" s="22" t="s">
        <v>2844</v>
      </c>
      <c r="E1212" s="22" t="str">
        <f>CONCATENATE(B1212,D1212)</f>
        <v>71477878-110</v>
      </c>
      <c r="F1212" s="22" t="s">
        <v>2845</v>
      </c>
      <c r="G1212" s="22" t="s">
        <v>23</v>
      </c>
      <c r="H1212" s="23">
        <v>128.53149999999999</v>
      </c>
      <c r="I1212" s="24">
        <v>13</v>
      </c>
      <c r="J1212" s="24">
        <v>0</v>
      </c>
      <c r="K1212" s="24">
        <v>0</v>
      </c>
      <c r="L1212" s="41">
        <f>Table2[[#This Row],[Column1]]+Table2[[#This Row],[Column2]]</f>
        <v>0</v>
      </c>
      <c r="M1212" s="42">
        <f>Table2[[#This Row],[OnHandQty]]-Table2[[#This Row],[Projection Nov/Dec]]</f>
        <v>13</v>
      </c>
      <c r="N1212" s="35">
        <f>Table2[[#This Row],[OverStock]]*Table2[[#This Row],[RepCost]]</f>
        <v>1670.9095</v>
      </c>
      <c r="O1212" s="25">
        <v>46198.373611111114</v>
      </c>
      <c r="P1212" s="26" t="s">
        <v>67</v>
      </c>
    </row>
    <row r="1213" spans="1:16" x14ac:dyDescent="0.25">
      <c r="A1213" s="20" t="s">
        <v>5211</v>
      </c>
      <c r="B1213" s="21">
        <v>718</v>
      </c>
      <c r="C1213" s="22" t="s">
        <v>323</v>
      </c>
      <c r="D1213" s="22" t="s">
        <v>3857</v>
      </c>
      <c r="E1213" s="22" t="str">
        <f>CONCATENATE(B1213,D1213)</f>
        <v>71877878-115</v>
      </c>
      <c r="F1213" s="22" t="s">
        <v>3858</v>
      </c>
      <c r="G1213" s="22" t="s">
        <v>29</v>
      </c>
      <c r="H1213" s="23">
        <v>57.274000000000001</v>
      </c>
      <c r="I1213" s="24">
        <v>1</v>
      </c>
      <c r="J1213" s="24">
        <v>0</v>
      </c>
      <c r="K1213" s="24">
        <v>0</v>
      </c>
      <c r="L1213" s="41">
        <f>Table2[[#This Row],[Column1]]+Table2[[#This Row],[Column2]]</f>
        <v>0</v>
      </c>
      <c r="M1213" s="42">
        <f>Table2[[#This Row],[OnHandQty]]-Table2[[#This Row],[Projection Nov/Dec]]</f>
        <v>1</v>
      </c>
      <c r="N1213" s="35">
        <f>Table2[[#This Row],[OverStock]]*Table2[[#This Row],[RepCost]]</f>
        <v>57.274000000000001</v>
      </c>
      <c r="O1213" s="25">
        <v>45055.906944444447</v>
      </c>
      <c r="P1213" s="26" t="s">
        <v>1179</v>
      </c>
    </row>
    <row r="1214" spans="1:16" x14ac:dyDescent="0.25">
      <c r="A1214" s="20" t="s">
        <v>5211</v>
      </c>
      <c r="B1214" s="21">
        <v>718</v>
      </c>
      <c r="C1214" s="22" t="s">
        <v>323</v>
      </c>
      <c r="D1214" s="22" t="s">
        <v>3891</v>
      </c>
      <c r="E1214" s="22" t="str">
        <f>CONCATENATE(B1214,D1214)</f>
        <v>71877878-305</v>
      </c>
      <c r="F1214" s="22" t="s">
        <v>3892</v>
      </c>
      <c r="G1214" s="22" t="s">
        <v>23</v>
      </c>
      <c r="H1214" s="23">
        <v>50.604999999999997</v>
      </c>
      <c r="I1214" s="24">
        <v>27</v>
      </c>
      <c r="J1214" s="24">
        <v>0</v>
      </c>
      <c r="K1214" s="24">
        <v>0</v>
      </c>
      <c r="L1214" s="41">
        <f>Table2[[#This Row],[Column1]]+Table2[[#This Row],[Column2]]</f>
        <v>0</v>
      </c>
      <c r="M1214" s="42">
        <f>Table2[[#This Row],[OnHandQty]]-Table2[[#This Row],[Projection Nov/Dec]]</f>
        <v>27</v>
      </c>
      <c r="N1214" s="35">
        <f>Table2[[#This Row],[OverStock]]*Table2[[#This Row],[RepCost]]</f>
        <v>1366.3349999999998</v>
      </c>
      <c r="O1214" s="25">
        <v>46175.657638888886</v>
      </c>
      <c r="P1214" s="26" t="s">
        <v>3755</v>
      </c>
    </row>
    <row r="1215" spans="1:16" x14ac:dyDescent="0.25">
      <c r="A1215" s="20" t="s">
        <v>5211</v>
      </c>
      <c r="B1215" s="21">
        <v>718</v>
      </c>
      <c r="C1215" s="22" t="s">
        <v>323</v>
      </c>
      <c r="D1215" s="22" t="s">
        <v>3832</v>
      </c>
      <c r="E1215" s="22" t="str">
        <f>CONCATENATE(B1215,D1215)</f>
        <v>71867935-305</v>
      </c>
      <c r="F1215" s="22" t="s">
        <v>3833</v>
      </c>
      <c r="G1215" s="22" t="s">
        <v>23</v>
      </c>
      <c r="H1215" s="23">
        <v>116.59690000000001</v>
      </c>
      <c r="I1215" s="24">
        <v>1</v>
      </c>
      <c r="J1215" s="24">
        <v>0</v>
      </c>
      <c r="K1215" s="24">
        <v>0</v>
      </c>
      <c r="L1215" s="41">
        <f>Table2[[#This Row],[Column1]]+Table2[[#This Row],[Column2]]</f>
        <v>0</v>
      </c>
      <c r="M1215" s="42">
        <f>Table2[[#This Row],[OnHandQty]]-Table2[[#This Row],[Projection Nov/Dec]]</f>
        <v>1</v>
      </c>
      <c r="N1215" s="35">
        <f>Table2[[#This Row],[OverStock]]*Table2[[#This Row],[RepCost]]</f>
        <v>116.59690000000001</v>
      </c>
      <c r="O1215" s="25">
        <v>46135.509027777778</v>
      </c>
      <c r="P1215" s="26" t="s">
        <v>2423</v>
      </c>
    </row>
    <row r="1216" spans="1:16" x14ac:dyDescent="0.25">
      <c r="A1216" s="20" t="s">
        <v>5211</v>
      </c>
      <c r="B1216" s="21">
        <v>714</v>
      </c>
      <c r="C1216" s="22" t="s">
        <v>323</v>
      </c>
      <c r="D1216" s="22" t="s">
        <v>3343</v>
      </c>
      <c r="E1216" s="22" t="str">
        <f>CONCATENATE(B1216,D1216)</f>
        <v>71467935-105</v>
      </c>
      <c r="F1216" s="22" t="s">
        <v>3344</v>
      </c>
      <c r="G1216" s="22" t="s">
        <v>29</v>
      </c>
      <c r="H1216" s="23">
        <v>47.473199999999999</v>
      </c>
      <c r="I1216" s="24">
        <v>6</v>
      </c>
      <c r="J1216" s="24">
        <v>1</v>
      </c>
      <c r="K1216" s="24">
        <v>0</v>
      </c>
      <c r="L1216" s="41">
        <f>Table2[[#This Row],[Column1]]+Table2[[#This Row],[Column2]]</f>
        <v>1</v>
      </c>
      <c r="M1216" s="42">
        <f>Table2[[#This Row],[OnHandQty]]-Table2[[#This Row],[Projection Nov/Dec]]</f>
        <v>5</v>
      </c>
      <c r="N1216" s="35">
        <f>Table2[[#This Row],[OverStock]]*Table2[[#This Row],[RepCost]]</f>
        <v>237.36599999999999</v>
      </c>
      <c r="O1216" s="25">
        <v>46126.649305555555</v>
      </c>
      <c r="P1216" s="26" t="s">
        <v>67</v>
      </c>
    </row>
    <row r="1217" spans="1:16" x14ac:dyDescent="0.25">
      <c r="A1217" s="20" t="s">
        <v>5211</v>
      </c>
      <c r="B1217" s="21">
        <v>718</v>
      </c>
      <c r="C1217" s="22" t="s">
        <v>323</v>
      </c>
      <c r="D1217" s="22" t="s">
        <v>3343</v>
      </c>
      <c r="E1217" s="22" t="str">
        <f>CONCATENATE(B1217,D1217)</f>
        <v>71867935-105</v>
      </c>
      <c r="F1217" s="22" t="s">
        <v>3344</v>
      </c>
      <c r="G1217" s="22" t="s">
        <v>39</v>
      </c>
      <c r="H1217" s="23">
        <v>47.134399999999999</v>
      </c>
      <c r="I1217" s="24">
        <v>5</v>
      </c>
      <c r="J1217" s="24">
        <v>1</v>
      </c>
      <c r="K1217" s="24">
        <v>0</v>
      </c>
      <c r="L1217" s="41">
        <f>Table2[[#This Row],[Column1]]+Table2[[#This Row],[Column2]]</f>
        <v>1</v>
      </c>
      <c r="M1217" s="42">
        <f>Table2[[#This Row],[OnHandQty]]-Table2[[#This Row],[Projection Nov/Dec]]</f>
        <v>4</v>
      </c>
      <c r="N1217" s="35">
        <f>Table2[[#This Row],[OverStock]]*Table2[[#This Row],[RepCost]]</f>
        <v>188.5376</v>
      </c>
      <c r="O1217" s="25">
        <v>46181.580555555556</v>
      </c>
      <c r="P1217" s="26" t="s">
        <v>67</v>
      </c>
    </row>
    <row r="1218" spans="1:16" x14ac:dyDescent="0.25">
      <c r="A1218" s="20" t="s">
        <v>5211</v>
      </c>
      <c r="B1218" s="21">
        <v>636</v>
      </c>
      <c r="C1218" s="22" t="s">
        <v>323</v>
      </c>
      <c r="D1218" s="22" t="s">
        <v>328</v>
      </c>
      <c r="E1218" s="22" t="str">
        <f>CONCATENATE(B1218,D1218)</f>
        <v>63667935-306</v>
      </c>
      <c r="F1218" s="22" t="s">
        <v>329</v>
      </c>
      <c r="G1218" s="22" t="s">
        <v>19</v>
      </c>
      <c r="H1218" s="23">
        <v>134.64570000000001</v>
      </c>
      <c r="I1218" s="24">
        <v>1</v>
      </c>
      <c r="J1218" s="24">
        <v>0</v>
      </c>
      <c r="K1218" s="24">
        <v>0</v>
      </c>
      <c r="L1218" s="41">
        <f>Table2[[#This Row],[Column1]]+Table2[[#This Row],[Column2]]</f>
        <v>0</v>
      </c>
      <c r="M1218" s="42">
        <f>Table2[[#This Row],[OnHandQty]]-Table2[[#This Row],[Projection Nov/Dec]]</f>
        <v>1</v>
      </c>
      <c r="N1218" s="35">
        <f>Table2[[#This Row],[OverStock]]*Table2[[#This Row],[RepCost]]</f>
        <v>134.64570000000001</v>
      </c>
      <c r="O1218" s="25">
        <v>46114.612500000003</v>
      </c>
      <c r="P1218" s="26" t="s">
        <v>330</v>
      </c>
    </row>
    <row r="1219" spans="1:16" x14ac:dyDescent="0.25">
      <c r="A1219" s="20" t="s">
        <v>5211</v>
      </c>
      <c r="B1219" s="21">
        <v>634</v>
      </c>
      <c r="C1219" s="22" t="s">
        <v>323</v>
      </c>
      <c r="D1219" s="22" t="s">
        <v>328</v>
      </c>
      <c r="E1219" s="22" t="str">
        <f>CONCATENATE(B1219,D1219)</f>
        <v>63467935-306</v>
      </c>
      <c r="F1219" s="22" t="s">
        <v>329</v>
      </c>
      <c r="G1219" s="22" t="s">
        <v>19</v>
      </c>
      <c r="H1219" s="23">
        <v>130.42089999999999</v>
      </c>
      <c r="I1219" s="24">
        <v>5</v>
      </c>
      <c r="J1219" s="24">
        <v>0</v>
      </c>
      <c r="K1219" s="24">
        <v>0</v>
      </c>
      <c r="L1219" s="41">
        <f>Table2[[#This Row],[Column1]]+Table2[[#This Row],[Column2]]</f>
        <v>0</v>
      </c>
      <c r="M1219" s="42">
        <f>Table2[[#This Row],[OnHandQty]]-Table2[[#This Row],[Projection Nov/Dec]]</f>
        <v>5</v>
      </c>
      <c r="N1219" s="35">
        <f>Table2[[#This Row],[OverStock]]*Table2[[#This Row],[RepCost]]</f>
        <v>652.10449999999992</v>
      </c>
      <c r="O1219" s="25">
        <v>46134.371527777781</v>
      </c>
      <c r="P1219" s="26" t="s">
        <v>330</v>
      </c>
    </row>
    <row r="1220" spans="1:16" x14ac:dyDescent="0.25">
      <c r="A1220" s="20" t="s">
        <v>5211</v>
      </c>
      <c r="B1220" s="21">
        <v>636</v>
      </c>
      <c r="C1220" s="22" t="s">
        <v>323</v>
      </c>
      <c r="D1220" s="22" t="s">
        <v>1719</v>
      </c>
      <c r="E1220" s="22" t="str">
        <f>CONCATENATE(B1220,D1220)</f>
        <v>63667943-308</v>
      </c>
      <c r="F1220" s="22" t="s">
        <v>1720</v>
      </c>
      <c r="G1220" s="22" t="s">
        <v>23</v>
      </c>
      <c r="H1220" s="23">
        <v>192.99209999999999</v>
      </c>
      <c r="I1220" s="24">
        <v>1</v>
      </c>
      <c r="J1220" s="24">
        <v>0</v>
      </c>
      <c r="K1220" s="24">
        <v>0</v>
      </c>
      <c r="L1220" s="41">
        <f>Table2[[#This Row],[Column1]]+Table2[[#This Row],[Column2]]</f>
        <v>0</v>
      </c>
      <c r="M1220" s="42">
        <f>Table2[[#This Row],[OnHandQty]]-Table2[[#This Row],[Projection Nov/Dec]]</f>
        <v>1</v>
      </c>
      <c r="N1220" s="35">
        <f>Table2[[#This Row],[OverStock]]*Table2[[#This Row],[RepCost]]</f>
        <v>192.99209999999999</v>
      </c>
      <c r="O1220" s="25">
        <v>46114.612500000003</v>
      </c>
      <c r="P1220" s="26" t="s">
        <v>330</v>
      </c>
    </row>
    <row r="1221" spans="1:16" x14ac:dyDescent="0.25">
      <c r="A1221" s="20" t="s">
        <v>5211</v>
      </c>
      <c r="B1221" s="21">
        <v>636</v>
      </c>
      <c r="C1221" s="22" t="s">
        <v>323</v>
      </c>
      <c r="D1221" s="22" t="s">
        <v>449</v>
      </c>
      <c r="E1221" s="22" t="str">
        <f>CONCATENATE(B1221,D1221)</f>
        <v>63667947-306</v>
      </c>
      <c r="F1221" s="22" t="s">
        <v>450</v>
      </c>
      <c r="G1221" s="22" t="s">
        <v>29</v>
      </c>
      <c r="H1221" s="23">
        <v>115.2109</v>
      </c>
      <c r="I1221" s="24">
        <v>1</v>
      </c>
      <c r="J1221" s="24">
        <v>0</v>
      </c>
      <c r="K1221" s="24">
        <v>0</v>
      </c>
      <c r="L1221" s="41">
        <f>Table2[[#This Row],[Column1]]+Table2[[#This Row],[Column2]]</f>
        <v>0</v>
      </c>
      <c r="M1221" s="42">
        <f>Table2[[#This Row],[OnHandQty]]-Table2[[#This Row],[Projection Nov/Dec]]</f>
        <v>1</v>
      </c>
      <c r="N1221" s="35">
        <f>Table2[[#This Row],[OverStock]]*Table2[[#This Row],[RepCost]]</f>
        <v>115.2109</v>
      </c>
      <c r="O1221" s="25">
        <v>43936.527777777781</v>
      </c>
      <c r="P1221" s="26" t="s">
        <v>137</v>
      </c>
    </row>
    <row r="1222" spans="1:16" x14ac:dyDescent="0.25">
      <c r="A1222" s="20" t="s">
        <v>5211</v>
      </c>
      <c r="B1222" s="21">
        <v>634</v>
      </c>
      <c r="C1222" s="22" t="s">
        <v>323</v>
      </c>
      <c r="D1222" s="22" t="s">
        <v>449</v>
      </c>
      <c r="E1222" s="22" t="str">
        <f>CONCATENATE(B1222,D1222)</f>
        <v>63467947-306</v>
      </c>
      <c r="F1222" s="22" t="s">
        <v>450</v>
      </c>
      <c r="G1222" s="22" t="s">
        <v>23</v>
      </c>
      <c r="H1222" s="23">
        <v>115.2109</v>
      </c>
      <c r="I1222" s="24">
        <v>1</v>
      </c>
      <c r="J1222" s="24">
        <v>0</v>
      </c>
      <c r="K1222" s="24">
        <v>0</v>
      </c>
      <c r="L1222" s="41">
        <f>Table2[[#This Row],[Column1]]+Table2[[#This Row],[Column2]]</f>
        <v>0</v>
      </c>
      <c r="M1222" s="42">
        <f>Table2[[#This Row],[OnHandQty]]-Table2[[#This Row],[Projection Nov/Dec]]</f>
        <v>1</v>
      </c>
      <c r="N1222" s="35">
        <f>Table2[[#This Row],[OverStock]]*Table2[[#This Row],[RepCost]]</f>
        <v>115.2109</v>
      </c>
      <c r="O1222" s="25">
        <v>46134.371527777781</v>
      </c>
      <c r="P1222" s="26" t="s">
        <v>330</v>
      </c>
    </row>
    <row r="1223" spans="1:16" x14ac:dyDescent="0.25">
      <c r="A1223" s="20" t="s">
        <v>5211</v>
      </c>
      <c r="B1223" s="21">
        <v>714</v>
      </c>
      <c r="C1223" s="22" t="s">
        <v>323</v>
      </c>
      <c r="D1223" s="22" t="s">
        <v>2928</v>
      </c>
      <c r="E1223" s="22" t="str">
        <f>CONCATENATE(B1223,D1223)</f>
        <v>71467974-102</v>
      </c>
      <c r="F1223" s="22" t="s">
        <v>2929</v>
      </c>
      <c r="G1223" s="22" t="s">
        <v>29</v>
      </c>
      <c r="H1223" s="23">
        <v>17.047799999999999</v>
      </c>
      <c r="I1223" s="24">
        <v>586</v>
      </c>
      <c r="J1223" s="24">
        <v>0</v>
      </c>
      <c r="K1223" s="24">
        <v>0</v>
      </c>
      <c r="L1223" s="41">
        <f>Table2[[#This Row],[Column1]]+Table2[[#This Row],[Column2]]</f>
        <v>0</v>
      </c>
      <c r="M1223" s="42">
        <f>Table2[[#This Row],[OnHandQty]]-Table2[[#This Row],[Projection Nov/Dec]]</f>
        <v>586</v>
      </c>
      <c r="N1223" s="35">
        <f>Table2[[#This Row],[OverStock]]*Table2[[#This Row],[RepCost]]</f>
        <v>9990.0108</v>
      </c>
      <c r="O1223" s="25">
        <v>46149.572222222225</v>
      </c>
      <c r="P1223" s="26" t="s">
        <v>2930</v>
      </c>
    </row>
    <row r="1224" spans="1:16" x14ac:dyDescent="0.25">
      <c r="A1224" s="20" t="s">
        <v>5211</v>
      </c>
      <c r="B1224" s="21">
        <v>714</v>
      </c>
      <c r="C1224" s="22" t="s">
        <v>323</v>
      </c>
      <c r="D1224" s="22" t="s">
        <v>2928</v>
      </c>
      <c r="E1224" s="22" t="str">
        <f>CONCATENATE(B1224,D1224)</f>
        <v>71467974-102</v>
      </c>
      <c r="F1224" s="22" t="s">
        <v>2929</v>
      </c>
      <c r="G1224" s="22" t="s">
        <v>29</v>
      </c>
      <c r="H1224" s="23">
        <v>17.047799999999999</v>
      </c>
      <c r="I1224" s="24">
        <v>586</v>
      </c>
      <c r="J1224" s="24">
        <v>0</v>
      </c>
      <c r="K1224" s="24">
        <v>0</v>
      </c>
      <c r="L1224" s="41">
        <f>Table2[[#This Row],[Column1]]+Table2[[#This Row],[Column2]]</f>
        <v>0</v>
      </c>
      <c r="M1224" s="42">
        <f>Table2[[#This Row],[OnHandQty]]-Table2[[#This Row],[Projection Nov/Dec]]</f>
        <v>586</v>
      </c>
      <c r="N1224" s="35">
        <f>Table2[[#This Row],[OverStock]]*Table2[[#This Row],[RepCost]]</f>
        <v>9990.0108</v>
      </c>
      <c r="O1224" s="25">
        <v>46149.572222222225</v>
      </c>
      <c r="P1224" s="26" t="s">
        <v>2930</v>
      </c>
    </row>
    <row r="1225" spans="1:16" x14ac:dyDescent="0.25">
      <c r="A1225" s="20" t="s">
        <v>5211</v>
      </c>
      <c r="B1225" s="21">
        <v>714</v>
      </c>
      <c r="C1225" s="22" t="s">
        <v>323</v>
      </c>
      <c r="D1225" s="22" t="s">
        <v>3486</v>
      </c>
      <c r="E1225" s="22" t="str">
        <f>CONCATENATE(B1225,D1225)</f>
        <v>71467974-307</v>
      </c>
      <c r="F1225" s="22" t="s">
        <v>3487</v>
      </c>
      <c r="G1225" s="22" t="s">
        <v>19</v>
      </c>
      <c r="H1225" s="23">
        <v>194.28989999999999</v>
      </c>
      <c r="I1225" s="24">
        <v>3</v>
      </c>
      <c r="J1225" s="24">
        <v>0</v>
      </c>
      <c r="K1225" s="24">
        <v>0</v>
      </c>
      <c r="L1225" s="41">
        <f>Table2[[#This Row],[Column1]]+Table2[[#This Row],[Column2]]</f>
        <v>0</v>
      </c>
      <c r="M1225" s="42">
        <f>Table2[[#This Row],[OnHandQty]]-Table2[[#This Row],[Projection Nov/Dec]]</f>
        <v>3</v>
      </c>
      <c r="N1225" s="35">
        <f>Table2[[#This Row],[OverStock]]*Table2[[#This Row],[RepCost]]</f>
        <v>582.86969999999997</v>
      </c>
      <c r="O1225" s="25">
        <v>46164.666666666664</v>
      </c>
      <c r="P1225" s="26" t="s">
        <v>444</v>
      </c>
    </row>
    <row r="1226" spans="1:16" x14ac:dyDescent="0.25">
      <c r="A1226" s="20" t="s">
        <v>5211</v>
      </c>
      <c r="B1226" s="21">
        <v>714</v>
      </c>
      <c r="C1226" s="22" t="s">
        <v>323</v>
      </c>
      <c r="D1226" s="22" t="s">
        <v>2959</v>
      </c>
      <c r="E1226" s="22" t="str">
        <f>CONCATENATE(B1226,D1226)</f>
        <v>71490200-305</v>
      </c>
      <c r="F1226" s="22" t="s">
        <v>2960</v>
      </c>
      <c r="G1226" s="22" t="s">
        <v>19</v>
      </c>
      <c r="H1226" s="23">
        <v>115.0189</v>
      </c>
      <c r="I1226" s="24">
        <v>1</v>
      </c>
      <c r="J1226" s="24">
        <v>0</v>
      </c>
      <c r="K1226" s="24">
        <v>0</v>
      </c>
      <c r="L1226" s="41">
        <f>Table2[[#This Row],[Column1]]+Table2[[#This Row],[Column2]]</f>
        <v>0</v>
      </c>
      <c r="M1226" s="42">
        <f>Table2[[#This Row],[OnHandQty]]-Table2[[#This Row],[Projection Nov/Dec]]</f>
        <v>1</v>
      </c>
      <c r="N1226" s="35">
        <f>Table2[[#This Row],[OverStock]]*Table2[[#This Row],[RepCost]]</f>
        <v>115.0189</v>
      </c>
      <c r="O1226" s="25">
        <v>46086.355555555558</v>
      </c>
      <c r="P1226" s="26" t="s">
        <v>2271</v>
      </c>
    </row>
    <row r="1227" spans="1:16" x14ac:dyDescent="0.25">
      <c r="A1227" s="20" t="s">
        <v>5211</v>
      </c>
      <c r="B1227" s="21">
        <v>636</v>
      </c>
      <c r="C1227" s="22" t="s">
        <v>143</v>
      </c>
      <c r="D1227" s="22" t="s">
        <v>986</v>
      </c>
      <c r="E1227" s="22" t="str">
        <f>CONCATENATE(B1227,D1227)</f>
        <v>63667962-102</v>
      </c>
      <c r="F1227" s="22" t="s">
        <v>987</v>
      </c>
      <c r="G1227" s="22" t="s">
        <v>19</v>
      </c>
      <c r="H1227" s="23">
        <v>12.914099999999999</v>
      </c>
      <c r="I1227" s="24">
        <v>4</v>
      </c>
      <c r="J1227" s="24">
        <v>0</v>
      </c>
      <c r="K1227" s="24">
        <v>0</v>
      </c>
      <c r="L1227" s="41">
        <f>Table2[[#This Row],[Column1]]+Table2[[#This Row],[Column2]]</f>
        <v>0</v>
      </c>
      <c r="M1227" s="42">
        <f>Table2[[#This Row],[OnHandQty]]-Table2[[#This Row],[Projection Nov/Dec]]</f>
        <v>4</v>
      </c>
      <c r="N1227" s="35">
        <f>Table2[[#This Row],[OverStock]]*Table2[[#This Row],[RepCost]]</f>
        <v>51.656399999999998</v>
      </c>
      <c r="O1227" s="25">
        <v>46247.30972222222</v>
      </c>
      <c r="P1227" s="26" t="s">
        <v>40</v>
      </c>
    </row>
    <row r="1228" spans="1:16" x14ac:dyDescent="0.25">
      <c r="A1228" s="20" t="s">
        <v>5211</v>
      </c>
      <c r="B1228" s="21">
        <v>714</v>
      </c>
      <c r="C1228" s="22" t="s">
        <v>323</v>
      </c>
      <c r="D1228" s="22" t="s">
        <v>3231</v>
      </c>
      <c r="E1228" s="22" t="str">
        <f>CONCATENATE(B1228,D1228)</f>
        <v>71467963-307</v>
      </c>
      <c r="F1228" s="22" t="s">
        <v>3232</v>
      </c>
      <c r="G1228" s="22" t="s">
        <v>29</v>
      </c>
      <c r="H1228" s="23">
        <v>173.46700000000001</v>
      </c>
      <c r="I1228" s="24">
        <v>17</v>
      </c>
      <c r="J1228" s="24">
        <v>3</v>
      </c>
      <c r="K1228" s="24">
        <v>0</v>
      </c>
      <c r="L1228" s="41">
        <f>Table2[[#This Row],[Column1]]+Table2[[#This Row],[Column2]]</f>
        <v>3</v>
      </c>
      <c r="M1228" s="42">
        <f>Table2[[#This Row],[OnHandQty]]-Table2[[#This Row],[Projection Nov/Dec]]</f>
        <v>14</v>
      </c>
      <c r="N1228" s="35">
        <f>Table2[[#This Row],[OverStock]]*Table2[[#This Row],[RepCost]]</f>
        <v>2428.538</v>
      </c>
      <c r="O1228" s="25">
        <v>46137.60833333333</v>
      </c>
      <c r="P1228" s="26" t="s">
        <v>2379</v>
      </c>
    </row>
    <row r="1229" spans="1:16" x14ac:dyDescent="0.25">
      <c r="A1229" s="20" t="s">
        <v>5211</v>
      </c>
      <c r="B1229" s="21">
        <v>718</v>
      </c>
      <c r="C1229" s="22" t="s">
        <v>323</v>
      </c>
      <c r="D1229" s="22" t="s">
        <v>3859</v>
      </c>
      <c r="E1229" s="22" t="str">
        <f>CONCATENATE(B1229,D1229)</f>
        <v>71877919-110</v>
      </c>
      <c r="F1229" s="22" t="s">
        <v>3860</v>
      </c>
      <c r="G1229" s="22" t="s">
        <v>29</v>
      </c>
      <c r="H1229" s="23">
        <v>123.0064</v>
      </c>
      <c r="I1229" s="24">
        <v>1</v>
      </c>
      <c r="J1229" s="24">
        <v>0</v>
      </c>
      <c r="K1229" s="24">
        <v>0</v>
      </c>
      <c r="L1229" s="41">
        <f>Table2[[#This Row],[Column1]]+Table2[[#This Row],[Column2]]</f>
        <v>0</v>
      </c>
      <c r="M1229" s="42">
        <f>Table2[[#This Row],[OnHandQty]]-Table2[[#This Row],[Projection Nov/Dec]]</f>
        <v>1</v>
      </c>
      <c r="N1229" s="35">
        <f>Table2[[#This Row],[OverStock]]*Table2[[#This Row],[RepCost]]</f>
        <v>123.0064</v>
      </c>
      <c r="O1229" s="25">
        <v>46181.580555555556</v>
      </c>
      <c r="P1229" s="26" t="s">
        <v>67</v>
      </c>
    </row>
    <row r="1230" spans="1:16" x14ac:dyDescent="0.25">
      <c r="A1230" s="20" t="s">
        <v>5211</v>
      </c>
      <c r="B1230" s="21">
        <v>634</v>
      </c>
      <c r="C1230" s="22" t="s">
        <v>323</v>
      </c>
      <c r="D1230" s="22" t="s">
        <v>350</v>
      </c>
      <c r="E1230" s="22" t="str">
        <f>CONCATENATE(B1230,D1230)</f>
        <v>63477919-311</v>
      </c>
      <c r="F1230" s="27" t="s">
        <v>351</v>
      </c>
      <c r="G1230" s="27" t="s">
        <v>58</v>
      </c>
      <c r="H1230" s="23">
        <v>473.88170000000002</v>
      </c>
      <c r="I1230" s="24">
        <v>3</v>
      </c>
      <c r="J1230" s="24">
        <v>0</v>
      </c>
      <c r="K1230" s="24">
        <v>0</v>
      </c>
      <c r="L1230" s="41">
        <f>Table2[[#This Row],[Column1]]+Table2[[#This Row],[Column2]]</f>
        <v>0</v>
      </c>
      <c r="M1230" s="42">
        <f>Table2[[#This Row],[OnHandQty]]-Table2[[#This Row],[Projection Nov/Dec]]</f>
        <v>3</v>
      </c>
      <c r="N1230" s="35">
        <f>Table2[[#This Row],[OverStock]]*Table2[[#This Row],[RepCost]]</f>
        <v>1421.6451000000002</v>
      </c>
      <c r="O1230" s="25">
        <v>45390.51458333333</v>
      </c>
      <c r="P1230" s="26" t="s">
        <v>178</v>
      </c>
    </row>
    <row r="1231" spans="1:16" x14ac:dyDescent="0.25">
      <c r="A1231" s="20" t="s">
        <v>5211</v>
      </c>
      <c r="B1231" s="21">
        <v>634</v>
      </c>
      <c r="C1231" s="22" t="s">
        <v>323</v>
      </c>
      <c r="D1231" s="22" t="s">
        <v>383</v>
      </c>
      <c r="E1231" s="22" t="str">
        <f>CONCATENATE(B1231,D1231)</f>
        <v>63477919-316</v>
      </c>
      <c r="F1231" s="22" t="s">
        <v>384</v>
      </c>
      <c r="G1231" s="22" t="s">
        <v>29</v>
      </c>
      <c r="H1231" s="23">
        <v>1066.875</v>
      </c>
      <c r="I1231" s="24">
        <v>8</v>
      </c>
      <c r="J1231" s="24">
        <v>0</v>
      </c>
      <c r="K1231" s="24">
        <v>0</v>
      </c>
      <c r="L1231" s="41">
        <f>Table2[[#This Row],[Column1]]+Table2[[#This Row],[Column2]]</f>
        <v>0</v>
      </c>
      <c r="M1231" s="42">
        <f>Table2[[#This Row],[OnHandQty]]-Table2[[#This Row],[Projection Nov/Dec]]</f>
        <v>8</v>
      </c>
      <c r="N1231" s="35">
        <f>Table2[[#This Row],[OverStock]]*Table2[[#This Row],[RepCost]]</f>
        <v>8535</v>
      </c>
      <c r="O1231" s="25">
        <v>46203.577777777777</v>
      </c>
      <c r="P1231" s="26" t="s">
        <v>385</v>
      </c>
    </row>
    <row r="1232" spans="1:16" x14ac:dyDescent="0.25">
      <c r="A1232" s="20" t="s">
        <v>5211</v>
      </c>
      <c r="B1232" s="21">
        <v>714</v>
      </c>
      <c r="C1232" s="22" t="s">
        <v>323</v>
      </c>
      <c r="D1232" s="22" t="s">
        <v>3417</v>
      </c>
      <c r="E1232" s="22" t="str">
        <f>CONCATENATE(B1232,D1232)</f>
        <v>71477919-248</v>
      </c>
      <c r="F1232" s="22" t="s">
        <v>3418</v>
      </c>
      <c r="G1232" s="22" t="s">
        <v>1047</v>
      </c>
      <c r="H1232" s="23">
        <v>128.446</v>
      </c>
      <c r="I1232" s="24">
        <v>3</v>
      </c>
      <c r="J1232" s="24">
        <v>0</v>
      </c>
      <c r="K1232" s="24">
        <v>0</v>
      </c>
      <c r="L1232" s="41">
        <f>Table2[[#This Row],[Column1]]+Table2[[#This Row],[Column2]]</f>
        <v>0</v>
      </c>
      <c r="M1232" s="42">
        <f>Table2[[#This Row],[OnHandQty]]-Table2[[#This Row],[Projection Nov/Dec]]</f>
        <v>3</v>
      </c>
      <c r="N1232" s="35">
        <f>Table2[[#This Row],[OverStock]]*Table2[[#This Row],[RepCost]]</f>
        <v>385.33799999999997</v>
      </c>
      <c r="O1232" s="25">
        <v>45834.585416666669</v>
      </c>
      <c r="P1232" s="26" t="s">
        <v>1535</v>
      </c>
    </row>
    <row r="1233" spans="1:16" x14ac:dyDescent="0.25">
      <c r="A1233" s="20" t="s">
        <v>5211</v>
      </c>
      <c r="B1233" s="21">
        <v>718</v>
      </c>
      <c r="C1233" s="22" t="s">
        <v>323</v>
      </c>
      <c r="D1233" s="22" t="s">
        <v>3917</v>
      </c>
      <c r="E1233" s="22" t="str">
        <f>CONCATENATE(B1233,D1233)</f>
        <v>71877919-305</v>
      </c>
      <c r="F1233" s="22" t="s">
        <v>3918</v>
      </c>
      <c r="G1233" s="22" t="s">
        <v>23</v>
      </c>
      <c r="H1233" s="23">
        <v>82.878900000000002</v>
      </c>
      <c r="I1233" s="24">
        <v>11</v>
      </c>
      <c r="J1233" s="24">
        <v>0</v>
      </c>
      <c r="K1233" s="24">
        <v>0</v>
      </c>
      <c r="L1233" s="41">
        <f>Table2[[#This Row],[Column1]]+Table2[[#This Row],[Column2]]</f>
        <v>0</v>
      </c>
      <c r="M1233" s="42">
        <f>Table2[[#This Row],[OnHandQty]]-Table2[[#This Row],[Projection Nov/Dec]]</f>
        <v>11</v>
      </c>
      <c r="N1233" s="35">
        <f>Table2[[#This Row],[OverStock]]*Table2[[#This Row],[RepCost]]</f>
        <v>911.66790000000003</v>
      </c>
      <c r="O1233" s="25">
        <v>46175.657638888886</v>
      </c>
      <c r="P1233" s="26" t="s">
        <v>3755</v>
      </c>
    </row>
    <row r="1234" spans="1:16" x14ac:dyDescent="0.25">
      <c r="A1234" s="20" t="s">
        <v>5211</v>
      </c>
      <c r="B1234" s="21">
        <v>634</v>
      </c>
      <c r="C1234" s="22" t="s">
        <v>323</v>
      </c>
      <c r="D1234" s="22" t="s">
        <v>451</v>
      </c>
      <c r="E1234" s="22" t="str">
        <f>CONCATENATE(B1234,D1234)</f>
        <v>63477919-306</v>
      </c>
      <c r="F1234" s="22" t="s">
        <v>452</v>
      </c>
      <c r="G1234" s="22" t="s">
        <v>29</v>
      </c>
      <c r="H1234" s="23">
        <v>151.92590000000001</v>
      </c>
      <c r="I1234" s="24">
        <v>1</v>
      </c>
      <c r="J1234" s="24">
        <v>0</v>
      </c>
      <c r="K1234" s="24">
        <v>0</v>
      </c>
      <c r="L1234" s="41">
        <f>Table2[[#This Row],[Column1]]+Table2[[#This Row],[Column2]]</f>
        <v>0</v>
      </c>
      <c r="M1234" s="42">
        <f>Table2[[#This Row],[OnHandQty]]-Table2[[#This Row],[Projection Nov/Dec]]</f>
        <v>1</v>
      </c>
      <c r="N1234" s="35">
        <f>Table2[[#This Row],[OverStock]]*Table2[[#This Row],[RepCost]]</f>
        <v>151.92590000000001</v>
      </c>
      <c r="O1234" s="25">
        <v>45393.545138888891</v>
      </c>
      <c r="P1234" s="26" t="s">
        <v>165</v>
      </c>
    </row>
    <row r="1235" spans="1:16" x14ac:dyDescent="0.25">
      <c r="A1235" s="20" t="s">
        <v>5211</v>
      </c>
      <c r="B1235" s="21">
        <v>718</v>
      </c>
      <c r="C1235" s="22" t="s">
        <v>323</v>
      </c>
      <c r="D1235" s="22" t="s">
        <v>451</v>
      </c>
      <c r="E1235" s="22" t="str">
        <f>CONCATENATE(B1235,D1235)</f>
        <v>71877919-306</v>
      </c>
      <c r="F1235" s="22" t="s">
        <v>452</v>
      </c>
      <c r="G1235" s="22" t="s">
        <v>19</v>
      </c>
      <c r="H1235" s="23">
        <v>142.5104</v>
      </c>
      <c r="I1235" s="24">
        <v>20</v>
      </c>
      <c r="J1235" s="24">
        <v>0</v>
      </c>
      <c r="K1235" s="24">
        <v>0</v>
      </c>
      <c r="L1235" s="41">
        <f>Table2[[#This Row],[Column1]]+Table2[[#This Row],[Column2]]</f>
        <v>0</v>
      </c>
      <c r="M1235" s="42">
        <f>Table2[[#This Row],[OnHandQty]]-Table2[[#This Row],[Projection Nov/Dec]]</f>
        <v>20</v>
      </c>
      <c r="N1235" s="35">
        <f>Table2[[#This Row],[OverStock]]*Table2[[#This Row],[RepCost]]</f>
        <v>2850.2080000000001</v>
      </c>
      <c r="O1235" s="25">
        <v>46118.523611111108</v>
      </c>
      <c r="P1235" s="26" t="s">
        <v>137</v>
      </c>
    </row>
    <row r="1236" spans="1:16" x14ac:dyDescent="0.25">
      <c r="A1236" s="20" t="s">
        <v>5211</v>
      </c>
      <c r="B1236" s="21">
        <v>718</v>
      </c>
      <c r="C1236" s="22" t="s">
        <v>323</v>
      </c>
      <c r="D1236" s="22" t="s">
        <v>3964</v>
      </c>
      <c r="E1236" s="22" t="str">
        <f>CONCATENATE(B1236,D1236)</f>
        <v>71877919-309</v>
      </c>
      <c r="F1236" s="22" t="s">
        <v>3965</v>
      </c>
      <c r="G1236" s="22" t="s">
        <v>29</v>
      </c>
      <c r="H1236" s="23">
        <v>374.46679999999998</v>
      </c>
      <c r="I1236" s="24">
        <v>2</v>
      </c>
      <c r="J1236" s="24">
        <v>0</v>
      </c>
      <c r="K1236" s="24">
        <v>0</v>
      </c>
      <c r="L1236" s="41">
        <f>Table2[[#This Row],[Column1]]+Table2[[#This Row],[Column2]]</f>
        <v>0</v>
      </c>
      <c r="M1236" s="42">
        <f>Table2[[#This Row],[OnHandQty]]-Table2[[#This Row],[Projection Nov/Dec]]</f>
        <v>2</v>
      </c>
      <c r="N1236" s="35">
        <f>Table2[[#This Row],[OverStock]]*Table2[[#This Row],[RepCost]]</f>
        <v>748.93359999999996</v>
      </c>
      <c r="O1236" s="25">
        <v>46128.680555555555</v>
      </c>
      <c r="P1236" s="26" t="s">
        <v>178</v>
      </c>
    </row>
    <row r="1237" spans="1:16" x14ac:dyDescent="0.25">
      <c r="A1237" s="20" t="s">
        <v>5211</v>
      </c>
      <c r="B1237" s="21">
        <v>714</v>
      </c>
      <c r="C1237" s="22" t="s">
        <v>323</v>
      </c>
      <c r="D1237" s="22" t="s">
        <v>3347</v>
      </c>
      <c r="E1237" s="22" t="str">
        <f>CONCATENATE(B1237,D1237)</f>
        <v>71477889-306</v>
      </c>
      <c r="F1237" s="22" t="s">
        <v>3348</v>
      </c>
      <c r="G1237" s="22" t="s">
        <v>19</v>
      </c>
      <c r="H1237" s="23">
        <v>130.96209999999999</v>
      </c>
      <c r="I1237" s="24">
        <v>3</v>
      </c>
      <c r="J1237" s="24">
        <v>0</v>
      </c>
      <c r="K1237" s="24">
        <v>0</v>
      </c>
      <c r="L1237" s="41">
        <f>Table2[[#This Row],[Column1]]+Table2[[#This Row],[Column2]]</f>
        <v>0</v>
      </c>
      <c r="M1237" s="42">
        <f>Table2[[#This Row],[OnHandQty]]-Table2[[#This Row],[Projection Nov/Dec]]</f>
        <v>3</v>
      </c>
      <c r="N1237" s="35">
        <f>Table2[[#This Row],[OverStock]]*Table2[[#This Row],[RepCost]]</f>
        <v>392.88630000000001</v>
      </c>
      <c r="O1237" s="25">
        <v>46086.355555555558</v>
      </c>
      <c r="P1237" s="26" t="s">
        <v>2271</v>
      </c>
    </row>
    <row r="1238" spans="1:16" x14ac:dyDescent="0.25">
      <c r="A1238" s="20" t="s">
        <v>5211</v>
      </c>
      <c r="B1238" s="21">
        <v>714</v>
      </c>
      <c r="C1238" s="22" t="s">
        <v>143</v>
      </c>
      <c r="D1238" s="22" t="s">
        <v>2213</v>
      </c>
      <c r="E1238" s="22" t="str">
        <f>CONCATENATE(B1238,D1238)</f>
        <v>71467850-101</v>
      </c>
      <c r="F1238" s="22" t="s">
        <v>2214</v>
      </c>
      <c r="G1238" s="22" t="s">
        <v>29</v>
      </c>
      <c r="H1238" s="23">
        <v>5.3890000000000002</v>
      </c>
      <c r="I1238" s="24">
        <v>40</v>
      </c>
      <c r="J1238" s="24">
        <v>0</v>
      </c>
      <c r="K1238" s="24">
        <v>0</v>
      </c>
      <c r="L1238" s="41">
        <f>Table2[[#This Row],[Column1]]+Table2[[#This Row],[Column2]]</f>
        <v>0</v>
      </c>
      <c r="M1238" s="42">
        <f>Table2[[#This Row],[OnHandQty]]-Table2[[#This Row],[Projection Nov/Dec]]</f>
        <v>40</v>
      </c>
      <c r="N1238" s="35">
        <f>Table2[[#This Row],[OverStock]]*Table2[[#This Row],[RepCost]]</f>
        <v>215.56</v>
      </c>
      <c r="O1238" s="25">
        <v>46213.45</v>
      </c>
      <c r="P1238" s="26" t="s">
        <v>1877</v>
      </c>
    </row>
    <row r="1239" spans="1:16" x14ac:dyDescent="0.25">
      <c r="A1239" s="20" t="s">
        <v>5211</v>
      </c>
      <c r="B1239" s="21">
        <v>718</v>
      </c>
      <c r="C1239" s="22" t="s">
        <v>143</v>
      </c>
      <c r="D1239" s="22" t="s">
        <v>3794</v>
      </c>
      <c r="E1239" s="22" t="str">
        <f>CONCATENATE(B1239,D1239)</f>
        <v>71878824-105</v>
      </c>
      <c r="F1239" s="22" t="s">
        <v>3795</v>
      </c>
      <c r="G1239" s="22" t="s">
        <v>23</v>
      </c>
      <c r="H1239" s="23">
        <v>32.804299999999998</v>
      </c>
      <c r="I1239" s="24">
        <v>3</v>
      </c>
      <c r="J1239" s="24">
        <v>1</v>
      </c>
      <c r="K1239" s="24">
        <v>0</v>
      </c>
      <c r="L1239" s="41">
        <f>Table2[[#This Row],[Column1]]+Table2[[#This Row],[Column2]]</f>
        <v>1</v>
      </c>
      <c r="M1239" s="42">
        <f>Table2[[#This Row],[OnHandQty]]-Table2[[#This Row],[Projection Nov/Dec]]</f>
        <v>2</v>
      </c>
      <c r="N1239" s="35">
        <f>Table2[[#This Row],[OverStock]]*Table2[[#This Row],[RepCost]]</f>
        <v>65.608599999999996</v>
      </c>
      <c r="O1239" s="25">
        <v>46156.663194444445</v>
      </c>
      <c r="P1239" s="26" t="s">
        <v>67</v>
      </c>
    </row>
    <row r="1240" spans="1:16" x14ac:dyDescent="0.25">
      <c r="A1240" s="20" t="s">
        <v>5211</v>
      </c>
      <c r="B1240" s="21">
        <v>636</v>
      </c>
      <c r="C1240" s="22" t="s">
        <v>323</v>
      </c>
      <c r="D1240" s="22" t="s">
        <v>1405</v>
      </c>
      <c r="E1240" s="22" t="str">
        <f>CONCATENATE(B1240,D1240)</f>
        <v>63685200-307</v>
      </c>
      <c r="F1240" s="22" t="s">
        <v>1406</v>
      </c>
      <c r="G1240" s="22" t="s">
        <v>19</v>
      </c>
      <c r="H1240" s="23">
        <v>174.21520000000001</v>
      </c>
      <c r="I1240" s="24">
        <v>1</v>
      </c>
      <c r="J1240" s="24">
        <v>0</v>
      </c>
      <c r="K1240" s="24">
        <v>0</v>
      </c>
      <c r="L1240" s="41">
        <f>Table2[[#This Row],[Column1]]+Table2[[#This Row],[Column2]]</f>
        <v>0</v>
      </c>
      <c r="M1240" s="42">
        <f>Table2[[#This Row],[OnHandQty]]-Table2[[#This Row],[Projection Nov/Dec]]</f>
        <v>1</v>
      </c>
      <c r="N1240" s="35">
        <f>Table2[[#This Row],[OverStock]]*Table2[[#This Row],[RepCost]]</f>
        <v>174.21520000000001</v>
      </c>
      <c r="O1240" s="25">
        <v>46225.477083333331</v>
      </c>
      <c r="P1240" s="26" t="s">
        <v>402</v>
      </c>
    </row>
    <row r="1241" spans="1:16" x14ac:dyDescent="0.25">
      <c r="A1241" s="20" t="s">
        <v>5211</v>
      </c>
      <c r="B1241" s="21">
        <v>714</v>
      </c>
      <c r="C1241" s="22" t="s">
        <v>70</v>
      </c>
      <c r="D1241" s="22" t="s">
        <v>565</v>
      </c>
      <c r="E1241" s="22" t="str">
        <f>CONCATENATE(B1241,D1241)</f>
        <v>71476542-101</v>
      </c>
      <c r="F1241" s="22" t="s">
        <v>566</v>
      </c>
      <c r="G1241" s="22" t="s">
        <v>81</v>
      </c>
      <c r="H1241" s="23">
        <v>5.4328000000000003</v>
      </c>
      <c r="I1241" s="24">
        <v>3</v>
      </c>
      <c r="J1241" s="24">
        <v>0</v>
      </c>
      <c r="K1241" s="24">
        <v>0</v>
      </c>
      <c r="L1241" s="41">
        <f>Table2[[#This Row],[Column1]]+Table2[[#This Row],[Column2]]</f>
        <v>0</v>
      </c>
      <c r="M1241" s="42">
        <f>Table2[[#This Row],[OnHandQty]]-Table2[[#This Row],[Projection Nov/Dec]]</f>
        <v>3</v>
      </c>
      <c r="N1241" s="35">
        <f>Table2[[#This Row],[OverStock]]*Table2[[#This Row],[RepCost]]</f>
        <v>16.298400000000001</v>
      </c>
      <c r="O1241" s="25">
        <v>46193.431250000001</v>
      </c>
      <c r="P1241" s="26" t="s">
        <v>26</v>
      </c>
    </row>
    <row r="1242" spans="1:16" x14ac:dyDescent="0.25">
      <c r="A1242" s="20" t="s">
        <v>5211</v>
      </c>
      <c r="B1242" s="21">
        <v>634</v>
      </c>
      <c r="C1242" s="22" t="s">
        <v>143</v>
      </c>
      <c r="D1242" s="22" t="s">
        <v>168</v>
      </c>
      <c r="E1242" s="22" t="str">
        <f>CONCATENATE(B1242,D1242)</f>
        <v>63468017-115</v>
      </c>
      <c r="F1242" s="22" t="s">
        <v>169</v>
      </c>
      <c r="G1242" s="22" t="s">
        <v>29</v>
      </c>
      <c r="H1242" s="23">
        <v>117.7174</v>
      </c>
      <c r="I1242" s="24">
        <v>5</v>
      </c>
      <c r="J1242" s="24">
        <v>0</v>
      </c>
      <c r="K1242" s="24">
        <v>0</v>
      </c>
      <c r="L1242" s="41">
        <f>Table2[[#This Row],[Column1]]+Table2[[#This Row],[Column2]]</f>
        <v>0</v>
      </c>
      <c r="M1242" s="42">
        <f>Table2[[#This Row],[OnHandQty]]-Table2[[#This Row],[Projection Nov/Dec]]</f>
        <v>5</v>
      </c>
      <c r="N1242" s="35">
        <f>Table2[[#This Row],[OverStock]]*Table2[[#This Row],[RepCost]]</f>
        <v>588.58699999999999</v>
      </c>
      <c r="O1242" s="25">
        <v>46119.382638888892</v>
      </c>
      <c r="P1242" s="26" t="s">
        <v>170</v>
      </c>
    </row>
    <row r="1243" spans="1:16" x14ac:dyDescent="0.25">
      <c r="A1243" s="20" t="s">
        <v>5211</v>
      </c>
      <c r="B1243" s="21">
        <v>636</v>
      </c>
      <c r="C1243" s="22" t="s">
        <v>143</v>
      </c>
      <c r="D1243" s="22" t="s">
        <v>1017</v>
      </c>
      <c r="E1243" s="22" t="str">
        <f>CONCATENATE(B1243,D1243)</f>
        <v>63668035-236</v>
      </c>
      <c r="F1243" s="22" t="s">
        <v>1018</v>
      </c>
      <c r="G1243" s="22" t="s">
        <v>23</v>
      </c>
      <c r="H1243" s="23">
        <v>75.621899999999997</v>
      </c>
      <c r="I1243" s="24">
        <v>4</v>
      </c>
      <c r="J1243" s="24">
        <v>0</v>
      </c>
      <c r="K1243" s="24">
        <v>0</v>
      </c>
      <c r="L1243" s="41">
        <f>Table2[[#This Row],[Column1]]+Table2[[#This Row],[Column2]]</f>
        <v>0</v>
      </c>
      <c r="M1243" s="42">
        <f>Table2[[#This Row],[OnHandQty]]-Table2[[#This Row],[Projection Nov/Dec]]</f>
        <v>4</v>
      </c>
      <c r="N1243" s="35">
        <f>Table2[[#This Row],[OverStock]]*Table2[[#This Row],[RepCost]]</f>
        <v>302.48759999999999</v>
      </c>
      <c r="O1243" s="25">
        <v>46119.593055555553</v>
      </c>
      <c r="P1243" s="26" t="s">
        <v>236</v>
      </c>
    </row>
    <row r="1244" spans="1:16" x14ac:dyDescent="0.25">
      <c r="A1244" s="20" t="s">
        <v>5211</v>
      </c>
      <c r="B1244" s="21">
        <v>714</v>
      </c>
      <c r="C1244" s="22" t="s">
        <v>143</v>
      </c>
      <c r="D1244" s="22" t="s">
        <v>2290</v>
      </c>
      <c r="E1244" s="22" t="str">
        <f>CONCATENATE(B1244,D1244)</f>
        <v>71468027-102</v>
      </c>
      <c r="F1244" s="22" t="s">
        <v>2291</v>
      </c>
      <c r="G1244" s="22" t="s">
        <v>19</v>
      </c>
      <c r="H1244" s="23">
        <v>21.477799999999998</v>
      </c>
      <c r="I1244" s="24">
        <v>1</v>
      </c>
      <c r="J1244" s="24">
        <v>0</v>
      </c>
      <c r="K1244" s="24">
        <v>0</v>
      </c>
      <c r="L1244" s="41">
        <f>Table2[[#This Row],[Column1]]+Table2[[#This Row],[Column2]]</f>
        <v>0</v>
      </c>
      <c r="M1244" s="42">
        <f>Table2[[#This Row],[OnHandQty]]-Table2[[#This Row],[Projection Nov/Dec]]</f>
        <v>1</v>
      </c>
      <c r="N1244" s="35">
        <f>Table2[[#This Row],[OverStock]]*Table2[[#This Row],[RepCost]]</f>
        <v>21.477799999999998</v>
      </c>
      <c r="O1244" s="25">
        <v>46105.490972222222</v>
      </c>
      <c r="P1244" s="26" t="s">
        <v>310</v>
      </c>
    </row>
    <row r="1245" spans="1:16" x14ac:dyDescent="0.25">
      <c r="A1245" s="20" t="s">
        <v>5211</v>
      </c>
      <c r="B1245" s="21">
        <v>714</v>
      </c>
      <c r="C1245" s="22" t="s">
        <v>70</v>
      </c>
      <c r="D1245" s="22" t="s">
        <v>1985</v>
      </c>
      <c r="E1245" s="22" t="str">
        <f>CONCATENATE(B1245,D1245)</f>
        <v>71495106-101</v>
      </c>
      <c r="F1245" s="22" t="s">
        <v>1986</v>
      </c>
      <c r="G1245" s="22" t="s">
        <v>29</v>
      </c>
      <c r="H1245" s="23">
        <v>8.3800000000000008</v>
      </c>
      <c r="I1245" s="24">
        <v>1</v>
      </c>
      <c r="J1245" s="24">
        <v>0</v>
      </c>
      <c r="K1245" s="24">
        <v>0</v>
      </c>
      <c r="L1245" s="41">
        <f>Table2[[#This Row],[Column1]]+Table2[[#This Row],[Column2]]</f>
        <v>0</v>
      </c>
      <c r="M1245" s="42">
        <f>Table2[[#This Row],[OnHandQty]]-Table2[[#This Row],[Projection Nov/Dec]]</f>
        <v>1</v>
      </c>
      <c r="N1245" s="35">
        <f>Table2[[#This Row],[OverStock]]*Table2[[#This Row],[RepCost]]</f>
        <v>8.3800000000000008</v>
      </c>
      <c r="O1245" s="25">
        <v>46213.455555555556</v>
      </c>
      <c r="P1245" s="26" t="s">
        <v>573</v>
      </c>
    </row>
    <row r="1246" spans="1:16" x14ac:dyDescent="0.25">
      <c r="A1246" s="20" t="s">
        <v>5211</v>
      </c>
      <c r="B1246" s="21">
        <v>718</v>
      </c>
      <c r="C1246" s="22" t="s">
        <v>70</v>
      </c>
      <c r="D1246" s="22" t="s">
        <v>3683</v>
      </c>
      <c r="E1246" s="22" t="str">
        <f>CONCATENATE(B1246,D1246)</f>
        <v>71892699-PF4</v>
      </c>
      <c r="F1246" s="22" t="s">
        <v>3684</v>
      </c>
      <c r="G1246" s="22" t="s">
        <v>29</v>
      </c>
      <c r="H1246" s="23">
        <v>10.914999999999999</v>
      </c>
      <c r="I1246" s="24">
        <v>23</v>
      </c>
      <c r="J1246" s="24">
        <v>0</v>
      </c>
      <c r="K1246" s="24">
        <v>0</v>
      </c>
      <c r="L1246" s="41">
        <f>Table2[[#This Row],[Column1]]+Table2[[#This Row],[Column2]]</f>
        <v>0</v>
      </c>
      <c r="M1246" s="42">
        <f>Table2[[#This Row],[OnHandQty]]-Table2[[#This Row],[Projection Nov/Dec]]</f>
        <v>23</v>
      </c>
      <c r="N1246" s="35">
        <f>Table2[[#This Row],[OverStock]]*Table2[[#This Row],[RepCost]]</f>
        <v>251.04499999999999</v>
      </c>
      <c r="O1246" s="25">
        <v>46232.6</v>
      </c>
      <c r="P1246" s="26" t="s">
        <v>573</v>
      </c>
    </row>
    <row r="1247" spans="1:16" x14ac:dyDescent="0.25">
      <c r="A1247" s="20" t="s">
        <v>5211</v>
      </c>
      <c r="B1247" s="21">
        <v>714</v>
      </c>
      <c r="C1247" s="22" t="s">
        <v>323</v>
      </c>
      <c r="D1247" s="22" t="s">
        <v>3192</v>
      </c>
      <c r="E1247" s="22" t="str">
        <f>CONCATENATE(B1247,D1247)</f>
        <v>71468082-020</v>
      </c>
      <c r="F1247" s="22" t="s">
        <v>3193</v>
      </c>
      <c r="G1247" s="22" t="s">
        <v>35</v>
      </c>
      <c r="H1247" s="23">
        <v>198.1601</v>
      </c>
      <c r="I1247" s="24">
        <v>12</v>
      </c>
      <c r="J1247" s="24">
        <v>0</v>
      </c>
      <c r="K1247" s="24">
        <v>0</v>
      </c>
      <c r="L1247" s="41">
        <f>Table2[[#This Row],[Column1]]+Table2[[#This Row],[Column2]]</f>
        <v>0</v>
      </c>
      <c r="M1247" s="42">
        <f>Table2[[#This Row],[OnHandQty]]-Table2[[#This Row],[Projection Nov/Dec]]</f>
        <v>12</v>
      </c>
      <c r="N1247" s="35">
        <f>Table2[[#This Row],[OverStock]]*Table2[[#This Row],[RepCost]]</f>
        <v>2377.9211999999998</v>
      </c>
      <c r="O1247" s="25">
        <v>46161.380555555559</v>
      </c>
      <c r="P1247" s="26" t="s">
        <v>151</v>
      </c>
    </row>
    <row r="1248" spans="1:16" x14ac:dyDescent="0.25">
      <c r="A1248" s="20" t="s">
        <v>5211</v>
      </c>
      <c r="B1248" s="21">
        <v>718</v>
      </c>
      <c r="C1248" s="22" t="s">
        <v>323</v>
      </c>
      <c r="D1248" s="22" t="s">
        <v>2908</v>
      </c>
      <c r="E1248" s="22" t="str">
        <f>CONCATENATE(B1248,D1248)</f>
        <v>71868124-115</v>
      </c>
      <c r="F1248" s="22" t="s">
        <v>2909</v>
      </c>
      <c r="G1248" s="22" t="s">
        <v>112</v>
      </c>
      <c r="H1248" s="23">
        <v>81.718599999999995</v>
      </c>
      <c r="I1248" s="24">
        <v>1</v>
      </c>
      <c r="J1248" s="24">
        <v>0</v>
      </c>
      <c r="K1248" s="24">
        <v>0</v>
      </c>
      <c r="L1248" s="41">
        <f>Table2[[#This Row],[Column1]]+Table2[[#This Row],[Column2]]</f>
        <v>0</v>
      </c>
      <c r="M1248" s="42">
        <f>Table2[[#This Row],[OnHandQty]]-Table2[[#This Row],[Projection Nov/Dec]]</f>
        <v>1</v>
      </c>
      <c r="N1248" s="35">
        <f>Table2[[#This Row],[OverStock]]*Table2[[#This Row],[RepCost]]</f>
        <v>81.718599999999995</v>
      </c>
      <c r="O1248" s="25">
        <v>46140.700694444444</v>
      </c>
      <c r="P1248" s="26" t="s">
        <v>195</v>
      </c>
    </row>
    <row r="1249" spans="1:16" x14ac:dyDescent="0.25">
      <c r="A1249" s="20" t="s">
        <v>5211</v>
      </c>
      <c r="B1249" s="21">
        <v>714</v>
      </c>
      <c r="C1249" s="22" t="s">
        <v>323</v>
      </c>
      <c r="D1249" s="22" t="s">
        <v>2908</v>
      </c>
      <c r="E1249" s="22" t="str">
        <f>CONCATENATE(B1249,D1249)</f>
        <v>71468124-115</v>
      </c>
      <c r="F1249" s="22" t="s">
        <v>2909</v>
      </c>
      <c r="G1249" s="22" t="s">
        <v>19</v>
      </c>
      <c r="H1249" s="23">
        <v>71.949100000000001</v>
      </c>
      <c r="I1249" s="24">
        <v>2</v>
      </c>
      <c r="J1249" s="24">
        <v>0</v>
      </c>
      <c r="K1249" s="24">
        <v>0</v>
      </c>
      <c r="L1249" s="41">
        <f>Table2[[#This Row],[Column1]]+Table2[[#This Row],[Column2]]</f>
        <v>0</v>
      </c>
      <c r="M1249" s="42">
        <f>Table2[[#This Row],[OnHandQty]]-Table2[[#This Row],[Projection Nov/Dec]]</f>
        <v>2</v>
      </c>
      <c r="N1249" s="35">
        <f>Table2[[#This Row],[OverStock]]*Table2[[#This Row],[RepCost]]</f>
        <v>143.8982</v>
      </c>
      <c r="O1249" s="25">
        <v>46191.352083333331</v>
      </c>
      <c r="P1249" s="26" t="s">
        <v>195</v>
      </c>
    </row>
    <row r="1250" spans="1:16" x14ac:dyDescent="0.25">
      <c r="A1250" s="20" t="s">
        <v>5211</v>
      </c>
      <c r="B1250" s="21">
        <v>714</v>
      </c>
      <c r="C1250" s="22" t="s">
        <v>323</v>
      </c>
      <c r="D1250" s="22" t="s">
        <v>3022</v>
      </c>
      <c r="E1250" s="22" t="str">
        <f>CONCATENATE(B1250,D1250)</f>
        <v>71468124-307</v>
      </c>
      <c r="F1250" s="22" t="s">
        <v>3023</v>
      </c>
      <c r="G1250" s="22" t="s">
        <v>19</v>
      </c>
      <c r="H1250" s="23">
        <v>155.0316</v>
      </c>
      <c r="I1250" s="24">
        <v>1</v>
      </c>
      <c r="J1250" s="24">
        <v>0</v>
      </c>
      <c r="K1250" s="24">
        <v>0</v>
      </c>
      <c r="L1250" s="41">
        <f>Table2[[#This Row],[Column1]]+Table2[[#This Row],[Column2]]</f>
        <v>0</v>
      </c>
      <c r="M1250" s="42">
        <f>Table2[[#This Row],[OnHandQty]]-Table2[[#This Row],[Projection Nov/Dec]]</f>
        <v>1</v>
      </c>
      <c r="N1250" s="35">
        <f>Table2[[#This Row],[OverStock]]*Table2[[#This Row],[RepCost]]</f>
        <v>155.0316</v>
      </c>
      <c r="O1250" s="25">
        <v>46132.695138888892</v>
      </c>
      <c r="P1250" s="26" t="s">
        <v>3024</v>
      </c>
    </row>
    <row r="1251" spans="1:16" x14ac:dyDescent="0.25">
      <c r="A1251" s="20" t="s">
        <v>5211</v>
      </c>
      <c r="B1251" s="21">
        <v>718</v>
      </c>
      <c r="C1251" s="22" t="s">
        <v>323</v>
      </c>
      <c r="D1251" s="22" t="s">
        <v>3022</v>
      </c>
      <c r="E1251" s="22" t="str">
        <f>CONCATENATE(B1251,D1251)</f>
        <v>71868124-307</v>
      </c>
      <c r="F1251" s="22" t="s">
        <v>3023</v>
      </c>
      <c r="G1251" s="22" t="s">
        <v>19</v>
      </c>
      <c r="H1251" s="23">
        <v>154.81120000000001</v>
      </c>
      <c r="I1251" s="24">
        <v>2</v>
      </c>
      <c r="J1251" s="24">
        <v>0</v>
      </c>
      <c r="K1251" s="24">
        <v>0</v>
      </c>
      <c r="L1251" s="41">
        <f>Table2[[#This Row],[Column1]]+Table2[[#This Row],[Column2]]</f>
        <v>0</v>
      </c>
      <c r="M1251" s="42">
        <f>Table2[[#This Row],[OnHandQty]]-Table2[[#This Row],[Projection Nov/Dec]]</f>
        <v>2</v>
      </c>
      <c r="N1251" s="35">
        <f>Table2[[#This Row],[OverStock]]*Table2[[#This Row],[RepCost]]</f>
        <v>309.62240000000003</v>
      </c>
      <c r="O1251" s="25">
        <v>46134.417361111111</v>
      </c>
      <c r="P1251" s="26" t="s">
        <v>3024</v>
      </c>
    </row>
    <row r="1252" spans="1:16" x14ac:dyDescent="0.25">
      <c r="A1252" s="20" t="s">
        <v>5211</v>
      </c>
      <c r="B1252" s="21">
        <v>718</v>
      </c>
      <c r="C1252" s="22" t="s">
        <v>323</v>
      </c>
      <c r="D1252" s="22" t="s">
        <v>3925</v>
      </c>
      <c r="E1252" s="22" t="str">
        <f>CONCATENATE(B1252,D1252)</f>
        <v>71868124-308</v>
      </c>
      <c r="F1252" s="22" t="s">
        <v>3926</v>
      </c>
      <c r="G1252" s="22" t="s">
        <v>23</v>
      </c>
      <c r="H1252" s="23">
        <v>249.04409999999999</v>
      </c>
      <c r="I1252" s="24">
        <v>2</v>
      </c>
      <c r="J1252" s="24">
        <v>0</v>
      </c>
      <c r="K1252" s="24">
        <v>0</v>
      </c>
      <c r="L1252" s="41">
        <f>Table2[[#This Row],[Column1]]+Table2[[#This Row],[Column2]]</f>
        <v>0</v>
      </c>
      <c r="M1252" s="42">
        <f>Table2[[#This Row],[OnHandQty]]-Table2[[#This Row],[Projection Nov/Dec]]</f>
        <v>2</v>
      </c>
      <c r="N1252" s="35">
        <f>Table2[[#This Row],[OverStock]]*Table2[[#This Row],[RepCost]]</f>
        <v>498.08819999999997</v>
      </c>
      <c r="O1252" s="25">
        <v>46134.417361111111</v>
      </c>
      <c r="P1252" s="26" t="s">
        <v>3024</v>
      </c>
    </row>
    <row r="1253" spans="1:16" x14ac:dyDescent="0.25">
      <c r="A1253" s="20" t="s">
        <v>5211</v>
      </c>
      <c r="B1253" s="21">
        <v>714</v>
      </c>
      <c r="C1253" s="22" t="s">
        <v>143</v>
      </c>
      <c r="D1253" s="22" t="s">
        <v>2239</v>
      </c>
      <c r="E1253" s="22" t="str">
        <f>CONCATENATE(B1253,D1253)</f>
        <v>71490549-102</v>
      </c>
      <c r="F1253" s="22" t="s">
        <v>2240</v>
      </c>
      <c r="G1253" s="22" t="s">
        <v>39</v>
      </c>
      <c r="H1253" s="23">
        <v>21.378299999999999</v>
      </c>
      <c r="I1253" s="24">
        <v>5</v>
      </c>
      <c r="J1253" s="24">
        <v>0</v>
      </c>
      <c r="K1253" s="24">
        <v>0</v>
      </c>
      <c r="L1253" s="41">
        <f>Table2[[#This Row],[Column1]]+Table2[[#This Row],[Column2]]</f>
        <v>0</v>
      </c>
      <c r="M1253" s="42">
        <f>Table2[[#This Row],[OnHandQty]]-Table2[[#This Row],[Projection Nov/Dec]]</f>
        <v>5</v>
      </c>
      <c r="N1253" s="35">
        <f>Table2[[#This Row],[OverStock]]*Table2[[#This Row],[RepCost]]</f>
        <v>106.89149999999999</v>
      </c>
      <c r="O1253" s="25">
        <v>46200.382638888892</v>
      </c>
      <c r="P1253" s="26" t="s">
        <v>1062</v>
      </c>
    </row>
    <row r="1254" spans="1:16" x14ac:dyDescent="0.25">
      <c r="A1254" s="20" t="s">
        <v>5211</v>
      </c>
      <c r="B1254" s="21">
        <v>714</v>
      </c>
      <c r="C1254" s="22" t="s">
        <v>323</v>
      </c>
      <c r="D1254" s="22" t="s">
        <v>2819</v>
      </c>
      <c r="E1254" s="22" t="str">
        <f>CONCATENATE(B1254,D1254)</f>
        <v>71468107-306</v>
      </c>
      <c r="F1254" s="22" t="s">
        <v>2820</v>
      </c>
      <c r="G1254" s="22" t="s">
        <v>23</v>
      </c>
      <c r="H1254" s="23">
        <v>137.79589999999999</v>
      </c>
      <c r="I1254" s="24">
        <v>2</v>
      </c>
      <c r="J1254" s="24">
        <v>0</v>
      </c>
      <c r="K1254" s="24">
        <v>0</v>
      </c>
      <c r="L1254" s="41">
        <f>Table2[[#This Row],[Column1]]+Table2[[#This Row],[Column2]]</f>
        <v>0</v>
      </c>
      <c r="M1254" s="42">
        <f>Table2[[#This Row],[OnHandQty]]-Table2[[#This Row],[Projection Nov/Dec]]</f>
        <v>2</v>
      </c>
      <c r="N1254" s="35">
        <f>Table2[[#This Row],[OverStock]]*Table2[[#This Row],[RepCost]]</f>
        <v>275.59179999999998</v>
      </c>
      <c r="O1254" s="25">
        <v>46192.649305555555</v>
      </c>
      <c r="P1254" s="26" t="s">
        <v>2821</v>
      </c>
    </row>
    <row r="1255" spans="1:16" x14ac:dyDescent="0.25">
      <c r="A1255" s="20" t="s">
        <v>5211</v>
      </c>
      <c r="B1255" s="21">
        <v>718</v>
      </c>
      <c r="C1255" s="22" t="s">
        <v>323</v>
      </c>
      <c r="D1255" s="22" t="s">
        <v>3927</v>
      </c>
      <c r="E1255" s="22" t="str">
        <f>CONCATENATE(B1255,D1255)</f>
        <v>71868107-308</v>
      </c>
      <c r="F1255" s="22" t="s">
        <v>3928</v>
      </c>
      <c r="G1255" s="22" t="s">
        <v>23</v>
      </c>
      <c r="H1255" s="23">
        <v>222.12039999999999</v>
      </c>
      <c r="I1255" s="24">
        <v>5</v>
      </c>
      <c r="J1255" s="24">
        <v>0</v>
      </c>
      <c r="K1255" s="24">
        <v>0</v>
      </c>
      <c r="L1255" s="41">
        <f>Table2[[#This Row],[Column1]]+Table2[[#This Row],[Column2]]</f>
        <v>0</v>
      </c>
      <c r="M1255" s="42">
        <f>Table2[[#This Row],[OnHandQty]]-Table2[[#This Row],[Projection Nov/Dec]]</f>
        <v>5</v>
      </c>
      <c r="N1255" s="35">
        <f>Table2[[#This Row],[OverStock]]*Table2[[#This Row],[RepCost]]</f>
        <v>1110.6019999999999</v>
      </c>
      <c r="O1255" s="25">
        <v>46134.417361111111</v>
      </c>
      <c r="P1255" s="26" t="s">
        <v>3024</v>
      </c>
    </row>
    <row r="1256" spans="1:16" x14ac:dyDescent="0.25">
      <c r="A1256" s="20" t="s">
        <v>5211</v>
      </c>
      <c r="B1256" s="21">
        <v>714</v>
      </c>
      <c r="C1256" s="22" t="s">
        <v>323</v>
      </c>
      <c r="D1256" s="22" t="s">
        <v>3382</v>
      </c>
      <c r="E1256" s="22" t="str">
        <f>CONCATENATE(B1256,D1256)</f>
        <v>71468140-308</v>
      </c>
      <c r="F1256" s="27" t="s">
        <v>3383</v>
      </c>
      <c r="G1256" s="27" t="s">
        <v>58</v>
      </c>
      <c r="H1256" s="23">
        <v>137.72649999999999</v>
      </c>
      <c r="I1256" s="24">
        <v>1</v>
      </c>
      <c r="J1256" s="24">
        <v>0</v>
      </c>
      <c r="K1256" s="24">
        <v>0</v>
      </c>
      <c r="L1256" s="41">
        <f>Table2[[#This Row],[Column1]]+Table2[[#This Row],[Column2]]</f>
        <v>0</v>
      </c>
      <c r="M1256" s="42">
        <f>Table2[[#This Row],[OnHandQty]]-Table2[[#This Row],[Projection Nov/Dec]]</f>
        <v>1</v>
      </c>
      <c r="N1256" s="35">
        <f>Table2[[#This Row],[OverStock]]*Table2[[#This Row],[RepCost]]</f>
        <v>137.72649999999999</v>
      </c>
      <c r="O1256" s="25">
        <v>45827.372916666667</v>
      </c>
      <c r="P1256" s="26" t="s">
        <v>3384</v>
      </c>
    </row>
    <row r="1257" spans="1:16" x14ac:dyDescent="0.25">
      <c r="A1257" s="20" t="s">
        <v>5211</v>
      </c>
      <c r="B1257" s="21">
        <v>718</v>
      </c>
      <c r="C1257" s="22" t="s">
        <v>323</v>
      </c>
      <c r="D1257" s="22" t="s">
        <v>3382</v>
      </c>
      <c r="E1257" s="22" t="str">
        <f>CONCATENATE(B1257,D1257)</f>
        <v>71868140-308</v>
      </c>
      <c r="F1257" s="22" t="s">
        <v>3383</v>
      </c>
      <c r="G1257" s="22" t="s">
        <v>29</v>
      </c>
      <c r="H1257" s="23">
        <v>154.81120000000001</v>
      </c>
      <c r="I1257" s="24">
        <v>1</v>
      </c>
      <c r="J1257" s="24">
        <v>0</v>
      </c>
      <c r="K1257" s="24">
        <v>0</v>
      </c>
      <c r="L1257" s="41">
        <f>Table2[[#This Row],[Column1]]+Table2[[#This Row],[Column2]]</f>
        <v>0</v>
      </c>
      <c r="M1257" s="42">
        <f>Table2[[#This Row],[OnHandQty]]-Table2[[#This Row],[Projection Nov/Dec]]</f>
        <v>1</v>
      </c>
      <c r="N1257" s="35">
        <f>Table2[[#This Row],[OverStock]]*Table2[[#This Row],[RepCost]]</f>
        <v>154.81120000000001</v>
      </c>
      <c r="O1257" s="25">
        <v>46134.417361111111</v>
      </c>
      <c r="P1257" s="26" t="s">
        <v>3024</v>
      </c>
    </row>
    <row r="1258" spans="1:16" x14ac:dyDescent="0.25">
      <c r="A1258" s="20" t="s">
        <v>5211</v>
      </c>
      <c r="B1258" s="21">
        <v>714</v>
      </c>
      <c r="C1258" s="22" t="s">
        <v>323</v>
      </c>
      <c r="D1258" s="22" t="s">
        <v>3237</v>
      </c>
      <c r="E1258" s="22" t="str">
        <f>CONCATENATE(B1258,D1258)</f>
        <v>71468144-306</v>
      </c>
      <c r="F1258" s="22" t="s">
        <v>3238</v>
      </c>
      <c r="G1258" s="22" t="s">
        <v>43</v>
      </c>
      <c r="H1258" s="23">
        <v>118.6602</v>
      </c>
      <c r="I1258" s="24">
        <v>6</v>
      </c>
      <c r="J1258" s="24">
        <v>0</v>
      </c>
      <c r="K1258" s="24">
        <v>0</v>
      </c>
      <c r="L1258" s="41">
        <f>Table2[[#This Row],[Column1]]+Table2[[#This Row],[Column2]]</f>
        <v>0</v>
      </c>
      <c r="M1258" s="42">
        <f>Table2[[#This Row],[OnHandQty]]-Table2[[#This Row],[Projection Nov/Dec]]</f>
        <v>6</v>
      </c>
      <c r="N1258" s="35">
        <f>Table2[[#This Row],[OverStock]]*Table2[[#This Row],[RepCost]]</f>
        <v>711.96119999999996</v>
      </c>
      <c r="O1258" s="25">
        <v>46191.352083333331</v>
      </c>
      <c r="P1258" s="26" t="s">
        <v>195</v>
      </c>
    </row>
    <row r="1259" spans="1:16" x14ac:dyDescent="0.25">
      <c r="A1259" s="20" t="s">
        <v>5211</v>
      </c>
      <c r="B1259" s="21">
        <v>714</v>
      </c>
      <c r="C1259" s="22" t="s">
        <v>323</v>
      </c>
      <c r="D1259" s="22" t="s">
        <v>3055</v>
      </c>
      <c r="E1259" s="22" t="str">
        <f>CONCATENATE(B1259,D1259)</f>
        <v>71468144-307</v>
      </c>
      <c r="F1259" s="22" t="s">
        <v>3056</v>
      </c>
      <c r="G1259" s="22" t="s">
        <v>23</v>
      </c>
      <c r="H1259" s="23">
        <v>163.8339</v>
      </c>
      <c r="I1259" s="24">
        <v>17</v>
      </c>
      <c r="J1259" s="24">
        <v>1</v>
      </c>
      <c r="K1259" s="24">
        <v>0</v>
      </c>
      <c r="L1259" s="41">
        <f>Table2[[#This Row],[Column1]]+Table2[[#This Row],[Column2]]</f>
        <v>1</v>
      </c>
      <c r="M1259" s="42">
        <f>Table2[[#This Row],[OnHandQty]]-Table2[[#This Row],[Projection Nov/Dec]]</f>
        <v>16</v>
      </c>
      <c r="N1259" s="35">
        <f>Table2[[#This Row],[OverStock]]*Table2[[#This Row],[RepCost]]</f>
        <v>2621.3424</v>
      </c>
      <c r="O1259" s="25">
        <v>46132.695138888892</v>
      </c>
      <c r="P1259" s="26" t="s">
        <v>3024</v>
      </c>
    </row>
    <row r="1260" spans="1:16" x14ac:dyDescent="0.25">
      <c r="A1260" s="20" t="s">
        <v>5211</v>
      </c>
      <c r="B1260" s="21">
        <v>718</v>
      </c>
      <c r="C1260" s="22" t="s">
        <v>323</v>
      </c>
      <c r="D1260" s="22" t="s">
        <v>3055</v>
      </c>
      <c r="E1260" s="22" t="str">
        <f>CONCATENATE(B1260,D1260)</f>
        <v>71868144-307</v>
      </c>
      <c r="F1260" s="22" t="s">
        <v>3056</v>
      </c>
      <c r="G1260" s="22" t="s">
        <v>29</v>
      </c>
      <c r="H1260" s="23">
        <v>168.273</v>
      </c>
      <c r="I1260" s="24">
        <v>3</v>
      </c>
      <c r="J1260" s="24">
        <v>1</v>
      </c>
      <c r="K1260" s="24">
        <v>0</v>
      </c>
      <c r="L1260" s="41">
        <f>Table2[[#This Row],[Column1]]+Table2[[#This Row],[Column2]]</f>
        <v>1</v>
      </c>
      <c r="M1260" s="42">
        <f>Table2[[#This Row],[OnHandQty]]-Table2[[#This Row],[Projection Nov/Dec]]</f>
        <v>2</v>
      </c>
      <c r="N1260" s="35">
        <f>Table2[[#This Row],[OverStock]]*Table2[[#This Row],[RepCost]]</f>
        <v>336.54599999999999</v>
      </c>
      <c r="O1260" s="25">
        <v>46134.417361111111</v>
      </c>
      <c r="P1260" s="26" t="s">
        <v>3024</v>
      </c>
    </row>
    <row r="1261" spans="1:16" x14ac:dyDescent="0.25">
      <c r="A1261" s="20" t="s">
        <v>5211</v>
      </c>
      <c r="B1261" s="21">
        <v>718</v>
      </c>
      <c r="C1261" s="22" t="s">
        <v>323</v>
      </c>
      <c r="D1261" s="22" t="s">
        <v>2903</v>
      </c>
      <c r="E1261" s="22" t="str">
        <f>CONCATENATE(B1261,D1261)</f>
        <v>71868144-308</v>
      </c>
      <c r="F1261" s="22" t="s">
        <v>2904</v>
      </c>
      <c r="G1261" s="22" t="s">
        <v>29</v>
      </c>
      <c r="H1261" s="23">
        <v>249.04409999999999</v>
      </c>
      <c r="I1261" s="24">
        <v>4</v>
      </c>
      <c r="J1261" s="24">
        <v>1</v>
      </c>
      <c r="K1261" s="24">
        <v>0</v>
      </c>
      <c r="L1261" s="41">
        <f>Table2[[#This Row],[Column1]]+Table2[[#This Row],[Column2]]</f>
        <v>1</v>
      </c>
      <c r="M1261" s="42">
        <f>Table2[[#This Row],[OnHandQty]]-Table2[[#This Row],[Projection Nov/Dec]]</f>
        <v>3</v>
      </c>
      <c r="N1261" s="35">
        <f>Table2[[#This Row],[OverStock]]*Table2[[#This Row],[RepCost]]</f>
        <v>747.13229999999999</v>
      </c>
      <c r="O1261" s="25">
        <v>46134.417361111111</v>
      </c>
      <c r="P1261" s="26" t="s">
        <v>3024</v>
      </c>
    </row>
    <row r="1262" spans="1:16" x14ac:dyDescent="0.25">
      <c r="A1262" s="20" t="s">
        <v>5211</v>
      </c>
      <c r="B1262" s="21">
        <v>714</v>
      </c>
      <c r="C1262" s="22" t="s">
        <v>143</v>
      </c>
      <c r="D1262" s="22" t="s">
        <v>2269</v>
      </c>
      <c r="E1262" s="22" t="str">
        <f>CONCATENATE(B1262,D1262)</f>
        <v>71482863-307</v>
      </c>
      <c r="F1262" s="27" t="s">
        <v>2270</v>
      </c>
      <c r="G1262" s="27" t="s">
        <v>58</v>
      </c>
      <c r="H1262" s="23">
        <v>141.6027</v>
      </c>
      <c r="I1262" s="24">
        <v>2</v>
      </c>
      <c r="J1262" s="24">
        <v>0</v>
      </c>
      <c r="K1262" s="24">
        <v>0</v>
      </c>
      <c r="L1262" s="41">
        <f>Table2[[#This Row],[Column1]]+Table2[[#This Row],[Column2]]</f>
        <v>0</v>
      </c>
      <c r="M1262" s="42">
        <f>Table2[[#This Row],[OnHandQty]]-Table2[[#This Row],[Projection Nov/Dec]]</f>
        <v>2</v>
      </c>
      <c r="N1262" s="35">
        <f>Table2[[#This Row],[OverStock]]*Table2[[#This Row],[RepCost]]</f>
        <v>283.2054</v>
      </c>
      <c r="O1262" s="25">
        <v>45766.383333333331</v>
      </c>
      <c r="P1262" s="26" t="s">
        <v>2271</v>
      </c>
    </row>
    <row r="1263" spans="1:16" x14ac:dyDescent="0.25">
      <c r="A1263" s="20" t="s">
        <v>5211</v>
      </c>
      <c r="B1263" s="21">
        <v>714</v>
      </c>
      <c r="C1263" s="22" t="s">
        <v>323</v>
      </c>
      <c r="D1263" s="22" t="s">
        <v>3520</v>
      </c>
      <c r="E1263" s="22" t="str">
        <f>CONCATENATE(B1263,D1263)</f>
        <v>71477303-306</v>
      </c>
      <c r="F1263" s="22" t="s">
        <v>3521</v>
      </c>
      <c r="G1263" s="22" t="s">
        <v>19</v>
      </c>
      <c r="H1263" s="23">
        <v>94.033699999999996</v>
      </c>
      <c r="I1263" s="24">
        <v>6</v>
      </c>
      <c r="J1263" s="24">
        <v>1</v>
      </c>
      <c r="K1263" s="24">
        <v>0</v>
      </c>
      <c r="L1263" s="41">
        <f>Table2[[#This Row],[Column1]]+Table2[[#This Row],[Column2]]</f>
        <v>1</v>
      </c>
      <c r="M1263" s="42">
        <f>Table2[[#This Row],[OnHandQty]]-Table2[[#This Row],[Projection Nov/Dec]]</f>
        <v>5</v>
      </c>
      <c r="N1263" s="35">
        <f>Table2[[#This Row],[OverStock]]*Table2[[#This Row],[RepCost]]</f>
        <v>470.16849999999999</v>
      </c>
      <c r="O1263" s="25">
        <v>46183.617361111108</v>
      </c>
      <c r="P1263" s="26" t="s">
        <v>3384</v>
      </c>
    </row>
    <row r="1264" spans="1:16" x14ac:dyDescent="0.25">
      <c r="A1264" s="20" t="s">
        <v>5211</v>
      </c>
      <c r="B1264" s="21">
        <v>714</v>
      </c>
      <c r="C1264" s="22" t="s">
        <v>323</v>
      </c>
      <c r="D1264" s="22" t="s">
        <v>3425</v>
      </c>
      <c r="E1264" s="22" t="str">
        <f>CONCATENATE(B1264,D1264)</f>
        <v>71477303-307</v>
      </c>
      <c r="F1264" s="22" t="s">
        <v>3426</v>
      </c>
      <c r="G1264" s="22" t="s">
        <v>19</v>
      </c>
      <c r="H1264" s="23">
        <v>126.2715</v>
      </c>
      <c r="I1264" s="24">
        <v>5</v>
      </c>
      <c r="J1264" s="24">
        <v>0</v>
      </c>
      <c r="K1264" s="24">
        <v>0</v>
      </c>
      <c r="L1264" s="41">
        <f>Table2[[#This Row],[Column1]]+Table2[[#This Row],[Column2]]</f>
        <v>0</v>
      </c>
      <c r="M1264" s="42">
        <f>Table2[[#This Row],[OnHandQty]]-Table2[[#This Row],[Projection Nov/Dec]]</f>
        <v>5</v>
      </c>
      <c r="N1264" s="35">
        <f>Table2[[#This Row],[OverStock]]*Table2[[#This Row],[RepCost]]</f>
        <v>631.35750000000007</v>
      </c>
      <c r="O1264" s="25">
        <v>46183.617361111108</v>
      </c>
      <c r="P1264" s="26" t="s">
        <v>3384</v>
      </c>
    </row>
    <row r="1265" spans="1:16" x14ac:dyDescent="0.25">
      <c r="A1265" s="20" t="s">
        <v>5211</v>
      </c>
      <c r="B1265" s="21">
        <v>714</v>
      </c>
      <c r="C1265" s="22" t="s">
        <v>323</v>
      </c>
      <c r="D1265" s="22" t="s">
        <v>3182</v>
      </c>
      <c r="E1265" s="22" t="str">
        <f>CONCATENATE(B1265,D1265)</f>
        <v>71468161-306</v>
      </c>
      <c r="F1265" s="27" t="s">
        <v>3183</v>
      </c>
      <c r="G1265" s="27" t="s">
        <v>58</v>
      </c>
      <c r="H1265" s="23">
        <v>123.3314</v>
      </c>
      <c r="I1265" s="24">
        <v>4</v>
      </c>
      <c r="J1265" s="24">
        <v>0</v>
      </c>
      <c r="K1265" s="24">
        <v>0</v>
      </c>
      <c r="L1265" s="41">
        <f>Table2[[#This Row],[Column1]]+Table2[[#This Row],[Column2]]</f>
        <v>0</v>
      </c>
      <c r="M1265" s="42">
        <f>Table2[[#This Row],[OnHandQty]]-Table2[[#This Row],[Projection Nov/Dec]]</f>
        <v>4</v>
      </c>
      <c r="N1265" s="35">
        <f>Table2[[#This Row],[OverStock]]*Table2[[#This Row],[RepCost]]</f>
        <v>493.32560000000001</v>
      </c>
      <c r="O1265" s="25">
        <v>45766.383333333331</v>
      </c>
      <c r="P1265" s="26" t="s">
        <v>2271</v>
      </c>
    </row>
    <row r="1266" spans="1:16" x14ac:dyDescent="0.25">
      <c r="A1266" s="20" t="s">
        <v>5211</v>
      </c>
      <c r="B1266" s="21">
        <v>714</v>
      </c>
      <c r="C1266" s="22" t="s">
        <v>143</v>
      </c>
      <c r="D1266" s="22" t="s">
        <v>2445</v>
      </c>
      <c r="E1266" s="22" t="str">
        <f>CONCATENATE(B1266,D1266)</f>
        <v>71494528-105PREM</v>
      </c>
      <c r="F1266" s="22" t="s">
        <v>2446</v>
      </c>
      <c r="G1266" s="22" t="s">
        <v>29</v>
      </c>
      <c r="H1266" s="23">
        <v>32.4572</v>
      </c>
      <c r="I1266" s="24">
        <v>2</v>
      </c>
      <c r="J1266" s="24">
        <v>0</v>
      </c>
      <c r="K1266" s="24">
        <v>0</v>
      </c>
      <c r="L1266" s="41">
        <f>Table2[[#This Row],[Column1]]+Table2[[#This Row],[Column2]]</f>
        <v>0</v>
      </c>
      <c r="M1266" s="42">
        <f>Table2[[#This Row],[OnHandQty]]-Table2[[#This Row],[Projection Nov/Dec]]</f>
        <v>2</v>
      </c>
      <c r="N1266" s="35">
        <f>Table2[[#This Row],[OverStock]]*Table2[[#This Row],[RepCost]]</f>
        <v>64.914400000000001</v>
      </c>
      <c r="O1266" s="25">
        <v>46198.373611111114</v>
      </c>
      <c r="P1266" s="26" t="s">
        <v>67</v>
      </c>
    </row>
    <row r="1267" spans="1:16" x14ac:dyDescent="0.25">
      <c r="A1267" s="20" t="s">
        <v>5211</v>
      </c>
      <c r="B1267" s="21">
        <v>718</v>
      </c>
      <c r="C1267" s="22" t="s">
        <v>323</v>
      </c>
      <c r="D1267" s="22" t="s">
        <v>3939</v>
      </c>
      <c r="E1267" s="22" t="str">
        <f>CONCATENATE(B1267,D1267)</f>
        <v>71868113-107</v>
      </c>
      <c r="F1267" s="22" t="s">
        <v>3940</v>
      </c>
      <c r="G1267" s="22" t="s">
        <v>112</v>
      </c>
      <c r="H1267" s="23">
        <v>34.172600000000003</v>
      </c>
      <c r="I1267" s="24">
        <v>2</v>
      </c>
      <c r="J1267" s="24">
        <v>0</v>
      </c>
      <c r="K1267" s="24">
        <v>0</v>
      </c>
      <c r="L1267" s="41">
        <f>Table2[[#This Row],[Column1]]+Table2[[#This Row],[Column2]]</f>
        <v>0</v>
      </c>
      <c r="M1267" s="42">
        <f>Table2[[#This Row],[OnHandQty]]-Table2[[#This Row],[Projection Nov/Dec]]</f>
        <v>2</v>
      </c>
      <c r="N1267" s="35">
        <f>Table2[[#This Row],[OverStock]]*Table2[[#This Row],[RepCost]]</f>
        <v>68.345200000000006</v>
      </c>
      <c r="O1267" s="25">
        <v>46127.477777777778</v>
      </c>
      <c r="P1267" s="26" t="s">
        <v>878</v>
      </c>
    </row>
    <row r="1268" spans="1:16" x14ac:dyDescent="0.25">
      <c r="A1268" s="20" t="s">
        <v>5211</v>
      </c>
      <c r="B1268" s="21">
        <v>714</v>
      </c>
      <c r="C1268" s="22" t="s">
        <v>323</v>
      </c>
      <c r="D1268" s="22" t="s">
        <v>3155</v>
      </c>
      <c r="E1268" s="22" t="str">
        <f>CONCATENATE(B1268,D1268)</f>
        <v>71468115-312</v>
      </c>
      <c r="F1268" s="22" t="s">
        <v>3156</v>
      </c>
      <c r="G1268" s="22" t="s">
        <v>29</v>
      </c>
      <c r="H1268" s="23">
        <v>261.91419999999999</v>
      </c>
      <c r="I1268" s="24">
        <v>1</v>
      </c>
      <c r="J1268" s="24">
        <v>0</v>
      </c>
      <c r="K1268" s="24">
        <v>0</v>
      </c>
      <c r="L1268" s="41">
        <f>Table2[[#This Row],[Column1]]+Table2[[#This Row],[Column2]]</f>
        <v>0</v>
      </c>
      <c r="M1268" s="42">
        <f>Table2[[#This Row],[OnHandQty]]-Table2[[#This Row],[Projection Nov/Dec]]</f>
        <v>1</v>
      </c>
      <c r="N1268" s="35">
        <f>Table2[[#This Row],[OverStock]]*Table2[[#This Row],[RepCost]]</f>
        <v>261.91419999999999</v>
      </c>
      <c r="O1268" s="25">
        <v>46178.441666666666</v>
      </c>
      <c r="P1268" s="26" t="s">
        <v>216</v>
      </c>
    </row>
    <row r="1269" spans="1:16" x14ac:dyDescent="0.25">
      <c r="A1269" s="20" t="s">
        <v>5211</v>
      </c>
      <c r="B1269" s="21">
        <v>714</v>
      </c>
      <c r="C1269" s="22" t="s">
        <v>323</v>
      </c>
      <c r="D1269" s="22" t="s">
        <v>3528</v>
      </c>
      <c r="E1269" s="22" t="str">
        <f>CONCATENATE(B1269,D1269)</f>
        <v>71468116-306</v>
      </c>
      <c r="F1269" s="22" t="s">
        <v>3529</v>
      </c>
      <c r="G1269" s="22" t="s">
        <v>29</v>
      </c>
      <c r="H1269" s="23">
        <v>127.7658</v>
      </c>
      <c r="I1269" s="24">
        <v>5</v>
      </c>
      <c r="J1269" s="24">
        <v>0</v>
      </c>
      <c r="K1269" s="24">
        <v>0</v>
      </c>
      <c r="L1269" s="41">
        <f>Table2[[#This Row],[Column1]]+Table2[[#This Row],[Column2]]</f>
        <v>0</v>
      </c>
      <c r="M1269" s="42">
        <f>Table2[[#This Row],[OnHandQty]]-Table2[[#This Row],[Projection Nov/Dec]]</f>
        <v>5</v>
      </c>
      <c r="N1269" s="35">
        <f>Table2[[#This Row],[OverStock]]*Table2[[#This Row],[RepCost]]</f>
        <v>638.82899999999995</v>
      </c>
      <c r="O1269" s="25">
        <v>46189.518750000003</v>
      </c>
      <c r="P1269" s="26" t="s">
        <v>2271</v>
      </c>
    </row>
    <row r="1270" spans="1:16" x14ac:dyDescent="0.25">
      <c r="A1270" s="20" t="s">
        <v>5211</v>
      </c>
      <c r="B1270" s="21">
        <v>714</v>
      </c>
      <c r="C1270" s="22" t="s">
        <v>323</v>
      </c>
      <c r="D1270" s="22" t="s">
        <v>3091</v>
      </c>
      <c r="E1270" s="22" t="str">
        <f>CONCATENATE(B1270,D1270)</f>
        <v>71468116-307</v>
      </c>
      <c r="F1270" s="22" t="s">
        <v>3092</v>
      </c>
      <c r="G1270" s="22" t="s">
        <v>29</v>
      </c>
      <c r="H1270" s="23">
        <v>120.548</v>
      </c>
      <c r="I1270" s="24">
        <v>8</v>
      </c>
      <c r="J1270" s="24">
        <v>0</v>
      </c>
      <c r="K1270" s="24">
        <v>0</v>
      </c>
      <c r="L1270" s="41">
        <f>Table2[[#This Row],[Column1]]+Table2[[#This Row],[Column2]]</f>
        <v>0</v>
      </c>
      <c r="M1270" s="42">
        <f>Table2[[#This Row],[OnHandQty]]-Table2[[#This Row],[Projection Nov/Dec]]</f>
        <v>8</v>
      </c>
      <c r="N1270" s="35">
        <f>Table2[[#This Row],[OverStock]]*Table2[[#This Row],[RepCost]]</f>
        <v>964.38400000000001</v>
      </c>
      <c r="O1270" s="25">
        <v>46192.649305555555</v>
      </c>
      <c r="P1270" s="26" t="s">
        <v>2821</v>
      </c>
    </row>
    <row r="1271" spans="1:16" x14ac:dyDescent="0.25">
      <c r="A1271" s="20" t="s">
        <v>5211</v>
      </c>
      <c r="B1271" s="21">
        <v>718</v>
      </c>
      <c r="C1271" s="22" t="s">
        <v>323</v>
      </c>
      <c r="D1271" s="22" t="s">
        <v>3446</v>
      </c>
      <c r="E1271" s="22" t="str">
        <f>CONCATENATE(B1271,D1271)</f>
        <v>71868116-115PREM</v>
      </c>
      <c r="F1271" s="22" t="s">
        <v>3447</v>
      </c>
      <c r="G1271" s="22" t="s">
        <v>112</v>
      </c>
      <c r="H1271" s="23">
        <v>102.57129999999999</v>
      </c>
      <c r="I1271" s="24">
        <v>1</v>
      </c>
      <c r="J1271" s="24">
        <v>0</v>
      </c>
      <c r="K1271" s="24">
        <v>0</v>
      </c>
      <c r="L1271" s="41">
        <f>Table2[[#This Row],[Column1]]+Table2[[#This Row],[Column2]]</f>
        <v>0</v>
      </c>
      <c r="M1271" s="42">
        <f>Table2[[#This Row],[OnHandQty]]-Table2[[#This Row],[Projection Nov/Dec]]</f>
        <v>1</v>
      </c>
      <c r="N1271" s="35">
        <f>Table2[[#This Row],[OverStock]]*Table2[[#This Row],[RepCost]]</f>
        <v>102.57129999999999</v>
      </c>
      <c r="O1271" s="25">
        <v>46188.697222222225</v>
      </c>
      <c r="P1271" s="26" t="s">
        <v>1062</v>
      </c>
    </row>
    <row r="1272" spans="1:16" x14ac:dyDescent="0.25">
      <c r="A1272" s="20" t="s">
        <v>5211</v>
      </c>
      <c r="B1272" s="21">
        <v>718</v>
      </c>
      <c r="C1272" s="22" t="s">
        <v>323</v>
      </c>
      <c r="D1272" s="22" t="s">
        <v>3889</v>
      </c>
      <c r="E1272" s="22" t="str">
        <f>CONCATENATE(B1272,D1272)</f>
        <v>71868116-STD025</v>
      </c>
      <c r="F1272" s="22" t="s">
        <v>3890</v>
      </c>
      <c r="G1272" s="22" t="s">
        <v>29</v>
      </c>
      <c r="H1272" s="23">
        <v>249.04409999999999</v>
      </c>
      <c r="I1272" s="24">
        <v>1</v>
      </c>
      <c r="J1272" s="24">
        <v>0</v>
      </c>
      <c r="K1272" s="24">
        <v>0</v>
      </c>
      <c r="L1272" s="41">
        <f>Table2[[#This Row],[Column1]]+Table2[[#This Row],[Column2]]</f>
        <v>0</v>
      </c>
      <c r="M1272" s="42">
        <f>Table2[[#This Row],[OnHandQty]]-Table2[[#This Row],[Projection Nov/Dec]]</f>
        <v>1</v>
      </c>
      <c r="N1272" s="35">
        <f>Table2[[#This Row],[OverStock]]*Table2[[#This Row],[RepCost]]</f>
        <v>249.04409999999999</v>
      </c>
      <c r="O1272" s="25">
        <v>46134.417361111111</v>
      </c>
      <c r="P1272" s="26" t="s">
        <v>3024</v>
      </c>
    </row>
    <row r="1273" spans="1:16" x14ac:dyDescent="0.25">
      <c r="A1273" s="20" t="s">
        <v>5211</v>
      </c>
      <c r="B1273" s="21">
        <v>714</v>
      </c>
      <c r="C1273" s="22" t="s">
        <v>323</v>
      </c>
      <c r="D1273" s="22" t="s">
        <v>3321</v>
      </c>
      <c r="E1273" s="22" t="str">
        <f>CONCATENATE(B1273,D1273)</f>
        <v>71468116-STD145</v>
      </c>
      <c r="F1273" s="27" t="s">
        <v>3322</v>
      </c>
      <c r="G1273" s="27" t="s">
        <v>58</v>
      </c>
      <c r="H1273" s="23">
        <v>292.22469999999998</v>
      </c>
      <c r="I1273" s="24">
        <v>2</v>
      </c>
      <c r="J1273" s="24">
        <v>0</v>
      </c>
      <c r="K1273" s="24">
        <v>0</v>
      </c>
      <c r="L1273" s="41">
        <f>Table2[[#This Row],[Column1]]+Table2[[#This Row],[Column2]]</f>
        <v>0</v>
      </c>
      <c r="M1273" s="42">
        <f>Table2[[#This Row],[OnHandQty]]-Table2[[#This Row],[Projection Nov/Dec]]</f>
        <v>2</v>
      </c>
      <c r="N1273" s="35">
        <f>Table2[[#This Row],[OverStock]]*Table2[[#This Row],[RepCost]]</f>
        <v>584.44939999999997</v>
      </c>
      <c r="O1273" s="25">
        <v>45603.438194444447</v>
      </c>
      <c r="P1273" s="26" t="s">
        <v>3323</v>
      </c>
    </row>
    <row r="1274" spans="1:16" x14ac:dyDescent="0.25">
      <c r="A1274" s="20" t="s">
        <v>5211</v>
      </c>
      <c r="B1274" s="21">
        <v>714</v>
      </c>
      <c r="C1274" s="22" t="s">
        <v>323</v>
      </c>
      <c r="D1274" s="22" t="s">
        <v>3164</v>
      </c>
      <c r="E1274" s="22" t="str">
        <f>CONCATENATE(B1274,D1274)</f>
        <v>71468117-306</v>
      </c>
      <c r="F1274" s="22" t="s">
        <v>3165</v>
      </c>
      <c r="G1274" s="22" t="s">
        <v>29</v>
      </c>
      <c r="H1274" s="23">
        <v>127.7658</v>
      </c>
      <c r="I1274" s="24">
        <v>5</v>
      </c>
      <c r="J1274" s="24">
        <v>0</v>
      </c>
      <c r="K1274" s="24">
        <v>0</v>
      </c>
      <c r="L1274" s="41">
        <f>Table2[[#This Row],[Column1]]+Table2[[#This Row],[Column2]]</f>
        <v>0</v>
      </c>
      <c r="M1274" s="42">
        <f>Table2[[#This Row],[OnHandQty]]-Table2[[#This Row],[Projection Nov/Dec]]</f>
        <v>5</v>
      </c>
      <c r="N1274" s="35">
        <f>Table2[[#This Row],[OverStock]]*Table2[[#This Row],[RepCost]]</f>
        <v>638.82899999999995</v>
      </c>
      <c r="O1274" s="25">
        <v>46189.518750000003</v>
      </c>
      <c r="P1274" s="26" t="s">
        <v>2271</v>
      </c>
    </row>
    <row r="1275" spans="1:16" x14ac:dyDescent="0.25">
      <c r="A1275" s="20" t="s">
        <v>5211</v>
      </c>
      <c r="B1275" s="21">
        <v>714</v>
      </c>
      <c r="C1275" s="22" t="s">
        <v>323</v>
      </c>
      <c r="D1275" s="22" t="s">
        <v>2937</v>
      </c>
      <c r="E1275" s="22" t="str">
        <f>CONCATENATE(B1275,D1275)</f>
        <v>71468117-115PREM</v>
      </c>
      <c r="F1275" s="22" t="s">
        <v>2938</v>
      </c>
      <c r="G1275" s="22" t="s">
        <v>23</v>
      </c>
      <c r="H1275" s="23">
        <v>99.516000000000005</v>
      </c>
      <c r="I1275" s="24">
        <v>3</v>
      </c>
      <c r="J1275" s="24">
        <v>0</v>
      </c>
      <c r="K1275" s="24">
        <v>0</v>
      </c>
      <c r="L1275" s="41">
        <f>Table2[[#This Row],[Column1]]+Table2[[#This Row],[Column2]]</f>
        <v>0</v>
      </c>
      <c r="M1275" s="42">
        <f>Table2[[#This Row],[OnHandQty]]-Table2[[#This Row],[Projection Nov/Dec]]</f>
        <v>3</v>
      </c>
      <c r="N1275" s="35">
        <f>Table2[[#This Row],[OverStock]]*Table2[[#This Row],[RepCost]]</f>
        <v>298.548</v>
      </c>
      <c r="O1275" s="25">
        <v>46149.429861111108</v>
      </c>
      <c r="P1275" s="26" t="s">
        <v>1062</v>
      </c>
    </row>
    <row r="1276" spans="1:16" x14ac:dyDescent="0.25">
      <c r="A1276" s="20" t="s">
        <v>5211</v>
      </c>
      <c r="B1276" s="21">
        <v>718</v>
      </c>
      <c r="C1276" s="22" t="s">
        <v>323</v>
      </c>
      <c r="D1276" s="22" t="s">
        <v>2937</v>
      </c>
      <c r="E1276" s="22" t="str">
        <f>CONCATENATE(B1276,D1276)</f>
        <v>71868117-115PREM</v>
      </c>
      <c r="F1276" s="22" t="s">
        <v>2938</v>
      </c>
      <c r="G1276" s="22" t="s">
        <v>23</v>
      </c>
      <c r="H1276" s="23">
        <v>103.0016</v>
      </c>
      <c r="I1276" s="24">
        <v>2</v>
      </c>
      <c r="J1276" s="24">
        <v>0</v>
      </c>
      <c r="K1276" s="24">
        <v>0</v>
      </c>
      <c r="L1276" s="41">
        <f>Table2[[#This Row],[Column1]]+Table2[[#This Row],[Column2]]</f>
        <v>0</v>
      </c>
      <c r="M1276" s="42">
        <f>Table2[[#This Row],[OnHandQty]]-Table2[[#This Row],[Projection Nov/Dec]]</f>
        <v>2</v>
      </c>
      <c r="N1276" s="35">
        <f>Table2[[#This Row],[OverStock]]*Table2[[#This Row],[RepCost]]</f>
        <v>206.00319999999999</v>
      </c>
      <c r="O1276" s="25">
        <v>46188.697222222225</v>
      </c>
      <c r="P1276" s="26" t="s">
        <v>1062</v>
      </c>
    </row>
    <row r="1277" spans="1:16" x14ac:dyDescent="0.25">
      <c r="A1277" s="20" t="s">
        <v>5211</v>
      </c>
      <c r="B1277" s="21">
        <v>718</v>
      </c>
      <c r="C1277" s="22" t="s">
        <v>323</v>
      </c>
      <c r="D1277" s="22" t="s">
        <v>3970</v>
      </c>
      <c r="E1277" s="22" t="str">
        <f>CONCATENATE(B1277,D1277)</f>
        <v>71868117-STD020</v>
      </c>
      <c r="F1277" s="22" t="s">
        <v>3971</v>
      </c>
      <c r="G1277" s="22" t="s">
        <v>29</v>
      </c>
      <c r="H1277" s="23">
        <v>131.678</v>
      </c>
      <c r="I1277" s="24">
        <v>3</v>
      </c>
      <c r="J1277" s="24">
        <v>0</v>
      </c>
      <c r="K1277" s="24">
        <v>0</v>
      </c>
      <c r="L1277" s="41">
        <f>Table2[[#This Row],[Column1]]+Table2[[#This Row],[Column2]]</f>
        <v>0</v>
      </c>
      <c r="M1277" s="42">
        <f>Table2[[#This Row],[OnHandQty]]-Table2[[#This Row],[Projection Nov/Dec]]</f>
        <v>3</v>
      </c>
      <c r="N1277" s="35">
        <f>Table2[[#This Row],[OverStock]]*Table2[[#This Row],[RepCost]]</f>
        <v>395.03399999999999</v>
      </c>
      <c r="O1277" s="25">
        <v>46238.620833333334</v>
      </c>
      <c r="P1277" s="26" t="s">
        <v>2905</v>
      </c>
    </row>
    <row r="1278" spans="1:16" x14ac:dyDescent="0.25">
      <c r="A1278" s="20" t="s">
        <v>5211</v>
      </c>
      <c r="B1278" s="21">
        <v>714</v>
      </c>
      <c r="C1278" s="22" t="s">
        <v>323</v>
      </c>
      <c r="D1278" s="22" t="s">
        <v>3259</v>
      </c>
      <c r="E1278" s="22" t="str">
        <f>CONCATENATE(B1278,D1278)</f>
        <v>71468117-STD025</v>
      </c>
      <c r="F1278" s="22" t="s">
        <v>3260</v>
      </c>
      <c r="G1278" s="22" t="s">
        <v>19</v>
      </c>
      <c r="H1278" s="23">
        <v>249.39869999999999</v>
      </c>
      <c r="I1278" s="24">
        <v>1</v>
      </c>
      <c r="J1278" s="24">
        <v>0</v>
      </c>
      <c r="K1278" s="24">
        <v>0</v>
      </c>
      <c r="L1278" s="41">
        <f>Table2[[#This Row],[Column1]]+Table2[[#This Row],[Column2]]</f>
        <v>0</v>
      </c>
      <c r="M1278" s="42">
        <f>Table2[[#This Row],[OnHandQty]]-Table2[[#This Row],[Projection Nov/Dec]]</f>
        <v>1</v>
      </c>
      <c r="N1278" s="35">
        <f>Table2[[#This Row],[OverStock]]*Table2[[#This Row],[RepCost]]</f>
        <v>249.39869999999999</v>
      </c>
      <c r="O1278" s="25">
        <v>46132.695138888892</v>
      </c>
      <c r="P1278" s="26" t="s">
        <v>3024</v>
      </c>
    </row>
    <row r="1279" spans="1:16" x14ac:dyDescent="0.25">
      <c r="A1279" s="20" t="s">
        <v>5211</v>
      </c>
      <c r="B1279" s="21">
        <v>714</v>
      </c>
      <c r="C1279" s="22" t="s">
        <v>323</v>
      </c>
      <c r="D1279" s="22" t="s">
        <v>3253</v>
      </c>
      <c r="E1279" s="22" t="str">
        <f>CONCATENATE(B1279,D1279)</f>
        <v>71468125-306</v>
      </c>
      <c r="F1279" s="22" t="s">
        <v>3254</v>
      </c>
      <c r="G1279" s="22" t="s">
        <v>19</v>
      </c>
      <c r="H1279" s="23">
        <v>100.1382</v>
      </c>
      <c r="I1279" s="24">
        <v>5</v>
      </c>
      <c r="J1279" s="24">
        <v>0</v>
      </c>
      <c r="K1279" s="24">
        <v>0</v>
      </c>
      <c r="L1279" s="41">
        <f>Table2[[#This Row],[Column1]]+Table2[[#This Row],[Column2]]</f>
        <v>0</v>
      </c>
      <c r="M1279" s="42">
        <f>Table2[[#This Row],[OnHandQty]]-Table2[[#This Row],[Projection Nov/Dec]]</f>
        <v>5</v>
      </c>
      <c r="N1279" s="35">
        <f>Table2[[#This Row],[OverStock]]*Table2[[#This Row],[RepCost]]</f>
        <v>500.69099999999997</v>
      </c>
      <c r="O1279" s="25">
        <v>46136.695833333331</v>
      </c>
      <c r="P1279" s="26" t="s">
        <v>216</v>
      </c>
    </row>
    <row r="1280" spans="1:16" x14ac:dyDescent="0.25">
      <c r="A1280" s="20" t="s">
        <v>5211</v>
      </c>
      <c r="B1280" s="21">
        <v>718</v>
      </c>
      <c r="C1280" s="22" t="s">
        <v>323</v>
      </c>
      <c r="D1280" s="22" t="s">
        <v>3217</v>
      </c>
      <c r="E1280" s="22" t="str">
        <f>CONCATENATE(B1280,D1280)</f>
        <v>71868125-115PREM</v>
      </c>
      <c r="F1280" s="22" t="s">
        <v>3218</v>
      </c>
      <c r="G1280" s="22" t="s">
        <v>29</v>
      </c>
      <c r="H1280" s="23">
        <v>99.501099999999994</v>
      </c>
      <c r="I1280" s="24">
        <v>1</v>
      </c>
      <c r="J1280" s="24">
        <v>0</v>
      </c>
      <c r="K1280" s="24">
        <v>0</v>
      </c>
      <c r="L1280" s="41">
        <f>Table2[[#This Row],[Column1]]+Table2[[#This Row],[Column2]]</f>
        <v>0</v>
      </c>
      <c r="M1280" s="42">
        <f>Table2[[#This Row],[OnHandQty]]-Table2[[#This Row],[Projection Nov/Dec]]</f>
        <v>1</v>
      </c>
      <c r="N1280" s="35">
        <f>Table2[[#This Row],[OverStock]]*Table2[[#This Row],[RepCost]]</f>
        <v>99.501099999999994</v>
      </c>
      <c r="O1280" s="25">
        <v>46147.668749999997</v>
      </c>
      <c r="P1280" s="26" t="s">
        <v>1062</v>
      </c>
    </row>
    <row r="1281" spans="1:16" x14ac:dyDescent="0.25">
      <c r="A1281" s="20" t="s">
        <v>5211</v>
      </c>
      <c r="B1281" s="21">
        <v>714</v>
      </c>
      <c r="C1281" s="22" t="s">
        <v>323</v>
      </c>
      <c r="D1281" s="22" t="s">
        <v>3014</v>
      </c>
      <c r="E1281" s="22" t="str">
        <f>CONCATENATE(B1281,D1281)</f>
        <v>71468125-STD115</v>
      </c>
      <c r="F1281" s="27" t="s">
        <v>3015</v>
      </c>
      <c r="G1281" s="27" t="s">
        <v>58</v>
      </c>
      <c r="H1281" s="23">
        <v>154.64359999999999</v>
      </c>
      <c r="I1281" s="24">
        <v>1</v>
      </c>
      <c r="J1281" s="24">
        <v>0</v>
      </c>
      <c r="K1281" s="24">
        <v>0</v>
      </c>
      <c r="L1281" s="41">
        <f>Table2[[#This Row],[Column1]]+Table2[[#This Row],[Column2]]</f>
        <v>0</v>
      </c>
      <c r="M1281" s="42">
        <f>Table2[[#This Row],[OnHandQty]]-Table2[[#This Row],[Projection Nov/Dec]]</f>
        <v>1</v>
      </c>
      <c r="N1281" s="35">
        <f>Table2[[#This Row],[OverStock]]*Table2[[#This Row],[RepCost]]</f>
        <v>154.64359999999999</v>
      </c>
      <c r="O1281" s="25">
        <v>45793.530555555553</v>
      </c>
      <c r="P1281" s="26" t="s">
        <v>1062</v>
      </c>
    </row>
    <row r="1282" spans="1:16" x14ac:dyDescent="0.25">
      <c r="A1282" s="20" t="s">
        <v>5211</v>
      </c>
      <c r="B1282" s="21">
        <v>718</v>
      </c>
      <c r="C1282" s="22" t="s">
        <v>323</v>
      </c>
      <c r="D1282" s="22" t="s">
        <v>3834</v>
      </c>
      <c r="E1282" s="22" t="str">
        <f>CONCATENATE(B1282,D1282)</f>
        <v>71868128-308</v>
      </c>
      <c r="F1282" s="22" t="s">
        <v>3835</v>
      </c>
      <c r="G1282" s="22" t="s">
        <v>19</v>
      </c>
      <c r="H1282" s="23">
        <v>168.273</v>
      </c>
      <c r="I1282" s="24">
        <v>1</v>
      </c>
      <c r="J1282" s="24">
        <v>0</v>
      </c>
      <c r="K1282" s="24">
        <v>0</v>
      </c>
      <c r="L1282" s="41">
        <f>Table2[[#This Row],[Column1]]+Table2[[#This Row],[Column2]]</f>
        <v>0</v>
      </c>
      <c r="M1282" s="42">
        <f>Table2[[#This Row],[OnHandQty]]-Table2[[#This Row],[Projection Nov/Dec]]</f>
        <v>1</v>
      </c>
      <c r="N1282" s="35">
        <f>Table2[[#This Row],[OverStock]]*Table2[[#This Row],[RepCost]]</f>
        <v>168.273</v>
      </c>
      <c r="O1282" s="25">
        <v>46134.417361111111</v>
      </c>
      <c r="P1282" s="26" t="s">
        <v>3024</v>
      </c>
    </row>
    <row r="1283" spans="1:16" x14ac:dyDescent="0.25">
      <c r="A1283" s="20" t="s">
        <v>5211</v>
      </c>
      <c r="B1283" s="21">
        <v>714</v>
      </c>
      <c r="C1283" s="22" t="s">
        <v>323</v>
      </c>
      <c r="D1283" s="22" t="s">
        <v>3061</v>
      </c>
      <c r="E1283" s="22" t="str">
        <f>CONCATENATE(B1283,D1283)</f>
        <v>71490155-307</v>
      </c>
      <c r="F1283" s="22" t="s">
        <v>3062</v>
      </c>
      <c r="G1283" s="22" t="s">
        <v>23</v>
      </c>
      <c r="H1283" s="23">
        <v>120.8409</v>
      </c>
      <c r="I1283" s="24">
        <v>6</v>
      </c>
      <c r="J1283" s="24">
        <v>0</v>
      </c>
      <c r="K1283" s="24">
        <v>0</v>
      </c>
      <c r="L1283" s="41">
        <f>Table2[[#This Row],[Column1]]+Table2[[#This Row],[Column2]]</f>
        <v>0</v>
      </c>
      <c r="M1283" s="42">
        <f>Table2[[#This Row],[OnHandQty]]-Table2[[#This Row],[Projection Nov/Dec]]</f>
        <v>6</v>
      </c>
      <c r="N1283" s="35">
        <f>Table2[[#This Row],[OverStock]]*Table2[[#This Row],[RepCost]]</f>
        <v>725.04539999999997</v>
      </c>
      <c r="O1283" s="25">
        <v>46192.649305555555</v>
      </c>
      <c r="P1283" s="26" t="s">
        <v>2821</v>
      </c>
    </row>
    <row r="1284" spans="1:16" x14ac:dyDescent="0.25">
      <c r="A1284" s="20" t="s">
        <v>5211</v>
      </c>
      <c r="B1284" s="21">
        <v>714</v>
      </c>
      <c r="C1284" s="22" t="s">
        <v>323</v>
      </c>
      <c r="D1284" s="22" t="s">
        <v>3213</v>
      </c>
      <c r="E1284" s="22" t="str">
        <f>CONCATENATE(B1284,D1284)</f>
        <v>71490155-308</v>
      </c>
      <c r="F1284" s="22" t="s">
        <v>3214</v>
      </c>
      <c r="G1284" s="22" t="s">
        <v>23</v>
      </c>
      <c r="H1284" s="23">
        <v>152.06319999999999</v>
      </c>
      <c r="I1284" s="24">
        <v>2</v>
      </c>
      <c r="J1284" s="24">
        <v>1</v>
      </c>
      <c r="K1284" s="24">
        <v>0</v>
      </c>
      <c r="L1284" s="41">
        <f>Table2[[#This Row],[Column1]]+Table2[[#This Row],[Column2]]</f>
        <v>1</v>
      </c>
      <c r="M1284" s="42">
        <f>Table2[[#This Row],[OnHandQty]]-Table2[[#This Row],[Projection Nov/Dec]]</f>
        <v>1</v>
      </c>
      <c r="N1284" s="35">
        <f>Table2[[#This Row],[OverStock]]*Table2[[#This Row],[RepCost]]</f>
        <v>152.06319999999999</v>
      </c>
      <c r="O1284" s="25">
        <v>46192.649305555555</v>
      </c>
      <c r="P1284" s="26" t="s">
        <v>2821</v>
      </c>
    </row>
    <row r="1285" spans="1:16" x14ac:dyDescent="0.25">
      <c r="A1285" s="20" t="s">
        <v>5211</v>
      </c>
      <c r="B1285" s="21">
        <v>714</v>
      </c>
      <c r="C1285" s="22" t="s">
        <v>143</v>
      </c>
      <c r="D1285" s="22" t="s">
        <v>2382</v>
      </c>
      <c r="E1285" s="22" t="str">
        <f>CONCATENATE(B1285,D1285)</f>
        <v>71481061-110</v>
      </c>
      <c r="F1285" s="27" t="s">
        <v>2383</v>
      </c>
      <c r="G1285" s="27" t="s">
        <v>58</v>
      </c>
      <c r="H1285" s="23">
        <v>102.23439999999999</v>
      </c>
      <c r="I1285" s="24">
        <v>2</v>
      </c>
      <c r="J1285" s="24">
        <v>0</v>
      </c>
      <c r="K1285" s="24">
        <v>0</v>
      </c>
      <c r="L1285" s="41">
        <f>Table2[[#This Row],[Column1]]+Table2[[#This Row],[Column2]]</f>
        <v>0</v>
      </c>
      <c r="M1285" s="42">
        <f>Table2[[#This Row],[OnHandQty]]-Table2[[#This Row],[Projection Nov/Dec]]</f>
        <v>2</v>
      </c>
      <c r="N1285" s="35">
        <f>Table2[[#This Row],[OverStock]]*Table2[[#This Row],[RepCost]]</f>
        <v>204.46879999999999</v>
      </c>
      <c r="O1285" s="25">
        <v>45729.45</v>
      </c>
      <c r="P1285" s="26" t="s">
        <v>2384</v>
      </c>
    </row>
    <row r="1286" spans="1:16" x14ac:dyDescent="0.25">
      <c r="A1286" s="20" t="s">
        <v>5211</v>
      </c>
      <c r="B1286" s="21">
        <v>714</v>
      </c>
      <c r="C1286" s="22" t="s">
        <v>323</v>
      </c>
      <c r="D1286" s="22" t="s">
        <v>3366</v>
      </c>
      <c r="E1286" s="22" t="str">
        <f>CONCATENATE(B1286,D1286)</f>
        <v>71490761-125</v>
      </c>
      <c r="F1286" s="22" t="s">
        <v>3367</v>
      </c>
      <c r="G1286" s="22" t="s">
        <v>19</v>
      </c>
      <c r="H1286" s="23">
        <v>144.76429999999999</v>
      </c>
      <c r="I1286" s="24">
        <v>6</v>
      </c>
      <c r="J1286" s="24">
        <v>0</v>
      </c>
      <c r="K1286" s="24">
        <v>0</v>
      </c>
      <c r="L1286" s="41">
        <f>Table2[[#This Row],[Column1]]+Table2[[#This Row],[Column2]]</f>
        <v>0</v>
      </c>
      <c r="M1286" s="42">
        <f>Table2[[#This Row],[OnHandQty]]-Table2[[#This Row],[Projection Nov/Dec]]</f>
        <v>6</v>
      </c>
      <c r="N1286" s="35">
        <f>Table2[[#This Row],[OverStock]]*Table2[[#This Row],[RepCost]]</f>
        <v>868.58579999999995</v>
      </c>
      <c r="O1286" s="25">
        <v>46197.59652777778</v>
      </c>
      <c r="P1286" s="26" t="s">
        <v>366</v>
      </c>
    </row>
    <row r="1287" spans="1:16" x14ac:dyDescent="0.25">
      <c r="A1287" s="20" t="s">
        <v>5211</v>
      </c>
      <c r="B1287" s="21">
        <v>714</v>
      </c>
      <c r="C1287" s="22" t="s">
        <v>126</v>
      </c>
      <c r="D1287" s="22" t="s">
        <v>2194</v>
      </c>
      <c r="E1287" s="22" t="str">
        <f>CONCATENATE(B1287,D1287)</f>
        <v>71490872-115PFO</v>
      </c>
      <c r="F1287" s="22" t="s">
        <v>2195</v>
      </c>
      <c r="G1287" s="22" t="s">
        <v>29</v>
      </c>
      <c r="H1287" s="23">
        <v>79.7012</v>
      </c>
      <c r="I1287" s="24">
        <v>10</v>
      </c>
      <c r="J1287" s="24">
        <v>0</v>
      </c>
      <c r="K1287" s="24">
        <v>0</v>
      </c>
      <c r="L1287" s="41">
        <f>Table2[[#This Row],[Column1]]+Table2[[#This Row],[Column2]]</f>
        <v>0</v>
      </c>
      <c r="M1287" s="42">
        <f>Table2[[#This Row],[OnHandQty]]-Table2[[#This Row],[Projection Nov/Dec]]</f>
        <v>10</v>
      </c>
      <c r="N1287" s="35">
        <f>Table2[[#This Row],[OverStock]]*Table2[[#This Row],[RepCost]]</f>
        <v>797.01199999999994</v>
      </c>
      <c r="O1287" s="25">
        <v>45938.415972222225</v>
      </c>
      <c r="P1287" s="26" t="s">
        <v>2196</v>
      </c>
    </row>
    <row r="1288" spans="1:16" x14ac:dyDescent="0.25">
      <c r="A1288" s="20" t="s">
        <v>5211</v>
      </c>
      <c r="B1288" s="21">
        <v>636</v>
      </c>
      <c r="C1288" s="22" t="s">
        <v>70</v>
      </c>
      <c r="D1288" s="22" t="s">
        <v>610</v>
      </c>
      <c r="E1288" s="22" t="str">
        <f>CONCATENATE(B1288,D1288)</f>
        <v>63690170-101</v>
      </c>
      <c r="F1288" s="22" t="s">
        <v>611</v>
      </c>
      <c r="G1288" s="22" t="s">
        <v>29</v>
      </c>
      <c r="H1288" s="23">
        <v>5.2130000000000001</v>
      </c>
      <c r="I1288" s="24">
        <v>3</v>
      </c>
      <c r="J1288" s="24">
        <v>0</v>
      </c>
      <c r="K1288" s="24">
        <v>0</v>
      </c>
      <c r="L1288" s="41">
        <f>Table2[[#This Row],[Column1]]+Table2[[#This Row],[Column2]]</f>
        <v>0</v>
      </c>
      <c r="M1288" s="42">
        <f>Table2[[#This Row],[OnHandQty]]-Table2[[#This Row],[Projection Nov/Dec]]</f>
        <v>3</v>
      </c>
      <c r="N1288" s="35">
        <f>Table2[[#This Row],[OverStock]]*Table2[[#This Row],[RepCost]]</f>
        <v>15.638999999999999</v>
      </c>
      <c r="O1288" s="25">
        <v>46184.540277777778</v>
      </c>
      <c r="P1288" s="26" t="s">
        <v>16</v>
      </c>
    </row>
    <row r="1289" spans="1:16" x14ac:dyDescent="0.25">
      <c r="A1289" s="20" t="s">
        <v>5211</v>
      </c>
      <c r="B1289" s="21">
        <v>634</v>
      </c>
      <c r="C1289" s="22" t="s">
        <v>70</v>
      </c>
      <c r="D1289" s="22" t="s">
        <v>79</v>
      </c>
      <c r="E1289" s="22" t="str">
        <f>CONCATENATE(B1289,D1289)</f>
        <v>63468190-101</v>
      </c>
      <c r="F1289" s="22" t="s">
        <v>80</v>
      </c>
      <c r="G1289" s="22" t="s">
        <v>81</v>
      </c>
      <c r="H1289" s="23">
        <v>5.4170999999999996</v>
      </c>
      <c r="I1289" s="24">
        <v>25</v>
      </c>
      <c r="J1289" s="24">
        <v>0</v>
      </c>
      <c r="K1289" s="24">
        <v>0</v>
      </c>
      <c r="L1289" s="41">
        <f>Table2[[#This Row],[Column1]]+Table2[[#This Row],[Column2]]</f>
        <v>0</v>
      </c>
      <c r="M1289" s="42">
        <f>Table2[[#This Row],[OnHandQty]]-Table2[[#This Row],[Projection Nov/Dec]]</f>
        <v>25</v>
      </c>
      <c r="N1289" s="35">
        <f>Table2[[#This Row],[OverStock]]*Table2[[#This Row],[RepCost]]</f>
        <v>135.42749999999998</v>
      </c>
      <c r="O1289" s="25">
        <v>46143.454861111109</v>
      </c>
      <c r="P1289" s="26" t="s">
        <v>40</v>
      </c>
    </row>
    <row r="1290" spans="1:16" x14ac:dyDescent="0.25">
      <c r="A1290" s="20" t="s">
        <v>5211</v>
      </c>
      <c r="B1290" s="21">
        <v>718</v>
      </c>
      <c r="C1290" s="22" t="s">
        <v>70</v>
      </c>
      <c r="D1290" s="22" t="s">
        <v>79</v>
      </c>
      <c r="E1290" s="22" t="str">
        <f>CONCATENATE(B1290,D1290)</f>
        <v>71868190-101</v>
      </c>
      <c r="F1290" s="22" t="s">
        <v>80</v>
      </c>
      <c r="G1290" s="22" t="s">
        <v>81</v>
      </c>
      <c r="H1290" s="23">
        <v>5.7626999999999997</v>
      </c>
      <c r="I1290" s="24">
        <v>15</v>
      </c>
      <c r="J1290" s="24">
        <v>0</v>
      </c>
      <c r="K1290" s="24">
        <v>0</v>
      </c>
      <c r="L1290" s="41">
        <f>Table2[[#This Row],[Column1]]+Table2[[#This Row],[Column2]]</f>
        <v>0</v>
      </c>
      <c r="M1290" s="42">
        <f>Table2[[#This Row],[OnHandQty]]-Table2[[#This Row],[Projection Nov/Dec]]</f>
        <v>15</v>
      </c>
      <c r="N1290" s="35">
        <f>Table2[[#This Row],[OverStock]]*Table2[[#This Row],[RepCost]]</f>
        <v>86.4405</v>
      </c>
      <c r="O1290" s="25">
        <v>46213.543055555558</v>
      </c>
      <c r="P1290" s="26" t="s">
        <v>573</v>
      </c>
    </row>
    <row r="1291" spans="1:16" x14ac:dyDescent="0.25">
      <c r="A1291" s="20" t="s">
        <v>5211</v>
      </c>
      <c r="B1291" s="21">
        <v>636</v>
      </c>
      <c r="C1291" s="22" t="s">
        <v>70</v>
      </c>
      <c r="D1291" s="22" t="s">
        <v>710</v>
      </c>
      <c r="E1291" s="22" t="str">
        <f>CONCATENATE(B1291,D1291)</f>
        <v>63668192-101</v>
      </c>
      <c r="F1291" s="22" t="s">
        <v>711</v>
      </c>
      <c r="G1291" s="22" t="s">
        <v>39</v>
      </c>
      <c r="H1291" s="23">
        <v>5.5345000000000004</v>
      </c>
      <c r="I1291" s="24">
        <v>6</v>
      </c>
      <c r="J1291" s="24">
        <v>0</v>
      </c>
      <c r="K1291" s="24">
        <v>0</v>
      </c>
      <c r="L1291" s="41">
        <f>Table2[[#This Row],[Column1]]+Table2[[#This Row],[Column2]]</f>
        <v>0</v>
      </c>
      <c r="M1291" s="42">
        <f>Table2[[#This Row],[OnHandQty]]-Table2[[#This Row],[Projection Nov/Dec]]</f>
        <v>6</v>
      </c>
      <c r="N1291" s="35">
        <f>Table2[[#This Row],[OverStock]]*Table2[[#This Row],[RepCost]]</f>
        <v>33.207000000000001</v>
      </c>
      <c r="O1291" s="25">
        <v>46199.375</v>
      </c>
      <c r="P1291" s="26" t="s">
        <v>16</v>
      </c>
    </row>
    <row r="1292" spans="1:16" x14ac:dyDescent="0.25">
      <c r="A1292" s="20" t="s">
        <v>5211</v>
      </c>
      <c r="B1292" s="21">
        <v>714</v>
      </c>
      <c r="C1292" s="22" t="s">
        <v>70</v>
      </c>
      <c r="D1292" s="22" t="s">
        <v>2107</v>
      </c>
      <c r="E1292" s="22" t="str">
        <f>CONCATENATE(B1292,D1292)</f>
        <v>71468194-101</v>
      </c>
      <c r="F1292" s="22" t="s">
        <v>2108</v>
      </c>
      <c r="G1292" s="22" t="s">
        <v>29</v>
      </c>
      <c r="H1292" s="23">
        <v>5.7941000000000003</v>
      </c>
      <c r="I1292" s="24">
        <v>18</v>
      </c>
      <c r="J1292" s="24">
        <v>0</v>
      </c>
      <c r="K1292" s="24">
        <v>0</v>
      </c>
      <c r="L1292" s="41">
        <f>Table2[[#This Row],[Column1]]+Table2[[#This Row],[Column2]]</f>
        <v>0</v>
      </c>
      <c r="M1292" s="42">
        <f>Table2[[#This Row],[OnHandQty]]-Table2[[#This Row],[Projection Nov/Dec]]</f>
        <v>18</v>
      </c>
      <c r="N1292" s="35">
        <f>Table2[[#This Row],[OverStock]]*Table2[[#This Row],[RepCost]]</f>
        <v>104.2938</v>
      </c>
      <c r="O1292" s="25">
        <v>46239.595833333333</v>
      </c>
      <c r="P1292" s="26" t="s">
        <v>40</v>
      </c>
    </row>
    <row r="1293" spans="1:16" x14ac:dyDescent="0.25">
      <c r="A1293" s="20" t="s">
        <v>5211</v>
      </c>
      <c r="B1293" s="21">
        <v>714</v>
      </c>
      <c r="C1293" s="22" t="s">
        <v>70</v>
      </c>
      <c r="D1293" s="22" t="s">
        <v>2048</v>
      </c>
      <c r="E1293" s="22" t="str">
        <f>CONCATENATE(B1293,D1293)</f>
        <v>71468226-SP4</v>
      </c>
      <c r="F1293" s="22" t="s">
        <v>2049</v>
      </c>
      <c r="G1293" s="22" t="s">
        <v>43</v>
      </c>
      <c r="H1293" s="23">
        <v>3.2166000000000001</v>
      </c>
      <c r="I1293" s="24">
        <v>24</v>
      </c>
      <c r="J1293" s="24">
        <v>0</v>
      </c>
      <c r="K1293" s="24">
        <v>0</v>
      </c>
      <c r="L1293" s="41">
        <f>Table2[[#This Row],[Column1]]+Table2[[#This Row],[Column2]]</f>
        <v>0</v>
      </c>
      <c r="M1293" s="42">
        <f>Table2[[#This Row],[OnHandQty]]-Table2[[#This Row],[Projection Nov/Dec]]</f>
        <v>24</v>
      </c>
      <c r="N1293" s="35">
        <f>Table2[[#This Row],[OverStock]]*Table2[[#This Row],[RepCost]]</f>
        <v>77.198400000000007</v>
      </c>
      <c r="O1293" s="25">
        <v>46248.395833333336</v>
      </c>
      <c r="P1293" s="26" t="s">
        <v>506</v>
      </c>
    </row>
    <row r="1294" spans="1:16" x14ac:dyDescent="0.25">
      <c r="A1294" s="20" t="s">
        <v>5211</v>
      </c>
      <c r="B1294" s="21">
        <v>634</v>
      </c>
      <c r="C1294" s="22" t="s">
        <v>70</v>
      </c>
      <c r="D1294" s="22" t="s">
        <v>102</v>
      </c>
      <c r="E1294" s="22" t="str">
        <f>CONCATENATE(B1294,D1294)</f>
        <v>63468214-SP4</v>
      </c>
      <c r="F1294" s="22" t="s">
        <v>103</v>
      </c>
      <c r="G1294" s="22" t="s">
        <v>23</v>
      </c>
      <c r="H1294" s="23">
        <v>2.9622000000000002</v>
      </c>
      <c r="I1294" s="24">
        <v>30</v>
      </c>
      <c r="J1294" s="24">
        <v>0</v>
      </c>
      <c r="K1294" s="24">
        <v>0</v>
      </c>
      <c r="L1294" s="41">
        <f>Table2[[#This Row],[Column1]]+Table2[[#This Row],[Column2]]</f>
        <v>0</v>
      </c>
      <c r="M1294" s="42">
        <f>Table2[[#This Row],[OnHandQty]]-Table2[[#This Row],[Projection Nov/Dec]]</f>
        <v>30</v>
      </c>
      <c r="N1294" s="35">
        <f>Table2[[#This Row],[OverStock]]*Table2[[#This Row],[RepCost]]</f>
        <v>88.866</v>
      </c>
      <c r="O1294" s="25">
        <v>46178.65347222222</v>
      </c>
      <c r="P1294" s="26" t="s">
        <v>99</v>
      </c>
    </row>
    <row r="1295" spans="1:16" x14ac:dyDescent="0.25">
      <c r="A1295" s="20" t="s">
        <v>5211</v>
      </c>
      <c r="B1295" s="21">
        <v>718</v>
      </c>
      <c r="C1295" s="22" t="s">
        <v>70</v>
      </c>
      <c r="D1295" s="22" t="s">
        <v>3631</v>
      </c>
      <c r="E1295" s="22" t="str">
        <f>CONCATENATE(B1295,D1295)</f>
        <v>71876548-PF4</v>
      </c>
      <c r="F1295" s="22" t="s">
        <v>3632</v>
      </c>
      <c r="G1295" s="22" t="s">
        <v>29</v>
      </c>
      <c r="H1295" s="23">
        <v>4.6500000000000004</v>
      </c>
      <c r="I1295" s="24">
        <v>1</v>
      </c>
      <c r="J1295" s="24">
        <v>0</v>
      </c>
      <c r="K1295" s="24">
        <v>0</v>
      </c>
      <c r="L1295" s="41">
        <f>Table2[[#This Row],[Column1]]+Table2[[#This Row],[Column2]]</f>
        <v>0</v>
      </c>
      <c r="M1295" s="42">
        <f>Table2[[#This Row],[OnHandQty]]-Table2[[#This Row],[Projection Nov/Dec]]</f>
        <v>1</v>
      </c>
      <c r="N1295" s="35">
        <f>Table2[[#This Row],[OverStock]]*Table2[[#This Row],[RepCost]]</f>
        <v>4.6500000000000004</v>
      </c>
      <c r="O1295" s="25">
        <v>46159.397916666669</v>
      </c>
      <c r="P1295" s="26" t="s">
        <v>1970</v>
      </c>
    </row>
    <row r="1296" spans="1:16" x14ac:dyDescent="0.25">
      <c r="A1296" s="20" t="s">
        <v>5211</v>
      </c>
      <c r="B1296" s="21">
        <v>636</v>
      </c>
      <c r="C1296" s="22" t="s">
        <v>323</v>
      </c>
      <c r="D1296" s="22" t="s">
        <v>1282</v>
      </c>
      <c r="E1296" s="22" t="str">
        <f>CONCATENATE(B1296,D1296)</f>
        <v>63668235-306</v>
      </c>
      <c r="F1296" s="22" t="s">
        <v>1283</v>
      </c>
      <c r="G1296" s="22" t="s">
        <v>29</v>
      </c>
      <c r="H1296" s="23">
        <v>167.44370000000001</v>
      </c>
      <c r="I1296" s="24">
        <v>3</v>
      </c>
      <c r="J1296" s="24">
        <v>0</v>
      </c>
      <c r="K1296" s="24">
        <v>0</v>
      </c>
      <c r="L1296" s="41">
        <f>Table2[[#This Row],[Column1]]+Table2[[#This Row],[Column2]]</f>
        <v>0</v>
      </c>
      <c r="M1296" s="42">
        <f>Table2[[#This Row],[OnHandQty]]-Table2[[#This Row],[Projection Nov/Dec]]</f>
        <v>3</v>
      </c>
      <c r="N1296" s="35">
        <f>Table2[[#This Row],[OverStock]]*Table2[[#This Row],[RepCost]]</f>
        <v>502.33109999999999</v>
      </c>
      <c r="O1296" s="25">
        <v>46104.520833333336</v>
      </c>
      <c r="P1296" s="26" t="s">
        <v>137</v>
      </c>
    </row>
    <row r="1297" spans="1:16" x14ac:dyDescent="0.25">
      <c r="A1297" s="20" t="s">
        <v>5211</v>
      </c>
      <c r="B1297" s="21">
        <v>714</v>
      </c>
      <c r="C1297" s="22" t="s">
        <v>143</v>
      </c>
      <c r="D1297" s="22" t="s">
        <v>2713</v>
      </c>
      <c r="E1297" s="22" t="str">
        <f>CONCATENATE(B1297,D1297)</f>
        <v>71468258-101</v>
      </c>
      <c r="F1297" s="22" t="s">
        <v>2714</v>
      </c>
      <c r="G1297" s="22" t="s">
        <v>15</v>
      </c>
      <c r="H1297" s="23">
        <v>12.6279</v>
      </c>
      <c r="I1297" s="24">
        <v>10</v>
      </c>
      <c r="J1297" s="24">
        <v>0</v>
      </c>
      <c r="K1297" s="24">
        <v>0</v>
      </c>
      <c r="L1297" s="41">
        <f>Table2[[#This Row],[Column1]]+Table2[[#This Row],[Column2]]</f>
        <v>0</v>
      </c>
      <c r="M1297" s="42">
        <f>Table2[[#This Row],[OnHandQty]]-Table2[[#This Row],[Projection Nov/Dec]]</f>
        <v>10</v>
      </c>
      <c r="N1297" s="35">
        <f>Table2[[#This Row],[OverStock]]*Table2[[#This Row],[RepCost]]</f>
        <v>126.279</v>
      </c>
      <c r="O1297" s="25">
        <v>46157.474999999999</v>
      </c>
      <c r="P1297" s="26" t="s">
        <v>67</v>
      </c>
    </row>
    <row r="1298" spans="1:16" x14ac:dyDescent="0.25">
      <c r="A1298" s="20" t="s">
        <v>5211</v>
      </c>
      <c r="B1298" s="21">
        <v>714</v>
      </c>
      <c r="C1298" s="22" t="s">
        <v>70</v>
      </c>
      <c r="D1298" s="22" t="s">
        <v>2174</v>
      </c>
      <c r="E1298" s="22" t="str">
        <f>CONCATENATE(B1298,D1298)</f>
        <v>71486420-101</v>
      </c>
      <c r="F1298" s="22" t="s">
        <v>2175</v>
      </c>
      <c r="G1298" s="22" t="s">
        <v>29</v>
      </c>
      <c r="H1298" s="23">
        <v>7.8945999999999996</v>
      </c>
      <c r="I1298" s="24">
        <v>43</v>
      </c>
      <c r="J1298" s="24">
        <v>0</v>
      </c>
      <c r="K1298" s="24">
        <v>0</v>
      </c>
      <c r="L1298" s="41">
        <f>Table2[[#This Row],[Column1]]+Table2[[#This Row],[Column2]]</f>
        <v>0</v>
      </c>
      <c r="M1298" s="42">
        <f>Table2[[#This Row],[OnHandQty]]-Table2[[#This Row],[Projection Nov/Dec]]</f>
        <v>43</v>
      </c>
      <c r="N1298" s="35">
        <f>Table2[[#This Row],[OverStock]]*Table2[[#This Row],[RepCost]]</f>
        <v>339.46780000000001</v>
      </c>
      <c r="O1298" s="25">
        <v>46239.595833333333</v>
      </c>
      <c r="P1298" s="26" t="s">
        <v>40</v>
      </c>
    </row>
    <row r="1299" spans="1:16" x14ac:dyDescent="0.25">
      <c r="A1299" s="20" t="s">
        <v>5211</v>
      </c>
      <c r="B1299" s="21">
        <v>714</v>
      </c>
      <c r="C1299" s="22" t="s">
        <v>70</v>
      </c>
      <c r="D1299" s="22" t="s">
        <v>2054</v>
      </c>
      <c r="E1299" s="22" t="str">
        <f>CONCATENATE(B1299,D1299)</f>
        <v>71468269-SP5</v>
      </c>
      <c r="F1299" s="22" t="s">
        <v>2055</v>
      </c>
      <c r="G1299" s="22" t="s">
        <v>81</v>
      </c>
      <c r="H1299" s="23">
        <v>4.4402999999999997</v>
      </c>
      <c r="I1299" s="24">
        <v>14</v>
      </c>
      <c r="J1299" s="24">
        <v>0</v>
      </c>
      <c r="K1299" s="24">
        <v>0</v>
      </c>
      <c r="L1299" s="41">
        <f>Table2[[#This Row],[Column1]]+Table2[[#This Row],[Column2]]</f>
        <v>0</v>
      </c>
      <c r="M1299" s="42">
        <f>Table2[[#This Row],[OnHandQty]]-Table2[[#This Row],[Projection Nov/Dec]]</f>
        <v>14</v>
      </c>
      <c r="N1299" s="35">
        <f>Table2[[#This Row],[OverStock]]*Table2[[#This Row],[RepCost]]</f>
        <v>62.164199999999994</v>
      </c>
      <c r="O1299" s="25">
        <v>46185.313888888886</v>
      </c>
      <c r="P1299" s="26" t="s">
        <v>542</v>
      </c>
    </row>
    <row r="1300" spans="1:16" x14ac:dyDescent="0.25">
      <c r="A1300" s="20" t="s">
        <v>5211</v>
      </c>
      <c r="B1300" s="21">
        <v>718</v>
      </c>
      <c r="C1300" s="22" t="s">
        <v>70</v>
      </c>
      <c r="D1300" s="22" t="s">
        <v>628</v>
      </c>
      <c r="E1300" s="22" t="str">
        <f>CONCATENATE(B1300,D1300)</f>
        <v>71868267-101</v>
      </c>
      <c r="F1300" s="22" t="s">
        <v>629</v>
      </c>
      <c r="G1300" s="22" t="s">
        <v>112</v>
      </c>
      <c r="H1300" s="23">
        <v>6.4252000000000002</v>
      </c>
      <c r="I1300" s="24">
        <v>13</v>
      </c>
      <c r="J1300" s="24">
        <v>0</v>
      </c>
      <c r="K1300" s="24">
        <v>0</v>
      </c>
      <c r="L1300" s="41">
        <f>Table2[[#This Row],[Column1]]+Table2[[#This Row],[Column2]]</f>
        <v>0</v>
      </c>
      <c r="M1300" s="42">
        <f>Table2[[#This Row],[OnHandQty]]-Table2[[#This Row],[Projection Nov/Dec]]</f>
        <v>13</v>
      </c>
      <c r="N1300" s="35">
        <f>Table2[[#This Row],[OverStock]]*Table2[[#This Row],[RepCost]]</f>
        <v>83.527600000000007</v>
      </c>
      <c r="O1300" s="25">
        <v>46234.345138888886</v>
      </c>
      <c r="P1300" s="26" t="s">
        <v>16</v>
      </c>
    </row>
    <row r="1301" spans="1:16" x14ac:dyDescent="0.25">
      <c r="A1301" s="20" t="s">
        <v>5211</v>
      </c>
      <c r="B1301" s="21">
        <v>714</v>
      </c>
      <c r="C1301" s="22" t="s">
        <v>70</v>
      </c>
      <c r="D1301" s="22" t="s">
        <v>2113</v>
      </c>
      <c r="E1301" s="22" t="str">
        <f>CONCATENATE(B1301,D1301)</f>
        <v>71485255-PF4</v>
      </c>
      <c r="F1301" s="22" t="s">
        <v>2114</v>
      </c>
      <c r="G1301" s="22" t="s">
        <v>39</v>
      </c>
      <c r="H1301" s="23">
        <v>9.0633999999999997</v>
      </c>
      <c r="I1301" s="24">
        <v>86</v>
      </c>
      <c r="J1301" s="24">
        <v>0</v>
      </c>
      <c r="K1301" s="24">
        <v>0</v>
      </c>
      <c r="L1301" s="41">
        <f>Table2[[#This Row],[Column1]]+Table2[[#This Row],[Column2]]</f>
        <v>0</v>
      </c>
      <c r="M1301" s="42">
        <f>Table2[[#This Row],[OnHandQty]]-Table2[[#This Row],[Projection Nov/Dec]]</f>
        <v>86</v>
      </c>
      <c r="N1301" s="35">
        <f>Table2[[#This Row],[OverStock]]*Table2[[#This Row],[RepCost]]</f>
        <v>779.45240000000001</v>
      </c>
      <c r="O1301" s="25">
        <v>46213.455555555556</v>
      </c>
      <c r="P1301" s="26" t="s">
        <v>573</v>
      </c>
    </row>
    <row r="1302" spans="1:16" x14ac:dyDescent="0.25">
      <c r="A1302" s="20" t="s">
        <v>5211</v>
      </c>
      <c r="B1302" s="21">
        <v>636</v>
      </c>
      <c r="C1302" s="22" t="s">
        <v>70</v>
      </c>
      <c r="D1302" s="22" t="s">
        <v>787</v>
      </c>
      <c r="E1302" s="22" t="str">
        <f>CONCATENATE(B1302,D1302)</f>
        <v>63690779-101</v>
      </c>
      <c r="F1302" s="22" t="s">
        <v>788</v>
      </c>
      <c r="G1302" s="22" t="s">
        <v>29</v>
      </c>
      <c r="H1302" s="23">
        <v>5.8784999999999998</v>
      </c>
      <c r="I1302" s="24">
        <v>5</v>
      </c>
      <c r="J1302" s="24">
        <v>0</v>
      </c>
      <c r="K1302" s="24">
        <v>0</v>
      </c>
      <c r="L1302" s="41">
        <f>Table2[[#This Row],[Column1]]+Table2[[#This Row],[Column2]]</f>
        <v>0</v>
      </c>
      <c r="M1302" s="42">
        <f>Table2[[#This Row],[OnHandQty]]-Table2[[#This Row],[Projection Nov/Dec]]</f>
        <v>5</v>
      </c>
      <c r="N1302" s="35">
        <f>Table2[[#This Row],[OverStock]]*Table2[[#This Row],[RepCost]]</f>
        <v>29.392499999999998</v>
      </c>
      <c r="O1302" s="25">
        <v>46184.540277777778</v>
      </c>
      <c r="P1302" s="26" t="s">
        <v>16</v>
      </c>
    </row>
    <row r="1303" spans="1:16" x14ac:dyDescent="0.25">
      <c r="A1303" s="20" t="s">
        <v>5211</v>
      </c>
      <c r="B1303" s="21">
        <v>636</v>
      </c>
      <c r="C1303" s="22" t="s">
        <v>70</v>
      </c>
      <c r="D1303" s="22" t="s">
        <v>712</v>
      </c>
      <c r="E1303" s="22" t="str">
        <f>CONCATENATE(B1303,D1303)</f>
        <v>63668360-101</v>
      </c>
      <c r="F1303" s="22" t="s">
        <v>713</v>
      </c>
      <c r="G1303" s="22" t="s">
        <v>112</v>
      </c>
      <c r="H1303" s="23">
        <v>5.5087999999999999</v>
      </c>
      <c r="I1303" s="24">
        <v>9</v>
      </c>
      <c r="J1303" s="24">
        <v>0</v>
      </c>
      <c r="K1303" s="24">
        <v>0</v>
      </c>
      <c r="L1303" s="41">
        <f>Table2[[#This Row],[Column1]]+Table2[[#This Row],[Column2]]</f>
        <v>0</v>
      </c>
      <c r="M1303" s="42">
        <f>Table2[[#This Row],[OnHandQty]]-Table2[[#This Row],[Projection Nov/Dec]]</f>
        <v>9</v>
      </c>
      <c r="N1303" s="35">
        <f>Table2[[#This Row],[OverStock]]*Table2[[#This Row],[RepCost]]</f>
        <v>49.5792</v>
      </c>
      <c r="O1303" s="25">
        <v>46177.399305555555</v>
      </c>
      <c r="P1303" s="26" t="s">
        <v>16</v>
      </c>
    </row>
    <row r="1304" spans="1:16" x14ac:dyDescent="0.25">
      <c r="A1304" s="20" t="s">
        <v>5211</v>
      </c>
      <c r="B1304" s="21">
        <v>718</v>
      </c>
      <c r="C1304" s="22" t="s">
        <v>70</v>
      </c>
      <c r="D1304" s="22" t="s">
        <v>712</v>
      </c>
      <c r="E1304" s="22" t="str">
        <f>CONCATENATE(B1304,D1304)</f>
        <v>71868360-101</v>
      </c>
      <c r="F1304" s="22" t="s">
        <v>713</v>
      </c>
      <c r="G1304" s="22" t="s">
        <v>112</v>
      </c>
      <c r="H1304" s="23">
        <v>5.9452999999999996</v>
      </c>
      <c r="I1304" s="24">
        <v>20</v>
      </c>
      <c r="J1304" s="24">
        <v>0</v>
      </c>
      <c r="K1304" s="24">
        <v>0</v>
      </c>
      <c r="L1304" s="41">
        <f>Table2[[#This Row],[Column1]]+Table2[[#This Row],[Column2]]</f>
        <v>0</v>
      </c>
      <c r="M1304" s="42">
        <f>Table2[[#This Row],[OnHandQty]]-Table2[[#This Row],[Projection Nov/Dec]]</f>
        <v>20</v>
      </c>
      <c r="N1304" s="35">
        <f>Table2[[#This Row],[OverStock]]*Table2[[#This Row],[RepCost]]</f>
        <v>118.90599999999999</v>
      </c>
      <c r="O1304" s="25">
        <v>46246.392361111109</v>
      </c>
      <c r="P1304" s="26" t="s">
        <v>40</v>
      </c>
    </row>
    <row r="1305" spans="1:16" x14ac:dyDescent="0.25">
      <c r="A1305" s="20" t="s">
        <v>5211</v>
      </c>
      <c r="B1305" s="21">
        <v>714</v>
      </c>
      <c r="C1305" s="22" t="s">
        <v>143</v>
      </c>
      <c r="D1305" s="22" t="s">
        <v>2675</v>
      </c>
      <c r="E1305" s="22" t="str">
        <f>CONCATENATE(B1305,D1305)</f>
        <v>71491167-103</v>
      </c>
      <c r="F1305" s="22" t="s">
        <v>2676</v>
      </c>
      <c r="G1305" s="22" t="s">
        <v>39</v>
      </c>
      <c r="H1305" s="23">
        <v>18.834599999999998</v>
      </c>
      <c r="I1305" s="24">
        <v>5</v>
      </c>
      <c r="J1305" s="24">
        <v>0</v>
      </c>
      <c r="K1305" s="24">
        <v>0</v>
      </c>
      <c r="L1305" s="41">
        <f>Table2[[#This Row],[Column1]]+Table2[[#This Row],[Column2]]</f>
        <v>0</v>
      </c>
      <c r="M1305" s="42">
        <f>Table2[[#This Row],[OnHandQty]]-Table2[[#This Row],[Projection Nov/Dec]]</f>
        <v>5</v>
      </c>
      <c r="N1305" s="35">
        <f>Table2[[#This Row],[OverStock]]*Table2[[#This Row],[RepCost]]</f>
        <v>94.172999999999988</v>
      </c>
      <c r="O1305" s="25">
        <v>46195.50277777778</v>
      </c>
      <c r="P1305" s="26" t="s">
        <v>665</v>
      </c>
    </row>
    <row r="1306" spans="1:16" x14ac:dyDescent="0.25">
      <c r="A1306" s="20" t="s">
        <v>5211</v>
      </c>
      <c r="B1306" s="21">
        <v>714</v>
      </c>
      <c r="C1306" s="22" t="s">
        <v>12</v>
      </c>
      <c r="D1306" s="22" t="s">
        <v>510</v>
      </c>
      <c r="E1306" s="22" t="str">
        <f>CONCATENATE(B1306,D1306)</f>
        <v>71477324-102</v>
      </c>
      <c r="F1306" s="22" t="s">
        <v>511</v>
      </c>
      <c r="G1306" s="22" t="s">
        <v>29</v>
      </c>
      <c r="H1306" s="23">
        <v>8.8194999999999997</v>
      </c>
      <c r="I1306" s="24">
        <v>1</v>
      </c>
      <c r="J1306" s="24">
        <v>0</v>
      </c>
      <c r="K1306" s="24">
        <v>0</v>
      </c>
      <c r="L1306" s="41">
        <f>Table2[[#This Row],[Column1]]+Table2[[#This Row],[Column2]]</f>
        <v>0</v>
      </c>
      <c r="M1306" s="42">
        <f>Table2[[#This Row],[OnHandQty]]-Table2[[#This Row],[Projection Nov/Dec]]</f>
        <v>1</v>
      </c>
      <c r="N1306" s="35">
        <f>Table2[[#This Row],[OverStock]]*Table2[[#This Row],[RepCost]]</f>
        <v>8.8194999999999997</v>
      </c>
      <c r="O1306" s="25">
        <v>46169.488194444442</v>
      </c>
      <c r="P1306" s="26" t="s">
        <v>16</v>
      </c>
    </row>
    <row r="1307" spans="1:16" x14ac:dyDescent="0.25">
      <c r="A1307" s="20" t="s">
        <v>5211</v>
      </c>
      <c r="B1307" s="21">
        <v>636</v>
      </c>
      <c r="C1307" s="22" t="s">
        <v>70</v>
      </c>
      <c r="D1307" s="22" t="s">
        <v>583</v>
      </c>
      <c r="E1307" s="22" t="str">
        <f>CONCATENATE(B1307,D1307)</f>
        <v>63668407-101</v>
      </c>
      <c r="F1307" s="22" t="s">
        <v>584</v>
      </c>
      <c r="G1307" s="22" t="s">
        <v>29</v>
      </c>
      <c r="H1307" s="23">
        <v>6.7813999999999997</v>
      </c>
      <c r="I1307" s="24">
        <v>10</v>
      </c>
      <c r="J1307" s="24">
        <v>0</v>
      </c>
      <c r="K1307" s="24">
        <v>0</v>
      </c>
      <c r="L1307" s="41">
        <f>Table2[[#This Row],[Column1]]+Table2[[#This Row],[Column2]]</f>
        <v>0</v>
      </c>
      <c r="M1307" s="42">
        <f>Table2[[#This Row],[OnHandQty]]-Table2[[#This Row],[Projection Nov/Dec]]</f>
        <v>10</v>
      </c>
      <c r="N1307" s="35">
        <f>Table2[[#This Row],[OverStock]]*Table2[[#This Row],[RepCost]]</f>
        <v>67.813999999999993</v>
      </c>
      <c r="O1307" s="25">
        <v>46191.495833333334</v>
      </c>
      <c r="P1307" s="26" t="s">
        <v>522</v>
      </c>
    </row>
    <row r="1308" spans="1:16" x14ac:dyDescent="0.25">
      <c r="A1308" s="20" t="s">
        <v>5211</v>
      </c>
      <c r="B1308" s="21">
        <v>636</v>
      </c>
      <c r="C1308" s="22" t="s">
        <v>70</v>
      </c>
      <c r="D1308" s="22" t="s">
        <v>837</v>
      </c>
      <c r="E1308" s="22" t="str">
        <f>CONCATENATE(B1308,D1308)</f>
        <v>63683084-101</v>
      </c>
      <c r="F1308" s="22" t="s">
        <v>838</v>
      </c>
      <c r="G1308" s="22" t="s">
        <v>29</v>
      </c>
      <c r="H1308" s="23">
        <v>10.2867</v>
      </c>
      <c r="I1308" s="24">
        <v>6</v>
      </c>
      <c r="J1308" s="24">
        <v>0</v>
      </c>
      <c r="K1308" s="24">
        <v>0</v>
      </c>
      <c r="L1308" s="41">
        <f>Table2[[#This Row],[Column1]]+Table2[[#This Row],[Column2]]</f>
        <v>0</v>
      </c>
      <c r="M1308" s="42">
        <f>Table2[[#This Row],[OnHandQty]]-Table2[[#This Row],[Projection Nov/Dec]]</f>
        <v>6</v>
      </c>
      <c r="N1308" s="35">
        <f>Table2[[#This Row],[OverStock]]*Table2[[#This Row],[RepCost]]</f>
        <v>61.720199999999998</v>
      </c>
      <c r="O1308" s="25">
        <v>46189.418749999997</v>
      </c>
      <c r="P1308" s="26" t="s">
        <v>16</v>
      </c>
    </row>
    <row r="1309" spans="1:16" x14ac:dyDescent="0.25">
      <c r="A1309" s="20" t="s">
        <v>5211</v>
      </c>
      <c r="B1309" s="21">
        <v>636</v>
      </c>
      <c r="C1309" s="22" t="s">
        <v>70</v>
      </c>
      <c r="D1309" s="22" t="s">
        <v>816</v>
      </c>
      <c r="E1309" s="22" t="str">
        <f>CONCATENATE(B1309,D1309)</f>
        <v>63668417-101</v>
      </c>
      <c r="F1309" s="22" t="s">
        <v>817</v>
      </c>
      <c r="G1309" s="22" t="s">
        <v>29</v>
      </c>
      <c r="H1309" s="23">
        <v>7.4101999999999997</v>
      </c>
      <c r="I1309" s="24">
        <v>23</v>
      </c>
      <c r="J1309" s="24">
        <v>0</v>
      </c>
      <c r="K1309" s="24">
        <v>0</v>
      </c>
      <c r="L1309" s="41">
        <f>Table2[[#This Row],[Column1]]+Table2[[#This Row],[Column2]]</f>
        <v>0</v>
      </c>
      <c r="M1309" s="42">
        <f>Table2[[#This Row],[OnHandQty]]-Table2[[#This Row],[Projection Nov/Dec]]</f>
        <v>23</v>
      </c>
      <c r="N1309" s="35">
        <f>Table2[[#This Row],[OverStock]]*Table2[[#This Row],[RepCost]]</f>
        <v>170.43459999999999</v>
      </c>
      <c r="O1309" s="25">
        <v>46189.425000000003</v>
      </c>
      <c r="P1309" s="26" t="s">
        <v>94</v>
      </c>
    </row>
    <row r="1310" spans="1:16" x14ac:dyDescent="0.25">
      <c r="A1310" s="20" t="s">
        <v>5211</v>
      </c>
      <c r="B1310" s="21">
        <v>636</v>
      </c>
      <c r="C1310" s="22" t="s">
        <v>70</v>
      </c>
      <c r="D1310" s="22" t="s">
        <v>759</v>
      </c>
      <c r="E1310" s="22" t="str">
        <f>CONCATENATE(B1310,D1310)</f>
        <v>63668418-101</v>
      </c>
      <c r="F1310" s="22" t="s">
        <v>760</v>
      </c>
      <c r="G1310" s="22" t="s">
        <v>39</v>
      </c>
      <c r="H1310" s="23">
        <v>8.1960999999999995</v>
      </c>
      <c r="I1310" s="24">
        <v>32</v>
      </c>
      <c r="J1310" s="24">
        <v>0</v>
      </c>
      <c r="K1310" s="24">
        <v>0</v>
      </c>
      <c r="L1310" s="41">
        <f>Table2[[#This Row],[Column1]]+Table2[[#This Row],[Column2]]</f>
        <v>0</v>
      </c>
      <c r="M1310" s="42">
        <f>Table2[[#This Row],[OnHandQty]]-Table2[[#This Row],[Projection Nov/Dec]]</f>
        <v>32</v>
      </c>
      <c r="N1310" s="35">
        <f>Table2[[#This Row],[OverStock]]*Table2[[#This Row],[RepCost]]</f>
        <v>262.27519999999998</v>
      </c>
      <c r="O1310" s="25">
        <v>46246.46875</v>
      </c>
      <c r="P1310" s="26" t="s">
        <v>195</v>
      </c>
    </row>
    <row r="1311" spans="1:16" x14ac:dyDescent="0.25">
      <c r="A1311" s="20" t="s">
        <v>5211</v>
      </c>
      <c r="B1311" s="21">
        <v>718</v>
      </c>
      <c r="C1311" s="22" t="s">
        <v>70</v>
      </c>
      <c r="D1311" s="22" t="s">
        <v>2127</v>
      </c>
      <c r="E1311" s="22" t="str">
        <f>CONCATENATE(B1311,D1311)</f>
        <v>71868418-102</v>
      </c>
      <c r="F1311" s="22" t="s">
        <v>2128</v>
      </c>
      <c r="G1311" s="22" t="s">
        <v>29</v>
      </c>
      <c r="H1311" s="23">
        <v>10.5928</v>
      </c>
      <c r="I1311" s="24">
        <v>3</v>
      </c>
      <c r="J1311" s="24">
        <v>0</v>
      </c>
      <c r="K1311" s="24">
        <v>0</v>
      </c>
      <c r="L1311" s="41">
        <f>Table2[[#This Row],[Column1]]+Table2[[#This Row],[Column2]]</f>
        <v>0</v>
      </c>
      <c r="M1311" s="42">
        <f>Table2[[#This Row],[OnHandQty]]-Table2[[#This Row],[Projection Nov/Dec]]</f>
        <v>3</v>
      </c>
      <c r="N1311" s="35">
        <f>Table2[[#This Row],[OverStock]]*Table2[[#This Row],[RepCost]]</f>
        <v>31.778400000000001</v>
      </c>
      <c r="O1311" s="25">
        <v>44076.517361111109</v>
      </c>
      <c r="P1311" s="26" t="s">
        <v>26</v>
      </c>
    </row>
    <row r="1312" spans="1:16" x14ac:dyDescent="0.25">
      <c r="A1312" s="20" t="s">
        <v>5211</v>
      </c>
      <c r="B1312" s="21">
        <v>714</v>
      </c>
      <c r="C1312" s="22" t="s">
        <v>70</v>
      </c>
      <c r="D1312" s="22" t="s">
        <v>2127</v>
      </c>
      <c r="E1312" s="22" t="str">
        <f>CONCATENATE(B1312,D1312)</f>
        <v>71468418-102</v>
      </c>
      <c r="F1312" s="22" t="s">
        <v>2128</v>
      </c>
      <c r="G1312" s="22" t="s">
        <v>112</v>
      </c>
      <c r="H1312" s="23">
        <v>10.5928</v>
      </c>
      <c r="I1312" s="24">
        <v>8</v>
      </c>
      <c r="J1312" s="24">
        <v>0</v>
      </c>
      <c r="K1312" s="24">
        <v>0</v>
      </c>
      <c r="L1312" s="41">
        <f>Table2[[#This Row],[Column1]]+Table2[[#This Row],[Column2]]</f>
        <v>0</v>
      </c>
      <c r="M1312" s="42">
        <f>Table2[[#This Row],[OnHandQty]]-Table2[[#This Row],[Projection Nov/Dec]]</f>
        <v>8</v>
      </c>
      <c r="N1312" s="35">
        <f>Table2[[#This Row],[OverStock]]*Table2[[#This Row],[RepCost]]</f>
        <v>84.742400000000004</v>
      </c>
      <c r="O1312" s="25">
        <v>46177.484722222223</v>
      </c>
      <c r="P1312" s="26" t="s">
        <v>878</v>
      </c>
    </row>
    <row r="1313" spans="1:16" x14ac:dyDescent="0.25">
      <c r="A1313" s="20" t="s">
        <v>5211</v>
      </c>
      <c r="B1313" s="21">
        <v>714</v>
      </c>
      <c r="C1313" s="22" t="s">
        <v>70</v>
      </c>
      <c r="D1313" s="22" t="s">
        <v>2127</v>
      </c>
      <c r="E1313" s="22" t="str">
        <f>CONCATENATE(B1313,D1313)</f>
        <v>71468418-102</v>
      </c>
      <c r="F1313" s="22" t="s">
        <v>2128</v>
      </c>
      <c r="G1313" s="22" t="s">
        <v>112</v>
      </c>
      <c r="H1313" s="23">
        <v>10.5928</v>
      </c>
      <c r="I1313" s="24">
        <v>8</v>
      </c>
      <c r="J1313" s="24">
        <v>0</v>
      </c>
      <c r="K1313" s="24">
        <v>0</v>
      </c>
      <c r="L1313" s="41">
        <f>Table2[[#This Row],[Column1]]+Table2[[#This Row],[Column2]]</f>
        <v>0</v>
      </c>
      <c r="M1313" s="42">
        <f>Table2[[#This Row],[OnHandQty]]-Table2[[#This Row],[Projection Nov/Dec]]</f>
        <v>8</v>
      </c>
      <c r="N1313" s="35">
        <f>Table2[[#This Row],[OverStock]]*Table2[[#This Row],[RepCost]]</f>
        <v>84.742400000000004</v>
      </c>
      <c r="O1313" s="25">
        <v>46177.484722222223</v>
      </c>
      <c r="P1313" s="26" t="s">
        <v>878</v>
      </c>
    </row>
    <row r="1314" spans="1:16" x14ac:dyDescent="0.25">
      <c r="A1314" s="20" t="s">
        <v>5211</v>
      </c>
      <c r="B1314" s="21">
        <v>636</v>
      </c>
      <c r="C1314" s="22" t="s">
        <v>70</v>
      </c>
      <c r="D1314" s="22" t="s">
        <v>657</v>
      </c>
      <c r="E1314" s="22" t="str">
        <f>CONCATENATE(B1314,D1314)</f>
        <v>63684616-PF4</v>
      </c>
      <c r="F1314" s="22" t="s">
        <v>658</v>
      </c>
      <c r="G1314" s="22" t="s">
        <v>29</v>
      </c>
      <c r="H1314" s="23">
        <v>10.946099999999999</v>
      </c>
      <c r="I1314" s="24">
        <v>20</v>
      </c>
      <c r="J1314" s="24">
        <v>0</v>
      </c>
      <c r="K1314" s="24">
        <v>0</v>
      </c>
      <c r="L1314" s="41">
        <f>Table2[[#This Row],[Column1]]+Table2[[#This Row],[Column2]]</f>
        <v>0</v>
      </c>
      <c r="M1314" s="42">
        <f>Table2[[#This Row],[OnHandQty]]-Table2[[#This Row],[Projection Nov/Dec]]</f>
        <v>20</v>
      </c>
      <c r="N1314" s="35">
        <f>Table2[[#This Row],[OverStock]]*Table2[[#This Row],[RepCost]]</f>
        <v>218.922</v>
      </c>
      <c r="O1314" s="25">
        <v>46189.418749999997</v>
      </c>
      <c r="P1314" s="26" t="s">
        <v>16</v>
      </c>
    </row>
    <row r="1315" spans="1:16" x14ac:dyDescent="0.25">
      <c r="A1315" s="20" t="s">
        <v>5211</v>
      </c>
      <c r="B1315" s="21">
        <v>714</v>
      </c>
      <c r="C1315" s="22" t="s">
        <v>143</v>
      </c>
      <c r="D1315" s="22" t="s">
        <v>2314</v>
      </c>
      <c r="E1315" s="22" t="str">
        <f>CONCATENATE(B1315,D1315)</f>
        <v>71474932-110</v>
      </c>
      <c r="F1315" s="22" t="s">
        <v>2315</v>
      </c>
      <c r="G1315" s="22" t="s">
        <v>158</v>
      </c>
      <c r="H1315" s="23">
        <v>33.75</v>
      </c>
      <c r="I1315" s="24">
        <v>12</v>
      </c>
      <c r="J1315" s="24">
        <v>5</v>
      </c>
      <c r="K1315" s="24">
        <v>0</v>
      </c>
      <c r="L1315" s="41">
        <f>Table2[[#This Row],[Column1]]+Table2[[#This Row],[Column2]]</f>
        <v>5</v>
      </c>
      <c r="M1315" s="42">
        <f>Table2[[#This Row],[OnHandQty]]-Table2[[#This Row],[Projection Nov/Dec]]</f>
        <v>7</v>
      </c>
      <c r="N1315" s="35">
        <f>Table2[[#This Row],[OverStock]]*Table2[[#This Row],[RepCost]]</f>
        <v>236.25</v>
      </c>
      <c r="O1315" s="25">
        <v>46188.35</v>
      </c>
      <c r="P1315" s="26" t="s">
        <v>26</v>
      </c>
    </row>
    <row r="1316" spans="1:16" x14ac:dyDescent="0.25">
      <c r="A1316" s="20" t="s">
        <v>5211</v>
      </c>
      <c r="B1316" s="21">
        <v>714</v>
      </c>
      <c r="C1316" s="22" t="s">
        <v>143</v>
      </c>
      <c r="D1316" s="22" t="s">
        <v>2389</v>
      </c>
      <c r="E1316" s="22" t="str">
        <f>CONCATENATE(B1316,D1316)</f>
        <v>71474932-307</v>
      </c>
      <c r="F1316" s="22" t="s">
        <v>2390</v>
      </c>
      <c r="G1316" s="22" t="s">
        <v>19</v>
      </c>
      <c r="H1316" s="23">
        <v>85.5</v>
      </c>
      <c r="I1316" s="24">
        <v>16</v>
      </c>
      <c r="J1316" s="24">
        <v>0</v>
      </c>
      <c r="K1316" s="24">
        <v>0</v>
      </c>
      <c r="L1316" s="41">
        <f>Table2[[#This Row],[Column1]]+Table2[[#This Row],[Column2]]</f>
        <v>0</v>
      </c>
      <c r="M1316" s="42">
        <f>Table2[[#This Row],[OnHandQty]]-Table2[[#This Row],[Projection Nov/Dec]]</f>
        <v>16</v>
      </c>
      <c r="N1316" s="35">
        <f>Table2[[#This Row],[OverStock]]*Table2[[#This Row],[RepCost]]</f>
        <v>1368</v>
      </c>
      <c r="O1316" s="25">
        <v>46237.456250000003</v>
      </c>
      <c r="P1316" s="26" t="s">
        <v>229</v>
      </c>
    </row>
    <row r="1317" spans="1:16" x14ac:dyDescent="0.25">
      <c r="A1317" s="20" t="s">
        <v>5211</v>
      </c>
      <c r="B1317" s="21">
        <v>714</v>
      </c>
      <c r="C1317" s="22" t="s">
        <v>143</v>
      </c>
      <c r="D1317" s="22" t="s">
        <v>2742</v>
      </c>
      <c r="E1317" s="22" t="str">
        <f>CONCATENATE(B1317,D1317)</f>
        <v>71474932-307SPC</v>
      </c>
      <c r="F1317" s="22" t="s">
        <v>2743</v>
      </c>
      <c r="G1317" s="22" t="s">
        <v>158</v>
      </c>
      <c r="H1317" s="23">
        <v>85.575400000000002</v>
      </c>
      <c r="I1317" s="24">
        <v>8</v>
      </c>
      <c r="J1317" s="24">
        <v>0</v>
      </c>
      <c r="K1317" s="24">
        <v>0</v>
      </c>
      <c r="L1317" s="41">
        <f>Table2[[#This Row],[Column1]]+Table2[[#This Row],[Column2]]</f>
        <v>0</v>
      </c>
      <c r="M1317" s="42">
        <f>Table2[[#This Row],[OnHandQty]]-Table2[[#This Row],[Projection Nov/Dec]]</f>
        <v>8</v>
      </c>
      <c r="N1317" s="35">
        <f>Table2[[#This Row],[OverStock]]*Table2[[#This Row],[RepCost]]</f>
        <v>684.60320000000002</v>
      </c>
      <c r="O1317" s="25">
        <v>46156.57708333333</v>
      </c>
      <c r="P1317" s="26" t="s">
        <v>229</v>
      </c>
    </row>
    <row r="1318" spans="1:16" x14ac:dyDescent="0.25">
      <c r="A1318" s="20" t="s">
        <v>5211</v>
      </c>
      <c r="B1318" s="21">
        <v>636</v>
      </c>
      <c r="C1318" s="22" t="s">
        <v>70</v>
      </c>
      <c r="D1318" s="22" t="s">
        <v>602</v>
      </c>
      <c r="E1318" s="22" t="str">
        <f>CONCATENATE(B1318,D1318)</f>
        <v>63685057-101</v>
      </c>
      <c r="F1318" s="22" t="s">
        <v>603</v>
      </c>
      <c r="G1318" s="22" t="s">
        <v>39</v>
      </c>
      <c r="H1318" s="23">
        <v>6.7</v>
      </c>
      <c r="I1318" s="24">
        <v>1</v>
      </c>
      <c r="J1318" s="24">
        <v>0</v>
      </c>
      <c r="K1318" s="24">
        <v>0</v>
      </c>
      <c r="L1318" s="41">
        <f>Table2[[#This Row],[Column1]]+Table2[[#This Row],[Column2]]</f>
        <v>0</v>
      </c>
      <c r="M1318" s="42">
        <f>Table2[[#This Row],[OnHandQty]]-Table2[[#This Row],[Projection Nov/Dec]]</f>
        <v>1</v>
      </c>
      <c r="N1318" s="35">
        <f>Table2[[#This Row],[OverStock]]*Table2[[#This Row],[RepCost]]</f>
        <v>6.7</v>
      </c>
      <c r="O1318" s="25">
        <v>46177.399305555555</v>
      </c>
      <c r="P1318" s="26" t="s">
        <v>16</v>
      </c>
    </row>
    <row r="1319" spans="1:16" x14ac:dyDescent="0.25">
      <c r="A1319" s="20" t="s">
        <v>5211</v>
      </c>
      <c r="B1319" s="21">
        <v>714</v>
      </c>
      <c r="C1319" s="22" t="s">
        <v>70</v>
      </c>
      <c r="D1319" s="22" t="s">
        <v>793</v>
      </c>
      <c r="E1319" s="22" t="str">
        <f>CONCATENATE(B1319,D1319)</f>
        <v>71468461-101</v>
      </c>
      <c r="F1319" s="22" t="s">
        <v>794</v>
      </c>
      <c r="G1319" s="22" t="s">
        <v>112</v>
      </c>
      <c r="H1319" s="23">
        <v>3</v>
      </c>
      <c r="I1319" s="24">
        <v>8</v>
      </c>
      <c r="J1319" s="24">
        <v>0</v>
      </c>
      <c r="K1319" s="24">
        <v>0</v>
      </c>
      <c r="L1319" s="41">
        <f>Table2[[#This Row],[Column1]]+Table2[[#This Row],[Column2]]</f>
        <v>0</v>
      </c>
      <c r="M1319" s="42">
        <f>Table2[[#This Row],[OnHandQty]]-Table2[[#This Row],[Projection Nov/Dec]]</f>
        <v>8</v>
      </c>
      <c r="N1319" s="35">
        <f>Table2[[#This Row],[OverStock]]*Table2[[#This Row],[RepCost]]</f>
        <v>24</v>
      </c>
      <c r="O1319" s="25">
        <v>46172.506944444445</v>
      </c>
      <c r="P1319" s="26" t="s">
        <v>1932</v>
      </c>
    </row>
    <row r="1320" spans="1:16" x14ac:dyDescent="0.25">
      <c r="A1320" s="20" t="s">
        <v>5211</v>
      </c>
      <c r="B1320" s="21">
        <v>636</v>
      </c>
      <c r="C1320" s="22" t="s">
        <v>70</v>
      </c>
      <c r="D1320" s="22" t="s">
        <v>793</v>
      </c>
      <c r="E1320" s="22" t="str">
        <f>CONCATENATE(B1320,D1320)</f>
        <v>63668461-101</v>
      </c>
      <c r="F1320" s="22" t="s">
        <v>794</v>
      </c>
      <c r="G1320" s="22" t="s">
        <v>39</v>
      </c>
      <c r="H1320" s="23">
        <v>7.8002000000000002</v>
      </c>
      <c r="I1320" s="24">
        <v>2</v>
      </c>
      <c r="J1320" s="24">
        <v>0</v>
      </c>
      <c r="K1320" s="24">
        <v>0</v>
      </c>
      <c r="L1320" s="41">
        <f>Table2[[#This Row],[Column1]]+Table2[[#This Row],[Column2]]</f>
        <v>0</v>
      </c>
      <c r="M1320" s="42">
        <f>Table2[[#This Row],[OnHandQty]]-Table2[[#This Row],[Projection Nov/Dec]]</f>
        <v>2</v>
      </c>
      <c r="N1320" s="35">
        <f>Table2[[#This Row],[OverStock]]*Table2[[#This Row],[RepCost]]</f>
        <v>15.6004</v>
      </c>
      <c r="O1320" s="25">
        <v>46177.399305555555</v>
      </c>
      <c r="P1320" s="26" t="s">
        <v>16</v>
      </c>
    </row>
    <row r="1321" spans="1:16" x14ac:dyDescent="0.25">
      <c r="A1321" s="20" t="s">
        <v>5211</v>
      </c>
      <c r="B1321" s="21">
        <v>636</v>
      </c>
      <c r="C1321" s="22" t="s">
        <v>70</v>
      </c>
      <c r="D1321" s="22" t="s">
        <v>650</v>
      </c>
      <c r="E1321" s="22" t="str">
        <f>CONCATENATE(B1321,D1321)</f>
        <v>63668463-006</v>
      </c>
      <c r="F1321" s="22" t="s">
        <v>651</v>
      </c>
      <c r="G1321" s="22" t="s">
        <v>39</v>
      </c>
      <c r="H1321" s="23">
        <v>9.6532</v>
      </c>
      <c r="I1321" s="24">
        <v>1</v>
      </c>
      <c r="J1321" s="24">
        <v>0</v>
      </c>
      <c r="K1321" s="24">
        <v>0</v>
      </c>
      <c r="L1321" s="41">
        <f>Table2[[#This Row],[Column1]]+Table2[[#This Row],[Column2]]</f>
        <v>0</v>
      </c>
      <c r="M1321" s="42">
        <f>Table2[[#This Row],[OnHandQty]]-Table2[[#This Row],[Projection Nov/Dec]]</f>
        <v>1</v>
      </c>
      <c r="N1321" s="35">
        <f>Table2[[#This Row],[OverStock]]*Table2[[#This Row],[RepCost]]</f>
        <v>9.6532</v>
      </c>
      <c r="O1321" s="25">
        <v>46119.349305555559</v>
      </c>
      <c r="P1321" s="26" t="s">
        <v>652</v>
      </c>
    </row>
    <row r="1322" spans="1:16" x14ac:dyDescent="0.25">
      <c r="A1322" s="20" t="s">
        <v>5211</v>
      </c>
      <c r="B1322" s="21">
        <v>636</v>
      </c>
      <c r="C1322" s="22" t="s">
        <v>70</v>
      </c>
      <c r="D1322" s="22" t="s">
        <v>814</v>
      </c>
      <c r="E1322" s="22" t="str">
        <f>CONCATENATE(B1322,D1322)</f>
        <v>63677161-101</v>
      </c>
      <c r="F1322" s="22" t="s">
        <v>815</v>
      </c>
      <c r="G1322" s="22" t="s">
        <v>39</v>
      </c>
      <c r="H1322" s="23">
        <v>6.3418000000000001</v>
      </c>
      <c r="I1322" s="24">
        <v>10</v>
      </c>
      <c r="J1322" s="24">
        <v>0</v>
      </c>
      <c r="K1322" s="24">
        <v>0</v>
      </c>
      <c r="L1322" s="41">
        <f>Table2[[#This Row],[Column1]]+Table2[[#This Row],[Column2]]</f>
        <v>0</v>
      </c>
      <c r="M1322" s="42">
        <f>Table2[[#This Row],[OnHandQty]]-Table2[[#This Row],[Projection Nov/Dec]]</f>
        <v>10</v>
      </c>
      <c r="N1322" s="35">
        <f>Table2[[#This Row],[OverStock]]*Table2[[#This Row],[RepCost]]</f>
        <v>63.417999999999999</v>
      </c>
      <c r="O1322" s="25">
        <v>46177.399305555555</v>
      </c>
      <c r="P1322" s="26" t="s">
        <v>16</v>
      </c>
    </row>
    <row r="1323" spans="1:16" x14ac:dyDescent="0.25">
      <c r="A1323" s="20" t="s">
        <v>5211</v>
      </c>
      <c r="B1323" s="21">
        <v>636</v>
      </c>
      <c r="C1323" s="22" t="s">
        <v>70</v>
      </c>
      <c r="D1323" s="22" t="s">
        <v>718</v>
      </c>
      <c r="E1323" s="22" t="str">
        <f>CONCATENATE(B1323,D1323)</f>
        <v>63668475-101</v>
      </c>
      <c r="F1323" s="22" t="s">
        <v>719</v>
      </c>
      <c r="G1323" s="22" t="s">
        <v>29</v>
      </c>
      <c r="H1323" s="23">
        <v>6.3</v>
      </c>
      <c r="I1323" s="24">
        <v>7</v>
      </c>
      <c r="J1323" s="24">
        <v>0</v>
      </c>
      <c r="K1323" s="24">
        <v>0</v>
      </c>
      <c r="L1323" s="41">
        <f>Table2[[#This Row],[Column1]]+Table2[[#This Row],[Column2]]</f>
        <v>0</v>
      </c>
      <c r="M1323" s="42">
        <f>Table2[[#This Row],[OnHandQty]]-Table2[[#This Row],[Projection Nov/Dec]]</f>
        <v>7</v>
      </c>
      <c r="N1323" s="35">
        <f>Table2[[#This Row],[OverStock]]*Table2[[#This Row],[RepCost]]</f>
        <v>44.1</v>
      </c>
      <c r="O1323" s="25">
        <v>46241.475694444445</v>
      </c>
      <c r="P1323" s="26" t="s">
        <v>720</v>
      </c>
    </row>
    <row r="1324" spans="1:16" x14ac:dyDescent="0.25">
      <c r="A1324" s="20" t="s">
        <v>5211</v>
      </c>
      <c r="B1324" s="21">
        <v>636</v>
      </c>
      <c r="C1324" s="22" t="s">
        <v>143</v>
      </c>
      <c r="D1324" s="22" t="s">
        <v>1104</v>
      </c>
      <c r="E1324" s="22" t="str">
        <f>CONCATENATE(B1324,D1324)</f>
        <v>63668487-102</v>
      </c>
      <c r="F1324" s="22" t="s">
        <v>1105</v>
      </c>
      <c r="G1324" s="22" t="s">
        <v>23</v>
      </c>
      <c r="H1324" s="23">
        <v>15.2835</v>
      </c>
      <c r="I1324" s="24">
        <v>13</v>
      </c>
      <c r="J1324" s="24">
        <v>0</v>
      </c>
      <c r="K1324" s="24">
        <v>0</v>
      </c>
      <c r="L1324" s="41">
        <f>Table2[[#This Row],[Column1]]+Table2[[#This Row],[Column2]]</f>
        <v>0</v>
      </c>
      <c r="M1324" s="42">
        <f>Table2[[#This Row],[OnHandQty]]-Table2[[#This Row],[Projection Nov/Dec]]</f>
        <v>13</v>
      </c>
      <c r="N1324" s="35">
        <f>Table2[[#This Row],[OverStock]]*Table2[[#This Row],[RepCost]]</f>
        <v>198.68549999999999</v>
      </c>
      <c r="O1324" s="25">
        <v>46216.52847222222</v>
      </c>
      <c r="P1324" s="26" t="s">
        <v>40</v>
      </c>
    </row>
    <row r="1325" spans="1:16" x14ac:dyDescent="0.25">
      <c r="A1325" s="20" t="s">
        <v>5211</v>
      </c>
      <c r="B1325" s="21">
        <v>714</v>
      </c>
      <c r="C1325" s="22" t="s">
        <v>323</v>
      </c>
      <c r="D1325" s="22" t="s">
        <v>3378</v>
      </c>
      <c r="E1325" s="22" t="str">
        <f>CONCATENATE(B1325,D1325)</f>
        <v>71468509-102</v>
      </c>
      <c r="F1325" s="22" t="s">
        <v>3379</v>
      </c>
      <c r="G1325" s="22" t="s">
        <v>29</v>
      </c>
      <c r="H1325" s="23">
        <v>16.152699999999999</v>
      </c>
      <c r="I1325" s="24">
        <v>250</v>
      </c>
      <c r="J1325" s="24">
        <v>0</v>
      </c>
      <c r="K1325" s="24">
        <v>0</v>
      </c>
      <c r="L1325" s="41">
        <f>Table2[[#This Row],[Column1]]+Table2[[#This Row],[Column2]]</f>
        <v>0</v>
      </c>
      <c r="M1325" s="42">
        <f>Table2[[#This Row],[OnHandQty]]-Table2[[#This Row],[Projection Nov/Dec]]</f>
        <v>250</v>
      </c>
      <c r="N1325" s="35">
        <f>Table2[[#This Row],[OverStock]]*Table2[[#This Row],[RepCost]]</f>
        <v>4038.1749999999997</v>
      </c>
      <c r="O1325" s="25">
        <v>46149.571527777778</v>
      </c>
      <c r="P1325" s="26" t="s">
        <v>2930</v>
      </c>
    </row>
    <row r="1326" spans="1:16" x14ac:dyDescent="0.25">
      <c r="A1326" s="20" t="s">
        <v>5211</v>
      </c>
      <c r="B1326" s="21">
        <v>634</v>
      </c>
      <c r="C1326" s="22" t="s">
        <v>323</v>
      </c>
      <c r="D1326" s="22" t="s">
        <v>412</v>
      </c>
      <c r="E1326" s="22" t="str">
        <f>CONCATENATE(B1326,D1326)</f>
        <v>63477977-025</v>
      </c>
      <c r="F1326" s="22" t="s">
        <v>413</v>
      </c>
      <c r="G1326" s="22" t="s">
        <v>19</v>
      </c>
      <c r="H1326" s="23">
        <v>186.38419999999999</v>
      </c>
      <c r="I1326" s="24">
        <v>10</v>
      </c>
      <c r="J1326" s="24">
        <v>0</v>
      </c>
      <c r="K1326" s="24">
        <v>0</v>
      </c>
      <c r="L1326" s="41">
        <f>Table2[[#This Row],[Column1]]+Table2[[#This Row],[Column2]]</f>
        <v>0</v>
      </c>
      <c r="M1326" s="42">
        <f>Table2[[#This Row],[OnHandQty]]-Table2[[#This Row],[Projection Nov/Dec]]</f>
        <v>10</v>
      </c>
      <c r="N1326" s="35">
        <f>Table2[[#This Row],[OverStock]]*Table2[[#This Row],[RepCost]]</f>
        <v>1863.8419999999999</v>
      </c>
      <c r="O1326" s="25">
        <v>46080.318749999999</v>
      </c>
      <c r="P1326" s="26" t="s">
        <v>151</v>
      </c>
    </row>
    <row r="1327" spans="1:16" x14ac:dyDescent="0.25">
      <c r="A1327" s="20" t="s">
        <v>5211</v>
      </c>
      <c r="B1327" s="21">
        <v>714</v>
      </c>
      <c r="C1327" s="22" t="s">
        <v>323</v>
      </c>
      <c r="D1327" s="22" t="s">
        <v>3357</v>
      </c>
      <c r="E1327" s="22" t="str">
        <f>CONCATENATE(B1327,D1327)</f>
        <v>71474937-020</v>
      </c>
      <c r="F1327" s="22" t="s">
        <v>3358</v>
      </c>
      <c r="G1327" s="22" t="s">
        <v>29</v>
      </c>
      <c r="H1327" s="23">
        <v>191.84880000000001</v>
      </c>
      <c r="I1327" s="24">
        <v>2</v>
      </c>
      <c r="J1327" s="24">
        <v>0</v>
      </c>
      <c r="K1327" s="24">
        <v>0</v>
      </c>
      <c r="L1327" s="41">
        <f>Table2[[#This Row],[Column1]]+Table2[[#This Row],[Column2]]</f>
        <v>0</v>
      </c>
      <c r="M1327" s="42">
        <f>Table2[[#This Row],[OnHandQty]]-Table2[[#This Row],[Projection Nov/Dec]]</f>
        <v>2</v>
      </c>
      <c r="N1327" s="35">
        <f>Table2[[#This Row],[OverStock]]*Table2[[#This Row],[RepCost]]</f>
        <v>383.69760000000002</v>
      </c>
      <c r="O1327" s="25">
        <v>45766.383333333331</v>
      </c>
      <c r="P1327" s="26" t="s">
        <v>2271</v>
      </c>
    </row>
    <row r="1328" spans="1:16" x14ac:dyDescent="0.25">
      <c r="A1328" s="20" t="s">
        <v>5211</v>
      </c>
      <c r="B1328" s="21">
        <v>714</v>
      </c>
      <c r="C1328" s="22" t="s">
        <v>323</v>
      </c>
      <c r="D1328" s="22" t="s">
        <v>3270</v>
      </c>
      <c r="E1328" s="22" t="str">
        <f>CONCATENATE(B1328,D1328)</f>
        <v>71474939-115</v>
      </c>
      <c r="F1328" s="22" t="s">
        <v>3271</v>
      </c>
      <c r="G1328" s="22" t="s">
        <v>19</v>
      </c>
      <c r="H1328" s="23">
        <v>133.3092</v>
      </c>
      <c r="I1328" s="24">
        <v>13</v>
      </c>
      <c r="J1328" s="24">
        <v>0</v>
      </c>
      <c r="K1328" s="24">
        <v>0</v>
      </c>
      <c r="L1328" s="41">
        <f>Table2[[#This Row],[Column1]]+Table2[[#This Row],[Column2]]</f>
        <v>0</v>
      </c>
      <c r="M1328" s="42">
        <f>Table2[[#This Row],[OnHandQty]]-Table2[[#This Row],[Projection Nov/Dec]]</f>
        <v>13</v>
      </c>
      <c r="N1328" s="35">
        <f>Table2[[#This Row],[OverStock]]*Table2[[#This Row],[RepCost]]</f>
        <v>1733.0196000000001</v>
      </c>
      <c r="O1328" s="25">
        <v>46098.450694444444</v>
      </c>
      <c r="P1328" s="26" t="s">
        <v>345</v>
      </c>
    </row>
    <row r="1329" spans="1:16" x14ac:dyDescent="0.25">
      <c r="A1329" s="20" t="s">
        <v>5211</v>
      </c>
      <c r="B1329" s="21">
        <v>636</v>
      </c>
      <c r="C1329" s="22" t="s">
        <v>323</v>
      </c>
      <c r="D1329" s="22" t="s">
        <v>1243</v>
      </c>
      <c r="E1329" s="22" t="str">
        <f>CONCATENATE(B1329,D1329)</f>
        <v>63674939-020</v>
      </c>
      <c r="F1329" s="22" t="s">
        <v>1244</v>
      </c>
      <c r="G1329" s="22" t="s">
        <v>455</v>
      </c>
      <c r="H1329" s="23">
        <v>120.5848</v>
      </c>
      <c r="I1329" s="24">
        <v>16</v>
      </c>
      <c r="J1329" s="24">
        <v>0</v>
      </c>
      <c r="K1329" s="24">
        <v>0</v>
      </c>
      <c r="L1329" s="41">
        <f>Table2[[#This Row],[Column1]]+Table2[[#This Row],[Column2]]</f>
        <v>0</v>
      </c>
      <c r="M1329" s="42">
        <f>Table2[[#This Row],[OnHandQty]]-Table2[[#This Row],[Projection Nov/Dec]]</f>
        <v>16</v>
      </c>
      <c r="N1329" s="35">
        <f>Table2[[#This Row],[OverStock]]*Table2[[#This Row],[RepCost]]</f>
        <v>1929.3568</v>
      </c>
      <c r="O1329" s="25">
        <v>46225.359722222223</v>
      </c>
      <c r="P1329" s="26" t="s">
        <v>151</v>
      </c>
    </row>
    <row r="1330" spans="1:16" x14ac:dyDescent="0.25">
      <c r="A1330" s="20" t="s">
        <v>5211</v>
      </c>
      <c r="B1330" s="21">
        <v>634</v>
      </c>
      <c r="C1330" s="22" t="s">
        <v>323</v>
      </c>
      <c r="D1330" s="22" t="s">
        <v>379</v>
      </c>
      <c r="E1330" s="22" t="str">
        <f>CONCATENATE(B1330,D1330)</f>
        <v>63474939-308</v>
      </c>
      <c r="F1330" s="22" t="s">
        <v>380</v>
      </c>
      <c r="G1330" s="22" t="s">
        <v>29</v>
      </c>
      <c r="H1330" s="23">
        <v>179.74260000000001</v>
      </c>
      <c r="I1330" s="24">
        <v>5</v>
      </c>
      <c r="J1330" s="24">
        <v>0</v>
      </c>
      <c r="K1330" s="24">
        <v>0</v>
      </c>
      <c r="L1330" s="41">
        <f>Table2[[#This Row],[Column1]]+Table2[[#This Row],[Column2]]</f>
        <v>0</v>
      </c>
      <c r="M1330" s="42">
        <f>Table2[[#This Row],[OnHandQty]]-Table2[[#This Row],[Projection Nov/Dec]]</f>
        <v>5</v>
      </c>
      <c r="N1330" s="35">
        <f>Table2[[#This Row],[OverStock]]*Table2[[#This Row],[RepCost]]</f>
        <v>898.71300000000008</v>
      </c>
      <c r="O1330" s="25">
        <v>45744.493055555555</v>
      </c>
      <c r="P1330" s="26" t="s">
        <v>330</v>
      </c>
    </row>
    <row r="1331" spans="1:16" x14ac:dyDescent="0.25">
      <c r="A1331" s="20" t="s">
        <v>5211</v>
      </c>
      <c r="B1331" s="21">
        <v>636</v>
      </c>
      <c r="C1331" s="22" t="s">
        <v>323</v>
      </c>
      <c r="D1331" s="22" t="s">
        <v>1253</v>
      </c>
      <c r="E1331" s="22" t="str">
        <f>CONCATENATE(B1331,D1331)</f>
        <v>63668511-025</v>
      </c>
      <c r="F1331" s="22" t="s">
        <v>1254</v>
      </c>
      <c r="G1331" s="22" t="s">
        <v>29</v>
      </c>
      <c r="H1331" s="23">
        <v>207.67609999999999</v>
      </c>
      <c r="I1331" s="24">
        <v>5</v>
      </c>
      <c r="J1331" s="24">
        <v>0</v>
      </c>
      <c r="K1331" s="24">
        <v>0</v>
      </c>
      <c r="L1331" s="41">
        <f>Table2[[#This Row],[Column1]]+Table2[[#This Row],[Column2]]</f>
        <v>0</v>
      </c>
      <c r="M1331" s="42">
        <f>Table2[[#This Row],[OnHandQty]]-Table2[[#This Row],[Projection Nov/Dec]]</f>
        <v>5</v>
      </c>
      <c r="N1331" s="35">
        <f>Table2[[#This Row],[OverStock]]*Table2[[#This Row],[RepCost]]</f>
        <v>1038.3805</v>
      </c>
      <c r="O1331" s="25">
        <v>46086.3125</v>
      </c>
      <c r="P1331" s="26" t="s">
        <v>1229</v>
      </c>
    </row>
    <row r="1332" spans="1:16" x14ac:dyDescent="0.25">
      <c r="A1332" s="20" t="s">
        <v>5211</v>
      </c>
      <c r="B1332" s="21">
        <v>714</v>
      </c>
      <c r="C1332" s="22" t="s">
        <v>323</v>
      </c>
      <c r="D1332" s="22" t="s">
        <v>3380</v>
      </c>
      <c r="E1332" s="22" t="str">
        <f>CONCATENATE(B1332,D1332)</f>
        <v>71481938-020</v>
      </c>
      <c r="F1332" s="27" t="s">
        <v>3381</v>
      </c>
      <c r="G1332" s="27" t="s">
        <v>58</v>
      </c>
      <c r="H1332" s="23">
        <v>162.6361</v>
      </c>
      <c r="I1332" s="24">
        <v>1</v>
      </c>
      <c r="J1332" s="24">
        <v>0</v>
      </c>
      <c r="K1332" s="24">
        <v>0</v>
      </c>
      <c r="L1332" s="41">
        <f>Table2[[#This Row],[Column1]]+Table2[[#This Row],[Column2]]</f>
        <v>0</v>
      </c>
      <c r="M1332" s="42">
        <f>Table2[[#This Row],[OnHandQty]]-Table2[[#This Row],[Projection Nov/Dec]]</f>
        <v>1</v>
      </c>
      <c r="N1332" s="35">
        <f>Table2[[#This Row],[OverStock]]*Table2[[#This Row],[RepCost]]</f>
        <v>162.6361</v>
      </c>
      <c r="O1332" s="25">
        <v>45350.46875</v>
      </c>
      <c r="P1332" s="26" t="s">
        <v>1229</v>
      </c>
    </row>
    <row r="1333" spans="1:16" x14ac:dyDescent="0.25">
      <c r="A1333" s="20" t="s">
        <v>5211</v>
      </c>
      <c r="B1333" s="21">
        <v>714</v>
      </c>
      <c r="C1333" s="22" t="s">
        <v>323</v>
      </c>
      <c r="D1333" s="22" t="s">
        <v>2983</v>
      </c>
      <c r="E1333" s="22" t="str">
        <f>CONCATENATE(B1333,D1333)</f>
        <v>71481938-025</v>
      </c>
      <c r="F1333" s="22" t="s">
        <v>2984</v>
      </c>
      <c r="G1333" s="22" t="s">
        <v>19</v>
      </c>
      <c r="H1333" s="23">
        <v>226.3802</v>
      </c>
      <c r="I1333" s="24">
        <v>3</v>
      </c>
      <c r="J1333" s="24">
        <v>0</v>
      </c>
      <c r="K1333" s="24">
        <v>0</v>
      </c>
      <c r="L1333" s="41">
        <f>Table2[[#This Row],[Column1]]+Table2[[#This Row],[Column2]]</f>
        <v>0</v>
      </c>
      <c r="M1333" s="42">
        <f>Table2[[#This Row],[OnHandQty]]-Table2[[#This Row],[Projection Nov/Dec]]</f>
        <v>3</v>
      </c>
      <c r="N1333" s="35">
        <f>Table2[[#This Row],[OverStock]]*Table2[[#This Row],[RepCost]]</f>
        <v>679.14059999999995</v>
      </c>
      <c r="O1333" s="25">
        <v>46130.412499999999</v>
      </c>
      <c r="P1333" s="26" t="s">
        <v>1224</v>
      </c>
    </row>
    <row r="1334" spans="1:16" x14ac:dyDescent="0.25">
      <c r="A1334" s="20" t="s">
        <v>5211</v>
      </c>
      <c r="B1334" s="21">
        <v>636</v>
      </c>
      <c r="C1334" s="22" t="s">
        <v>323</v>
      </c>
      <c r="D1334" s="22" t="s">
        <v>1348</v>
      </c>
      <c r="E1334" s="22" t="str">
        <f>CONCATENATE(B1334,D1334)</f>
        <v>63668514-020</v>
      </c>
      <c r="F1334" s="27" t="s">
        <v>1349</v>
      </c>
      <c r="G1334" s="27" t="s">
        <v>58</v>
      </c>
      <c r="H1334" s="23">
        <v>184.3689</v>
      </c>
      <c r="I1334" s="24">
        <v>5</v>
      </c>
      <c r="J1334" s="24">
        <v>0</v>
      </c>
      <c r="K1334" s="24">
        <v>0</v>
      </c>
      <c r="L1334" s="41">
        <f>Table2[[#This Row],[Column1]]+Table2[[#This Row],[Column2]]</f>
        <v>0</v>
      </c>
      <c r="M1334" s="42">
        <f>Table2[[#This Row],[OnHandQty]]-Table2[[#This Row],[Projection Nov/Dec]]</f>
        <v>5</v>
      </c>
      <c r="N1334" s="35">
        <f>Table2[[#This Row],[OverStock]]*Table2[[#This Row],[RepCost]]</f>
        <v>921.84449999999993</v>
      </c>
      <c r="O1334" s="25">
        <v>45769.595138888886</v>
      </c>
      <c r="P1334" s="26" t="s">
        <v>1350</v>
      </c>
    </row>
    <row r="1335" spans="1:16" x14ac:dyDescent="0.25">
      <c r="A1335" s="20" t="s">
        <v>5211</v>
      </c>
      <c r="B1335" s="21">
        <v>636</v>
      </c>
      <c r="C1335" s="22" t="s">
        <v>323</v>
      </c>
      <c r="D1335" s="22" t="s">
        <v>1298</v>
      </c>
      <c r="E1335" s="22" t="str">
        <f>CONCATENATE(B1335,D1335)</f>
        <v>63668514-025</v>
      </c>
      <c r="F1335" s="22" t="s">
        <v>1299</v>
      </c>
      <c r="G1335" s="22" t="s">
        <v>29</v>
      </c>
      <c r="H1335" s="23">
        <v>239.37450000000001</v>
      </c>
      <c r="I1335" s="24">
        <v>6</v>
      </c>
      <c r="J1335" s="24">
        <v>1</v>
      </c>
      <c r="K1335" s="24">
        <v>0</v>
      </c>
      <c r="L1335" s="41">
        <f>Table2[[#This Row],[Column1]]+Table2[[#This Row],[Column2]]</f>
        <v>1</v>
      </c>
      <c r="M1335" s="42">
        <f>Table2[[#This Row],[OnHandQty]]-Table2[[#This Row],[Projection Nov/Dec]]</f>
        <v>5</v>
      </c>
      <c r="N1335" s="35">
        <f>Table2[[#This Row],[OverStock]]*Table2[[#This Row],[RepCost]]</f>
        <v>1196.8724999999999</v>
      </c>
      <c r="O1335" s="25">
        <v>46080.464583333334</v>
      </c>
      <c r="P1335" s="26" t="s">
        <v>151</v>
      </c>
    </row>
    <row r="1336" spans="1:16" x14ac:dyDescent="0.25">
      <c r="A1336" s="20" t="s">
        <v>5211</v>
      </c>
      <c r="B1336" s="21">
        <v>714</v>
      </c>
      <c r="C1336" s="22" t="s">
        <v>12</v>
      </c>
      <c r="D1336" s="22" t="s">
        <v>1875</v>
      </c>
      <c r="E1336" s="22" t="str">
        <f>CONCATENATE(B1336,D1336)</f>
        <v>71478203-101</v>
      </c>
      <c r="F1336" s="22" t="s">
        <v>1876</v>
      </c>
      <c r="G1336" s="22" t="s">
        <v>29</v>
      </c>
      <c r="H1336" s="23">
        <v>2.6604000000000001</v>
      </c>
      <c r="I1336" s="24">
        <v>50</v>
      </c>
      <c r="J1336" s="24">
        <v>0</v>
      </c>
      <c r="K1336" s="24">
        <v>0</v>
      </c>
      <c r="L1336" s="41">
        <f>Table2[[#This Row],[Column1]]+Table2[[#This Row],[Column2]]</f>
        <v>0</v>
      </c>
      <c r="M1336" s="42">
        <f>Table2[[#This Row],[OnHandQty]]-Table2[[#This Row],[Projection Nov/Dec]]</f>
        <v>50</v>
      </c>
      <c r="N1336" s="35">
        <f>Table2[[#This Row],[OverStock]]*Table2[[#This Row],[RepCost]]</f>
        <v>133.02000000000001</v>
      </c>
      <c r="O1336" s="25">
        <v>46213.45</v>
      </c>
      <c r="P1336" s="26" t="s">
        <v>1877</v>
      </c>
    </row>
    <row r="1337" spans="1:16" x14ac:dyDescent="0.25">
      <c r="A1337" s="20" t="s">
        <v>5211</v>
      </c>
      <c r="B1337" s="21">
        <v>718</v>
      </c>
      <c r="C1337" s="22" t="s">
        <v>12</v>
      </c>
      <c r="D1337" s="22" t="s">
        <v>3599</v>
      </c>
      <c r="E1337" s="22" t="str">
        <f>CONCATENATE(B1337,D1337)</f>
        <v>71868521-101</v>
      </c>
      <c r="F1337" s="22" t="s">
        <v>3600</v>
      </c>
      <c r="G1337" s="22" t="s">
        <v>29</v>
      </c>
      <c r="H1337" s="23">
        <v>5.8958000000000004</v>
      </c>
      <c r="I1337" s="24">
        <v>54</v>
      </c>
      <c r="J1337" s="24">
        <v>0</v>
      </c>
      <c r="K1337" s="24">
        <v>0</v>
      </c>
      <c r="L1337" s="41">
        <f>Table2[[#This Row],[Column1]]+Table2[[#This Row],[Column2]]</f>
        <v>0</v>
      </c>
      <c r="M1337" s="42">
        <f>Table2[[#This Row],[OnHandQty]]-Table2[[#This Row],[Projection Nov/Dec]]</f>
        <v>54</v>
      </c>
      <c r="N1337" s="35">
        <f>Table2[[#This Row],[OverStock]]*Table2[[#This Row],[RepCost]]</f>
        <v>318.3732</v>
      </c>
      <c r="O1337" s="25">
        <v>46150.461111111108</v>
      </c>
      <c r="P1337" s="26" t="s">
        <v>94</v>
      </c>
    </row>
    <row r="1338" spans="1:16" x14ac:dyDescent="0.25">
      <c r="A1338" s="20" t="s">
        <v>5211</v>
      </c>
      <c r="B1338" s="21">
        <v>718</v>
      </c>
      <c r="C1338" s="22" t="s">
        <v>70</v>
      </c>
      <c r="D1338" s="22" t="s">
        <v>3647</v>
      </c>
      <c r="E1338" s="22" t="str">
        <f>CONCATENATE(B1338,D1338)</f>
        <v>71868573-102</v>
      </c>
      <c r="F1338" s="22" t="s">
        <v>3648</v>
      </c>
      <c r="G1338" s="22" t="s">
        <v>29</v>
      </c>
      <c r="H1338" s="23">
        <v>10.017099999999999</v>
      </c>
      <c r="I1338" s="24">
        <v>9</v>
      </c>
      <c r="J1338" s="24">
        <v>0</v>
      </c>
      <c r="K1338" s="24">
        <v>0</v>
      </c>
      <c r="L1338" s="41">
        <f>Table2[[#This Row],[Column1]]+Table2[[#This Row],[Column2]]</f>
        <v>0</v>
      </c>
      <c r="M1338" s="42">
        <f>Table2[[#This Row],[OnHandQty]]-Table2[[#This Row],[Projection Nov/Dec]]</f>
        <v>9</v>
      </c>
      <c r="N1338" s="35">
        <f>Table2[[#This Row],[OverStock]]*Table2[[#This Row],[RepCost]]</f>
        <v>90.153899999999993</v>
      </c>
      <c r="O1338" s="25">
        <v>46232.6</v>
      </c>
      <c r="P1338" s="26" t="s">
        <v>573</v>
      </c>
    </row>
    <row r="1339" spans="1:16" x14ac:dyDescent="0.25">
      <c r="A1339" s="20" t="s">
        <v>5211</v>
      </c>
      <c r="B1339" s="21">
        <v>714</v>
      </c>
      <c r="C1339" s="22" t="s">
        <v>70</v>
      </c>
      <c r="D1339" s="22" t="s">
        <v>2093</v>
      </c>
      <c r="E1339" s="22" t="str">
        <f>CONCATENATE(B1339,D1339)</f>
        <v>71468578-SP4</v>
      </c>
      <c r="F1339" s="22" t="s">
        <v>2094</v>
      </c>
      <c r="G1339" s="22" t="s">
        <v>39</v>
      </c>
      <c r="H1339" s="23">
        <v>3.2193000000000001</v>
      </c>
      <c r="I1339" s="24">
        <v>16</v>
      </c>
      <c r="J1339" s="24">
        <v>0</v>
      </c>
      <c r="K1339" s="24">
        <v>0</v>
      </c>
      <c r="L1339" s="41">
        <f>Table2[[#This Row],[Column1]]+Table2[[#This Row],[Column2]]</f>
        <v>0</v>
      </c>
      <c r="M1339" s="42">
        <f>Table2[[#This Row],[OnHandQty]]-Table2[[#This Row],[Projection Nov/Dec]]</f>
        <v>16</v>
      </c>
      <c r="N1339" s="35">
        <f>Table2[[#This Row],[OverStock]]*Table2[[#This Row],[RepCost]]</f>
        <v>51.508800000000001</v>
      </c>
      <c r="O1339" s="25">
        <v>46161.429861111108</v>
      </c>
      <c r="P1339" s="26" t="s">
        <v>506</v>
      </c>
    </row>
    <row r="1340" spans="1:16" x14ac:dyDescent="0.25">
      <c r="A1340" s="20" t="s">
        <v>5211</v>
      </c>
      <c r="B1340" s="21">
        <v>718</v>
      </c>
      <c r="C1340" s="22" t="s">
        <v>70</v>
      </c>
      <c r="D1340" s="22" t="s">
        <v>3657</v>
      </c>
      <c r="E1340" s="22" t="str">
        <f>CONCATENATE(B1340,D1340)</f>
        <v>71868582-102</v>
      </c>
      <c r="F1340" s="22" t="s">
        <v>3658</v>
      </c>
      <c r="G1340" s="22" t="s">
        <v>29</v>
      </c>
      <c r="H1340" s="23">
        <v>10.017099999999999</v>
      </c>
      <c r="I1340" s="24">
        <v>22</v>
      </c>
      <c r="J1340" s="24">
        <v>0</v>
      </c>
      <c r="K1340" s="24">
        <v>0</v>
      </c>
      <c r="L1340" s="41">
        <f>Table2[[#This Row],[Column1]]+Table2[[#This Row],[Column2]]</f>
        <v>0</v>
      </c>
      <c r="M1340" s="42">
        <f>Table2[[#This Row],[OnHandQty]]-Table2[[#This Row],[Projection Nov/Dec]]</f>
        <v>22</v>
      </c>
      <c r="N1340" s="35">
        <f>Table2[[#This Row],[OverStock]]*Table2[[#This Row],[RepCost]]</f>
        <v>220.37619999999998</v>
      </c>
      <c r="O1340" s="25">
        <v>46232.6</v>
      </c>
      <c r="P1340" s="26" t="s">
        <v>573</v>
      </c>
    </row>
    <row r="1341" spans="1:16" x14ac:dyDescent="0.25">
      <c r="A1341" s="20" t="s">
        <v>5211</v>
      </c>
      <c r="B1341" s="21">
        <v>718</v>
      </c>
      <c r="C1341" s="22" t="s">
        <v>12</v>
      </c>
      <c r="D1341" s="22" t="s">
        <v>3586</v>
      </c>
      <c r="E1341" s="22" t="str">
        <f>CONCATENATE(B1341,D1341)</f>
        <v>71868609-105</v>
      </c>
      <c r="F1341" s="27" t="s">
        <v>3587</v>
      </c>
      <c r="G1341" s="27" t="s">
        <v>58</v>
      </c>
      <c r="H1341" s="23">
        <v>32.017000000000003</v>
      </c>
      <c r="I1341" s="24">
        <v>4</v>
      </c>
      <c r="J1341" s="24">
        <v>0</v>
      </c>
      <c r="K1341" s="24">
        <v>0</v>
      </c>
      <c r="L1341" s="41">
        <f>Table2[[#This Row],[Column1]]+Table2[[#This Row],[Column2]]</f>
        <v>0</v>
      </c>
      <c r="M1341" s="42">
        <f>Table2[[#This Row],[OnHandQty]]-Table2[[#This Row],[Projection Nov/Dec]]</f>
        <v>4</v>
      </c>
      <c r="N1341" s="35">
        <f>Table2[[#This Row],[OverStock]]*Table2[[#This Row],[RepCost]]</f>
        <v>128.06800000000001</v>
      </c>
      <c r="O1341" s="25">
        <v>45735.504861111112</v>
      </c>
      <c r="P1341" s="26" t="s">
        <v>30</v>
      </c>
    </row>
    <row r="1342" spans="1:16" x14ac:dyDescent="0.25">
      <c r="A1342" s="20" t="s">
        <v>5211</v>
      </c>
      <c r="B1342" s="21">
        <v>714</v>
      </c>
      <c r="C1342" s="22" t="s">
        <v>12</v>
      </c>
      <c r="D1342" s="22" t="s">
        <v>1859</v>
      </c>
      <c r="E1342" s="22" t="str">
        <f>CONCATENATE(B1342,D1342)</f>
        <v>71468609-STK101</v>
      </c>
      <c r="F1342" s="22" t="s">
        <v>1860</v>
      </c>
      <c r="G1342" s="22" t="s">
        <v>15</v>
      </c>
      <c r="H1342" s="23">
        <v>13.2683</v>
      </c>
      <c r="I1342" s="24">
        <v>7</v>
      </c>
      <c r="J1342" s="24">
        <v>0</v>
      </c>
      <c r="K1342" s="24">
        <v>0</v>
      </c>
      <c r="L1342" s="41">
        <f>Table2[[#This Row],[Column1]]+Table2[[#This Row],[Column2]]</f>
        <v>0</v>
      </c>
      <c r="M1342" s="42">
        <f>Table2[[#This Row],[OnHandQty]]-Table2[[#This Row],[Projection Nov/Dec]]</f>
        <v>7</v>
      </c>
      <c r="N1342" s="35">
        <f>Table2[[#This Row],[OverStock]]*Table2[[#This Row],[RepCost]]</f>
        <v>92.878100000000003</v>
      </c>
      <c r="O1342" s="25">
        <v>46126.649305555555</v>
      </c>
      <c r="P1342" s="26" t="s">
        <v>67</v>
      </c>
    </row>
    <row r="1343" spans="1:16" x14ac:dyDescent="0.25">
      <c r="A1343" s="20" t="s">
        <v>5211</v>
      </c>
      <c r="B1343" s="21">
        <v>718</v>
      </c>
      <c r="C1343" s="22" t="s">
        <v>12</v>
      </c>
      <c r="D1343" s="22" t="s">
        <v>1859</v>
      </c>
      <c r="E1343" s="22" t="str">
        <f>CONCATENATE(B1343,D1343)</f>
        <v>71868609-STK101</v>
      </c>
      <c r="F1343" s="22" t="s">
        <v>1860</v>
      </c>
      <c r="G1343" s="22" t="s">
        <v>29</v>
      </c>
      <c r="H1343" s="23">
        <v>13.3651</v>
      </c>
      <c r="I1343" s="24">
        <v>1</v>
      </c>
      <c r="J1343" s="24">
        <v>0</v>
      </c>
      <c r="K1343" s="24">
        <v>0</v>
      </c>
      <c r="L1343" s="41">
        <f>Table2[[#This Row],[Column1]]+Table2[[#This Row],[Column2]]</f>
        <v>0</v>
      </c>
      <c r="M1343" s="42">
        <f>Table2[[#This Row],[OnHandQty]]-Table2[[#This Row],[Projection Nov/Dec]]</f>
        <v>1</v>
      </c>
      <c r="N1343" s="35">
        <f>Table2[[#This Row],[OverStock]]*Table2[[#This Row],[RepCost]]</f>
        <v>13.3651</v>
      </c>
      <c r="O1343" s="25">
        <v>46181.580555555556</v>
      </c>
      <c r="P1343" s="26" t="s">
        <v>67</v>
      </c>
    </row>
    <row r="1344" spans="1:16" x14ac:dyDescent="0.25">
      <c r="A1344" s="20" t="s">
        <v>5211</v>
      </c>
      <c r="B1344" s="21">
        <v>714</v>
      </c>
      <c r="C1344" s="22" t="s">
        <v>12</v>
      </c>
      <c r="D1344" s="22" t="s">
        <v>1819</v>
      </c>
      <c r="E1344" s="22" t="str">
        <f>CONCATENATE(B1344,D1344)</f>
        <v>71468609-STK102</v>
      </c>
      <c r="F1344" s="22" t="s">
        <v>1820</v>
      </c>
      <c r="G1344" s="22" t="s">
        <v>39</v>
      </c>
      <c r="H1344" s="23">
        <v>26.2592</v>
      </c>
      <c r="I1344" s="24">
        <v>8</v>
      </c>
      <c r="J1344" s="24">
        <v>0</v>
      </c>
      <c r="K1344" s="24">
        <v>0</v>
      </c>
      <c r="L1344" s="41">
        <f>Table2[[#This Row],[Column1]]+Table2[[#This Row],[Column2]]</f>
        <v>0</v>
      </c>
      <c r="M1344" s="42">
        <f>Table2[[#This Row],[OnHandQty]]-Table2[[#This Row],[Projection Nov/Dec]]</f>
        <v>8</v>
      </c>
      <c r="N1344" s="35">
        <f>Table2[[#This Row],[OverStock]]*Table2[[#This Row],[RepCost]]</f>
        <v>210.0736</v>
      </c>
      <c r="O1344" s="25">
        <v>46157.474999999999</v>
      </c>
      <c r="P1344" s="26" t="s">
        <v>67</v>
      </c>
    </row>
    <row r="1345" spans="1:16" x14ac:dyDescent="0.25">
      <c r="A1345" s="20" t="s">
        <v>5211</v>
      </c>
      <c r="B1345" s="21">
        <v>714</v>
      </c>
      <c r="C1345" s="22" t="s">
        <v>12</v>
      </c>
      <c r="D1345" s="22" t="s">
        <v>1945</v>
      </c>
      <c r="E1345" s="22" t="str">
        <f>CONCATENATE(B1345,D1345)</f>
        <v>71468609-STK105</v>
      </c>
      <c r="F1345" s="22" t="s">
        <v>1946</v>
      </c>
      <c r="G1345" s="22" t="s">
        <v>39</v>
      </c>
      <c r="H1345" s="23">
        <v>48.086100000000002</v>
      </c>
      <c r="I1345" s="24">
        <v>7</v>
      </c>
      <c r="J1345" s="24">
        <v>0</v>
      </c>
      <c r="K1345" s="24">
        <v>0</v>
      </c>
      <c r="L1345" s="41">
        <f>Table2[[#This Row],[Column1]]+Table2[[#This Row],[Column2]]</f>
        <v>0</v>
      </c>
      <c r="M1345" s="42">
        <f>Table2[[#This Row],[OnHandQty]]-Table2[[#This Row],[Projection Nov/Dec]]</f>
        <v>7</v>
      </c>
      <c r="N1345" s="35">
        <f>Table2[[#This Row],[OverStock]]*Table2[[#This Row],[RepCost]]</f>
        <v>336.60270000000003</v>
      </c>
      <c r="O1345" s="25">
        <v>46198.373611111114</v>
      </c>
      <c r="P1345" s="26" t="s">
        <v>67</v>
      </c>
    </row>
    <row r="1346" spans="1:16" x14ac:dyDescent="0.25">
      <c r="A1346" s="20" t="s">
        <v>5211</v>
      </c>
      <c r="B1346" s="21">
        <v>714</v>
      </c>
      <c r="C1346" s="22" t="s">
        <v>12</v>
      </c>
      <c r="D1346" s="22" t="s">
        <v>1898</v>
      </c>
      <c r="E1346" s="22" t="str">
        <f>CONCATENATE(B1346,D1346)</f>
        <v>71479394-103</v>
      </c>
      <c r="F1346" s="22" t="s">
        <v>1899</v>
      </c>
      <c r="G1346" s="22" t="s">
        <v>29</v>
      </c>
      <c r="H1346" s="23">
        <v>22.529599999999999</v>
      </c>
      <c r="I1346" s="24">
        <v>7</v>
      </c>
      <c r="J1346" s="24">
        <v>0</v>
      </c>
      <c r="K1346" s="24">
        <v>0</v>
      </c>
      <c r="L1346" s="41">
        <f>Table2[[#This Row],[Column1]]+Table2[[#This Row],[Column2]]</f>
        <v>0</v>
      </c>
      <c r="M1346" s="42">
        <f>Table2[[#This Row],[OnHandQty]]-Table2[[#This Row],[Projection Nov/Dec]]</f>
        <v>7</v>
      </c>
      <c r="N1346" s="35">
        <f>Table2[[#This Row],[OverStock]]*Table2[[#This Row],[RepCost]]</f>
        <v>157.7072</v>
      </c>
      <c r="O1346" s="25">
        <v>46118.575694444444</v>
      </c>
      <c r="P1346" s="26" t="s">
        <v>573</v>
      </c>
    </row>
    <row r="1347" spans="1:16" x14ac:dyDescent="0.25">
      <c r="A1347" s="20" t="s">
        <v>5211</v>
      </c>
      <c r="B1347" s="21">
        <v>718</v>
      </c>
      <c r="C1347" s="22" t="s">
        <v>12</v>
      </c>
      <c r="D1347" s="22" t="s">
        <v>1898</v>
      </c>
      <c r="E1347" s="22" t="str">
        <f>CONCATENATE(B1347,D1347)</f>
        <v>71879394-103</v>
      </c>
      <c r="F1347" s="22" t="s">
        <v>1899</v>
      </c>
      <c r="G1347" s="22" t="s">
        <v>29</v>
      </c>
      <c r="H1347" s="23">
        <v>23.354199999999999</v>
      </c>
      <c r="I1347" s="24">
        <v>7</v>
      </c>
      <c r="J1347" s="24">
        <v>0</v>
      </c>
      <c r="K1347" s="24">
        <v>0</v>
      </c>
      <c r="L1347" s="41">
        <f>Table2[[#This Row],[Column1]]+Table2[[#This Row],[Column2]]</f>
        <v>0</v>
      </c>
      <c r="M1347" s="42">
        <f>Table2[[#This Row],[OnHandQty]]-Table2[[#This Row],[Projection Nov/Dec]]</f>
        <v>7</v>
      </c>
      <c r="N1347" s="35">
        <f>Table2[[#This Row],[OverStock]]*Table2[[#This Row],[RepCost]]</f>
        <v>163.4794</v>
      </c>
      <c r="O1347" s="25">
        <v>46119.636111111111</v>
      </c>
      <c r="P1347" s="26" t="s">
        <v>573</v>
      </c>
    </row>
    <row r="1348" spans="1:16" x14ac:dyDescent="0.25">
      <c r="A1348" s="20" t="s">
        <v>5211</v>
      </c>
      <c r="B1348" s="21">
        <v>636</v>
      </c>
      <c r="C1348" s="22" t="s">
        <v>12</v>
      </c>
      <c r="D1348" s="22" t="s">
        <v>546</v>
      </c>
      <c r="E1348" s="22" t="str">
        <f>CONCATENATE(B1348,D1348)</f>
        <v>63680585-101</v>
      </c>
      <c r="F1348" s="22" t="s">
        <v>547</v>
      </c>
      <c r="G1348" s="22" t="s">
        <v>39</v>
      </c>
      <c r="H1348" s="23">
        <v>12.042299999999999</v>
      </c>
      <c r="I1348" s="24">
        <v>26</v>
      </c>
      <c r="J1348" s="24">
        <v>1</v>
      </c>
      <c r="K1348" s="24">
        <v>0</v>
      </c>
      <c r="L1348" s="41">
        <f>Table2[[#This Row],[Column1]]+Table2[[#This Row],[Column2]]</f>
        <v>1</v>
      </c>
      <c r="M1348" s="42">
        <f>Table2[[#This Row],[OnHandQty]]-Table2[[#This Row],[Projection Nov/Dec]]</f>
        <v>25</v>
      </c>
      <c r="N1348" s="35">
        <f>Table2[[#This Row],[OverStock]]*Table2[[#This Row],[RepCost]]</f>
        <v>301.0575</v>
      </c>
      <c r="O1348" s="25">
        <v>46233.500694444447</v>
      </c>
      <c r="P1348" s="26" t="s">
        <v>40</v>
      </c>
    </row>
    <row r="1349" spans="1:16" x14ac:dyDescent="0.25">
      <c r="A1349" s="20" t="s">
        <v>5211</v>
      </c>
      <c r="B1349" s="21">
        <v>636</v>
      </c>
      <c r="C1349" s="22" t="s">
        <v>12</v>
      </c>
      <c r="D1349" s="22" t="s">
        <v>502</v>
      </c>
      <c r="E1349" s="22" t="str">
        <f>CONCATENATE(B1349,D1349)</f>
        <v>63680585-102</v>
      </c>
      <c r="F1349" s="22" t="s">
        <v>503</v>
      </c>
      <c r="G1349" s="22" t="s">
        <v>29</v>
      </c>
      <c r="H1349" s="23">
        <v>17.3809</v>
      </c>
      <c r="I1349" s="24">
        <v>1</v>
      </c>
      <c r="J1349" s="24">
        <v>0</v>
      </c>
      <c r="K1349" s="24">
        <v>0</v>
      </c>
      <c r="L1349" s="41">
        <f>Table2[[#This Row],[Column1]]+Table2[[#This Row],[Column2]]</f>
        <v>0</v>
      </c>
      <c r="M1349" s="42">
        <f>Table2[[#This Row],[OnHandQty]]-Table2[[#This Row],[Projection Nov/Dec]]</f>
        <v>1</v>
      </c>
      <c r="N1349" s="35">
        <f>Table2[[#This Row],[OverStock]]*Table2[[#This Row],[RepCost]]</f>
        <v>17.3809</v>
      </c>
      <c r="O1349" s="25">
        <v>46189.425000000003</v>
      </c>
      <c r="P1349" s="26" t="s">
        <v>94</v>
      </c>
    </row>
    <row r="1350" spans="1:16" x14ac:dyDescent="0.25">
      <c r="A1350" s="20" t="s">
        <v>5211</v>
      </c>
      <c r="B1350" s="21">
        <v>714</v>
      </c>
      <c r="C1350" s="22" t="s">
        <v>12</v>
      </c>
      <c r="D1350" s="22" t="s">
        <v>1924</v>
      </c>
      <c r="E1350" s="22" t="str">
        <f>CONCATENATE(B1350,D1350)</f>
        <v>71468630-101</v>
      </c>
      <c r="F1350" s="22" t="s">
        <v>1925</v>
      </c>
      <c r="G1350" s="22" t="s">
        <v>29</v>
      </c>
      <c r="H1350" s="23">
        <v>10.626099999999999</v>
      </c>
      <c r="I1350" s="24">
        <v>1</v>
      </c>
      <c r="J1350" s="24">
        <v>0</v>
      </c>
      <c r="K1350" s="24">
        <v>0</v>
      </c>
      <c r="L1350" s="41">
        <f>Table2[[#This Row],[Column1]]+Table2[[#This Row],[Column2]]</f>
        <v>0</v>
      </c>
      <c r="M1350" s="42">
        <f>Table2[[#This Row],[OnHandQty]]-Table2[[#This Row],[Projection Nov/Dec]]</f>
        <v>1</v>
      </c>
      <c r="N1350" s="35">
        <f>Table2[[#This Row],[OverStock]]*Table2[[#This Row],[RepCost]]</f>
        <v>10.626099999999999</v>
      </c>
      <c r="O1350" s="25">
        <v>45750.529861111114</v>
      </c>
      <c r="P1350" s="26" t="s">
        <v>16</v>
      </c>
    </row>
    <row r="1351" spans="1:16" x14ac:dyDescent="0.25">
      <c r="A1351" s="20" t="s">
        <v>5211</v>
      </c>
      <c r="B1351" s="21">
        <v>714</v>
      </c>
      <c r="C1351" s="22" t="s">
        <v>12</v>
      </c>
      <c r="D1351" s="22" t="s">
        <v>1939</v>
      </c>
      <c r="E1351" s="22" t="str">
        <f>CONCATENATE(B1351,D1351)</f>
        <v>71468630-103</v>
      </c>
      <c r="F1351" s="22" t="s">
        <v>1940</v>
      </c>
      <c r="G1351" s="22" t="s">
        <v>29</v>
      </c>
      <c r="H1351" s="23">
        <v>22.529599999999999</v>
      </c>
      <c r="I1351" s="24">
        <v>8</v>
      </c>
      <c r="J1351" s="24">
        <v>0</v>
      </c>
      <c r="K1351" s="24">
        <v>0</v>
      </c>
      <c r="L1351" s="41">
        <f>Table2[[#This Row],[Column1]]+Table2[[#This Row],[Column2]]</f>
        <v>0</v>
      </c>
      <c r="M1351" s="42">
        <f>Table2[[#This Row],[OnHandQty]]-Table2[[#This Row],[Projection Nov/Dec]]</f>
        <v>8</v>
      </c>
      <c r="N1351" s="35">
        <f>Table2[[#This Row],[OverStock]]*Table2[[#This Row],[RepCost]]</f>
        <v>180.23679999999999</v>
      </c>
      <c r="O1351" s="25">
        <v>46118.575694444444</v>
      </c>
      <c r="P1351" s="26" t="s">
        <v>573</v>
      </c>
    </row>
    <row r="1352" spans="1:16" x14ac:dyDescent="0.25">
      <c r="A1352" s="20" t="s">
        <v>5211</v>
      </c>
      <c r="B1352" s="21">
        <v>718</v>
      </c>
      <c r="C1352" s="22" t="s">
        <v>12</v>
      </c>
      <c r="D1352" s="22" t="s">
        <v>1939</v>
      </c>
      <c r="E1352" s="22" t="str">
        <f>CONCATENATE(B1352,D1352)</f>
        <v>71868630-103</v>
      </c>
      <c r="F1352" s="22" t="s">
        <v>1940</v>
      </c>
      <c r="G1352" s="22" t="s">
        <v>29</v>
      </c>
      <c r="H1352" s="23">
        <v>23.354199999999999</v>
      </c>
      <c r="I1352" s="24">
        <v>9</v>
      </c>
      <c r="J1352" s="24">
        <v>0</v>
      </c>
      <c r="K1352" s="24">
        <v>0</v>
      </c>
      <c r="L1352" s="41">
        <f>Table2[[#This Row],[Column1]]+Table2[[#This Row],[Column2]]</f>
        <v>0</v>
      </c>
      <c r="M1352" s="42">
        <f>Table2[[#This Row],[OnHandQty]]-Table2[[#This Row],[Projection Nov/Dec]]</f>
        <v>9</v>
      </c>
      <c r="N1352" s="35">
        <f>Table2[[#This Row],[OverStock]]*Table2[[#This Row],[RepCost]]</f>
        <v>210.18779999999998</v>
      </c>
      <c r="O1352" s="25">
        <v>46119.636111111111</v>
      </c>
      <c r="P1352" s="26" t="s">
        <v>573</v>
      </c>
    </row>
    <row r="1353" spans="1:16" x14ac:dyDescent="0.25">
      <c r="A1353" s="20" t="s">
        <v>5211</v>
      </c>
      <c r="B1353" s="21">
        <v>718</v>
      </c>
      <c r="C1353" s="22" t="s">
        <v>12</v>
      </c>
      <c r="D1353" s="22" t="s">
        <v>1884</v>
      </c>
      <c r="E1353" s="22" t="str">
        <f>CONCATENATE(B1353,D1353)</f>
        <v>71877747-STK105</v>
      </c>
      <c r="F1353" s="22" t="s">
        <v>1885</v>
      </c>
      <c r="G1353" s="22" t="s">
        <v>15</v>
      </c>
      <c r="H1353" s="23">
        <v>46.143900000000002</v>
      </c>
      <c r="I1353" s="24">
        <v>2</v>
      </c>
      <c r="J1353" s="24">
        <v>0</v>
      </c>
      <c r="K1353" s="24">
        <v>0</v>
      </c>
      <c r="L1353" s="41">
        <f>Table2[[#This Row],[Column1]]+Table2[[#This Row],[Column2]]</f>
        <v>0</v>
      </c>
      <c r="M1353" s="42">
        <f>Table2[[#This Row],[OnHandQty]]-Table2[[#This Row],[Projection Nov/Dec]]</f>
        <v>2</v>
      </c>
      <c r="N1353" s="35">
        <f>Table2[[#This Row],[OverStock]]*Table2[[#This Row],[RepCost]]</f>
        <v>92.287800000000004</v>
      </c>
      <c r="O1353" s="25">
        <v>46181.580555555556</v>
      </c>
      <c r="P1353" s="26" t="s">
        <v>67</v>
      </c>
    </row>
    <row r="1354" spans="1:16" x14ac:dyDescent="0.25">
      <c r="A1354" s="20" t="s">
        <v>5211</v>
      </c>
      <c r="B1354" s="21">
        <v>714</v>
      </c>
      <c r="C1354" s="22" t="s">
        <v>12</v>
      </c>
      <c r="D1354" s="22" t="s">
        <v>1884</v>
      </c>
      <c r="E1354" s="22" t="str">
        <f>CONCATENATE(B1354,D1354)</f>
        <v>71477747-STK105</v>
      </c>
      <c r="F1354" s="22" t="s">
        <v>1885</v>
      </c>
      <c r="G1354" s="22" t="s">
        <v>29</v>
      </c>
      <c r="H1354" s="23">
        <v>47.708199999999998</v>
      </c>
      <c r="I1354" s="24">
        <v>7</v>
      </c>
      <c r="J1354" s="24">
        <v>0</v>
      </c>
      <c r="K1354" s="24">
        <v>0</v>
      </c>
      <c r="L1354" s="41">
        <f>Table2[[#This Row],[Column1]]+Table2[[#This Row],[Column2]]</f>
        <v>0</v>
      </c>
      <c r="M1354" s="42">
        <f>Table2[[#This Row],[OnHandQty]]-Table2[[#This Row],[Projection Nov/Dec]]</f>
        <v>7</v>
      </c>
      <c r="N1354" s="35">
        <f>Table2[[#This Row],[OverStock]]*Table2[[#This Row],[RepCost]]</f>
        <v>333.95740000000001</v>
      </c>
      <c r="O1354" s="25">
        <v>46198.373611111114</v>
      </c>
      <c r="P1354" s="26" t="s">
        <v>67</v>
      </c>
    </row>
    <row r="1355" spans="1:16" x14ac:dyDescent="0.25">
      <c r="A1355" s="20" t="s">
        <v>5211</v>
      </c>
      <c r="B1355" s="21">
        <v>636</v>
      </c>
      <c r="C1355" s="22" t="s">
        <v>70</v>
      </c>
      <c r="D1355" s="22" t="s">
        <v>655</v>
      </c>
      <c r="E1355" s="22" t="str">
        <f>CONCATENATE(B1355,D1355)</f>
        <v>63682434-101</v>
      </c>
      <c r="F1355" s="22" t="s">
        <v>656</v>
      </c>
      <c r="G1355" s="22" t="s">
        <v>29</v>
      </c>
      <c r="H1355" s="23">
        <v>6.4631999999999996</v>
      </c>
      <c r="I1355" s="24">
        <v>9</v>
      </c>
      <c r="J1355" s="24">
        <v>0</v>
      </c>
      <c r="K1355" s="24">
        <v>0</v>
      </c>
      <c r="L1355" s="41">
        <f>Table2[[#This Row],[Column1]]+Table2[[#This Row],[Column2]]</f>
        <v>0</v>
      </c>
      <c r="M1355" s="42">
        <f>Table2[[#This Row],[OnHandQty]]-Table2[[#This Row],[Projection Nov/Dec]]</f>
        <v>9</v>
      </c>
      <c r="N1355" s="35">
        <f>Table2[[#This Row],[OverStock]]*Table2[[#This Row],[RepCost]]</f>
        <v>58.168799999999997</v>
      </c>
      <c r="O1355" s="25">
        <v>46199.375</v>
      </c>
      <c r="P1355" s="26" t="s">
        <v>16</v>
      </c>
    </row>
    <row r="1356" spans="1:16" x14ac:dyDescent="0.25">
      <c r="A1356" s="20" t="s">
        <v>5211</v>
      </c>
      <c r="B1356" s="21">
        <v>714</v>
      </c>
      <c r="C1356" s="22" t="s">
        <v>12</v>
      </c>
      <c r="D1356" s="22" t="s">
        <v>1863</v>
      </c>
      <c r="E1356" s="22" t="str">
        <f>CONCATENATE(B1356,D1356)</f>
        <v>71468716-SP4</v>
      </c>
      <c r="F1356" s="22" t="s">
        <v>1864</v>
      </c>
      <c r="G1356" s="22" t="s">
        <v>43</v>
      </c>
      <c r="H1356" s="23">
        <v>1.8958999999999999</v>
      </c>
      <c r="I1356" s="24">
        <v>28</v>
      </c>
      <c r="J1356" s="24">
        <v>0</v>
      </c>
      <c r="K1356" s="24">
        <v>0</v>
      </c>
      <c r="L1356" s="41">
        <f>Table2[[#This Row],[Column1]]+Table2[[#This Row],[Column2]]</f>
        <v>0</v>
      </c>
      <c r="M1356" s="42">
        <f>Table2[[#This Row],[OnHandQty]]-Table2[[#This Row],[Projection Nov/Dec]]</f>
        <v>28</v>
      </c>
      <c r="N1356" s="35">
        <f>Table2[[#This Row],[OverStock]]*Table2[[#This Row],[RepCost]]</f>
        <v>53.0852</v>
      </c>
      <c r="O1356" s="25">
        <v>46181.373611111114</v>
      </c>
      <c r="P1356" s="26" t="s">
        <v>545</v>
      </c>
    </row>
    <row r="1357" spans="1:16" x14ac:dyDescent="0.25">
      <c r="A1357" s="20" t="s">
        <v>5211</v>
      </c>
      <c r="B1357" s="21">
        <v>718</v>
      </c>
      <c r="C1357" s="22" t="s">
        <v>323</v>
      </c>
      <c r="D1357" s="22" t="s">
        <v>3974</v>
      </c>
      <c r="E1357" s="22" t="str">
        <f>CONCATENATE(B1357,D1357)</f>
        <v>71868780-310</v>
      </c>
      <c r="F1357" s="22" t="s">
        <v>3975</v>
      </c>
      <c r="G1357" s="22" t="s">
        <v>23</v>
      </c>
      <c r="H1357" s="23">
        <v>260.8</v>
      </c>
      <c r="I1357" s="24">
        <v>1</v>
      </c>
      <c r="J1357" s="24">
        <v>0</v>
      </c>
      <c r="K1357" s="24">
        <v>0</v>
      </c>
      <c r="L1357" s="41">
        <f>Table2[[#This Row],[Column1]]+Table2[[#This Row],[Column2]]</f>
        <v>0</v>
      </c>
      <c r="M1357" s="42">
        <f>Table2[[#This Row],[OnHandQty]]-Table2[[#This Row],[Projection Nov/Dec]]</f>
        <v>1</v>
      </c>
      <c r="N1357" s="35">
        <f>Table2[[#This Row],[OverStock]]*Table2[[#This Row],[RepCost]]</f>
        <v>260.8</v>
      </c>
      <c r="O1357" s="25">
        <v>46136.458333333336</v>
      </c>
      <c r="P1357" s="26" t="s">
        <v>1234</v>
      </c>
    </row>
    <row r="1358" spans="1:16" x14ac:dyDescent="0.25">
      <c r="A1358" s="20" t="s">
        <v>5211</v>
      </c>
      <c r="B1358" s="21">
        <v>636</v>
      </c>
      <c r="C1358" s="22" t="s">
        <v>323</v>
      </c>
      <c r="D1358" s="22" t="s">
        <v>1727</v>
      </c>
      <c r="E1358" s="22" t="str">
        <f>CONCATENATE(B1358,D1358)</f>
        <v>63668780-314</v>
      </c>
      <c r="F1358" s="22" t="s">
        <v>1728</v>
      </c>
      <c r="G1358" s="22" t="s">
        <v>158</v>
      </c>
      <c r="H1358" s="23">
        <v>491.25</v>
      </c>
      <c r="I1358" s="24">
        <v>1</v>
      </c>
      <c r="J1358" s="24">
        <v>0</v>
      </c>
      <c r="K1358" s="24">
        <v>0</v>
      </c>
      <c r="L1358" s="41">
        <f>Table2[[#This Row],[Column1]]+Table2[[#This Row],[Column2]]</f>
        <v>0</v>
      </c>
      <c r="M1358" s="42">
        <f>Table2[[#This Row],[OnHandQty]]-Table2[[#This Row],[Projection Nov/Dec]]</f>
        <v>1</v>
      </c>
      <c r="N1358" s="35">
        <f>Table2[[#This Row],[OverStock]]*Table2[[#This Row],[RepCost]]</f>
        <v>491.25</v>
      </c>
      <c r="O1358" s="25">
        <v>46147.363888888889</v>
      </c>
      <c r="P1358" s="26" t="s">
        <v>1379</v>
      </c>
    </row>
    <row r="1359" spans="1:16" x14ac:dyDescent="0.25">
      <c r="A1359" s="20" t="s">
        <v>5211</v>
      </c>
      <c r="B1359" s="21">
        <v>714</v>
      </c>
      <c r="C1359" s="22" t="s">
        <v>323</v>
      </c>
      <c r="D1359" s="22" t="s">
        <v>3089</v>
      </c>
      <c r="E1359" s="22" t="str">
        <f>CONCATENATE(B1359,D1359)</f>
        <v>71468780-115</v>
      </c>
      <c r="F1359" s="22" t="s">
        <v>3090</v>
      </c>
      <c r="G1359" s="22" t="s">
        <v>23</v>
      </c>
      <c r="H1359" s="23">
        <v>75.545000000000002</v>
      </c>
      <c r="I1359" s="24">
        <v>11</v>
      </c>
      <c r="J1359" s="24">
        <v>0</v>
      </c>
      <c r="K1359" s="24">
        <v>0</v>
      </c>
      <c r="L1359" s="41">
        <f>Table2[[#This Row],[Column1]]+Table2[[#This Row],[Column2]]</f>
        <v>0</v>
      </c>
      <c r="M1359" s="42">
        <f>Table2[[#This Row],[OnHandQty]]-Table2[[#This Row],[Projection Nov/Dec]]</f>
        <v>11</v>
      </c>
      <c r="N1359" s="35">
        <f>Table2[[#This Row],[OverStock]]*Table2[[#This Row],[RepCost]]</f>
        <v>830.995</v>
      </c>
      <c r="O1359" s="25">
        <v>46220.577777777777</v>
      </c>
      <c r="P1359" s="26" t="s">
        <v>366</v>
      </c>
    </row>
    <row r="1360" spans="1:16" x14ac:dyDescent="0.25">
      <c r="A1360" s="20" t="s">
        <v>5211</v>
      </c>
      <c r="B1360" s="21">
        <v>718</v>
      </c>
      <c r="C1360" s="22" t="s">
        <v>323</v>
      </c>
      <c r="D1360" s="22" t="s">
        <v>3370</v>
      </c>
      <c r="E1360" s="22" t="str">
        <f>CONCATENATE(B1360,D1360)</f>
        <v>71868780-115PREM</v>
      </c>
      <c r="F1360" s="22" t="s">
        <v>3371</v>
      </c>
      <c r="G1360" s="22" t="s">
        <v>29</v>
      </c>
      <c r="H1360" s="23">
        <v>162.4863</v>
      </c>
      <c r="I1360" s="24">
        <v>1</v>
      </c>
      <c r="J1360" s="24">
        <v>0</v>
      </c>
      <c r="K1360" s="24">
        <v>0</v>
      </c>
      <c r="L1360" s="41">
        <f>Table2[[#This Row],[Column1]]+Table2[[#This Row],[Column2]]</f>
        <v>0</v>
      </c>
      <c r="M1360" s="42">
        <f>Table2[[#This Row],[OnHandQty]]-Table2[[#This Row],[Projection Nov/Dec]]</f>
        <v>1</v>
      </c>
      <c r="N1360" s="35">
        <f>Table2[[#This Row],[OverStock]]*Table2[[#This Row],[RepCost]]</f>
        <v>162.4863</v>
      </c>
      <c r="O1360" s="25">
        <v>46147.668749999997</v>
      </c>
      <c r="P1360" s="26" t="s">
        <v>1062</v>
      </c>
    </row>
    <row r="1361" spans="1:16" x14ac:dyDescent="0.25">
      <c r="A1361" s="20" t="s">
        <v>5211</v>
      </c>
      <c r="B1361" s="21">
        <v>714</v>
      </c>
      <c r="C1361" s="22" t="s">
        <v>323</v>
      </c>
      <c r="D1361" s="22" t="s">
        <v>3370</v>
      </c>
      <c r="E1361" s="22" t="str">
        <f>CONCATENATE(B1361,D1361)</f>
        <v>71468780-115PREM</v>
      </c>
      <c r="F1361" s="22" t="s">
        <v>3371</v>
      </c>
      <c r="G1361" s="22" t="s">
        <v>19</v>
      </c>
      <c r="H1361" s="23">
        <v>161.45099999999999</v>
      </c>
      <c r="I1361" s="24">
        <v>2</v>
      </c>
      <c r="J1361" s="24">
        <v>0</v>
      </c>
      <c r="K1361" s="24">
        <v>0</v>
      </c>
      <c r="L1361" s="41">
        <f>Table2[[#This Row],[Column1]]+Table2[[#This Row],[Column2]]</f>
        <v>0</v>
      </c>
      <c r="M1361" s="42">
        <f>Table2[[#This Row],[OnHandQty]]-Table2[[#This Row],[Projection Nov/Dec]]</f>
        <v>2</v>
      </c>
      <c r="N1361" s="35">
        <f>Table2[[#This Row],[OverStock]]*Table2[[#This Row],[RepCost]]</f>
        <v>322.90199999999999</v>
      </c>
      <c r="O1361" s="25">
        <v>46149.429861111108</v>
      </c>
      <c r="P1361" s="26" t="s">
        <v>1062</v>
      </c>
    </row>
    <row r="1362" spans="1:16" x14ac:dyDescent="0.25">
      <c r="A1362" s="20" t="s">
        <v>5211</v>
      </c>
      <c r="B1362" s="21">
        <v>636</v>
      </c>
      <c r="C1362" s="22" t="s">
        <v>323</v>
      </c>
      <c r="D1362" s="22" t="s">
        <v>1288</v>
      </c>
      <c r="E1362" s="22" t="str">
        <f>CONCATENATE(B1362,D1362)</f>
        <v>63668782-310</v>
      </c>
      <c r="F1362" s="22" t="s">
        <v>1289</v>
      </c>
      <c r="G1362" s="22" t="s">
        <v>158</v>
      </c>
      <c r="H1362" s="23">
        <v>181.05889999999999</v>
      </c>
      <c r="I1362" s="24">
        <v>2</v>
      </c>
      <c r="J1362" s="24">
        <v>0</v>
      </c>
      <c r="K1362" s="24">
        <v>0</v>
      </c>
      <c r="L1362" s="41">
        <f>Table2[[#This Row],[Column1]]+Table2[[#This Row],[Column2]]</f>
        <v>0</v>
      </c>
      <c r="M1362" s="42">
        <f>Table2[[#This Row],[OnHandQty]]-Table2[[#This Row],[Projection Nov/Dec]]</f>
        <v>2</v>
      </c>
      <c r="N1362" s="35">
        <f>Table2[[#This Row],[OverStock]]*Table2[[#This Row],[RepCost]]</f>
        <v>362.11779999999999</v>
      </c>
      <c r="O1362" s="25">
        <v>46115.425694444442</v>
      </c>
      <c r="P1362" s="26" t="s">
        <v>1234</v>
      </c>
    </row>
    <row r="1363" spans="1:16" x14ac:dyDescent="0.25">
      <c r="A1363" s="20" t="s">
        <v>5211</v>
      </c>
      <c r="B1363" s="21">
        <v>636</v>
      </c>
      <c r="C1363" s="22" t="s">
        <v>323</v>
      </c>
      <c r="D1363" s="22" t="s">
        <v>1355</v>
      </c>
      <c r="E1363" s="22" t="str">
        <f>CONCATENATE(B1363,D1363)</f>
        <v>63668784-314</v>
      </c>
      <c r="F1363" s="22" t="s">
        <v>1356</v>
      </c>
      <c r="G1363" s="22" t="s">
        <v>29</v>
      </c>
      <c r="H1363" s="23">
        <v>470.34140000000002</v>
      </c>
      <c r="I1363" s="24">
        <v>3</v>
      </c>
      <c r="J1363" s="24">
        <v>0</v>
      </c>
      <c r="K1363" s="24">
        <v>0</v>
      </c>
      <c r="L1363" s="41">
        <f>Table2[[#This Row],[Column1]]+Table2[[#This Row],[Column2]]</f>
        <v>0</v>
      </c>
      <c r="M1363" s="42">
        <f>Table2[[#This Row],[OnHandQty]]-Table2[[#This Row],[Projection Nov/Dec]]</f>
        <v>3</v>
      </c>
      <c r="N1363" s="35">
        <f>Table2[[#This Row],[OverStock]]*Table2[[#This Row],[RepCost]]</f>
        <v>1411.0242000000001</v>
      </c>
      <c r="O1363" s="25">
        <v>46122.613888888889</v>
      </c>
      <c r="P1363" s="26" t="s">
        <v>151</v>
      </c>
    </row>
    <row r="1364" spans="1:16" x14ac:dyDescent="0.25">
      <c r="A1364" s="20" t="s">
        <v>5211</v>
      </c>
      <c r="B1364" s="21">
        <v>634</v>
      </c>
      <c r="C1364" s="22" t="s">
        <v>323</v>
      </c>
      <c r="D1364" s="22" t="s">
        <v>400</v>
      </c>
      <c r="E1364" s="22" t="str">
        <f>CONCATENATE(B1364,D1364)</f>
        <v>63468790-308</v>
      </c>
      <c r="F1364" s="22" t="s">
        <v>401</v>
      </c>
      <c r="G1364" s="22" t="s">
        <v>19</v>
      </c>
      <c r="H1364" s="23">
        <v>182.80260000000001</v>
      </c>
      <c r="I1364" s="24">
        <v>2</v>
      </c>
      <c r="J1364" s="24">
        <v>0</v>
      </c>
      <c r="K1364" s="24">
        <v>0</v>
      </c>
      <c r="L1364" s="41">
        <f>Table2[[#This Row],[Column1]]+Table2[[#This Row],[Column2]]</f>
        <v>0</v>
      </c>
      <c r="M1364" s="42">
        <f>Table2[[#This Row],[OnHandQty]]-Table2[[#This Row],[Projection Nov/Dec]]</f>
        <v>2</v>
      </c>
      <c r="N1364" s="35">
        <f>Table2[[#This Row],[OverStock]]*Table2[[#This Row],[RepCost]]</f>
        <v>365.60520000000002</v>
      </c>
      <c r="O1364" s="25">
        <v>46203.579861111109</v>
      </c>
      <c r="P1364" s="26" t="s">
        <v>402</v>
      </c>
    </row>
    <row r="1365" spans="1:16" x14ac:dyDescent="0.25">
      <c r="A1365" s="20" t="s">
        <v>5211</v>
      </c>
      <c r="B1365" s="21">
        <v>718</v>
      </c>
      <c r="C1365" s="22" t="s">
        <v>323</v>
      </c>
      <c r="D1365" s="22" t="s">
        <v>3915</v>
      </c>
      <c r="E1365" s="22" t="str">
        <f>CONCATENATE(B1365,D1365)</f>
        <v>71868790-ESP107PREM</v>
      </c>
      <c r="F1365" s="22" t="s">
        <v>3916</v>
      </c>
      <c r="G1365" s="22" t="s">
        <v>29</v>
      </c>
      <c r="H1365" s="23">
        <v>257.911</v>
      </c>
      <c r="I1365" s="24">
        <v>2</v>
      </c>
      <c r="J1365" s="24">
        <v>0</v>
      </c>
      <c r="K1365" s="24">
        <v>0</v>
      </c>
      <c r="L1365" s="41">
        <f>Table2[[#This Row],[Column1]]+Table2[[#This Row],[Column2]]</f>
        <v>0</v>
      </c>
      <c r="M1365" s="42">
        <f>Table2[[#This Row],[OnHandQty]]-Table2[[#This Row],[Projection Nov/Dec]]</f>
        <v>2</v>
      </c>
      <c r="N1365" s="35">
        <f>Table2[[#This Row],[OverStock]]*Table2[[#This Row],[RepCost]]</f>
        <v>515.822</v>
      </c>
      <c r="O1365" s="25">
        <v>46147.668749999997</v>
      </c>
      <c r="P1365" s="26" t="s">
        <v>1062</v>
      </c>
    </row>
    <row r="1366" spans="1:16" x14ac:dyDescent="0.25">
      <c r="A1366" s="20" t="s">
        <v>5211</v>
      </c>
      <c r="B1366" s="21">
        <v>714</v>
      </c>
      <c r="C1366" s="22" t="s">
        <v>323</v>
      </c>
      <c r="D1366" s="22" t="s">
        <v>3137</v>
      </c>
      <c r="E1366" s="22" t="str">
        <f>CONCATENATE(B1366,D1366)</f>
        <v>71468790-115PREM</v>
      </c>
      <c r="F1366" s="22" t="s">
        <v>3138</v>
      </c>
      <c r="G1366" s="22" t="s">
        <v>23</v>
      </c>
      <c r="H1366" s="23">
        <v>146.96100000000001</v>
      </c>
      <c r="I1366" s="24">
        <v>2</v>
      </c>
      <c r="J1366" s="24">
        <v>1</v>
      </c>
      <c r="K1366" s="24">
        <v>0</v>
      </c>
      <c r="L1366" s="41">
        <f>Table2[[#This Row],[Column1]]+Table2[[#This Row],[Column2]]</f>
        <v>1</v>
      </c>
      <c r="M1366" s="42">
        <f>Table2[[#This Row],[OnHandQty]]-Table2[[#This Row],[Projection Nov/Dec]]</f>
        <v>1</v>
      </c>
      <c r="N1366" s="35">
        <f>Table2[[#This Row],[OverStock]]*Table2[[#This Row],[RepCost]]</f>
        <v>146.96100000000001</v>
      </c>
      <c r="O1366" s="25">
        <v>46149.429861111108</v>
      </c>
      <c r="P1366" s="26" t="s">
        <v>1062</v>
      </c>
    </row>
    <row r="1367" spans="1:16" x14ac:dyDescent="0.25">
      <c r="A1367" s="20" t="s">
        <v>5211</v>
      </c>
      <c r="B1367" s="21">
        <v>714</v>
      </c>
      <c r="C1367" s="22" t="s">
        <v>323</v>
      </c>
      <c r="D1367" s="22" t="s">
        <v>3127</v>
      </c>
      <c r="E1367" s="22" t="str">
        <f>CONCATENATE(B1367,D1367)</f>
        <v>71478004-110PREM</v>
      </c>
      <c r="F1367" s="22" t="s">
        <v>3128</v>
      </c>
      <c r="G1367" s="22" t="s">
        <v>23</v>
      </c>
      <c r="H1367" s="23">
        <v>155.31630000000001</v>
      </c>
      <c r="I1367" s="24">
        <v>4</v>
      </c>
      <c r="J1367" s="24">
        <v>0</v>
      </c>
      <c r="K1367" s="24">
        <v>0</v>
      </c>
      <c r="L1367" s="41">
        <f>Table2[[#This Row],[Column1]]+Table2[[#This Row],[Column2]]</f>
        <v>0</v>
      </c>
      <c r="M1367" s="42">
        <f>Table2[[#This Row],[OnHandQty]]-Table2[[#This Row],[Projection Nov/Dec]]</f>
        <v>4</v>
      </c>
      <c r="N1367" s="35">
        <f>Table2[[#This Row],[OverStock]]*Table2[[#This Row],[RepCost]]</f>
        <v>621.26520000000005</v>
      </c>
      <c r="O1367" s="25">
        <v>46149.429861111108</v>
      </c>
      <c r="P1367" s="26" t="s">
        <v>1062</v>
      </c>
    </row>
    <row r="1368" spans="1:16" x14ac:dyDescent="0.25">
      <c r="A1368" s="20" t="s">
        <v>5211</v>
      </c>
      <c r="B1368" s="21">
        <v>636</v>
      </c>
      <c r="C1368" s="22" t="s">
        <v>143</v>
      </c>
      <c r="D1368" s="22" t="s">
        <v>1112</v>
      </c>
      <c r="E1368" s="22" t="str">
        <f>CONCATENATE(B1368,D1368)</f>
        <v>63668752-310</v>
      </c>
      <c r="F1368" s="22" t="s">
        <v>1113</v>
      </c>
      <c r="G1368" s="22" t="s">
        <v>29</v>
      </c>
      <c r="H1368" s="23">
        <v>252.25409999999999</v>
      </c>
      <c r="I1368" s="24">
        <v>1</v>
      </c>
      <c r="J1368" s="24">
        <v>0</v>
      </c>
      <c r="K1368" s="24">
        <v>0</v>
      </c>
      <c r="L1368" s="41">
        <f>Table2[[#This Row],[Column1]]+Table2[[#This Row],[Column2]]</f>
        <v>0</v>
      </c>
      <c r="M1368" s="42">
        <f>Table2[[#This Row],[OnHandQty]]-Table2[[#This Row],[Projection Nov/Dec]]</f>
        <v>1</v>
      </c>
      <c r="N1368" s="35">
        <f>Table2[[#This Row],[OverStock]]*Table2[[#This Row],[RepCost]]</f>
        <v>252.25409999999999</v>
      </c>
      <c r="O1368" s="25">
        <v>46108.503472222219</v>
      </c>
      <c r="P1368" s="26" t="s">
        <v>151</v>
      </c>
    </row>
    <row r="1369" spans="1:16" x14ac:dyDescent="0.25">
      <c r="A1369" s="20" t="s">
        <v>5211</v>
      </c>
      <c r="B1369" s="21">
        <v>636</v>
      </c>
      <c r="C1369" s="22" t="s">
        <v>143</v>
      </c>
      <c r="D1369" s="22" t="s">
        <v>1157</v>
      </c>
      <c r="E1369" s="22" t="str">
        <f>CONCATENATE(B1369,D1369)</f>
        <v>63668752-306</v>
      </c>
      <c r="F1369" s="22" t="s">
        <v>1158</v>
      </c>
      <c r="G1369" s="22" t="s">
        <v>23</v>
      </c>
      <c r="H1369" s="23">
        <v>88.767600000000002</v>
      </c>
      <c r="I1369" s="24">
        <v>4</v>
      </c>
      <c r="J1369" s="24">
        <v>0</v>
      </c>
      <c r="K1369" s="24">
        <v>0</v>
      </c>
      <c r="L1369" s="41">
        <f>Table2[[#This Row],[Column1]]+Table2[[#This Row],[Column2]]</f>
        <v>0</v>
      </c>
      <c r="M1369" s="42">
        <f>Table2[[#This Row],[OnHandQty]]-Table2[[#This Row],[Projection Nov/Dec]]</f>
        <v>4</v>
      </c>
      <c r="N1369" s="35">
        <f>Table2[[#This Row],[OverStock]]*Table2[[#This Row],[RepCost]]</f>
        <v>355.07040000000001</v>
      </c>
      <c r="O1369" s="25">
        <v>46106.397222222222</v>
      </c>
      <c r="P1369" s="26" t="s">
        <v>903</v>
      </c>
    </row>
    <row r="1370" spans="1:16" x14ac:dyDescent="0.25">
      <c r="A1370" s="20" t="s">
        <v>5211</v>
      </c>
      <c r="B1370" s="21">
        <v>714</v>
      </c>
      <c r="C1370" s="22" t="s">
        <v>143</v>
      </c>
      <c r="D1370" s="22" t="s">
        <v>2255</v>
      </c>
      <c r="E1370" s="22" t="str">
        <f>CONCATENATE(B1370,D1370)</f>
        <v>71468752-308</v>
      </c>
      <c r="F1370" s="22" t="s">
        <v>2256</v>
      </c>
      <c r="G1370" s="22" t="s">
        <v>23</v>
      </c>
      <c r="H1370" s="23">
        <v>164.17529999999999</v>
      </c>
      <c r="I1370" s="24">
        <v>1</v>
      </c>
      <c r="J1370" s="24">
        <v>0</v>
      </c>
      <c r="K1370" s="24">
        <v>0</v>
      </c>
      <c r="L1370" s="41">
        <f>Table2[[#This Row],[Column1]]+Table2[[#This Row],[Column2]]</f>
        <v>0</v>
      </c>
      <c r="M1370" s="42">
        <f>Table2[[#This Row],[OnHandQty]]-Table2[[#This Row],[Projection Nov/Dec]]</f>
        <v>1</v>
      </c>
      <c r="N1370" s="35">
        <f>Table2[[#This Row],[OverStock]]*Table2[[#This Row],[RepCost]]</f>
        <v>164.17529999999999</v>
      </c>
      <c r="O1370" s="25">
        <v>46085.367361111108</v>
      </c>
      <c r="P1370" s="26" t="s">
        <v>2257</v>
      </c>
    </row>
    <row r="1371" spans="1:16" x14ac:dyDescent="0.25">
      <c r="A1371" s="20" t="s">
        <v>5211</v>
      </c>
      <c r="B1371" s="21">
        <v>718</v>
      </c>
      <c r="C1371" s="22" t="s">
        <v>143</v>
      </c>
      <c r="D1371" s="22" t="s">
        <v>2255</v>
      </c>
      <c r="E1371" s="22" t="str">
        <f>CONCATENATE(B1371,D1371)</f>
        <v>71868752-308</v>
      </c>
      <c r="F1371" s="22" t="s">
        <v>2256</v>
      </c>
      <c r="G1371" s="22" t="s">
        <v>19</v>
      </c>
      <c r="H1371" s="23">
        <v>157.91040000000001</v>
      </c>
      <c r="I1371" s="24">
        <v>2</v>
      </c>
      <c r="J1371" s="24">
        <v>0</v>
      </c>
      <c r="K1371" s="24">
        <v>0</v>
      </c>
      <c r="L1371" s="41">
        <f>Table2[[#This Row],[Column1]]+Table2[[#This Row],[Column2]]</f>
        <v>0</v>
      </c>
      <c r="M1371" s="42">
        <f>Table2[[#This Row],[OnHandQty]]-Table2[[#This Row],[Projection Nov/Dec]]</f>
        <v>2</v>
      </c>
      <c r="N1371" s="35">
        <f>Table2[[#This Row],[OverStock]]*Table2[[#This Row],[RepCost]]</f>
        <v>315.82080000000002</v>
      </c>
      <c r="O1371" s="25">
        <v>46092.524305555555</v>
      </c>
      <c r="P1371" s="26" t="s">
        <v>2257</v>
      </c>
    </row>
    <row r="1372" spans="1:16" x14ac:dyDescent="0.25">
      <c r="A1372" s="20" t="s">
        <v>5211</v>
      </c>
      <c r="B1372" s="21">
        <v>636</v>
      </c>
      <c r="C1372" s="22" t="s">
        <v>323</v>
      </c>
      <c r="D1372" s="22" t="s">
        <v>1377</v>
      </c>
      <c r="E1372" s="22" t="str">
        <f>CONCATENATE(B1372,D1372)</f>
        <v>63668844-308</v>
      </c>
      <c r="F1372" s="27" t="s">
        <v>1378</v>
      </c>
      <c r="G1372" s="27" t="s">
        <v>58</v>
      </c>
      <c r="H1372" s="23">
        <v>207.66810000000001</v>
      </c>
      <c r="I1372" s="24">
        <v>2</v>
      </c>
      <c r="J1372" s="24">
        <v>0</v>
      </c>
      <c r="K1372" s="24">
        <v>0</v>
      </c>
      <c r="L1372" s="41">
        <f>Table2[[#This Row],[Column1]]+Table2[[#This Row],[Column2]]</f>
        <v>0</v>
      </c>
      <c r="M1372" s="42">
        <f>Table2[[#This Row],[OnHandQty]]-Table2[[#This Row],[Projection Nov/Dec]]</f>
        <v>2</v>
      </c>
      <c r="N1372" s="35">
        <f>Table2[[#This Row],[OverStock]]*Table2[[#This Row],[RepCost]]</f>
        <v>415.33620000000002</v>
      </c>
      <c r="O1372" s="25">
        <v>45400.477083333331</v>
      </c>
      <c r="P1372" s="26" t="s">
        <v>1379</v>
      </c>
    </row>
    <row r="1373" spans="1:16" x14ac:dyDescent="0.25">
      <c r="A1373" s="20" t="s">
        <v>5211</v>
      </c>
      <c r="B1373" s="21">
        <v>714</v>
      </c>
      <c r="C1373" s="22" t="s">
        <v>323</v>
      </c>
      <c r="D1373" s="22" t="s">
        <v>2939</v>
      </c>
      <c r="E1373" s="22" t="str">
        <f>CONCATENATE(B1373,D1373)</f>
        <v>71481770-020</v>
      </c>
      <c r="F1373" s="22" t="s">
        <v>2940</v>
      </c>
      <c r="G1373" s="22" t="s">
        <v>19</v>
      </c>
      <c r="H1373" s="23">
        <v>291.49970000000002</v>
      </c>
      <c r="I1373" s="24">
        <v>2</v>
      </c>
      <c r="J1373" s="24">
        <v>1</v>
      </c>
      <c r="K1373" s="24">
        <v>0</v>
      </c>
      <c r="L1373" s="41">
        <f>Table2[[#This Row],[Column1]]+Table2[[#This Row],[Column2]]</f>
        <v>1</v>
      </c>
      <c r="M1373" s="42">
        <f>Table2[[#This Row],[OnHandQty]]-Table2[[#This Row],[Projection Nov/Dec]]</f>
        <v>1</v>
      </c>
      <c r="N1373" s="35">
        <f>Table2[[#This Row],[OverStock]]*Table2[[#This Row],[RepCost]]</f>
        <v>291.49970000000002</v>
      </c>
      <c r="O1373" s="25">
        <v>46151.347916666666</v>
      </c>
      <c r="P1373" s="26" t="s">
        <v>486</v>
      </c>
    </row>
    <row r="1374" spans="1:16" x14ac:dyDescent="0.25">
      <c r="A1374" s="20" t="s">
        <v>5211</v>
      </c>
      <c r="B1374" s="21">
        <v>636</v>
      </c>
      <c r="C1374" s="22" t="s">
        <v>323</v>
      </c>
      <c r="D1374" s="22" t="s">
        <v>1380</v>
      </c>
      <c r="E1374" s="22" t="str">
        <f>CONCATENATE(B1374,D1374)</f>
        <v>63681770-025</v>
      </c>
      <c r="F1374" s="22" t="s">
        <v>1381</v>
      </c>
      <c r="G1374" s="22" t="s">
        <v>29</v>
      </c>
      <c r="H1374" s="23">
        <v>293.5444</v>
      </c>
      <c r="I1374" s="24">
        <v>1</v>
      </c>
      <c r="J1374" s="24">
        <v>0</v>
      </c>
      <c r="K1374" s="24">
        <v>0</v>
      </c>
      <c r="L1374" s="41">
        <f>Table2[[#This Row],[Column1]]+Table2[[#This Row],[Column2]]</f>
        <v>0</v>
      </c>
      <c r="M1374" s="42">
        <f>Table2[[#This Row],[OnHandQty]]-Table2[[#This Row],[Projection Nov/Dec]]</f>
        <v>1</v>
      </c>
      <c r="N1374" s="35">
        <f>Table2[[#This Row],[OverStock]]*Table2[[#This Row],[RepCost]]</f>
        <v>293.5444</v>
      </c>
      <c r="O1374" s="25">
        <v>46113.468055555553</v>
      </c>
      <c r="P1374" s="26" t="s">
        <v>486</v>
      </c>
    </row>
    <row r="1375" spans="1:16" x14ac:dyDescent="0.25">
      <c r="A1375" s="20" t="s">
        <v>5211</v>
      </c>
      <c r="B1375" s="21">
        <v>714</v>
      </c>
      <c r="C1375" s="22" t="s">
        <v>323</v>
      </c>
      <c r="D1375" s="22" t="s">
        <v>3194</v>
      </c>
      <c r="E1375" s="22" t="str">
        <f>CONCATENATE(B1375,D1375)</f>
        <v>71468849-115</v>
      </c>
      <c r="F1375" s="22" t="s">
        <v>3195</v>
      </c>
      <c r="G1375" s="22" t="s">
        <v>19</v>
      </c>
      <c r="H1375" s="23">
        <v>118.2634</v>
      </c>
      <c r="I1375" s="24">
        <v>3</v>
      </c>
      <c r="J1375" s="24">
        <v>2</v>
      </c>
      <c r="K1375" s="24">
        <v>0</v>
      </c>
      <c r="L1375" s="41">
        <f>Table2[[#This Row],[Column1]]+Table2[[#This Row],[Column2]]</f>
        <v>2</v>
      </c>
      <c r="M1375" s="42">
        <f>Table2[[#This Row],[OnHandQty]]-Table2[[#This Row],[Projection Nov/Dec]]</f>
        <v>1</v>
      </c>
      <c r="N1375" s="35">
        <f>Table2[[#This Row],[OverStock]]*Table2[[#This Row],[RepCost]]</f>
        <v>118.2634</v>
      </c>
      <c r="O1375" s="25">
        <v>46105.560416666667</v>
      </c>
      <c r="P1375" s="26" t="s">
        <v>216</v>
      </c>
    </row>
    <row r="1376" spans="1:16" x14ac:dyDescent="0.25">
      <c r="A1376" s="20" t="s">
        <v>5211</v>
      </c>
      <c r="B1376" s="21">
        <v>718</v>
      </c>
      <c r="C1376" s="22" t="s">
        <v>323</v>
      </c>
      <c r="D1376" s="22" t="s">
        <v>3200</v>
      </c>
      <c r="E1376" s="22" t="str">
        <f>CONCATENATE(B1376,D1376)</f>
        <v>71868849-306</v>
      </c>
      <c r="F1376" s="22" t="s">
        <v>3201</v>
      </c>
      <c r="G1376" s="22" t="s">
        <v>29</v>
      </c>
      <c r="H1376" s="23">
        <v>109.06310000000001</v>
      </c>
      <c r="I1376" s="24">
        <v>1</v>
      </c>
      <c r="J1376" s="24">
        <v>0</v>
      </c>
      <c r="K1376" s="24">
        <v>0</v>
      </c>
      <c r="L1376" s="41">
        <f>Table2[[#This Row],[Column1]]+Table2[[#This Row],[Column2]]</f>
        <v>0</v>
      </c>
      <c r="M1376" s="42">
        <f>Table2[[#This Row],[OnHandQty]]-Table2[[#This Row],[Projection Nov/Dec]]</f>
        <v>1</v>
      </c>
      <c r="N1376" s="35">
        <f>Table2[[#This Row],[OverStock]]*Table2[[#This Row],[RepCost]]</f>
        <v>109.06310000000001</v>
      </c>
      <c r="O1376" s="25">
        <v>43574.578472222223</v>
      </c>
      <c r="P1376" s="26" t="s">
        <v>1234</v>
      </c>
    </row>
    <row r="1377" spans="1:16" x14ac:dyDescent="0.25">
      <c r="A1377" s="20" t="s">
        <v>5211</v>
      </c>
      <c r="B1377" s="21">
        <v>636</v>
      </c>
      <c r="C1377" s="22" t="s">
        <v>323</v>
      </c>
      <c r="D1377" s="22" t="s">
        <v>1464</v>
      </c>
      <c r="E1377" s="22" t="str">
        <f>CONCATENATE(B1377,D1377)</f>
        <v>63685621-025</v>
      </c>
      <c r="F1377" s="22" t="s">
        <v>1465</v>
      </c>
      <c r="G1377" s="22" t="s">
        <v>29</v>
      </c>
      <c r="H1377" s="23">
        <v>313.53769999999997</v>
      </c>
      <c r="I1377" s="24">
        <v>1</v>
      </c>
      <c r="J1377" s="24">
        <v>0</v>
      </c>
      <c r="K1377" s="24">
        <v>0</v>
      </c>
      <c r="L1377" s="41">
        <f>Table2[[#This Row],[Column1]]+Table2[[#This Row],[Column2]]</f>
        <v>0</v>
      </c>
      <c r="M1377" s="42">
        <f>Table2[[#This Row],[OnHandQty]]-Table2[[#This Row],[Projection Nov/Dec]]</f>
        <v>1</v>
      </c>
      <c r="N1377" s="35">
        <f>Table2[[#This Row],[OverStock]]*Table2[[#This Row],[RepCost]]</f>
        <v>313.53769999999997</v>
      </c>
      <c r="O1377" s="25">
        <v>45383.443055555559</v>
      </c>
      <c r="P1377" s="26" t="s">
        <v>178</v>
      </c>
    </row>
    <row r="1378" spans="1:16" x14ac:dyDescent="0.25">
      <c r="A1378" s="20" t="s">
        <v>5211</v>
      </c>
      <c r="B1378" s="21">
        <v>636</v>
      </c>
      <c r="C1378" s="22" t="s">
        <v>323</v>
      </c>
      <c r="D1378" s="22" t="s">
        <v>1668</v>
      </c>
      <c r="E1378" s="22" t="str">
        <f>CONCATENATE(B1378,D1378)</f>
        <v>63685621-030</v>
      </c>
      <c r="F1378" s="22" t="s">
        <v>1669</v>
      </c>
      <c r="G1378" s="22" t="s">
        <v>29</v>
      </c>
      <c r="H1378" s="23">
        <v>411.44760000000002</v>
      </c>
      <c r="I1378" s="24">
        <v>2</v>
      </c>
      <c r="J1378" s="24">
        <v>0</v>
      </c>
      <c r="K1378" s="24">
        <v>0</v>
      </c>
      <c r="L1378" s="41">
        <f>Table2[[#This Row],[Column1]]+Table2[[#This Row],[Column2]]</f>
        <v>0</v>
      </c>
      <c r="M1378" s="42">
        <f>Table2[[#This Row],[OnHandQty]]-Table2[[#This Row],[Projection Nov/Dec]]</f>
        <v>2</v>
      </c>
      <c r="N1378" s="35">
        <f>Table2[[#This Row],[OverStock]]*Table2[[#This Row],[RepCost]]</f>
        <v>822.89520000000005</v>
      </c>
      <c r="O1378" s="25">
        <v>46107.522222222222</v>
      </c>
      <c r="P1378" s="26" t="s">
        <v>178</v>
      </c>
    </row>
    <row r="1379" spans="1:16" x14ac:dyDescent="0.25">
      <c r="A1379" s="20" t="s">
        <v>5211</v>
      </c>
      <c r="B1379" s="21">
        <v>714</v>
      </c>
      <c r="C1379" s="22" t="s">
        <v>323</v>
      </c>
      <c r="D1379" s="22" t="s">
        <v>3376</v>
      </c>
      <c r="E1379" s="22" t="str">
        <f>CONCATENATE(B1379,D1379)</f>
        <v>71468757-020</v>
      </c>
      <c r="F1379" s="22" t="s">
        <v>3377</v>
      </c>
      <c r="G1379" s="22" t="s">
        <v>19</v>
      </c>
      <c r="H1379" s="23">
        <v>207.78890000000001</v>
      </c>
      <c r="I1379" s="24">
        <v>1</v>
      </c>
      <c r="J1379" s="24">
        <v>0</v>
      </c>
      <c r="K1379" s="24">
        <v>0</v>
      </c>
      <c r="L1379" s="41">
        <f>Table2[[#This Row],[Column1]]+Table2[[#This Row],[Column2]]</f>
        <v>0</v>
      </c>
      <c r="M1379" s="42">
        <f>Table2[[#This Row],[OnHandQty]]-Table2[[#This Row],[Projection Nov/Dec]]</f>
        <v>1</v>
      </c>
      <c r="N1379" s="35">
        <f>Table2[[#This Row],[OverStock]]*Table2[[#This Row],[RepCost]]</f>
        <v>207.78890000000001</v>
      </c>
      <c r="O1379" s="25">
        <v>46126.29791666667</v>
      </c>
      <c r="P1379" s="26" t="s">
        <v>2379</v>
      </c>
    </row>
    <row r="1380" spans="1:16" x14ac:dyDescent="0.25">
      <c r="A1380" s="20" t="s">
        <v>5211</v>
      </c>
      <c r="B1380" s="21">
        <v>636</v>
      </c>
      <c r="C1380" s="22" t="s">
        <v>323</v>
      </c>
      <c r="D1380" s="22" t="s">
        <v>1536</v>
      </c>
      <c r="E1380" s="22" t="str">
        <f>CONCATENATE(B1380,D1380)</f>
        <v>63668757-025</v>
      </c>
      <c r="F1380" s="22" t="s">
        <v>1537</v>
      </c>
      <c r="G1380" s="22" t="s">
        <v>29</v>
      </c>
      <c r="H1380" s="23">
        <v>351.8175</v>
      </c>
      <c r="I1380" s="24">
        <v>1</v>
      </c>
      <c r="J1380" s="24">
        <v>0</v>
      </c>
      <c r="K1380" s="24">
        <v>0</v>
      </c>
      <c r="L1380" s="41">
        <f>Table2[[#This Row],[Column1]]+Table2[[#This Row],[Column2]]</f>
        <v>0</v>
      </c>
      <c r="M1380" s="42">
        <f>Table2[[#This Row],[OnHandQty]]-Table2[[#This Row],[Projection Nov/Dec]]</f>
        <v>1</v>
      </c>
      <c r="N1380" s="35">
        <f>Table2[[#This Row],[OverStock]]*Table2[[#This Row],[RepCost]]</f>
        <v>351.8175</v>
      </c>
      <c r="O1380" s="25">
        <v>46107.522222222222</v>
      </c>
      <c r="P1380" s="26" t="s">
        <v>178</v>
      </c>
    </row>
    <row r="1381" spans="1:16" x14ac:dyDescent="0.25">
      <c r="A1381" s="20" t="s">
        <v>5211</v>
      </c>
      <c r="B1381" s="21">
        <v>636</v>
      </c>
      <c r="C1381" s="22" t="s">
        <v>323</v>
      </c>
      <c r="D1381" s="22" t="s">
        <v>1490</v>
      </c>
      <c r="E1381" s="22" t="str">
        <f>CONCATENATE(B1381,D1381)</f>
        <v>63668757-030</v>
      </c>
      <c r="F1381" s="22" t="s">
        <v>1491</v>
      </c>
      <c r="G1381" s="22" t="s">
        <v>29</v>
      </c>
      <c r="H1381" s="23">
        <v>365.34609999999998</v>
      </c>
      <c r="I1381" s="24">
        <v>2</v>
      </c>
      <c r="J1381" s="24">
        <v>0</v>
      </c>
      <c r="K1381" s="24">
        <v>0</v>
      </c>
      <c r="L1381" s="41">
        <f>Table2[[#This Row],[Column1]]+Table2[[#This Row],[Column2]]</f>
        <v>0</v>
      </c>
      <c r="M1381" s="42">
        <f>Table2[[#This Row],[OnHandQty]]-Table2[[#This Row],[Projection Nov/Dec]]</f>
        <v>2</v>
      </c>
      <c r="N1381" s="35">
        <f>Table2[[#This Row],[OverStock]]*Table2[[#This Row],[RepCost]]</f>
        <v>730.69219999999996</v>
      </c>
      <c r="O1381" s="25">
        <v>45964.586805555555</v>
      </c>
      <c r="P1381" s="26" t="s">
        <v>486</v>
      </c>
    </row>
    <row r="1382" spans="1:16" x14ac:dyDescent="0.25">
      <c r="A1382" s="20" t="s">
        <v>5211</v>
      </c>
      <c r="B1382" s="21">
        <v>714</v>
      </c>
      <c r="C1382" s="22" t="s">
        <v>323</v>
      </c>
      <c r="D1382" s="22" t="s">
        <v>3153</v>
      </c>
      <c r="E1382" s="22" t="str">
        <f>CONCATENATE(B1382,D1382)</f>
        <v>71468749-020</v>
      </c>
      <c r="F1382" s="22" t="s">
        <v>3154</v>
      </c>
      <c r="G1382" s="22" t="s">
        <v>29</v>
      </c>
      <c r="H1382" s="23">
        <v>207.78890000000001</v>
      </c>
      <c r="I1382" s="24">
        <v>2</v>
      </c>
      <c r="J1382" s="24">
        <v>0</v>
      </c>
      <c r="K1382" s="24">
        <v>0</v>
      </c>
      <c r="L1382" s="41">
        <f>Table2[[#This Row],[Column1]]+Table2[[#This Row],[Column2]]</f>
        <v>0</v>
      </c>
      <c r="M1382" s="42">
        <f>Table2[[#This Row],[OnHandQty]]-Table2[[#This Row],[Projection Nov/Dec]]</f>
        <v>2</v>
      </c>
      <c r="N1382" s="35">
        <f>Table2[[#This Row],[OverStock]]*Table2[[#This Row],[RepCost]]</f>
        <v>415.57780000000002</v>
      </c>
      <c r="O1382" s="25">
        <v>46126.29791666667</v>
      </c>
      <c r="P1382" s="26" t="s">
        <v>2379</v>
      </c>
    </row>
    <row r="1383" spans="1:16" x14ac:dyDescent="0.25">
      <c r="A1383" s="20" t="s">
        <v>5211</v>
      </c>
      <c r="B1383" s="21">
        <v>636</v>
      </c>
      <c r="C1383" s="22" t="s">
        <v>323</v>
      </c>
      <c r="D1383" s="22" t="s">
        <v>1644</v>
      </c>
      <c r="E1383" s="22" t="str">
        <f>CONCATENATE(B1383,D1383)</f>
        <v>63668749-025</v>
      </c>
      <c r="F1383" s="22" t="s">
        <v>1645</v>
      </c>
      <c r="G1383" s="22" t="s">
        <v>29</v>
      </c>
      <c r="H1383" s="23">
        <v>346.35500000000002</v>
      </c>
      <c r="I1383" s="24">
        <v>1</v>
      </c>
      <c r="J1383" s="24">
        <v>0</v>
      </c>
      <c r="K1383" s="24">
        <v>0</v>
      </c>
      <c r="L1383" s="41">
        <f>Table2[[#This Row],[Column1]]+Table2[[#This Row],[Column2]]</f>
        <v>0</v>
      </c>
      <c r="M1383" s="42">
        <f>Table2[[#This Row],[OnHandQty]]-Table2[[#This Row],[Projection Nov/Dec]]</f>
        <v>1</v>
      </c>
      <c r="N1383" s="35">
        <f>Table2[[#This Row],[OverStock]]*Table2[[#This Row],[RepCost]]</f>
        <v>346.35500000000002</v>
      </c>
      <c r="O1383" s="25">
        <v>45971.493750000001</v>
      </c>
      <c r="P1383" s="26" t="s">
        <v>165</v>
      </c>
    </row>
    <row r="1384" spans="1:16" x14ac:dyDescent="0.25">
      <c r="A1384" s="20" t="s">
        <v>5211</v>
      </c>
      <c r="B1384" s="21">
        <v>714</v>
      </c>
      <c r="C1384" s="22" t="s">
        <v>323</v>
      </c>
      <c r="D1384" s="22" t="s">
        <v>1644</v>
      </c>
      <c r="E1384" s="22" t="str">
        <f>CONCATENATE(B1384,D1384)</f>
        <v>71468749-025</v>
      </c>
      <c r="F1384" s="22" t="s">
        <v>1645</v>
      </c>
      <c r="G1384" s="22" t="s">
        <v>29</v>
      </c>
      <c r="H1384" s="23">
        <v>350.07409999999999</v>
      </c>
      <c r="I1384" s="24">
        <v>1</v>
      </c>
      <c r="J1384" s="24">
        <v>0</v>
      </c>
      <c r="K1384" s="24">
        <v>0</v>
      </c>
      <c r="L1384" s="41">
        <f>Table2[[#This Row],[Column1]]+Table2[[#This Row],[Column2]]</f>
        <v>0</v>
      </c>
      <c r="M1384" s="42">
        <f>Table2[[#This Row],[OnHandQty]]-Table2[[#This Row],[Projection Nov/Dec]]</f>
        <v>1</v>
      </c>
      <c r="N1384" s="35">
        <f>Table2[[#This Row],[OverStock]]*Table2[[#This Row],[RepCost]]</f>
        <v>350.07409999999999</v>
      </c>
      <c r="O1384" s="25">
        <v>46126.695833333331</v>
      </c>
      <c r="P1384" s="26" t="s">
        <v>178</v>
      </c>
    </row>
    <row r="1385" spans="1:16" x14ac:dyDescent="0.25">
      <c r="A1385" s="20" t="s">
        <v>5211</v>
      </c>
      <c r="B1385" s="21">
        <v>718</v>
      </c>
      <c r="C1385" s="22" t="s">
        <v>143</v>
      </c>
      <c r="D1385" s="22" t="s">
        <v>3778</v>
      </c>
      <c r="E1385" s="22" t="str">
        <f>CONCATENATE(B1385,D1385)</f>
        <v>71868739-308</v>
      </c>
      <c r="F1385" s="22" t="s">
        <v>3779</v>
      </c>
      <c r="G1385" s="22" t="s">
        <v>29</v>
      </c>
      <c r="H1385" s="23">
        <v>237.17349999999999</v>
      </c>
      <c r="I1385" s="24">
        <v>5</v>
      </c>
      <c r="J1385" s="24">
        <v>0</v>
      </c>
      <c r="K1385" s="24">
        <v>0</v>
      </c>
      <c r="L1385" s="41">
        <f>Table2[[#This Row],[Column1]]+Table2[[#This Row],[Column2]]</f>
        <v>0</v>
      </c>
      <c r="M1385" s="42">
        <f>Table2[[#This Row],[OnHandQty]]-Table2[[#This Row],[Projection Nov/Dec]]</f>
        <v>5</v>
      </c>
      <c r="N1385" s="35">
        <f>Table2[[#This Row],[OverStock]]*Table2[[#This Row],[RepCost]]</f>
        <v>1185.8674999999998</v>
      </c>
      <c r="O1385" s="25">
        <v>46134.54791666667</v>
      </c>
      <c r="P1385" s="26" t="s">
        <v>2423</v>
      </c>
    </row>
    <row r="1386" spans="1:16" x14ac:dyDescent="0.25">
      <c r="A1386" s="20" t="s">
        <v>5211</v>
      </c>
      <c r="B1386" s="21">
        <v>718</v>
      </c>
      <c r="C1386" s="22" t="s">
        <v>323</v>
      </c>
      <c r="D1386" s="22" t="s">
        <v>3865</v>
      </c>
      <c r="E1386" s="22" t="str">
        <f>CONCATENATE(B1386,D1386)</f>
        <v>71868811-107</v>
      </c>
      <c r="F1386" s="27" t="s">
        <v>3866</v>
      </c>
      <c r="G1386" s="27" t="s">
        <v>58</v>
      </c>
      <c r="H1386" s="23">
        <v>43.3459</v>
      </c>
      <c r="I1386" s="24">
        <v>2</v>
      </c>
      <c r="J1386" s="24">
        <v>0</v>
      </c>
      <c r="K1386" s="24">
        <v>0</v>
      </c>
      <c r="L1386" s="41">
        <f>Table2[[#This Row],[Column1]]+Table2[[#This Row],[Column2]]</f>
        <v>0</v>
      </c>
      <c r="M1386" s="42">
        <f>Table2[[#This Row],[OnHandQty]]-Table2[[#This Row],[Projection Nov/Dec]]</f>
        <v>2</v>
      </c>
      <c r="N1386" s="35">
        <f>Table2[[#This Row],[OverStock]]*Table2[[#This Row],[RepCost]]</f>
        <v>86.691800000000001</v>
      </c>
      <c r="O1386" s="25">
        <v>45749.648611111108</v>
      </c>
      <c r="P1386" s="26" t="s">
        <v>162</v>
      </c>
    </row>
    <row r="1387" spans="1:16" x14ac:dyDescent="0.25">
      <c r="A1387" s="20" t="s">
        <v>5211</v>
      </c>
      <c r="B1387" s="21">
        <v>636</v>
      </c>
      <c r="C1387" s="22" t="s">
        <v>323</v>
      </c>
      <c r="D1387" s="22" t="s">
        <v>1326</v>
      </c>
      <c r="E1387" s="22" t="str">
        <f>CONCATENATE(B1387,D1387)</f>
        <v>63668812-310</v>
      </c>
      <c r="F1387" s="22" t="s">
        <v>1327</v>
      </c>
      <c r="G1387" s="22" t="s">
        <v>29</v>
      </c>
      <c r="H1387" s="23">
        <v>284.04520000000002</v>
      </c>
      <c r="I1387" s="24">
        <v>4</v>
      </c>
      <c r="J1387" s="24">
        <v>0</v>
      </c>
      <c r="K1387" s="24">
        <v>0</v>
      </c>
      <c r="L1387" s="41">
        <f>Table2[[#This Row],[Column1]]+Table2[[#This Row],[Column2]]</f>
        <v>0</v>
      </c>
      <c r="M1387" s="42">
        <f>Table2[[#This Row],[OnHandQty]]-Table2[[#This Row],[Projection Nov/Dec]]</f>
        <v>4</v>
      </c>
      <c r="N1387" s="35">
        <f>Table2[[#This Row],[OverStock]]*Table2[[#This Row],[RepCost]]</f>
        <v>1136.1808000000001</v>
      </c>
      <c r="O1387" s="25">
        <v>46121.45</v>
      </c>
      <c r="P1387" s="26" t="s">
        <v>151</v>
      </c>
    </row>
    <row r="1388" spans="1:16" x14ac:dyDescent="0.25">
      <c r="A1388" s="20" t="s">
        <v>5211</v>
      </c>
      <c r="B1388" s="21">
        <v>636</v>
      </c>
      <c r="C1388" s="22" t="s">
        <v>323</v>
      </c>
      <c r="D1388" s="22" t="s">
        <v>1239</v>
      </c>
      <c r="E1388" s="22" t="str">
        <f>CONCATENATE(B1388,D1388)</f>
        <v>63668835-310</v>
      </c>
      <c r="F1388" s="22" t="s">
        <v>1240</v>
      </c>
      <c r="G1388" s="22" t="s">
        <v>29</v>
      </c>
      <c r="H1388" s="23">
        <v>365.34609999999998</v>
      </c>
      <c r="I1388" s="24">
        <v>3</v>
      </c>
      <c r="J1388" s="24">
        <v>0</v>
      </c>
      <c r="K1388" s="24">
        <v>0</v>
      </c>
      <c r="L1388" s="41">
        <f>Table2[[#This Row],[Column1]]+Table2[[#This Row],[Column2]]</f>
        <v>0</v>
      </c>
      <c r="M1388" s="42">
        <f>Table2[[#This Row],[OnHandQty]]-Table2[[#This Row],[Projection Nov/Dec]]</f>
        <v>3</v>
      </c>
      <c r="N1388" s="35">
        <f>Table2[[#This Row],[OverStock]]*Table2[[#This Row],[RepCost]]</f>
        <v>1096.0382999999999</v>
      </c>
      <c r="O1388" s="25">
        <v>45964.586805555555</v>
      </c>
      <c r="P1388" s="26" t="s">
        <v>486</v>
      </c>
    </row>
    <row r="1389" spans="1:16" x14ac:dyDescent="0.25">
      <c r="A1389" s="20" t="s">
        <v>5211</v>
      </c>
      <c r="B1389" s="21">
        <v>718</v>
      </c>
      <c r="C1389" s="22" t="s">
        <v>323</v>
      </c>
      <c r="D1389" s="22" t="s">
        <v>3909</v>
      </c>
      <c r="E1389" s="22" t="str">
        <f>CONCATENATE(B1389,D1389)</f>
        <v>71868835-115</v>
      </c>
      <c r="F1389" s="22" t="s">
        <v>3910</v>
      </c>
      <c r="G1389" s="22" t="s">
        <v>29</v>
      </c>
      <c r="H1389" s="23">
        <v>97.7226</v>
      </c>
      <c r="I1389" s="24">
        <v>3</v>
      </c>
      <c r="J1389" s="24">
        <v>0</v>
      </c>
      <c r="K1389" s="24">
        <v>0</v>
      </c>
      <c r="L1389" s="41">
        <f>Table2[[#This Row],[Column1]]+Table2[[#This Row],[Column2]]</f>
        <v>0</v>
      </c>
      <c r="M1389" s="42">
        <f>Table2[[#This Row],[OnHandQty]]-Table2[[#This Row],[Projection Nov/Dec]]</f>
        <v>3</v>
      </c>
      <c r="N1389" s="35">
        <f>Table2[[#This Row],[OverStock]]*Table2[[#This Row],[RepCost]]</f>
        <v>293.1678</v>
      </c>
      <c r="O1389" s="25">
        <v>45827.370138888888</v>
      </c>
      <c r="P1389" s="26" t="s">
        <v>3009</v>
      </c>
    </row>
    <row r="1390" spans="1:16" x14ac:dyDescent="0.25">
      <c r="A1390" s="20" t="s">
        <v>5211</v>
      </c>
      <c r="B1390" s="21">
        <v>636</v>
      </c>
      <c r="C1390" s="22" t="s">
        <v>323</v>
      </c>
      <c r="D1390" s="22" t="s">
        <v>1328</v>
      </c>
      <c r="E1390" s="22" t="str">
        <f>CONCATENATE(B1390,D1390)</f>
        <v>63668835-305</v>
      </c>
      <c r="F1390" s="22" t="s">
        <v>1329</v>
      </c>
      <c r="G1390" s="22" t="s">
        <v>29</v>
      </c>
      <c r="H1390" s="23">
        <v>233.9674</v>
      </c>
      <c r="I1390" s="24">
        <v>3</v>
      </c>
      <c r="J1390" s="24">
        <v>0</v>
      </c>
      <c r="K1390" s="24">
        <v>0</v>
      </c>
      <c r="L1390" s="41">
        <f>Table2[[#This Row],[Column1]]+Table2[[#This Row],[Column2]]</f>
        <v>0</v>
      </c>
      <c r="M1390" s="42">
        <f>Table2[[#This Row],[OnHandQty]]-Table2[[#This Row],[Projection Nov/Dec]]</f>
        <v>3</v>
      </c>
      <c r="N1390" s="35">
        <f>Table2[[#This Row],[OverStock]]*Table2[[#This Row],[RepCost]]</f>
        <v>701.90219999999999</v>
      </c>
      <c r="O1390" s="25">
        <v>45779.317361111112</v>
      </c>
      <c r="P1390" s="26" t="s">
        <v>165</v>
      </c>
    </row>
    <row r="1391" spans="1:16" x14ac:dyDescent="0.25">
      <c r="A1391" s="20" t="s">
        <v>5211</v>
      </c>
      <c r="B1391" s="21">
        <v>636</v>
      </c>
      <c r="C1391" s="22" t="s">
        <v>323</v>
      </c>
      <c r="D1391" s="22" t="s">
        <v>1558</v>
      </c>
      <c r="E1391" s="22" t="str">
        <f>CONCATENATE(B1391,D1391)</f>
        <v>63668835-306</v>
      </c>
      <c r="F1391" s="22" t="s">
        <v>1559</v>
      </c>
      <c r="G1391" s="22" t="s">
        <v>158</v>
      </c>
      <c r="H1391" s="23">
        <v>118.0643</v>
      </c>
      <c r="I1391" s="24">
        <v>1</v>
      </c>
      <c r="J1391" s="24">
        <v>0</v>
      </c>
      <c r="K1391" s="24">
        <v>0</v>
      </c>
      <c r="L1391" s="41">
        <f>Table2[[#This Row],[Column1]]+Table2[[#This Row],[Column2]]</f>
        <v>0</v>
      </c>
      <c r="M1391" s="42">
        <f>Table2[[#This Row],[OnHandQty]]-Table2[[#This Row],[Projection Nov/Dec]]</f>
        <v>1</v>
      </c>
      <c r="N1391" s="35">
        <f>Table2[[#This Row],[OverStock]]*Table2[[#This Row],[RepCost]]</f>
        <v>118.0643</v>
      </c>
      <c r="O1391" s="25">
        <v>45964.526388888888</v>
      </c>
      <c r="P1391" s="26" t="s">
        <v>151</v>
      </c>
    </row>
    <row r="1392" spans="1:16" x14ac:dyDescent="0.25">
      <c r="A1392" s="20" t="s">
        <v>5211</v>
      </c>
      <c r="B1392" s="21">
        <v>714</v>
      </c>
      <c r="C1392" s="22" t="s">
        <v>323</v>
      </c>
      <c r="D1392" s="22" t="s">
        <v>476</v>
      </c>
      <c r="E1392" s="22" t="str">
        <f>CONCATENATE(B1392,D1392)</f>
        <v>71468835-307</v>
      </c>
      <c r="F1392" s="22" t="s">
        <v>477</v>
      </c>
      <c r="G1392" s="22" t="s">
        <v>19</v>
      </c>
      <c r="H1392" s="23">
        <v>169.38589999999999</v>
      </c>
      <c r="I1392" s="24">
        <v>2</v>
      </c>
      <c r="J1392" s="24">
        <v>0</v>
      </c>
      <c r="K1392" s="24">
        <v>0</v>
      </c>
      <c r="L1392" s="41">
        <f>Table2[[#This Row],[Column1]]+Table2[[#This Row],[Column2]]</f>
        <v>0</v>
      </c>
      <c r="M1392" s="42">
        <f>Table2[[#This Row],[OnHandQty]]-Table2[[#This Row],[Projection Nov/Dec]]</f>
        <v>2</v>
      </c>
      <c r="N1392" s="35">
        <f>Table2[[#This Row],[OverStock]]*Table2[[#This Row],[RepCost]]</f>
        <v>338.77179999999998</v>
      </c>
      <c r="O1392" s="25">
        <v>46078.525694444441</v>
      </c>
      <c r="P1392" s="26" t="s">
        <v>354</v>
      </c>
    </row>
    <row r="1393" spans="1:16" x14ac:dyDescent="0.25">
      <c r="A1393" s="20" t="s">
        <v>5211</v>
      </c>
      <c r="B1393" s="21">
        <v>636</v>
      </c>
      <c r="C1393" s="22" t="s">
        <v>323</v>
      </c>
      <c r="D1393" s="22" t="s">
        <v>476</v>
      </c>
      <c r="E1393" s="22" t="str">
        <f>CONCATENATE(B1393,D1393)</f>
        <v>63668835-307</v>
      </c>
      <c r="F1393" s="22" t="s">
        <v>477</v>
      </c>
      <c r="G1393" s="22" t="s">
        <v>29</v>
      </c>
      <c r="H1393" s="23">
        <v>174.1696</v>
      </c>
      <c r="I1393" s="24">
        <v>9</v>
      </c>
      <c r="J1393" s="24">
        <v>0</v>
      </c>
      <c r="K1393" s="24">
        <v>0</v>
      </c>
      <c r="L1393" s="41">
        <f>Table2[[#This Row],[Column1]]+Table2[[#This Row],[Column2]]</f>
        <v>0</v>
      </c>
      <c r="M1393" s="42">
        <f>Table2[[#This Row],[OnHandQty]]-Table2[[#This Row],[Projection Nov/Dec]]</f>
        <v>9</v>
      </c>
      <c r="N1393" s="35">
        <f>Table2[[#This Row],[OverStock]]*Table2[[#This Row],[RepCost]]</f>
        <v>1567.5264</v>
      </c>
      <c r="O1393" s="25">
        <v>46107.402083333334</v>
      </c>
      <c r="P1393" s="26" t="s">
        <v>354</v>
      </c>
    </row>
    <row r="1394" spans="1:16" x14ac:dyDescent="0.25">
      <c r="A1394" s="20" t="s">
        <v>5211</v>
      </c>
      <c r="B1394" s="21">
        <v>634</v>
      </c>
      <c r="C1394" s="22" t="s">
        <v>323</v>
      </c>
      <c r="D1394" s="22" t="s">
        <v>476</v>
      </c>
      <c r="E1394" s="22" t="str">
        <f>CONCATENATE(B1394,D1394)</f>
        <v>63468835-307</v>
      </c>
      <c r="F1394" s="22" t="s">
        <v>477</v>
      </c>
      <c r="G1394" s="22" t="s">
        <v>29</v>
      </c>
      <c r="H1394" s="23">
        <v>174.03970000000001</v>
      </c>
      <c r="I1394" s="24">
        <v>3</v>
      </c>
      <c r="J1394" s="24">
        <v>0</v>
      </c>
      <c r="K1394" s="24">
        <v>0</v>
      </c>
      <c r="L1394" s="41">
        <f>Table2[[#This Row],[Column1]]+Table2[[#This Row],[Column2]]</f>
        <v>0</v>
      </c>
      <c r="M1394" s="42">
        <f>Table2[[#This Row],[OnHandQty]]-Table2[[#This Row],[Projection Nov/Dec]]</f>
        <v>3</v>
      </c>
      <c r="N1394" s="35">
        <f>Table2[[#This Row],[OverStock]]*Table2[[#This Row],[RepCost]]</f>
        <v>522.1191</v>
      </c>
      <c r="O1394" s="25">
        <v>46122.515277777777</v>
      </c>
      <c r="P1394" s="26" t="s">
        <v>354</v>
      </c>
    </row>
    <row r="1395" spans="1:16" x14ac:dyDescent="0.25">
      <c r="A1395" s="20" t="s">
        <v>5211</v>
      </c>
      <c r="B1395" s="21">
        <v>636</v>
      </c>
      <c r="C1395" s="22" t="s">
        <v>323</v>
      </c>
      <c r="D1395" s="22" t="s">
        <v>1472</v>
      </c>
      <c r="E1395" s="22" t="str">
        <f>CONCATENATE(B1395,D1395)</f>
        <v>63668835-308</v>
      </c>
      <c r="F1395" s="22" t="s">
        <v>1473</v>
      </c>
      <c r="G1395" s="22" t="s">
        <v>23</v>
      </c>
      <c r="H1395" s="23">
        <v>207.80690000000001</v>
      </c>
      <c r="I1395" s="24">
        <v>6</v>
      </c>
      <c r="J1395" s="24">
        <v>1</v>
      </c>
      <c r="K1395" s="24">
        <v>0</v>
      </c>
      <c r="L1395" s="41">
        <f>Table2[[#This Row],[Column1]]+Table2[[#This Row],[Column2]]</f>
        <v>1</v>
      </c>
      <c r="M1395" s="42">
        <f>Table2[[#This Row],[OnHandQty]]-Table2[[#This Row],[Projection Nov/Dec]]</f>
        <v>5</v>
      </c>
      <c r="N1395" s="35">
        <f>Table2[[#This Row],[OverStock]]*Table2[[#This Row],[RepCost]]</f>
        <v>1039.0345</v>
      </c>
      <c r="O1395" s="25">
        <v>45954.380555555559</v>
      </c>
      <c r="P1395" s="26" t="s">
        <v>151</v>
      </c>
    </row>
    <row r="1396" spans="1:16" x14ac:dyDescent="0.25">
      <c r="A1396" s="20" t="s">
        <v>5211</v>
      </c>
      <c r="B1396" s="21">
        <v>634</v>
      </c>
      <c r="C1396" s="22" t="s">
        <v>143</v>
      </c>
      <c r="D1396" s="22" t="s">
        <v>221</v>
      </c>
      <c r="E1396" s="22" t="str">
        <f>CONCATENATE(B1396,D1396)</f>
        <v>63468854-103</v>
      </c>
      <c r="F1396" s="22" t="s">
        <v>222</v>
      </c>
      <c r="G1396" s="22" t="s">
        <v>29</v>
      </c>
      <c r="H1396" s="23">
        <v>35.0929</v>
      </c>
      <c r="I1396" s="24">
        <v>11</v>
      </c>
      <c r="J1396" s="24">
        <v>0</v>
      </c>
      <c r="K1396" s="24">
        <v>0</v>
      </c>
      <c r="L1396" s="41">
        <f>Table2[[#This Row],[Column1]]+Table2[[#This Row],[Column2]]</f>
        <v>0</v>
      </c>
      <c r="M1396" s="42">
        <f>Table2[[#This Row],[OnHandQty]]-Table2[[#This Row],[Projection Nov/Dec]]</f>
        <v>11</v>
      </c>
      <c r="N1396" s="35">
        <f>Table2[[#This Row],[OverStock]]*Table2[[#This Row],[RepCost]]</f>
        <v>386.02190000000002</v>
      </c>
      <c r="O1396" s="25">
        <v>46134.53125</v>
      </c>
      <c r="P1396" s="26" t="s">
        <v>40</v>
      </c>
    </row>
    <row r="1397" spans="1:16" x14ac:dyDescent="0.25">
      <c r="A1397" s="20" t="s">
        <v>5211</v>
      </c>
      <c r="B1397" s="21">
        <v>714</v>
      </c>
      <c r="C1397" s="22" t="s">
        <v>143</v>
      </c>
      <c r="D1397" s="22" t="s">
        <v>2762</v>
      </c>
      <c r="E1397" s="22" t="str">
        <f>CONCATENATE(B1397,D1397)</f>
        <v>71468856-105</v>
      </c>
      <c r="F1397" s="27" t="s">
        <v>2763</v>
      </c>
      <c r="G1397" s="27" t="s">
        <v>58</v>
      </c>
      <c r="H1397" s="23">
        <v>21.655000000000001</v>
      </c>
      <c r="I1397" s="24">
        <v>32</v>
      </c>
      <c r="J1397" s="24">
        <v>0</v>
      </c>
      <c r="K1397" s="24">
        <v>0</v>
      </c>
      <c r="L1397" s="41">
        <f>Table2[[#This Row],[Column1]]+Table2[[#This Row],[Column2]]</f>
        <v>0</v>
      </c>
      <c r="M1397" s="42">
        <f>Table2[[#This Row],[OnHandQty]]-Table2[[#This Row],[Projection Nov/Dec]]</f>
        <v>32</v>
      </c>
      <c r="N1397" s="35">
        <f>Table2[[#This Row],[OverStock]]*Table2[[#This Row],[RepCost]]</f>
        <v>692.96</v>
      </c>
      <c r="O1397" s="25">
        <v>45460.37777777778</v>
      </c>
      <c r="P1397" s="26" t="s">
        <v>1062</v>
      </c>
    </row>
    <row r="1398" spans="1:16" x14ac:dyDescent="0.25">
      <c r="A1398" s="20" t="s">
        <v>5211</v>
      </c>
      <c r="B1398" s="21">
        <v>714</v>
      </c>
      <c r="C1398" s="22" t="s">
        <v>323</v>
      </c>
      <c r="D1398" s="22" t="s">
        <v>3393</v>
      </c>
      <c r="E1398" s="22" t="str">
        <f>CONCATENATE(B1398,D1398)</f>
        <v>71477543-0175</v>
      </c>
      <c r="F1398" s="22" t="s">
        <v>3394</v>
      </c>
      <c r="G1398" s="22" t="s">
        <v>29</v>
      </c>
      <c r="H1398" s="23">
        <v>196.85679999999999</v>
      </c>
      <c r="I1398" s="24">
        <v>2</v>
      </c>
      <c r="J1398" s="24">
        <v>0</v>
      </c>
      <c r="K1398" s="24">
        <v>0</v>
      </c>
      <c r="L1398" s="41">
        <f>Table2[[#This Row],[Column1]]+Table2[[#This Row],[Column2]]</f>
        <v>0</v>
      </c>
      <c r="M1398" s="42">
        <f>Table2[[#This Row],[OnHandQty]]-Table2[[#This Row],[Projection Nov/Dec]]</f>
        <v>2</v>
      </c>
      <c r="N1398" s="35">
        <f>Table2[[#This Row],[OverStock]]*Table2[[#This Row],[RepCost]]</f>
        <v>393.71359999999999</v>
      </c>
      <c r="O1398" s="25">
        <v>45726.532638888886</v>
      </c>
      <c r="P1398" s="26" t="s">
        <v>2379</v>
      </c>
    </row>
    <row r="1399" spans="1:16" x14ac:dyDescent="0.25">
      <c r="A1399" s="20" t="s">
        <v>5211</v>
      </c>
      <c r="B1399" s="21">
        <v>634</v>
      </c>
      <c r="C1399" s="22" t="s">
        <v>323</v>
      </c>
      <c r="D1399" s="22" t="s">
        <v>405</v>
      </c>
      <c r="E1399" s="22" t="str">
        <f>CONCATENATE(B1399,D1399)</f>
        <v>63477544-110</v>
      </c>
      <c r="F1399" s="22" t="s">
        <v>406</v>
      </c>
      <c r="G1399" s="22" t="s">
        <v>29</v>
      </c>
      <c r="H1399" s="23">
        <v>58.029299999999999</v>
      </c>
      <c r="I1399" s="24">
        <v>3</v>
      </c>
      <c r="J1399" s="24">
        <v>0</v>
      </c>
      <c r="K1399" s="24">
        <v>0</v>
      </c>
      <c r="L1399" s="41">
        <f>Table2[[#This Row],[Column1]]+Table2[[#This Row],[Column2]]</f>
        <v>0</v>
      </c>
      <c r="M1399" s="42">
        <f>Table2[[#This Row],[OnHandQty]]-Table2[[#This Row],[Projection Nov/Dec]]</f>
        <v>3</v>
      </c>
      <c r="N1399" s="35">
        <f>Table2[[#This Row],[OverStock]]*Table2[[#This Row],[RepCost]]</f>
        <v>174.08789999999999</v>
      </c>
      <c r="O1399" s="25">
        <v>46106.45</v>
      </c>
      <c r="P1399" s="26" t="s">
        <v>268</v>
      </c>
    </row>
    <row r="1400" spans="1:16" x14ac:dyDescent="0.25">
      <c r="A1400" s="20" t="s">
        <v>5211</v>
      </c>
      <c r="B1400" s="21">
        <v>636</v>
      </c>
      <c r="C1400" s="22" t="s">
        <v>323</v>
      </c>
      <c r="D1400" s="22" t="s">
        <v>1739</v>
      </c>
      <c r="E1400" s="22" t="str">
        <f>CONCATENATE(B1400,D1400)</f>
        <v>63679414-3TESP120</v>
      </c>
      <c r="F1400" s="22" t="s">
        <v>1740</v>
      </c>
      <c r="G1400" s="22" t="s">
        <v>19</v>
      </c>
      <c r="H1400" s="23">
        <v>232.0461</v>
      </c>
      <c r="I1400" s="24">
        <v>1</v>
      </c>
      <c r="J1400" s="24">
        <v>0</v>
      </c>
      <c r="K1400" s="24">
        <v>0</v>
      </c>
      <c r="L1400" s="41">
        <f>Table2[[#This Row],[Column1]]+Table2[[#This Row],[Column2]]</f>
        <v>0</v>
      </c>
      <c r="M1400" s="42">
        <f>Table2[[#This Row],[OnHandQty]]-Table2[[#This Row],[Projection Nov/Dec]]</f>
        <v>1</v>
      </c>
      <c r="N1400" s="35">
        <f>Table2[[#This Row],[OverStock]]*Table2[[#This Row],[RepCost]]</f>
        <v>232.0461</v>
      </c>
      <c r="O1400" s="25">
        <v>46083.459722222222</v>
      </c>
      <c r="P1400" s="26" t="s">
        <v>137</v>
      </c>
    </row>
    <row r="1401" spans="1:16" x14ac:dyDescent="0.25">
      <c r="A1401" s="20" t="s">
        <v>5211</v>
      </c>
      <c r="B1401" s="21">
        <v>634</v>
      </c>
      <c r="C1401" s="22" t="s">
        <v>323</v>
      </c>
      <c r="D1401" s="22" t="s">
        <v>438</v>
      </c>
      <c r="E1401" s="22" t="str">
        <f>CONCATENATE(B1401,D1401)</f>
        <v>63477547-110</v>
      </c>
      <c r="F1401" s="22" t="s">
        <v>439</v>
      </c>
      <c r="G1401" s="22" t="s">
        <v>39</v>
      </c>
      <c r="H1401" s="23">
        <v>58.029299999999999</v>
      </c>
      <c r="I1401" s="24">
        <v>2</v>
      </c>
      <c r="J1401" s="24">
        <v>0</v>
      </c>
      <c r="K1401" s="24">
        <v>0</v>
      </c>
      <c r="L1401" s="41">
        <f>Table2[[#This Row],[Column1]]+Table2[[#This Row],[Column2]]</f>
        <v>0</v>
      </c>
      <c r="M1401" s="42">
        <f>Table2[[#This Row],[OnHandQty]]-Table2[[#This Row],[Projection Nov/Dec]]</f>
        <v>2</v>
      </c>
      <c r="N1401" s="35">
        <f>Table2[[#This Row],[OverStock]]*Table2[[#This Row],[RepCost]]</f>
        <v>116.0586</v>
      </c>
      <c r="O1401" s="25">
        <v>46106.45</v>
      </c>
      <c r="P1401" s="26" t="s">
        <v>268</v>
      </c>
    </row>
    <row r="1402" spans="1:16" x14ac:dyDescent="0.25">
      <c r="A1402" s="20" t="s">
        <v>5211</v>
      </c>
      <c r="B1402" s="21">
        <v>634</v>
      </c>
      <c r="C1402" s="22" t="s">
        <v>323</v>
      </c>
      <c r="D1402" s="22" t="s">
        <v>333</v>
      </c>
      <c r="E1402" s="22" t="str">
        <f>CONCATENATE(B1402,D1402)</f>
        <v>63477548-110</v>
      </c>
      <c r="F1402" s="22" t="s">
        <v>334</v>
      </c>
      <c r="G1402" s="22" t="s">
        <v>29</v>
      </c>
      <c r="H1402" s="23">
        <v>58.029299999999999</v>
      </c>
      <c r="I1402" s="24">
        <v>4</v>
      </c>
      <c r="J1402" s="24">
        <v>0</v>
      </c>
      <c r="K1402" s="24">
        <v>0</v>
      </c>
      <c r="L1402" s="41">
        <f>Table2[[#This Row],[Column1]]+Table2[[#This Row],[Column2]]</f>
        <v>0</v>
      </c>
      <c r="M1402" s="42">
        <f>Table2[[#This Row],[OnHandQty]]-Table2[[#This Row],[Projection Nov/Dec]]</f>
        <v>4</v>
      </c>
      <c r="N1402" s="35">
        <f>Table2[[#This Row],[OverStock]]*Table2[[#This Row],[RepCost]]</f>
        <v>232.1172</v>
      </c>
      <c r="O1402" s="25">
        <v>46106.45</v>
      </c>
      <c r="P1402" s="26" t="s">
        <v>268</v>
      </c>
    </row>
    <row r="1403" spans="1:16" x14ac:dyDescent="0.25">
      <c r="A1403" s="20" t="s">
        <v>5211</v>
      </c>
      <c r="B1403" s="21">
        <v>636</v>
      </c>
      <c r="C1403" s="22" t="s">
        <v>323</v>
      </c>
      <c r="D1403" s="22" t="s">
        <v>1255</v>
      </c>
      <c r="E1403" s="22" t="str">
        <f>CONCATENATE(B1403,D1403)</f>
        <v>63677578-020</v>
      </c>
      <c r="F1403" s="22" t="s">
        <v>1256</v>
      </c>
      <c r="G1403" s="22" t="s">
        <v>29</v>
      </c>
      <c r="H1403" s="23">
        <v>204.25620000000001</v>
      </c>
      <c r="I1403" s="24">
        <v>5</v>
      </c>
      <c r="J1403" s="24">
        <v>0</v>
      </c>
      <c r="K1403" s="24">
        <v>0</v>
      </c>
      <c r="L1403" s="41">
        <f>Table2[[#This Row],[Column1]]+Table2[[#This Row],[Column2]]</f>
        <v>0</v>
      </c>
      <c r="M1403" s="42">
        <f>Table2[[#This Row],[OnHandQty]]-Table2[[#This Row],[Projection Nov/Dec]]</f>
        <v>5</v>
      </c>
      <c r="N1403" s="35">
        <f>Table2[[#This Row],[OverStock]]*Table2[[#This Row],[RepCost]]</f>
        <v>1021.2810000000001</v>
      </c>
      <c r="O1403" s="25">
        <v>46107.539583333331</v>
      </c>
      <c r="P1403" s="26" t="s">
        <v>295</v>
      </c>
    </row>
    <row r="1404" spans="1:16" x14ac:dyDescent="0.25">
      <c r="A1404" s="20" t="s">
        <v>5211</v>
      </c>
      <c r="B1404" s="21">
        <v>636</v>
      </c>
      <c r="C1404" s="22" t="s">
        <v>323</v>
      </c>
      <c r="D1404" s="22" t="s">
        <v>1574</v>
      </c>
      <c r="E1404" s="22" t="str">
        <f>CONCATENATE(B1404,D1404)</f>
        <v>63668926-020</v>
      </c>
      <c r="F1404" s="22" t="s">
        <v>1575</v>
      </c>
      <c r="G1404" s="22" t="s">
        <v>29</v>
      </c>
      <c r="H1404" s="23">
        <v>172.84289999999999</v>
      </c>
      <c r="I1404" s="24">
        <v>5</v>
      </c>
      <c r="J1404" s="24">
        <v>0</v>
      </c>
      <c r="K1404" s="24">
        <v>0</v>
      </c>
      <c r="L1404" s="41">
        <f>Table2[[#This Row],[Column1]]+Table2[[#This Row],[Column2]]</f>
        <v>0</v>
      </c>
      <c r="M1404" s="42">
        <f>Table2[[#This Row],[OnHandQty]]-Table2[[#This Row],[Projection Nov/Dec]]</f>
        <v>5</v>
      </c>
      <c r="N1404" s="35">
        <f>Table2[[#This Row],[OverStock]]*Table2[[#This Row],[RepCost]]</f>
        <v>864.21449999999993</v>
      </c>
      <c r="O1404" s="25">
        <v>46108.488888888889</v>
      </c>
      <c r="P1404" s="26" t="s">
        <v>357</v>
      </c>
    </row>
    <row r="1405" spans="1:16" x14ac:dyDescent="0.25">
      <c r="A1405" s="20" t="s">
        <v>5211</v>
      </c>
      <c r="B1405" s="21">
        <v>714</v>
      </c>
      <c r="C1405" s="22" t="s">
        <v>323</v>
      </c>
      <c r="D1405" s="22" t="s">
        <v>352</v>
      </c>
      <c r="E1405" s="22" t="str">
        <f>CONCATENATE(B1405,D1405)</f>
        <v>71468926-STD307</v>
      </c>
      <c r="F1405" s="27" t="s">
        <v>353</v>
      </c>
      <c r="G1405" s="27" t="s">
        <v>58</v>
      </c>
      <c r="H1405" s="23">
        <v>292.8768</v>
      </c>
      <c r="I1405" s="24">
        <v>2</v>
      </c>
      <c r="J1405" s="24">
        <v>0</v>
      </c>
      <c r="K1405" s="24">
        <v>0</v>
      </c>
      <c r="L1405" s="41">
        <f>Table2[[#This Row],[Column1]]+Table2[[#This Row],[Column2]]</f>
        <v>0</v>
      </c>
      <c r="M1405" s="42">
        <f>Table2[[#This Row],[OnHandQty]]-Table2[[#This Row],[Projection Nov/Dec]]</f>
        <v>2</v>
      </c>
      <c r="N1405" s="35">
        <f>Table2[[#This Row],[OverStock]]*Table2[[#This Row],[RepCost]]</f>
        <v>585.75360000000001</v>
      </c>
      <c r="O1405" s="25">
        <v>45394.436805555553</v>
      </c>
      <c r="P1405" s="26" t="s">
        <v>178</v>
      </c>
    </row>
    <row r="1406" spans="1:16" x14ac:dyDescent="0.25">
      <c r="A1406" s="20" t="s">
        <v>5211</v>
      </c>
      <c r="B1406" s="21">
        <v>634</v>
      </c>
      <c r="C1406" s="22" t="s">
        <v>323</v>
      </c>
      <c r="D1406" s="22" t="s">
        <v>352</v>
      </c>
      <c r="E1406" s="22" t="str">
        <f>CONCATENATE(B1406,D1406)</f>
        <v>63468926-STD307</v>
      </c>
      <c r="F1406" s="22" t="s">
        <v>353</v>
      </c>
      <c r="G1406" s="22" t="s">
        <v>29</v>
      </c>
      <c r="H1406" s="23">
        <v>135.36420000000001</v>
      </c>
      <c r="I1406" s="24">
        <v>5</v>
      </c>
      <c r="J1406" s="24">
        <v>0</v>
      </c>
      <c r="K1406" s="24">
        <v>0</v>
      </c>
      <c r="L1406" s="41">
        <f>Table2[[#This Row],[Column1]]+Table2[[#This Row],[Column2]]</f>
        <v>0</v>
      </c>
      <c r="M1406" s="42">
        <f>Table2[[#This Row],[OnHandQty]]-Table2[[#This Row],[Projection Nov/Dec]]</f>
        <v>5</v>
      </c>
      <c r="N1406" s="35">
        <f>Table2[[#This Row],[OverStock]]*Table2[[#This Row],[RepCost]]</f>
        <v>676.82100000000003</v>
      </c>
      <c r="O1406" s="25">
        <v>46122.515277777777</v>
      </c>
      <c r="P1406" s="26" t="s">
        <v>354</v>
      </c>
    </row>
    <row r="1407" spans="1:16" x14ac:dyDescent="0.25">
      <c r="A1407" s="20" t="s">
        <v>5211</v>
      </c>
      <c r="B1407" s="21">
        <v>636</v>
      </c>
      <c r="C1407" s="22" t="s">
        <v>323</v>
      </c>
      <c r="D1407" s="22" t="s">
        <v>1384</v>
      </c>
      <c r="E1407" s="22" t="str">
        <f>CONCATENATE(B1407,D1407)</f>
        <v>63691949-020</v>
      </c>
      <c r="F1407" s="22" t="s">
        <v>1385</v>
      </c>
      <c r="G1407" s="22" t="s">
        <v>29</v>
      </c>
      <c r="H1407" s="23">
        <v>204.25620000000001</v>
      </c>
      <c r="I1407" s="24">
        <v>5</v>
      </c>
      <c r="J1407" s="24">
        <v>0</v>
      </c>
      <c r="K1407" s="24">
        <v>0</v>
      </c>
      <c r="L1407" s="41">
        <f>Table2[[#This Row],[Column1]]+Table2[[#This Row],[Column2]]</f>
        <v>0</v>
      </c>
      <c r="M1407" s="42">
        <f>Table2[[#This Row],[OnHandQty]]-Table2[[#This Row],[Projection Nov/Dec]]</f>
        <v>5</v>
      </c>
      <c r="N1407" s="35">
        <f>Table2[[#This Row],[OverStock]]*Table2[[#This Row],[RepCost]]</f>
        <v>1021.2810000000001</v>
      </c>
      <c r="O1407" s="25">
        <v>46107.539583333331</v>
      </c>
      <c r="P1407" s="26" t="s">
        <v>295</v>
      </c>
    </row>
    <row r="1408" spans="1:16" x14ac:dyDescent="0.25">
      <c r="A1408" s="20" t="s">
        <v>5211</v>
      </c>
      <c r="B1408" s="21">
        <v>636</v>
      </c>
      <c r="C1408" s="22" t="s">
        <v>323</v>
      </c>
      <c r="D1408" s="22" t="s">
        <v>1507</v>
      </c>
      <c r="E1408" s="22" t="str">
        <f>CONCATENATE(B1408,D1408)</f>
        <v>63668884-020</v>
      </c>
      <c r="F1408" s="22" t="s">
        <v>1508</v>
      </c>
      <c r="G1408" s="22" t="s">
        <v>19</v>
      </c>
      <c r="H1408" s="23">
        <v>161.21449999999999</v>
      </c>
      <c r="I1408" s="24">
        <v>4</v>
      </c>
      <c r="J1408" s="24">
        <v>0</v>
      </c>
      <c r="K1408" s="24">
        <v>0</v>
      </c>
      <c r="L1408" s="41">
        <f>Table2[[#This Row],[Column1]]+Table2[[#This Row],[Column2]]</f>
        <v>0</v>
      </c>
      <c r="M1408" s="42">
        <f>Table2[[#This Row],[OnHandQty]]-Table2[[#This Row],[Projection Nov/Dec]]</f>
        <v>4</v>
      </c>
      <c r="N1408" s="35">
        <f>Table2[[#This Row],[OverStock]]*Table2[[#This Row],[RepCost]]</f>
        <v>644.85799999999995</v>
      </c>
      <c r="O1408" s="25">
        <v>46092.434027777781</v>
      </c>
      <c r="P1408" s="26" t="s">
        <v>357</v>
      </c>
    </row>
    <row r="1409" spans="1:16" x14ac:dyDescent="0.25">
      <c r="A1409" s="20" t="s">
        <v>5211</v>
      </c>
      <c r="B1409" s="21">
        <v>636</v>
      </c>
      <c r="C1409" s="22" t="s">
        <v>323</v>
      </c>
      <c r="D1409" s="22" t="s">
        <v>1388</v>
      </c>
      <c r="E1409" s="22" t="str">
        <f>CONCATENATE(B1409,D1409)</f>
        <v>63668884-025</v>
      </c>
      <c r="F1409" s="22" t="s">
        <v>1389</v>
      </c>
      <c r="G1409" s="22" t="s">
        <v>19</v>
      </c>
      <c r="H1409" s="23">
        <v>316.0394</v>
      </c>
      <c r="I1409" s="24">
        <v>2</v>
      </c>
      <c r="J1409" s="24">
        <v>0</v>
      </c>
      <c r="K1409" s="24">
        <v>0</v>
      </c>
      <c r="L1409" s="41">
        <f>Table2[[#This Row],[Column1]]+Table2[[#This Row],[Column2]]</f>
        <v>0</v>
      </c>
      <c r="M1409" s="42">
        <f>Table2[[#This Row],[OnHandQty]]-Table2[[#This Row],[Projection Nov/Dec]]</f>
        <v>2</v>
      </c>
      <c r="N1409" s="35">
        <f>Table2[[#This Row],[OverStock]]*Table2[[#This Row],[RepCost]]</f>
        <v>632.0788</v>
      </c>
      <c r="O1409" s="25">
        <v>46107.522222222222</v>
      </c>
      <c r="P1409" s="26" t="s">
        <v>178</v>
      </c>
    </row>
    <row r="1410" spans="1:16" x14ac:dyDescent="0.25">
      <c r="A1410" s="20" t="s">
        <v>5211</v>
      </c>
      <c r="B1410" s="21">
        <v>636</v>
      </c>
      <c r="C1410" s="22" t="s">
        <v>323</v>
      </c>
      <c r="D1410" s="22" t="s">
        <v>1494</v>
      </c>
      <c r="E1410" s="22" t="str">
        <f>CONCATENATE(B1410,D1410)</f>
        <v>63693677-120-1.5IN</v>
      </c>
      <c r="F1410" s="22" t="s">
        <v>1495</v>
      </c>
      <c r="G1410" s="22" t="s">
        <v>19</v>
      </c>
      <c r="H1410" s="23">
        <v>232.0461</v>
      </c>
      <c r="I1410" s="24">
        <v>1</v>
      </c>
      <c r="J1410" s="24">
        <v>0</v>
      </c>
      <c r="K1410" s="24">
        <v>0</v>
      </c>
      <c r="L1410" s="41">
        <f>Table2[[#This Row],[Column1]]+Table2[[#This Row],[Column2]]</f>
        <v>0</v>
      </c>
      <c r="M1410" s="42">
        <f>Table2[[#This Row],[OnHandQty]]-Table2[[#This Row],[Projection Nov/Dec]]</f>
        <v>1</v>
      </c>
      <c r="N1410" s="35">
        <f>Table2[[#This Row],[OverStock]]*Table2[[#This Row],[RepCost]]</f>
        <v>232.0461</v>
      </c>
      <c r="O1410" s="25">
        <v>46083.459722222222</v>
      </c>
      <c r="P1410" s="26" t="s">
        <v>137</v>
      </c>
    </row>
    <row r="1411" spans="1:16" x14ac:dyDescent="0.25">
      <c r="A1411" s="20" t="s">
        <v>5211</v>
      </c>
      <c r="B1411" s="21">
        <v>636</v>
      </c>
      <c r="C1411" s="22" t="s">
        <v>323</v>
      </c>
      <c r="D1411" s="22" t="s">
        <v>381</v>
      </c>
      <c r="E1411" s="22" t="str">
        <f>CONCATENATE(B1411,D1411)</f>
        <v>63696386-020</v>
      </c>
      <c r="F1411" s="22" t="s">
        <v>382</v>
      </c>
      <c r="G1411" s="22" t="s">
        <v>29</v>
      </c>
      <c r="H1411" s="23">
        <v>204.25620000000001</v>
      </c>
      <c r="I1411" s="24">
        <v>1</v>
      </c>
      <c r="J1411" s="24">
        <v>0</v>
      </c>
      <c r="K1411" s="24">
        <v>0</v>
      </c>
      <c r="L1411" s="41">
        <f>Table2[[#This Row],[Column1]]+Table2[[#This Row],[Column2]]</f>
        <v>0</v>
      </c>
      <c r="M1411" s="42">
        <f>Table2[[#This Row],[OnHandQty]]-Table2[[#This Row],[Projection Nov/Dec]]</f>
        <v>1</v>
      </c>
      <c r="N1411" s="35">
        <f>Table2[[#This Row],[OverStock]]*Table2[[#This Row],[RepCost]]</f>
        <v>204.25620000000001</v>
      </c>
      <c r="O1411" s="25">
        <v>46107.539583333331</v>
      </c>
      <c r="P1411" s="26" t="s">
        <v>295</v>
      </c>
    </row>
    <row r="1412" spans="1:16" x14ac:dyDescent="0.25">
      <c r="A1412" s="20" t="s">
        <v>5211</v>
      </c>
      <c r="B1412" s="21">
        <v>634</v>
      </c>
      <c r="C1412" s="22" t="s">
        <v>323</v>
      </c>
      <c r="D1412" s="22" t="s">
        <v>381</v>
      </c>
      <c r="E1412" s="22" t="str">
        <f>CONCATENATE(B1412,D1412)</f>
        <v>63496386-020</v>
      </c>
      <c r="F1412" s="22" t="s">
        <v>382</v>
      </c>
      <c r="G1412" s="22" t="s">
        <v>23</v>
      </c>
      <c r="H1412" s="23">
        <v>212.078</v>
      </c>
      <c r="I1412" s="24">
        <v>2</v>
      </c>
      <c r="J1412" s="24">
        <v>0</v>
      </c>
      <c r="K1412" s="24">
        <v>0</v>
      </c>
      <c r="L1412" s="41">
        <f>Table2[[#This Row],[Column1]]+Table2[[#This Row],[Column2]]</f>
        <v>0</v>
      </c>
      <c r="M1412" s="42">
        <f>Table2[[#This Row],[OnHandQty]]-Table2[[#This Row],[Projection Nov/Dec]]</f>
        <v>2</v>
      </c>
      <c r="N1412" s="35">
        <f>Table2[[#This Row],[OverStock]]*Table2[[#This Row],[RepCost]]</f>
        <v>424.15600000000001</v>
      </c>
      <c r="O1412" s="25">
        <v>46115.618055555555</v>
      </c>
      <c r="P1412" s="26" t="s">
        <v>295</v>
      </c>
    </row>
    <row r="1413" spans="1:16" x14ac:dyDescent="0.25">
      <c r="A1413" s="20" t="s">
        <v>5211</v>
      </c>
      <c r="B1413" s="21">
        <v>714</v>
      </c>
      <c r="C1413" s="22" t="s">
        <v>323</v>
      </c>
      <c r="D1413" s="22" t="s">
        <v>3202</v>
      </c>
      <c r="E1413" s="22" t="str">
        <f>CONCATENATE(B1413,D1413)</f>
        <v>71468905-0175</v>
      </c>
      <c r="F1413" s="27" t="s">
        <v>3203</v>
      </c>
      <c r="G1413" s="27" t="s">
        <v>58</v>
      </c>
      <c r="H1413" s="23">
        <v>108.5714</v>
      </c>
      <c r="I1413" s="24">
        <v>3</v>
      </c>
      <c r="J1413" s="24">
        <v>0</v>
      </c>
      <c r="K1413" s="24">
        <v>0</v>
      </c>
      <c r="L1413" s="41">
        <f>Table2[[#This Row],[Column1]]+Table2[[#This Row],[Column2]]</f>
        <v>0</v>
      </c>
      <c r="M1413" s="42">
        <f>Table2[[#This Row],[OnHandQty]]-Table2[[#This Row],[Projection Nov/Dec]]</f>
        <v>3</v>
      </c>
      <c r="N1413" s="35">
        <f>Table2[[#This Row],[OverStock]]*Table2[[#This Row],[RepCost]]</f>
        <v>325.71420000000001</v>
      </c>
      <c r="O1413" s="25">
        <v>44984.362500000003</v>
      </c>
      <c r="P1413" s="26" t="s">
        <v>354</v>
      </c>
    </row>
    <row r="1414" spans="1:16" x14ac:dyDescent="0.25">
      <c r="A1414" s="20" t="s">
        <v>5211</v>
      </c>
      <c r="B1414" s="21">
        <v>714</v>
      </c>
      <c r="C1414" s="22" t="s">
        <v>323</v>
      </c>
      <c r="D1414" s="22" t="s">
        <v>3516</v>
      </c>
      <c r="E1414" s="22" t="str">
        <f>CONCATENATE(B1414,D1414)</f>
        <v>71468905-115</v>
      </c>
      <c r="F1414" s="22" t="s">
        <v>3517</v>
      </c>
      <c r="G1414" s="22" t="s">
        <v>29</v>
      </c>
      <c r="H1414" s="23">
        <v>92.447999999999993</v>
      </c>
      <c r="I1414" s="24">
        <v>1</v>
      </c>
      <c r="J1414" s="24">
        <v>0</v>
      </c>
      <c r="K1414" s="24">
        <v>0</v>
      </c>
      <c r="L1414" s="41">
        <f>Table2[[#This Row],[Column1]]+Table2[[#This Row],[Column2]]</f>
        <v>0</v>
      </c>
      <c r="M1414" s="42">
        <f>Table2[[#This Row],[OnHandQty]]-Table2[[#This Row],[Projection Nov/Dec]]</f>
        <v>1</v>
      </c>
      <c r="N1414" s="35">
        <f>Table2[[#This Row],[OverStock]]*Table2[[#This Row],[RepCost]]</f>
        <v>92.447999999999993</v>
      </c>
      <c r="O1414" s="25">
        <v>45777.836805555555</v>
      </c>
      <c r="P1414" s="26" t="s">
        <v>3439</v>
      </c>
    </row>
    <row r="1415" spans="1:16" x14ac:dyDescent="0.25">
      <c r="A1415" s="20" t="s">
        <v>5211</v>
      </c>
      <c r="B1415" s="21">
        <v>634</v>
      </c>
      <c r="C1415" s="22" t="s">
        <v>323</v>
      </c>
      <c r="D1415" s="22" t="s">
        <v>460</v>
      </c>
      <c r="E1415" s="22" t="str">
        <f>CONCATENATE(B1415,D1415)</f>
        <v>63468905-020</v>
      </c>
      <c r="F1415" s="22" t="s">
        <v>461</v>
      </c>
      <c r="G1415" s="22" t="s">
        <v>23</v>
      </c>
      <c r="H1415" s="23">
        <v>142.30000000000001</v>
      </c>
      <c r="I1415" s="24">
        <v>4</v>
      </c>
      <c r="J1415" s="24">
        <v>0</v>
      </c>
      <c r="K1415" s="24">
        <v>0</v>
      </c>
      <c r="L1415" s="41">
        <f>Table2[[#This Row],[Column1]]+Table2[[#This Row],[Column2]]</f>
        <v>0</v>
      </c>
      <c r="M1415" s="42">
        <f>Table2[[#This Row],[OnHandQty]]-Table2[[#This Row],[Projection Nov/Dec]]</f>
        <v>4</v>
      </c>
      <c r="N1415" s="35">
        <f>Table2[[#This Row],[OverStock]]*Table2[[#This Row],[RepCost]]</f>
        <v>569.20000000000005</v>
      </c>
      <c r="O1415" s="25">
        <v>46169.459027777775</v>
      </c>
      <c r="P1415" s="26" t="s">
        <v>151</v>
      </c>
    </row>
    <row r="1416" spans="1:16" x14ac:dyDescent="0.25">
      <c r="A1416" s="20" t="s">
        <v>5211</v>
      </c>
      <c r="B1416" s="21">
        <v>714</v>
      </c>
      <c r="C1416" s="22" t="s">
        <v>323</v>
      </c>
      <c r="D1416" s="22" t="s">
        <v>460</v>
      </c>
      <c r="E1416" s="22" t="str">
        <f>CONCATENATE(B1416,D1416)</f>
        <v>71468905-020</v>
      </c>
      <c r="F1416" s="22" t="s">
        <v>461</v>
      </c>
      <c r="G1416" s="22" t="s">
        <v>158</v>
      </c>
      <c r="H1416" s="23">
        <v>126.2963</v>
      </c>
      <c r="I1416" s="24">
        <v>3</v>
      </c>
      <c r="J1416" s="24">
        <v>0</v>
      </c>
      <c r="K1416" s="24">
        <v>0</v>
      </c>
      <c r="L1416" s="41">
        <f>Table2[[#This Row],[Column1]]+Table2[[#This Row],[Column2]]</f>
        <v>0</v>
      </c>
      <c r="M1416" s="42">
        <f>Table2[[#This Row],[OnHandQty]]-Table2[[#This Row],[Projection Nov/Dec]]</f>
        <v>3</v>
      </c>
      <c r="N1416" s="35">
        <f>Table2[[#This Row],[OverStock]]*Table2[[#This Row],[RepCost]]</f>
        <v>378.88890000000004</v>
      </c>
      <c r="O1416" s="25">
        <v>46185.665277777778</v>
      </c>
      <c r="P1416" s="26" t="s">
        <v>151</v>
      </c>
    </row>
    <row r="1417" spans="1:16" x14ac:dyDescent="0.25">
      <c r="A1417" s="20" t="s">
        <v>5211</v>
      </c>
      <c r="B1417" s="21">
        <v>634</v>
      </c>
      <c r="C1417" s="22" t="s">
        <v>323</v>
      </c>
      <c r="D1417" s="22" t="s">
        <v>377</v>
      </c>
      <c r="E1417" s="22" t="str">
        <f>CONCATENATE(B1417,D1417)</f>
        <v>63468905-035</v>
      </c>
      <c r="F1417" s="22" t="s">
        <v>378</v>
      </c>
      <c r="G1417" s="22" t="s">
        <v>19</v>
      </c>
      <c r="H1417" s="23">
        <v>313.18079999999998</v>
      </c>
      <c r="I1417" s="24">
        <v>2</v>
      </c>
      <c r="J1417" s="24">
        <v>0</v>
      </c>
      <c r="K1417" s="24">
        <v>0</v>
      </c>
      <c r="L1417" s="41">
        <f>Table2[[#This Row],[Column1]]+Table2[[#This Row],[Column2]]</f>
        <v>0</v>
      </c>
      <c r="M1417" s="42">
        <f>Table2[[#This Row],[OnHandQty]]-Table2[[#This Row],[Projection Nov/Dec]]</f>
        <v>2</v>
      </c>
      <c r="N1417" s="35">
        <f>Table2[[#This Row],[OverStock]]*Table2[[#This Row],[RepCost]]</f>
        <v>626.36159999999995</v>
      </c>
      <c r="O1417" s="25">
        <v>45712.435416666667</v>
      </c>
      <c r="P1417" s="26" t="s">
        <v>159</v>
      </c>
    </row>
    <row r="1418" spans="1:16" x14ac:dyDescent="0.25">
      <c r="A1418" s="20" t="s">
        <v>5211</v>
      </c>
      <c r="B1418" s="21">
        <v>718</v>
      </c>
      <c r="C1418" s="22" t="s">
        <v>323</v>
      </c>
      <c r="D1418" s="22" t="s">
        <v>3946</v>
      </c>
      <c r="E1418" s="22" t="str">
        <f>CONCATENATE(B1418,D1418)</f>
        <v>71882370-ESP110</v>
      </c>
      <c r="F1418" s="22" t="s">
        <v>3947</v>
      </c>
      <c r="G1418" s="22" t="s">
        <v>29</v>
      </c>
      <c r="H1418" s="23">
        <v>86.370400000000004</v>
      </c>
      <c r="I1418" s="24">
        <v>2</v>
      </c>
      <c r="J1418" s="24">
        <v>0</v>
      </c>
      <c r="K1418" s="24">
        <v>0</v>
      </c>
      <c r="L1418" s="41">
        <f>Table2[[#This Row],[Column1]]+Table2[[#This Row],[Column2]]</f>
        <v>0</v>
      </c>
      <c r="M1418" s="42">
        <f>Table2[[#This Row],[OnHandQty]]-Table2[[#This Row],[Projection Nov/Dec]]</f>
        <v>2</v>
      </c>
      <c r="N1418" s="35">
        <f>Table2[[#This Row],[OverStock]]*Table2[[#This Row],[RepCost]]</f>
        <v>172.74080000000001</v>
      </c>
      <c r="O1418" s="25">
        <v>46147.688194444447</v>
      </c>
      <c r="P1418" s="26" t="s">
        <v>2066</v>
      </c>
    </row>
    <row r="1419" spans="1:16" x14ac:dyDescent="0.25">
      <c r="A1419" s="20" t="s">
        <v>5211</v>
      </c>
      <c r="B1419" s="21">
        <v>714</v>
      </c>
      <c r="C1419" s="22" t="s">
        <v>1749</v>
      </c>
      <c r="D1419" s="22" t="s">
        <v>3572</v>
      </c>
      <c r="E1419" s="22" t="str">
        <f>CONCATENATE(B1419,D1419)</f>
        <v>71486367-0010</v>
      </c>
      <c r="F1419" s="22" t="s">
        <v>3573</v>
      </c>
      <c r="G1419" s="22" t="s">
        <v>29</v>
      </c>
      <c r="H1419" s="23">
        <v>7.6173999999999999</v>
      </c>
      <c r="I1419" s="24">
        <v>25</v>
      </c>
      <c r="J1419" s="24">
        <v>0</v>
      </c>
      <c r="K1419" s="24">
        <v>0</v>
      </c>
      <c r="L1419" s="41">
        <f>Table2[[#This Row],[Column1]]+Table2[[#This Row],[Column2]]</f>
        <v>0</v>
      </c>
      <c r="M1419" s="42">
        <f>Table2[[#This Row],[OnHandQty]]-Table2[[#This Row],[Projection Nov/Dec]]</f>
        <v>25</v>
      </c>
      <c r="N1419" s="35">
        <f>Table2[[#This Row],[OverStock]]*Table2[[#This Row],[RepCost]]</f>
        <v>190.435</v>
      </c>
      <c r="O1419" s="25">
        <v>46185.630555555559</v>
      </c>
      <c r="P1419" s="26" t="s">
        <v>1825</v>
      </c>
    </row>
    <row r="1420" spans="1:16" x14ac:dyDescent="0.25">
      <c r="A1420" s="20" t="s">
        <v>5211</v>
      </c>
      <c r="B1420" s="21">
        <v>718</v>
      </c>
      <c r="C1420" s="22" t="s">
        <v>12</v>
      </c>
      <c r="D1420" s="22" t="s">
        <v>3597</v>
      </c>
      <c r="E1420" s="22" t="str">
        <f>CONCATENATE(B1420,D1420)</f>
        <v>71869012-CM0010</v>
      </c>
      <c r="F1420" s="22" t="s">
        <v>3598</v>
      </c>
      <c r="G1420" s="22" t="s">
        <v>19</v>
      </c>
      <c r="H1420" s="23">
        <v>20.908100000000001</v>
      </c>
      <c r="I1420" s="24">
        <v>14</v>
      </c>
      <c r="J1420" s="24">
        <v>0</v>
      </c>
      <c r="K1420" s="24">
        <v>0</v>
      </c>
      <c r="L1420" s="41">
        <f>Table2[[#This Row],[Column1]]+Table2[[#This Row],[Column2]]</f>
        <v>0</v>
      </c>
      <c r="M1420" s="42">
        <f>Table2[[#This Row],[OnHandQty]]-Table2[[#This Row],[Projection Nov/Dec]]</f>
        <v>14</v>
      </c>
      <c r="N1420" s="35">
        <f>Table2[[#This Row],[OverStock]]*Table2[[#This Row],[RepCost]]</f>
        <v>292.71340000000004</v>
      </c>
      <c r="O1420" s="25">
        <v>46143.445138888892</v>
      </c>
      <c r="P1420" s="26" t="s">
        <v>1841</v>
      </c>
    </row>
    <row r="1421" spans="1:16" x14ac:dyDescent="0.25">
      <c r="A1421" s="20" t="s">
        <v>5211</v>
      </c>
      <c r="B1421" s="21">
        <v>714</v>
      </c>
      <c r="C1421" s="22" t="s">
        <v>12</v>
      </c>
      <c r="D1421" s="22" t="s">
        <v>1935</v>
      </c>
      <c r="E1421" s="22" t="str">
        <f>CONCATENATE(B1421,D1421)</f>
        <v>71469012-HP006</v>
      </c>
      <c r="F1421" s="22" t="s">
        <v>1936</v>
      </c>
      <c r="G1421" s="22" t="s">
        <v>112</v>
      </c>
      <c r="H1421" s="23">
        <v>9.0951000000000004</v>
      </c>
      <c r="I1421" s="24">
        <v>22</v>
      </c>
      <c r="J1421" s="24">
        <v>0</v>
      </c>
      <c r="K1421" s="24">
        <v>0</v>
      </c>
      <c r="L1421" s="41">
        <f>Table2[[#This Row],[Column1]]+Table2[[#This Row],[Column2]]</f>
        <v>0</v>
      </c>
      <c r="M1421" s="42">
        <f>Table2[[#This Row],[OnHandQty]]-Table2[[#This Row],[Projection Nov/Dec]]</f>
        <v>22</v>
      </c>
      <c r="N1421" s="35">
        <f>Table2[[#This Row],[OverStock]]*Table2[[#This Row],[RepCost]]</f>
        <v>200.09220000000002</v>
      </c>
      <c r="O1421" s="25">
        <v>46140.479166666664</v>
      </c>
      <c r="P1421" s="26" t="s">
        <v>1841</v>
      </c>
    </row>
    <row r="1422" spans="1:16" x14ac:dyDescent="0.25">
      <c r="A1422" s="20" t="s">
        <v>5211</v>
      </c>
      <c r="B1422" s="21">
        <v>714</v>
      </c>
      <c r="C1422" s="22" t="s">
        <v>12</v>
      </c>
      <c r="D1422" s="22" t="s">
        <v>1935</v>
      </c>
      <c r="E1422" s="22" t="str">
        <f>CONCATENATE(B1422,D1422)</f>
        <v>71469012-HP006</v>
      </c>
      <c r="F1422" s="22" t="s">
        <v>1936</v>
      </c>
      <c r="G1422" s="22" t="s">
        <v>112</v>
      </c>
      <c r="H1422" s="23">
        <v>9.0951000000000004</v>
      </c>
      <c r="I1422" s="24">
        <v>22</v>
      </c>
      <c r="J1422" s="24">
        <v>0</v>
      </c>
      <c r="K1422" s="24">
        <v>0</v>
      </c>
      <c r="L1422" s="41">
        <f>Table2[[#This Row],[Column1]]+Table2[[#This Row],[Column2]]</f>
        <v>0</v>
      </c>
      <c r="M1422" s="42">
        <f>Table2[[#This Row],[OnHandQty]]-Table2[[#This Row],[Projection Nov/Dec]]</f>
        <v>22</v>
      </c>
      <c r="N1422" s="35">
        <f>Table2[[#This Row],[OverStock]]*Table2[[#This Row],[RepCost]]</f>
        <v>200.09220000000002</v>
      </c>
      <c r="O1422" s="25">
        <v>46140.479166666664</v>
      </c>
      <c r="P1422" s="26" t="s">
        <v>1841</v>
      </c>
    </row>
    <row r="1423" spans="1:16" x14ac:dyDescent="0.25">
      <c r="A1423" s="20" t="s">
        <v>5211</v>
      </c>
      <c r="B1423" s="21">
        <v>714</v>
      </c>
      <c r="C1423" s="22" t="s">
        <v>12</v>
      </c>
      <c r="D1423" s="22" t="s">
        <v>1935</v>
      </c>
      <c r="E1423" s="22" t="str">
        <f>CONCATENATE(B1423,D1423)</f>
        <v>71469012-HP006</v>
      </c>
      <c r="F1423" s="22" t="s">
        <v>1936</v>
      </c>
      <c r="G1423" s="22" t="s">
        <v>112</v>
      </c>
      <c r="H1423" s="23">
        <v>9.0951000000000004</v>
      </c>
      <c r="I1423" s="24">
        <v>22</v>
      </c>
      <c r="J1423" s="24">
        <v>0</v>
      </c>
      <c r="K1423" s="24">
        <v>0</v>
      </c>
      <c r="L1423" s="41">
        <f>Table2[[#This Row],[Column1]]+Table2[[#This Row],[Column2]]</f>
        <v>0</v>
      </c>
      <c r="M1423" s="42">
        <f>Table2[[#This Row],[OnHandQty]]-Table2[[#This Row],[Projection Nov/Dec]]</f>
        <v>22</v>
      </c>
      <c r="N1423" s="35">
        <f>Table2[[#This Row],[OverStock]]*Table2[[#This Row],[RepCost]]</f>
        <v>200.09220000000002</v>
      </c>
      <c r="O1423" s="25">
        <v>46140.479166666664</v>
      </c>
      <c r="P1423" s="26" t="s">
        <v>1841</v>
      </c>
    </row>
    <row r="1424" spans="1:16" x14ac:dyDescent="0.25">
      <c r="A1424" s="20" t="s">
        <v>5211</v>
      </c>
      <c r="B1424" s="21">
        <v>718</v>
      </c>
      <c r="C1424" s="22" t="s">
        <v>12</v>
      </c>
      <c r="D1424" s="22" t="s">
        <v>1935</v>
      </c>
      <c r="E1424" s="22" t="str">
        <f>CONCATENATE(B1424,D1424)</f>
        <v>71869012-HP006</v>
      </c>
      <c r="F1424" s="22" t="s">
        <v>1936</v>
      </c>
      <c r="G1424" s="22" t="s">
        <v>112</v>
      </c>
      <c r="H1424" s="23">
        <v>9.6683000000000003</v>
      </c>
      <c r="I1424" s="24">
        <v>13</v>
      </c>
      <c r="J1424" s="24">
        <v>0</v>
      </c>
      <c r="K1424" s="24">
        <v>0</v>
      </c>
      <c r="L1424" s="41">
        <f>Table2[[#This Row],[Column1]]+Table2[[#This Row],[Column2]]</f>
        <v>0</v>
      </c>
      <c r="M1424" s="42">
        <f>Table2[[#This Row],[OnHandQty]]-Table2[[#This Row],[Projection Nov/Dec]]</f>
        <v>13</v>
      </c>
      <c r="N1424" s="35">
        <f>Table2[[#This Row],[OverStock]]*Table2[[#This Row],[RepCost]]</f>
        <v>125.6879</v>
      </c>
      <c r="O1424" s="25">
        <v>46143.445138888892</v>
      </c>
      <c r="P1424" s="26" t="s">
        <v>1841</v>
      </c>
    </row>
    <row r="1425" spans="1:16" x14ac:dyDescent="0.25">
      <c r="A1425" s="20" t="s">
        <v>5211</v>
      </c>
      <c r="B1425" s="21">
        <v>718</v>
      </c>
      <c r="C1425" s="22" t="s">
        <v>12</v>
      </c>
      <c r="D1425" s="22" t="s">
        <v>3609</v>
      </c>
      <c r="E1425" s="22" t="str">
        <f>CONCATENATE(B1425,D1425)</f>
        <v>71869012-STK0012</v>
      </c>
      <c r="F1425" s="22" t="s">
        <v>3610</v>
      </c>
      <c r="G1425" s="22" t="s">
        <v>112</v>
      </c>
      <c r="H1425" s="23">
        <v>37.785699999999999</v>
      </c>
      <c r="I1425" s="24">
        <v>3</v>
      </c>
      <c r="J1425" s="24">
        <v>0</v>
      </c>
      <c r="K1425" s="24">
        <v>0</v>
      </c>
      <c r="L1425" s="41">
        <f>Table2[[#This Row],[Column1]]+Table2[[#This Row],[Column2]]</f>
        <v>0</v>
      </c>
      <c r="M1425" s="42">
        <f>Table2[[#This Row],[OnHandQty]]-Table2[[#This Row],[Projection Nov/Dec]]</f>
        <v>3</v>
      </c>
      <c r="N1425" s="35">
        <f>Table2[[#This Row],[OverStock]]*Table2[[#This Row],[RepCost]]</f>
        <v>113.3571</v>
      </c>
      <c r="O1425" s="25">
        <v>46143.445138888892</v>
      </c>
      <c r="P1425" s="26" t="s">
        <v>1841</v>
      </c>
    </row>
    <row r="1426" spans="1:16" x14ac:dyDescent="0.25">
      <c r="A1426" s="20" t="s">
        <v>5211</v>
      </c>
      <c r="B1426" s="21">
        <v>714</v>
      </c>
      <c r="C1426" s="22" t="s">
        <v>12</v>
      </c>
      <c r="D1426" s="22" t="s">
        <v>1839</v>
      </c>
      <c r="E1426" s="22" t="str">
        <f>CONCATENATE(B1426,D1426)</f>
        <v>71469012-TRL006</v>
      </c>
      <c r="F1426" s="22" t="s">
        <v>1840</v>
      </c>
      <c r="G1426" s="22" t="s">
        <v>112</v>
      </c>
      <c r="H1426" s="23">
        <v>9.0951000000000004</v>
      </c>
      <c r="I1426" s="24">
        <v>16</v>
      </c>
      <c r="J1426" s="24">
        <v>0</v>
      </c>
      <c r="K1426" s="24">
        <v>0</v>
      </c>
      <c r="L1426" s="41">
        <f>Table2[[#This Row],[Column1]]+Table2[[#This Row],[Column2]]</f>
        <v>0</v>
      </c>
      <c r="M1426" s="42">
        <f>Table2[[#This Row],[OnHandQty]]-Table2[[#This Row],[Projection Nov/Dec]]</f>
        <v>16</v>
      </c>
      <c r="N1426" s="35">
        <f>Table2[[#This Row],[OverStock]]*Table2[[#This Row],[RepCost]]</f>
        <v>145.52160000000001</v>
      </c>
      <c r="O1426" s="25">
        <v>46140.479166666664</v>
      </c>
      <c r="P1426" s="26" t="s">
        <v>1841</v>
      </c>
    </row>
    <row r="1427" spans="1:16" x14ac:dyDescent="0.25">
      <c r="A1427" s="20" t="s">
        <v>5211</v>
      </c>
      <c r="B1427" s="21">
        <v>714</v>
      </c>
      <c r="C1427" s="22" t="s">
        <v>12</v>
      </c>
      <c r="D1427" s="22" t="s">
        <v>1839</v>
      </c>
      <c r="E1427" s="22" t="str">
        <f>CONCATENATE(B1427,D1427)</f>
        <v>71469012-TRL006</v>
      </c>
      <c r="F1427" s="22" t="s">
        <v>1840</v>
      </c>
      <c r="G1427" s="22" t="s">
        <v>112</v>
      </c>
      <c r="H1427" s="23">
        <v>9.0951000000000004</v>
      </c>
      <c r="I1427" s="24">
        <v>16</v>
      </c>
      <c r="J1427" s="24">
        <v>0</v>
      </c>
      <c r="K1427" s="24">
        <v>0</v>
      </c>
      <c r="L1427" s="41">
        <f>Table2[[#This Row],[Column1]]+Table2[[#This Row],[Column2]]</f>
        <v>0</v>
      </c>
      <c r="M1427" s="42">
        <f>Table2[[#This Row],[OnHandQty]]-Table2[[#This Row],[Projection Nov/Dec]]</f>
        <v>16</v>
      </c>
      <c r="N1427" s="35">
        <f>Table2[[#This Row],[OverStock]]*Table2[[#This Row],[RepCost]]</f>
        <v>145.52160000000001</v>
      </c>
      <c r="O1427" s="25">
        <v>46140.479166666664</v>
      </c>
      <c r="P1427" s="26" t="s">
        <v>1841</v>
      </c>
    </row>
    <row r="1428" spans="1:16" x14ac:dyDescent="0.25">
      <c r="A1428" s="20" t="s">
        <v>5211</v>
      </c>
      <c r="B1428" s="21">
        <v>714</v>
      </c>
      <c r="C1428" s="22" t="s">
        <v>12</v>
      </c>
      <c r="D1428" s="22" t="s">
        <v>1839</v>
      </c>
      <c r="E1428" s="22" t="str">
        <f>CONCATENATE(B1428,D1428)</f>
        <v>71469012-TRL006</v>
      </c>
      <c r="F1428" s="22" t="s">
        <v>1840</v>
      </c>
      <c r="G1428" s="22" t="s">
        <v>112</v>
      </c>
      <c r="H1428" s="23">
        <v>9.0951000000000004</v>
      </c>
      <c r="I1428" s="24">
        <v>16</v>
      </c>
      <c r="J1428" s="24">
        <v>0</v>
      </c>
      <c r="K1428" s="24">
        <v>0</v>
      </c>
      <c r="L1428" s="41">
        <f>Table2[[#This Row],[Column1]]+Table2[[#This Row],[Column2]]</f>
        <v>0</v>
      </c>
      <c r="M1428" s="42">
        <f>Table2[[#This Row],[OnHandQty]]-Table2[[#This Row],[Projection Nov/Dec]]</f>
        <v>16</v>
      </c>
      <c r="N1428" s="35">
        <f>Table2[[#This Row],[OverStock]]*Table2[[#This Row],[RepCost]]</f>
        <v>145.52160000000001</v>
      </c>
      <c r="O1428" s="25">
        <v>46140.479166666664</v>
      </c>
      <c r="P1428" s="26" t="s">
        <v>1841</v>
      </c>
    </row>
    <row r="1429" spans="1:16" x14ac:dyDescent="0.25">
      <c r="A1429" s="20" t="s">
        <v>5211</v>
      </c>
      <c r="B1429" s="21">
        <v>714</v>
      </c>
      <c r="C1429" s="22" t="s">
        <v>12</v>
      </c>
      <c r="D1429" s="22" t="s">
        <v>1839</v>
      </c>
      <c r="E1429" s="22" t="str">
        <f>CONCATENATE(B1429,D1429)</f>
        <v>71469012-TRL006</v>
      </c>
      <c r="F1429" s="22" t="s">
        <v>1840</v>
      </c>
      <c r="G1429" s="22" t="s">
        <v>112</v>
      </c>
      <c r="H1429" s="23">
        <v>9.0951000000000004</v>
      </c>
      <c r="I1429" s="24">
        <v>16</v>
      </c>
      <c r="J1429" s="24">
        <v>0</v>
      </c>
      <c r="K1429" s="24">
        <v>0</v>
      </c>
      <c r="L1429" s="41">
        <f>Table2[[#This Row],[Column1]]+Table2[[#This Row],[Column2]]</f>
        <v>0</v>
      </c>
      <c r="M1429" s="42">
        <f>Table2[[#This Row],[OnHandQty]]-Table2[[#This Row],[Projection Nov/Dec]]</f>
        <v>16</v>
      </c>
      <c r="N1429" s="35">
        <f>Table2[[#This Row],[OverStock]]*Table2[[#This Row],[RepCost]]</f>
        <v>145.52160000000001</v>
      </c>
      <c r="O1429" s="25">
        <v>46140.479166666664</v>
      </c>
      <c r="P1429" s="26" t="s">
        <v>1841</v>
      </c>
    </row>
    <row r="1430" spans="1:16" x14ac:dyDescent="0.25">
      <c r="A1430" s="20" t="s">
        <v>5211</v>
      </c>
      <c r="B1430" s="21">
        <v>714</v>
      </c>
      <c r="C1430" s="22" t="s">
        <v>12</v>
      </c>
      <c r="D1430" s="22" t="s">
        <v>1846</v>
      </c>
      <c r="E1430" s="22" t="str">
        <f>CONCATENATE(B1430,D1430)</f>
        <v>71493155-STK102PREM</v>
      </c>
      <c r="F1430" s="22" t="s">
        <v>1847</v>
      </c>
      <c r="G1430" s="22" t="s">
        <v>39</v>
      </c>
      <c r="H1430" s="23">
        <v>26.636199999999999</v>
      </c>
      <c r="I1430" s="24">
        <v>1</v>
      </c>
      <c r="J1430" s="24">
        <v>0</v>
      </c>
      <c r="K1430" s="24">
        <v>0</v>
      </c>
      <c r="L1430" s="41">
        <f>Table2[[#This Row],[Column1]]+Table2[[#This Row],[Column2]]</f>
        <v>0</v>
      </c>
      <c r="M1430" s="42">
        <f>Table2[[#This Row],[OnHandQty]]-Table2[[#This Row],[Projection Nov/Dec]]</f>
        <v>1</v>
      </c>
      <c r="N1430" s="35">
        <f>Table2[[#This Row],[OverStock]]*Table2[[#This Row],[RepCost]]</f>
        <v>26.636199999999999</v>
      </c>
      <c r="O1430" s="25">
        <v>46151.379166666666</v>
      </c>
      <c r="P1430" s="26" t="s">
        <v>1062</v>
      </c>
    </row>
    <row r="1431" spans="1:16" x14ac:dyDescent="0.25">
      <c r="A1431" s="20" t="s">
        <v>5211</v>
      </c>
      <c r="B1431" s="21">
        <v>714</v>
      </c>
      <c r="C1431" s="22" t="s">
        <v>12</v>
      </c>
      <c r="D1431" s="22" t="s">
        <v>1812</v>
      </c>
      <c r="E1431" s="22" t="str">
        <f>CONCATENATE(B1431,D1431)</f>
        <v>71476529-STK105</v>
      </c>
      <c r="F1431" s="22" t="s">
        <v>1813</v>
      </c>
      <c r="G1431" s="22" t="s">
        <v>23</v>
      </c>
      <c r="H1431" s="23">
        <v>41.749099999999999</v>
      </c>
      <c r="I1431" s="24">
        <v>21</v>
      </c>
      <c r="J1431" s="24">
        <v>0</v>
      </c>
      <c r="K1431" s="24">
        <v>0</v>
      </c>
      <c r="L1431" s="41">
        <f>Table2[[#This Row],[Column1]]+Table2[[#This Row],[Column2]]</f>
        <v>0</v>
      </c>
      <c r="M1431" s="42">
        <f>Table2[[#This Row],[OnHandQty]]-Table2[[#This Row],[Projection Nov/Dec]]</f>
        <v>21</v>
      </c>
      <c r="N1431" s="35">
        <f>Table2[[#This Row],[OverStock]]*Table2[[#This Row],[RepCost]]</f>
        <v>876.73109999999997</v>
      </c>
      <c r="O1431" s="25">
        <v>46147.684027777781</v>
      </c>
      <c r="P1431" s="26" t="s">
        <v>1814</v>
      </c>
    </row>
    <row r="1432" spans="1:16" x14ac:dyDescent="0.25">
      <c r="A1432" s="20" t="s">
        <v>5211</v>
      </c>
      <c r="B1432" s="21">
        <v>714</v>
      </c>
      <c r="C1432" s="22" t="s">
        <v>12</v>
      </c>
      <c r="D1432" s="22" t="s">
        <v>1823</v>
      </c>
      <c r="E1432" s="22" t="str">
        <f>CONCATENATE(B1432,D1432)</f>
        <v>71476529-STD102</v>
      </c>
      <c r="F1432" s="22" t="s">
        <v>1824</v>
      </c>
      <c r="G1432" s="22" t="s">
        <v>29</v>
      </c>
      <c r="H1432" s="23">
        <v>34.375999999999998</v>
      </c>
      <c r="I1432" s="24">
        <v>25</v>
      </c>
      <c r="J1432" s="24">
        <v>0</v>
      </c>
      <c r="K1432" s="24">
        <v>0</v>
      </c>
      <c r="L1432" s="41">
        <f>Table2[[#This Row],[Column1]]+Table2[[#This Row],[Column2]]</f>
        <v>0</v>
      </c>
      <c r="M1432" s="42">
        <f>Table2[[#This Row],[OnHandQty]]-Table2[[#This Row],[Projection Nov/Dec]]</f>
        <v>25</v>
      </c>
      <c r="N1432" s="35">
        <f>Table2[[#This Row],[OverStock]]*Table2[[#This Row],[RepCost]]</f>
        <v>859.4</v>
      </c>
      <c r="O1432" s="25">
        <v>46185.630555555559</v>
      </c>
      <c r="P1432" s="26" t="s">
        <v>1825</v>
      </c>
    </row>
    <row r="1433" spans="1:16" x14ac:dyDescent="0.25">
      <c r="A1433" s="20" t="s">
        <v>5211</v>
      </c>
      <c r="B1433" s="21">
        <v>714</v>
      </c>
      <c r="C1433" s="22" t="s">
        <v>12</v>
      </c>
      <c r="D1433" s="22" t="s">
        <v>1894</v>
      </c>
      <c r="E1433" s="22" t="str">
        <f>CONCATENATE(B1433,D1433)</f>
        <v>71476529-TRL101</v>
      </c>
      <c r="F1433" s="22" t="s">
        <v>1895</v>
      </c>
      <c r="G1433" s="22" t="s">
        <v>112</v>
      </c>
      <c r="H1433" s="23">
        <v>12.7857</v>
      </c>
      <c r="I1433" s="24">
        <v>39</v>
      </c>
      <c r="J1433" s="24">
        <v>0</v>
      </c>
      <c r="K1433" s="24">
        <v>0</v>
      </c>
      <c r="L1433" s="41">
        <f>Table2[[#This Row],[Column1]]+Table2[[#This Row],[Column2]]</f>
        <v>0</v>
      </c>
      <c r="M1433" s="42">
        <f>Table2[[#This Row],[OnHandQty]]-Table2[[#This Row],[Projection Nov/Dec]]</f>
        <v>39</v>
      </c>
      <c r="N1433" s="35">
        <f>Table2[[#This Row],[OverStock]]*Table2[[#This Row],[RepCost]]</f>
        <v>498.64230000000003</v>
      </c>
      <c r="O1433" s="25">
        <v>46147.684027777781</v>
      </c>
      <c r="P1433" s="26" t="s">
        <v>1814</v>
      </c>
    </row>
    <row r="1434" spans="1:16" x14ac:dyDescent="0.25">
      <c r="A1434" s="20" t="s">
        <v>5211</v>
      </c>
      <c r="B1434" s="21">
        <v>714</v>
      </c>
      <c r="C1434" s="22" t="s">
        <v>12</v>
      </c>
      <c r="D1434" s="22" t="s">
        <v>1900</v>
      </c>
      <c r="E1434" s="22" t="str">
        <f>CONCATENATE(B1434,D1434)</f>
        <v>71482206-STK102</v>
      </c>
      <c r="F1434" s="22" t="s">
        <v>1901</v>
      </c>
      <c r="G1434" s="22" t="s">
        <v>23</v>
      </c>
      <c r="H1434" s="23">
        <v>26.636199999999999</v>
      </c>
      <c r="I1434" s="24">
        <v>3</v>
      </c>
      <c r="J1434" s="24">
        <v>0</v>
      </c>
      <c r="K1434" s="24">
        <v>0</v>
      </c>
      <c r="L1434" s="41">
        <f>Table2[[#This Row],[Column1]]+Table2[[#This Row],[Column2]]</f>
        <v>0</v>
      </c>
      <c r="M1434" s="42">
        <f>Table2[[#This Row],[OnHandQty]]-Table2[[#This Row],[Projection Nov/Dec]]</f>
        <v>3</v>
      </c>
      <c r="N1434" s="35">
        <f>Table2[[#This Row],[OverStock]]*Table2[[#This Row],[RepCost]]</f>
        <v>79.908599999999993</v>
      </c>
      <c r="O1434" s="25">
        <v>46151.379166666666</v>
      </c>
      <c r="P1434" s="26" t="s">
        <v>1062</v>
      </c>
    </row>
    <row r="1435" spans="1:16" x14ac:dyDescent="0.25">
      <c r="A1435" s="20" t="s">
        <v>5211</v>
      </c>
      <c r="B1435" s="21">
        <v>718</v>
      </c>
      <c r="C1435" s="22" t="s">
        <v>12</v>
      </c>
      <c r="D1435" s="22" t="s">
        <v>3621</v>
      </c>
      <c r="E1435" s="22" t="str">
        <f>CONCATENATE(B1435,D1435)</f>
        <v>71882206-STK105</v>
      </c>
      <c r="F1435" s="22" t="s">
        <v>3622</v>
      </c>
      <c r="G1435" s="22" t="s">
        <v>23</v>
      </c>
      <c r="H1435" s="23">
        <v>45.866700000000002</v>
      </c>
      <c r="I1435" s="24">
        <v>2</v>
      </c>
      <c r="J1435" s="24">
        <v>0</v>
      </c>
      <c r="K1435" s="24">
        <v>0</v>
      </c>
      <c r="L1435" s="41">
        <f>Table2[[#This Row],[Column1]]+Table2[[#This Row],[Column2]]</f>
        <v>0</v>
      </c>
      <c r="M1435" s="42">
        <f>Table2[[#This Row],[OnHandQty]]-Table2[[#This Row],[Projection Nov/Dec]]</f>
        <v>2</v>
      </c>
      <c r="N1435" s="35">
        <f>Table2[[#This Row],[OverStock]]*Table2[[#This Row],[RepCost]]</f>
        <v>91.733400000000003</v>
      </c>
      <c r="O1435" s="25">
        <v>46149.54791666667</v>
      </c>
      <c r="P1435" s="26" t="s">
        <v>1062</v>
      </c>
    </row>
    <row r="1436" spans="1:16" x14ac:dyDescent="0.25">
      <c r="A1436" s="20" t="s">
        <v>5211</v>
      </c>
      <c r="B1436" s="21">
        <v>718</v>
      </c>
      <c r="C1436" s="22" t="s">
        <v>12</v>
      </c>
      <c r="D1436" s="22" t="s">
        <v>3582</v>
      </c>
      <c r="E1436" s="22" t="str">
        <f>CONCATENATE(B1436,D1436)</f>
        <v>71882232-STK105PREM</v>
      </c>
      <c r="F1436" s="22" t="s">
        <v>3583</v>
      </c>
      <c r="G1436" s="22" t="s">
        <v>29</v>
      </c>
      <c r="H1436" s="23">
        <v>45.866700000000002</v>
      </c>
      <c r="I1436" s="24">
        <v>1</v>
      </c>
      <c r="J1436" s="24">
        <v>0</v>
      </c>
      <c r="K1436" s="24">
        <v>0</v>
      </c>
      <c r="L1436" s="41">
        <f>Table2[[#This Row],[Column1]]+Table2[[#This Row],[Column2]]</f>
        <v>0</v>
      </c>
      <c r="M1436" s="42">
        <f>Table2[[#This Row],[OnHandQty]]-Table2[[#This Row],[Projection Nov/Dec]]</f>
        <v>1</v>
      </c>
      <c r="N1436" s="35">
        <f>Table2[[#This Row],[OverStock]]*Table2[[#This Row],[RepCost]]</f>
        <v>45.866700000000002</v>
      </c>
      <c r="O1436" s="25">
        <v>46149.54791666667</v>
      </c>
      <c r="P1436" s="26" t="s">
        <v>1062</v>
      </c>
    </row>
    <row r="1437" spans="1:16" x14ac:dyDescent="0.25">
      <c r="A1437" s="20" t="s">
        <v>5211</v>
      </c>
      <c r="B1437" s="21">
        <v>718</v>
      </c>
      <c r="C1437" s="22" t="s">
        <v>12</v>
      </c>
      <c r="D1437" s="22" t="s">
        <v>3578</v>
      </c>
      <c r="E1437" s="22" t="str">
        <f>CONCATENATE(B1437,D1437)</f>
        <v>71892156-STK105PREM</v>
      </c>
      <c r="F1437" s="22" t="s">
        <v>3579</v>
      </c>
      <c r="G1437" s="22" t="s">
        <v>29</v>
      </c>
      <c r="H1437" s="23">
        <v>45.866700000000002</v>
      </c>
      <c r="I1437" s="24">
        <v>5</v>
      </c>
      <c r="J1437" s="24">
        <v>0</v>
      </c>
      <c r="K1437" s="24">
        <v>0</v>
      </c>
      <c r="L1437" s="41">
        <f>Table2[[#This Row],[Column1]]+Table2[[#This Row],[Column2]]</f>
        <v>0</v>
      </c>
      <c r="M1437" s="42">
        <f>Table2[[#This Row],[OnHandQty]]-Table2[[#This Row],[Projection Nov/Dec]]</f>
        <v>5</v>
      </c>
      <c r="N1437" s="35">
        <f>Table2[[#This Row],[OverStock]]*Table2[[#This Row],[RepCost]]</f>
        <v>229.33350000000002</v>
      </c>
      <c r="O1437" s="25">
        <v>46149.54791666667</v>
      </c>
      <c r="P1437" s="26" t="s">
        <v>1062</v>
      </c>
    </row>
    <row r="1438" spans="1:16" x14ac:dyDescent="0.25">
      <c r="A1438" s="20" t="s">
        <v>5211</v>
      </c>
      <c r="B1438" s="21">
        <v>636</v>
      </c>
      <c r="C1438" s="22" t="s">
        <v>323</v>
      </c>
      <c r="D1438" s="22" t="s">
        <v>1554</v>
      </c>
      <c r="E1438" s="22" t="str">
        <f>CONCATENATE(B1438,D1438)</f>
        <v>63669109-115</v>
      </c>
      <c r="F1438" s="27" t="s">
        <v>1555</v>
      </c>
      <c r="G1438" s="27" t="s">
        <v>58</v>
      </c>
      <c r="H1438" s="23">
        <v>85.638400000000004</v>
      </c>
      <c r="I1438" s="24">
        <v>1</v>
      </c>
      <c r="J1438" s="24">
        <v>0</v>
      </c>
      <c r="K1438" s="24">
        <v>0</v>
      </c>
      <c r="L1438" s="41">
        <f>Table2[[#This Row],[Column1]]+Table2[[#This Row],[Column2]]</f>
        <v>0</v>
      </c>
      <c r="M1438" s="42">
        <f>Table2[[#This Row],[OnHandQty]]-Table2[[#This Row],[Projection Nov/Dec]]</f>
        <v>1</v>
      </c>
      <c r="N1438" s="35">
        <f>Table2[[#This Row],[OverStock]]*Table2[[#This Row],[RepCost]]</f>
        <v>85.638400000000004</v>
      </c>
      <c r="O1438" s="25">
        <v>45763.347916666666</v>
      </c>
      <c r="P1438" s="26" t="s">
        <v>40</v>
      </c>
    </row>
    <row r="1439" spans="1:16" x14ac:dyDescent="0.25">
      <c r="A1439" s="20" t="s">
        <v>5211</v>
      </c>
      <c r="B1439" s="21">
        <v>714</v>
      </c>
      <c r="C1439" s="22" t="s">
        <v>323</v>
      </c>
      <c r="D1439" s="22" t="s">
        <v>3464</v>
      </c>
      <c r="E1439" s="22" t="str">
        <f>CONCATENATE(B1439,D1439)</f>
        <v>71469107-312PREM</v>
      </c>
      <c r="F1439" s="22" t="s">
        <v>3465</v>
      </c>
      <c r="G1439" s="22" t="s">
        <v>29</v>
      </c>
      <c r="H1439" s="23">
        <v>456.43329999999997</v>
      </c>
      <c r="I1439" s="24">
        <v>4</v>
      </c>
      <c r="J1439" s="24">
        <v>0</v>
      </c>
      <c r="K1439" s="24">
        <v>0</v>
      </c>
      <c r="L1439" s="41">
        <f>Table2[[#This Row],[Column1]]+Table2[[#This Row],[Column2]]</f>
        <v>0</v>
      </c>
      <c r="M1439" s="42">
        <f>Table2[[#This Row],[OnHandQty]]-Table2[[#This Row],[Projection Nov/Dec]]</f>
        <v>4</v>
      </c>
      <c r="N1439" s="35">
        <f>Table2[[#This Row],[OverStock]]*Table2[[#This Row],[RepCost]]</f>
        <v>1825.7331999999999</v>
      </c>
      <c r="O1439" s="25">
        <v>46126.711805555555</v>
      </c>
      <c r="P1439" s="26" t="s">
        <v>178</v>
      </c>
    </row>
    <row r="1440" spans="1:16" x14ac:dyDescent="0.25">
      <c r="A1440" s="20" t="s">
        <v>5211</v>
      </c>
      <c r="B1440" s="21">
        <v>636</v>
      </c>
      <c r="C1440" s="22" t="s">
        <v>323</v>
      </c>
      <c r="D1440" s="22" t="s">
        <v>1670</v>
      </c>
      <c r="E1440" s="22" t="str">
        <f>CONCATENATE(B1440,D1440)</f>
        <v>63696471-312</v>
      </c>
      <c r="F1440" s="22" t="s">
        <v>1671</v>
      </c>
      <c r="G1440" s="22" t="s">
        <v>29</v>
      </c>
      <c r="H1440" s="23">
        <v>447.22559999999999</v>
      </c>
      <c r="I1440" s="24">
        <v>1</v>
      </c>
      <c r="J1440" s="24">
        <v>0</v>
      </c>
      <c r="K1440" s="24">
        <v>0</v>
      </c>
      <c r="L1440" s="41">
        <f>Table2[[#This Row],[Column1]]+Table2[[#This Row],[Column2]]</f>
        <v>0</v>
      </c>
      <c r="M1440" s="42">
        <f>Table2[[#This Row],[OnHandQty]]-Table2[[#This Row],[Projection Nov/Dec]]</f>
        <v>1</v>
      </c>
      <c r="N1440" s="35">
        <f>Table2[[#This Row],[OverStock]]*Table2[[#This Row],[RepCost]]</f>
        <v>447.22559999999999</v>
      </c>
      <c r="O1440" s="25">
        <v>46107.522222222222</v>
      </c>
      <c r="P1440" s="26" t="s">
        <v>178</v>
      </c>
    </row>
    <row r="1441" spans="1:16" x14ac:dyDescent="0.25">
      <c r="A1441" s="20" t="s">
        <v>5211</v>
      </c>
      <c r="B1441" s="21">
        <v>636</v>
      </c>
      <c r="C1441" s="22" t="s">
        <v>143</v>
      </c>
      <c r="D1441" s="22" t="s">
        <v>1037</v>
      </c>
      <c r="E1441" s="22" t="str">
        <f>CONCATENATE(B1441,D1441)</f>
        <v>63669126-102</v>
      </c>
      <c r="F1441" s="22" t="s">
        <v>1038</v>
      </c>
      <c r="G1441" s="22" t="s">
        <v>29</v>
      </c>
      <c r="H1441" s="23">
        <v>17.030799999999999</v>
      </c>
      <c r="I1441" s="24">
        <v>15</v>
      </c>
      <c r="J1441" s="24">
        <v>0</v>
      </c>
      <c r="K1441" s="24">
        <v>0</v>
      </c>
      <c r="L1441" s="41">
        <f>Table2[[#This Row],[Column1]]+Table2[[#This Row],[Column2]]</f>
        <v>0</v>
      </c>
      <c r="M1441" s="42">
        <f>Table2[[#This Row],[OnHandQty]]-Table2[[#This Row],[Projection Nov/Dec]]</f>
        <v>15</v>
      </c>
      <c r="N1441" s="35">
        <f>Table2[[#This Row],[OverStock]]*Table2[[#This Row],[RepCost]]</f>
        <v>255.46199999999999</v>
      </c>
      <c r="O1441" s="25">
        <v>46177.604166666664</v>
      </c>
      <c r="P1441" s="26" t="s">
        <v>40</v>
      </c>
    </row>
    <row r="1442" spans="1:16" x14ac:dyDescent="0.25">
      <c r="A1442" s="20" t="s">
        <v>5211</v>
      </c>
      <c r="B1442" s="21">
        <v>714</v>
      </c>
      <c r="C1442" s="22" t="s">
        <v>143</v>
      </c>
      <c r="D1442" s="22" t="s">
        <v>2485</v>
      </c>
      <c r="E1442" s="22" t="str">
        <f>CONCATENATE(B1442,D1442)</f>
        <v>71469126-103</v>
      </c>
      <c r="F1442" s="22" t="s">
        <v>2486</v>
      </c>
      <c r="G1442" s="22" t="s">
        <v>29</v>
      </c>
      <c r="H1442" s="23">
        <v>24.0947</v>
      </c>
      <c r="I1442" s="24">
        <v>2</v>
      </c>
      <c r="J1442" s="24">
        <v>0</v>
      </c>
      <c r="K1442" s="24">
        <v>0</v>
      </c>
      <c r="L1442" s="41">
        <f>Table2[[#This Row],[Column1]]+Table2[[#This Row],[Column2]]</f>
        <v>0</v>
      </c>
      <c r="M1442" s="42">
        <f>Table2[[#This Row],[OnHandQty]]-Table2[[#This Row],[Projection Nov/Dec]]</f>
        <v>2</v>
      </c>
      <c r="N1442" s="35">
        <f>Table2[[#This Row],[OverStock]]*Table2[[#This Row],[RepCost]]</f>
        <v>48.189399999999999</v>
      </c>
      <c r="O1442" s="25">
        <v>46200.377083333333</v>
      </c>
      <c r="P1442" s="26" t="s">
        <v>40</v>
      </c>
    </row>
    <row r="1443" spans="1:16" x14ac:dyDescent="0.25">
      <c r="A1443" s="20" t="s">
        <v>5211</v>
      </c>
      <c r="B1443" s="21">
        <v>718</v>
      </c>
      <c r="C1443" s="22" t="s">
        <v>12</v>
      </c>
      <c r="D1443" s="22" t="s">
        <v>3588</v>
      </c>
      <c r="E1443" s="22" t="str">
        <f>CONCATENATE(B1443,D1443)</f>
        <v>71869155-101</v>
      </c>
      <c r="F1443" s="22" t="s">
        <v>3589</v>
      </c>
      <c r="G1443" s="22" t="s">
        <v>35</v>
      </c>
      <c r="H1443" s="23">
        <v>6.3635000000000002</v>
      </c>
      <c r="I1443" s="24">
        <v>35</v>
      </c>
      <c r="J1443" s="24">
        <v>0</v>
      </c>
      <c r="K1443" s="24">
        <v>0</v>
      </c>
      <c r="L1443" s="41">
        <f>Table2[[#This Row],[Column1]]+Table2[[#This Row],[Column2]]</f>
        <v>0</v>
      </c>
      <c r="M1443" s="42">
        <f>Table2[[#This Row],[OnHandQty]]-Table2[[#This Row],[Projection Nov/Dec]]</f>
        <v>35</v>
      </c>
      <c r="N1443" s="35">
        <f>Table2[[#This Row],[OverStock]]*Table2[[#This Row],[RepCost]]</f>
        <v>222.7225</v>
      </c>
      <c r="O1443" s="25">
        <v>46218.347916666666</v>
      </c>
      <c r="P1443" s="26" t="s">
        <v>3590</v>
      </c>
    </row>
    <row r="1444" spans="1:16" x14ac:dyDescent="0.25">
      <c r="A1444" s="20" t="s">
        <v>5211</v>
      </c>
      <c r="B1444" s="21">
        <v>718</v>
      </c>
      <c r="C1444" s="22" t="s">
        <v>12</v>
      </c>
      <c r="D1444" s="22" t="s">
        <v>3625</v>
      </c>
      <c r="E1444" s="22" t="str">
        <f>CONCATENATE(B1444,D1444)</f>
        <v>71869164-110</v>
      </c>
      <c r="F1444" s="22" t="s">
        <v>3626</v>
      </c>
      <c r="G1444" s="22" t="s">
        <v>29</v>
      </c>
      <c r="H1444" s="23">
        <v>28.49</v>
      </c>
      <c r="I1444" s="24">
        <v>27</v>
      </c>
      <c r="J1444" s="24">
        <v>0</v>
      </c>
      <c r="K1444" s="24">
        <v>0</v>
      </c>
      <c r="L1444" s="41">
        <f>Table2[[#This Row],[Column1]]+Table2[[#This Row],[Column2]]</f>
        <v>0</v>
      </c>
      <c r="M1444" s="42">
        <f>Table2[[#This Row],[OnHandQty]]-Table2[[#This Row],[Projection Nov/Dec]]</f>
        <v>27</v>
      </c>
      <c r="N1444" s="35">
        <f>Table2[[#This Row],[OverStock]]*Table2[[#This Row],[RepCost]]</f>
        <v>769.2299999999999</v>
      </c>
      <c r="O1444" s="25">
        <v>45769.668749999997</v>
      </c>
      <c r="P1444" s="26" t="s">
        <v>26</v>
      </c>
    </row>
    <row r="1445" spans="1:16" x14ac:dyDescent="0.25">
      <c r="A1445" s="20" t="s">
        <v>5211</v>
      </c>
      <c r="B1445" s="21">
        <v>718</v>
      </c>
      <c r="C1445" s="22" t="s">
        <v>12</v>
      </c>
      <c r="D1445" s="22" t="s">
        <v>1868</v>
      </c>
      <c r="E1445" s="22" t="str">
        <f>CONCATENATE(B1445,D1445)</f>
        <v>71869164-107</v>
      </c>
      <c r="F1445" s="22" t="s">
        <v>1869</v>
      </c>
      <c r="G1445" s="22" t="s">
        <v>23</v>
      </c>
      <c r="H1445" s="23">
        <v>22.9861</v>
      </c>
      <c r="I1445" s="24">
        <v>1</v>
      </c>
      <c r="J1445" s="24">
        <v>0</v>
      </c>
      <c r="K1445" s="24">
        <v>0</v>
      </c>
      <c r="L1445" s="41">
        <f>Table2[[#This Row],[Column1]]+Table2[[#This Row],[Column2]]</f>
        <v>0</v>
      </c>
      <c r="M1445" s="42">
        <f>Table2[[#This Row],[OnHandQty]]-Table2[[#This Row],[Projection Nov/Dec]]</f>
        <v>1</v>
      </c>
      <c r="N1445" s="35">
        <f>Table2[[#This Row],[OverStock]]*Table2[[#This Row],[RepCost]]</f>
        <v>22.9861</v>
      </c>
      <c r="O1445" s="25">
        <v>46163.547222222223</v>
      </c>
      <c r="P1445" s="26" t="s">
        <v>1870</v>
      </c>
    </row>
    <row r="1446" spans="1:16" x14ac:dyDescent="0.25">
      <c r="A1446" s="20" t="s">
        <v>5211</v>
      </c>
      <c r="B1446" s="21">
        <v>714</v>
      </c>
      <c r="C1446" s="22" t="s">
        <v>12</v>
      </c>
      <c r="D1446" s="22" t="s">
        <v>1868</v>
      </c>
      <c r="E1446" s="22" t="str">
        <f>CONCATENATE(B1446,D1446)</f>
        <v>71469164-107</v>
      </c>
      <c r="F1446" s="22" t="s">
        <v>1869</v>
      </c>
      <c r="G1446" s="22" t="s">
        <v>29</v>
      </c>
      <c r="H1446" s="23">
        <v>22.881599999999999</v>
      </c>
      <c r="I1446" s="24">
        <v>19</v>
      </c>
      <c r="J1446" s="24">
        <v>0</v>
      </c>
      <c r="K1446" s="24">
        <v>0</v>
      </c>
      <c r="L1446" s="41">
        <f>Table2[[#This Row],[Column1]]+Table2[[#This Row],[Column2]]</f>
        <v>0</v>
      </c>
      <c r="M1446" s="42">
        <f>Table2[[#This Row],[OnHandQty]]-Table2[[#This Row],[Projection Nov/Dec]]</f>
        <v>19</v>
      </c>
      <c r="N1446" s="35">
        <f>Table2[[#This Row],[OverStock]]*Table2[[#This Row],[RepCost]]</f>
        <v>434.75039999999996</v>
      </c>
      <c r="O1446" s="25">
        <v>46164.425000000003</v>
      </c>
      <c r="P1446" s="26" t="s">
        <v>1870</v>
      </c>
    </row>
    <row r="1447" spans="1:16" x14ac:dyDescent="0.25">
      <c r="A1447" s="20" t="s">
        <v>5211</v>
      </c>
      <c r="B1447" s="21">
        <v>714</v>
      </c>
      <c r="C1447" s="22" t="s">
        <v>12</v>
      </c>
      <c r="D1447" s="22" t="s">
        <v>1910</v>
      </c>
      <c r="E1447" s="22" t="str">
        <f>CONCATENATE(B1447,D1447)</f>
        <v>71476005-103</v>
      </c>
      <c r="F1447" s="22" t="s">
        <v>1911</v>
      </c>
      <c r="G1447" s="22" t="s">
        <v>39</v>
      </c>
      <c r="H1447" s="23">
        <v>12.4764</v>
      </c>
      <c r="I1447" s="24">
        <v>10</v>
      </c>
      <c r="J1447" s="24">
        <v>0</v>
      </c>
      <c r="K1447" s="24">
        <v>0</v>
      </c>
      <c r="L1447" s="41">
        <f>Table2[[#This Row],[Column1]]+Table2[[#This Row],[Column2]]</f>
        <v>0</v>
      </c>
      <c r="M1447" s="42">
        <f>Table2[[#This Row],[OnHandQty]]-Table2[[#This Row],[Projection Nov/Dec]]</f>
        <v>10</v>
      </c>
      <c r="N1447" s="35">
        <f>Table2[[#This Row],[OverStock]]*Table2[[#This Row],[RepCost]]</f>
        <v>124.764</v>
      </c>
      <c r="O1447" s="25">
        <v>46193.431250000001</v>
      </c>
      <c r="P1447" s="26" t="s">
        <v>26</v>
      </c>
    </row>
    <row r="1448" spans="1:16" x14ac:dyDescent="0.25">
      <c r="A1448" s="20" t="s">
        <v>5211</v>
      </c>
      <c r="B1448" s="21">
        <v>634</v>
      </c>
      <c r="C1448" s="22" t="s">
        <v>12</v>
      </c>
      <c r="D1448" s="22" t="s">
        <v>52</v>
      </c>
      <c r="E1448" s="22" t="str">
        <f>CONCATENATE(B1448,D1448)</f>
        <v>63469180-102</v>
      </c>
      <c r="F1448" s="22" t="s">
        <v>53</v>
      </c>
      <c r="G1448" s="22" t="s">
        <v>29</v>
      </c>
      <c r="H1448" s="23">
        <v>1</v>
      </c>
      <c r="I1448" s="24">
        <v>12</v>
      </c>
      <c r="J1448" s="24">
        <v>0</v>
      </c>
      <c r="K1448" s="24">
        <v>0</v>
      </c>
      <c r="L1448" s="41">
        <f>Table2[[#This Row],[Column1]]+Table2[[#This Row],[Column2]]</f>
        <v>0</v>
      </c>
      <c r="M1448" s="42">
        <f>Table2[[#This Row],[OnHandQty]]-Table2[[#This Row],[Projection Nov/Dec]]</f>
        <v>12</v>
      </c>
      <c r="N1448" s="35">
        <f>Table2[[#This Row],[OverStock]]*Table2[[#This Row],[RepCost]]</f>
        <v>12</v>
      </c>
      <c r="O1448" s="25">
        <v>43614.540972222225</v>
      </c>
      <c r="P1448" s="26" t="s">
        <v>40</v>
      </c>
    </row>
    <row r="1449" spans="1:16" x14ac:dyDescent="0.25">
      <c r="A1449" s="20" t="s">
        <v>5211</v>
      </c>
      <c r="B1449" s="21">
        <v>718</v>
      </c>
      <c r="C1449" s="22" t="s">
        <v>12</v>
      </c>
      <c r="D1449" s="22" t="s">
        <v>3603</v>
      </c>
      <c r="E1449" s="22" t="str">
        <f>CONCATENATE(B1449,D1449)</f>
        <v>71869169-101</v>
      </c>
      <c r="F1449" s="22" t="s">
        <v>3604</v>
      </c>
      <c r="G1449" s="22" t="s">
        <v>29</v>
      </c>
      <c r="H1449" s="23">
        <v>6.7948000000000004</v>
      </c>
      <c r="I1449" s="24">
        <v>47</v>
      </c>
      <c r="J1449" s="24">
        <v>0</v>
      </c>
      <c r="K1449" s="24">
        <v>0</v>
      </c>
      <c r="L1449" s="41">
        <f>Table2[[#This Row],[Column1]]+Table2[[#This Row],[Column2]]</f>
        <v>0</v>
      </c>
      <c r="M1449" s="42">
        <f>Table2[[#This Row],[OnHandQty]]-Table2[[#This Row],[Projection Nov/Dec]]</f>
        <v>47</v>
      </c>
      <c r="N1449" s="35">
        <f>Table2[[#This Row],[OverStock]]*Table2[[#This Row],[RepCost]]</f>
        <v>319.35560000000004</v>
      </c>
      <c r="O1449" s="25">
        <v>46218.347916666666</v>
      </c>
      <c r="P1449" s="26" t="s">
        <v>3590</v>
      </c>
    </row>
    <row r="1450" spans="1:16" x14ac:dyDescent="0.25">
      <c r="A1450" s="20" t="s">
        <v>5211</v>
      </c>
      <c r="B1450" s="21">
        <v>636</v>
      </c>
      <c r="C1450" s="22" t="s">
        <v>12</v>
      </c>
      <c r="D1450" s="22" t="s">
        <v>525</v>
      </c>
      <c r="E1450" s="22" t="str">
        <f>CONCATENATE(B1450,D1450)</f>
        <v>63669169-105</v>
      </c>
      <c r="F1450" s="22" t="s">
        <v>526</v>
      </c>
      <c r="G1450" s="22" t="s">
        <v>23</v>
      </c>
      <c r="H1450" s="23">
        <v>25.1313</v>
      </c>
      <c r="I1450" s="24">
        <v>1</v>
      </c>
      <c r="J1450" s="24">
        <v>0</v>
      </c>
      <c r="K1450" s="24">
        <v>0</v>
      </c>
      <c r="L1450" s="41">
        <f>Table2[[#This Row],[Column1]]+Table2[[#This Row],[Column2]]</f>
        <v>0</v>
      </c>
      <c r="M1450" s="42">
        <f>Table2[[#This Row],[OnHandQty]]-Table2[[#This Row],[Projection Nov/Dec]]</f>
        <v>1</v>
      </c>
      <c r="N1450" s="35">
        <f>Table2[[#This Row],[OverStock]]*Table2[[#This Row],[RepCost]]</f>
        <v>25.1313</v>
      </c>
      <c r="O1450" s="25">
        <v>46146.459722222222</v>
      </c>
      <c r="P1450" s="26" t="s">
        <v>67</v>
      </c>
    </row>
    <row r="1451" spans="1:16" x14ac:dyDescent="0.25">
      <c r="A1451" s="20" t="s">
        <v>5211</v>
      </c>
      <c r="B1451" s="21">
        <v>714</v>
      </c>
      <c r="C1451" s="22" t="s">
        <v>12</v>
      </c>
      <c r="D1451" s="22" t="s">
        <v>525</v>
      </c>
      <c r="E1451" s="22" t="str">
        <f>CONCATENATE(B1451,D1451)</f>
        <v>71469169-105</v>
      </c>
      <c r="F1451" s="22" t="s">
        <v>526</v>
      </c>
      <c r="G1451" s="22" t="s">
        <v>29</v>
      </c>
      <c r="H1451" s="23">
        <v>28.6829</v>
      </c>
      <c r="I1451" s="24">
        <v>29</v>
      </c>
      <c r="J1451" s="24">
        <v>0</v>
      </c>
      <c r="K1451" s="24">
        <v>0</v>
      </c>
      <c r="L1451" s="41">
        <f>Table2[[#This Row],[Column1]]+Table2[[#This Row],[Column2]]</f>
        <v>0</v>
      </c>
      <c r="M1451" s="42">
        <f>Table2[[#This Row],[OnHandQty]]-Table2[[#This Row],[Projection Nov/Dec]]</f>
        <v>29</v>
      </c>
      <c r="N1451" s="35">
        <f>Table2[[#This Row],[OverStock]]*Table2[[#This Row],[RepCost]]</f>
        <v>831.80409999999995</v>
      </c>
      <c r="O1451" s="25">
        <v>46157.474999999999</v>
      </c>
      <c r="P1451" s="26" t="s">
        <v>67</v>
      </c>
    </row>
    <row r="1452" spans="1:16" x14ac:dyDescent="0.25">
      <c r="A1452" s="20" t="s">
        <v>5211</v>
      </c>
      <c r="B1452" s="21">
        <v>714</v>
      </c>
      <c r="C1452" s="22" t="s">
        <v>12</v>
      </c>
      <c r="D1452" s="22" t="s">
        <v>1954</v>
      </c>
      <c r="E1452" s="22" t="str">
        <f>CONCATENATE(B1452,D1452)</f>
        <v>71484722-103</v>
      </c>
      <c r="F1452" s="22" t="s">
        <v>1955</v>
      </c>
      <c r="G1452" s="22" t="s">
        <v>29</v>
      </c>
      <c r="H1452" s="23">
        <v>12.9</v>
      </c>
      <c r="I1452" s="24">
        <v>1</v>
      </c>
      <c r="J1452" s="24">
        <v>0</v>
      </c>
      <c r="K1452" s="24">
        <v>0</v>
      </c>
      <c r="L1452" s="41">
        <f>Table2[[#This Row],[Column1]]+Table2[[#This Row],[Column2]]</f>
        <v>0</v>
      </c>
      <c r="M1452" s="42">
        <f>Table2[[#This Row],[OnHandQty]]-Table2[[#This Row],[Projection Nov/Dec]]</f>
        <v>1</v>
      </c>
      <c r="N1452" s="35">
        <f>Table2[[#This Row],[OverStock]]*Table2[[#This Row],[RepCost]]</f>
        <v>12.9</v>
      </c>
      <c r="O1452" s="25">
        <v>46238.671527777777</v>
      </c>
      <c r="P1452" s="26" t="s">
        <v>26</v>
      </c>
    </row>
    <row r="1453" spans="1:16" x14ac:dyDescent="0.25">
      <c r="A1453" s="20" t="s">
        <v>5211</v>
      </c>
      <c r="B1453" s="21">
        <v>714</v>
      </c>
      <c r="C1453" s="22" t="s">
        <v>12</v>
      </c>
      <c r="D1453" s="22" t="s">
        <v>1952</v>
      </c>
      <c r="E1453" s="22" t="str">
        <f>CONCATENATE(B1453,D1453)</f>
        <v>71469175-103</v>
      </c>
      <c r="F1453" s="22" t="s">
        <v>1953</v>
      </c>
      <c r="G1453" s="22" t="s">
        <v>39</v>
      </c>
      <c r="H1453" s="23">
        <v>12.7506</v>
      </c>
      <c r="I1453" s="24">
        <v>30</v>
      </c>
      <c r="J1453" s="24">
        <v>0</v>
      </c>
      <c r="K1453" s="24">
        <v>0</v>
      </c>
      <c r="L1453" s="41">
        <f>Table2[[#This Row],[Column1]]+Table2[[#This Row],[Column2]]</f>
        <v>0</v>
      </c>
      <c r="M1453" s="42">
        <f>Table2[[#This Row],[OnHandQty]]-Table2[[#This Row],[Projection Nov/Dec]]</f>
        <v>30</v>
      </c>
      <c r="N1453" s="35">
        <f>Table2[[#This Row],[OverStock]]*Table2[[#This Row],[RepCost]]</f>
        <v>382.51800000000003</v>
      </c>
      <c r="O1453" s="25">
        <v>46188.352083333331</v>
      </c>
      <c r="P1453" s="26" t="s">
        <v>26</v>
      </c>
    </row>
    <row r="1454" spans="1:16" x14ac:dyDescent="0.25">
      <c r="A1454" s="20" t="s">
        <v>5211</v>
      </c>
      <c r="B1454" s="21">
        <v>714</v>
      </c>
      <c r="C1454" s="22" t="s">
        <v>12</v>
      </c>
      <c r="D1454" s="22" t="s">
        <v>1918</v>
      </c>
      <c r="E1454" s="22" t="str">
        <f>CONCATENATE(B1454,D1454)</f>
        <v>71469160-105</v>
      </c>
      <c r="F1454" s="27" t="s">
        <v>1919</v>
      </c>
      <c r="G1454" s="27" t="s">
        <v>58</v>
      </c>
      <c r="H1454" s="23">
        <v>24.682200000000002</v>
      </c>
      <c r="I1454" s="24">
        <v>2</v>
      </c>
      <c r="J1454" s="24">
        <v>0</v>
      </c>
      <c r="K1454" s="24">
        <v>0</v>
      </c>
      <c r="L1454" s="41">
        <f>Table2[[#This Row],[Column1]]+Table2[[#This Row],[Column2]]</f>
        <v>0</v>
      </c>
      <c r="M1454" s="42">
        <f>Table2[[#This Row],[OnHandQty]]-Table2[[#This Row],[Projection Nov/Dec]]</f>
        <v>2</v>
      </c>
      <c r="N1454" s="35">
        <f>Table2[[#This Row],[OverStock]]*Table2[[#This Row],[RepCost]]</f>
        <v>49.364400000000003</v>
      </c>
      <c r="O1454" s="25">
        <v>45764.464583333334</v>
      </c>
      <c r="P1454" s="26" t="s">
        <v>67</v>
      </c>
    </row>
    <row r="1455" spans="1:16" x14ac:dyDescent="0.25">
      <c r="A1455" s="20" t="s">
        <v>5211</v>
      </c>
      <c r="B1455" s="21">
        <v>714</v>
      </c>
      <c r="C1455" s="22" t="s">
        <v>12</v>
      </c>
      <c r="D1455" s="22" t="s">
        <v>1853</v>
      </c>
      <c r="E1455" s="22" t="str">
        <f>CONCATENATE(B1455,D1455)</f>
        <v>71469177-103</v>
      </c>
      <c r="F1455" s="22" t="s">
        <v>1854</v>
      </c>
      <c r="G1455" s="22" t="s">
        <v>23</v>
      </c>
      <c r="H1455" s="23">
        <v>12.1922</v>
      </c>
      <c r="I1455" s="24">
        <v>26</v>
      </c>
      <c r="J1455" s="24">
        <v>0</v>
      </c>
      <c r="K1455" s="24">
        <v>0</v>
      </c>
      <c r="L1455" s="41">
        <f>Table2[[#This Row],[Column1]]+Table2[[#This Row],[Column2]]</f>
        <v>0</v>
      </c>
      <c r="M1455" s="42">
        <f>Table2[[#This Row],[OnHandQty]]-Table2[[#This Row],[Projection Nov/Dec]]</f>
        <v>26</v>
      </c>
      <c r="N1455" s="35">
        <f>Table2[[#This Row],[OverStock]]*Table2[[#This Row],[RepCost]]</f>
        <v>316.99720000000002</v>
      </c>
      <c r="O1455" s="25">
        <v>46193.431250000001</v>
      </c>
      <c r="P1455" s="26" t="s">
        <v>26</v>
      </c>
    </row>
    <row r="1456" spans="1:16" x14ac:dyDescent="0.25">
      <c r="A1456" s="20" t="s">
        <v>5211</v>
      </c>
      <c r="B1456" s="21">
        <v>718</v>
      </c>
      <c r="C1456" s="22" t="s">
        <v>70</v>
      </c>
      <c r="D1456" s="22" t="s">
        <v>3681</v>
      </c>
      <c r="E1456" s="22" t="str">
        <f>CONCATENATE(B1456,D1456)</f>
        <v>71894437-101</v>
      </c>
      <c r="F1456" s="22" t="s">
        <v>3682</v>
      </c>
      <c r="G1456" s="22" t="s">
        <v>29</v>
      </c>
      <c r="H1456" s="23">
        <v>8.3377999999999997</v>
      </c>
      <c r="I1456" s="24">
        <v>8</v>
      </c>
      <c r="J1456" s="24">
        <v>0</v>
      </c>
      <c r="K1456" s="24">
        <v>0</v>
      </c>
      <c r="L1456" s="41">
        <f>Table2[[#This Row],[Column1]]+Table2[[#This Row],[Column2]]</f>
        <v>0</v>
      </c>
      <c r="M1456" s="42">
        <f>Table2[[#This Row],[OnHandQty]]-Table2[[#This Row],[Projection Nov/Dec]]</f>
        <v>8</v>
      </c>
      <c r="N1456" s="35">
        <f>Table2[[#This Row],[OverStock]]*Table2[[#This Row],[RepCost]]</f>
        <v>66.702399999999997</v>
      </c>
      <c r="O1456" s="25">
        <v>46232.6</v>
      </c>
      <c r="P1456" s="26" t="s">
        <v>573</v>
      </c>
    </row>
    <row r="1457" spans="1:16" x14ac:dyDescent="0.25">
      <c r="A1457" s="20" t="s">
        <v>5211</v>
      </c>
      <c r="B1457" s="21">
        <v>636</v>
      </c>
      <c r="C1457" s="22" t="s">
        <v>70</v>
      </c>
      <c r="D1457" s="22" t="s">
        <v>851</v>
      </c>
      <c r="E1457" s="22" t="str">
        <f>CONCATENATE(B1457,D1457)</f>
        <v>63695505-PF4</v>
      </c>
      <c r="F1457" s="22" t="s">
        <v>852</v>
      </c>
      <c r="G1457" s="22" t="s">
        <v>39</v>
      </c>
      <c r="H1457" s="23">
        <v>6.9751000000000003</v>
      </c>
      <c r="I1457" s="24">
        <v>10</v>
      </c>
      <c r="J1457" s="24">
        <v>0</v>
      </c>
      <c r="K1457" s="24">
        <v>0</v>
      </c>
      <c r="L1457" s="41">
        <f>Table2[[#This Row],[Column1]]+Table2[[#This Row],[Column2]]</f>
        <v>0</v>
      </c>
      <c r="M1457" s="42">
        <f>Table2[[#This Row],[OnHandQty]]-Table2[[#This Row],[Projection Nov/Dec]]</f>
        <v>10</v>
      </c>
      <c r="N1457" s="35">
        <f>Table2[[#This Row],[OverStock]]*Table2[[#This Row],[RepCost]]</f>
        <v>69.751000000000005</v>
      </c>
      <c r="O1457" s="25">
        <v>46177.399305555555</v>
      </c>
      <c r="P1457" s="26" t="s">
        <v>16</v>
      </c>
    </row>
    <row r="1458" spans="1:16" x14ac:dyDescent="0.25">
      <c r="A1458" s="20" t="s">
        <v>5211</v>
      </c>
      <c r="B1458" s="21">
        <v>636</v>
      </c>
      <c r="C1458" s="22" t="s">
        <v>70</v>
      </c>
      <c r="D1458" s="22" t="s">
        <v>698</v>
      </c>
      <c r="E1458" s="22" t="str">
        <f>CONCATENATE(B1458,D1458)</f>
        <v>63669206-101</v>
      </c>
      <c r="F1458" s="22" t="s">
        <v>699</v>
      </c>
      <c r="G1458" s="22" t="s">
        <v>39</v>
      </c>
      <c r="H1458" s="23">
        <v>5.2571000000000003</v>
      </c>
      <c r="I1458" s="24">
        <v>1</v>
      </c>
      <c r="J1458" s="24">
        <v>0</v>
      </c>
      <c r="K1458" s="24">
        <v>0</v>
      </c>
      <c r="L1458" s="41">
        <f>Table2[[#This Row],[Column1]]+Table2[[#This Row],[Column2]]</f>
        <v>0</v>
      </c>
      <c r="M1458" s="42">
        <f>Table2[[#This Row],[OnHandQty]]-Table2[[#This Row],[Projection Nov/Dec]]</f>
        <v>1</v>
      </c>
      <c r="N1458" s="35">
        <f>Table2[[#This Row],[OverStock]]*Table2[[#This Row],[RepCost]]</f>
        <v>5.2571000000000003</v>
      </c>
      <c r="O1458" s="25">
        <v>46171.48541666667</v>
      </c>
      <c r="P1458" s="26" t="s">
        <v>16</v>
      </c>
    </row>
    <row r="1459" spans="1:16" x14ac:dyDescent="0.25">
      <c r="A1459" s="20" t="s">
        <v>5211</v>
      </c>
      <c r="B1459" s="21">
        <v>634</v>
      </c>
      <c r="C1459" s="22" t="s">
        <v>70</v>
      </c>
      <c r="D1459" s="22" t="s">
        <v>117</v>
      </c>
      <c r="E1459" s="22" t="str">
        <f>CONCATENATE(B1459,D1459)</f>
        <v>63494317-101</v>
      </c>
      <c r="F1459" s="27" t="s">
        <v>118</v>
      </c>
      <c r="G1459" s="27" t="s">
        <v>58</v>
      </c>
      <c r="H1459" s="23">
        <v>5.8616999999999999</v>
      </c>
      <c r="I1459" s="24">
        <v>4</v>
      </c>
      <c r="J1459" s="24">
        <v>0</v>
      </c>
      <c r="K1459" s="24">
        <v>0</v>
      </c>
      <c r="L1459" s="41">
        <f>Table2[[#This Row],[Column1]]+Table2[[#This Row],[Column2]]</f>
        <v>0</v>
      </c>
      <c r="M1459" s="42">
        <f>Table2[[#This Row],[OnHandQty]]-Table2[[#This Row],[Projection Nov/Dec]]</f>
        <v>4</v>
      </c>
      <c r="N1459" s="35">
        <f>Table2[[#This Row],[OverStock]]*Table2[[#This Row],[RepCost]]</f>
        <v>23.4468</v>
      </c>
      <c r="O1459" s="25">
        <v>45807.578472222223</v>
      </c>
      <c r="P1459" s="26" t="s">
        <v>16</v>
      </c>
    </row>
    <row r="1460" spans="1:16" x14ac:dyDescent="0.25">
      <c r="A1460" s="20" t="s">
        <v>5211</v>
      </c>
      <c r="B1460" s="21">
        <v>636</v>
      </c>
      <c r="C1460" s="22" t="s">
        <v>1749</v>
      </c>
      <c r="D1460" s="22" t="s">
        <v>1790</v>
      </c>
      <c r="E1460" s="22" t="str">
        <f>CONCATENATE(B1460,D1460)</f>
        <v>63674993-HB0010</v>
      </c>
      <c r="F1460" s="22" t="s">
        <v>1791</v>
      </c>
      <c r="G1460" s="22" t="s">
        <v>39</v>
      </c>
      <c r="H1460" s="23">
        <v>16.9817</v>
      </c>
      <c r="I1460" s="24">
        <v>1</v>
      </c>
      <c r="J1460" s="24">
        <v>0</v>
      </c>
      <c r="K1460" s="24">
        <v>0</v>
      </c>
      <c r="L1460" s="41">
        <f>Table2[[#This Row],[Column1]]+Table2[[#This Row],[Column2]]</f>
        <v>0</v>
      </c>
      <c r="M1460" s="42">
        <f>Table2[[#This Row],[OnHandQty]]-Table2[[#This Row],[Projection Nov/Dec]]</f>
        <v>1</v>
      </c>
      <c r="N1460" s="35">
        <f>Table2[[#This Row],[OverStock]]*Table2[[#This Row],[RepCost]]</f>
        <v>16.9817</v>
      </c>
      <c r="O1460" s="25">
        <v>46114.597916666666</v>
      </c>
      <c r="P1460" s="26" t="s">
        <v>797</v>
      </c>
    </row>
    <row r="1461" spans="1:16" x14ac:dyDescent="0.25">
      <c r="A1461" s="20" t="s">
        <v>5211</v>
      </c>
      <c r="B1461" s="21">
        <v>636</v>
      </c>
      <c r="C1461" s="22" t="s">
        <v>1749</v>
      </c>
      <c r="D1461" s="22" t="s">
        <v>1796</v>
      </c>
      <c r="E1461" s="22" t="str">
        <f>CONCATENATE(B1461,D1461)</f>
        <v>63695887-0010</v>
      </c>
      <c r="F1461" s="22" t="s">
        <v>1797</v>
      </c>
      <c r="G1461" s="22" t="s">
        <v>23</v>
      </c>
      <c r="H1461" s="23">
        <v>86.707499999999996</v>
      </c>
      <c r="I1461" s="24">
        <v>3</v>
      </c>
      <c r="J1461" s="24">
        <v>0</v>
      </c>
      <c r="K1461" s="24">
        <v>0</v>
      </c>
      <c r="L1461" s="41">
        <f>Table2[[#This Row],[Column1]]+Table2[[#This Row],[Column2]]</f>
        <v>0</v>
      </c>
      <c r="M1461" s="42">
        <f>Table2[[#This Row],[OnHandQty]]-Table2[[#This Row],[Projection Nov/Dec]]</f>
        <v>3</v>
      </c>
      <c r="N1461" s="35">
        <f>Table2[[#This Row],[OverStock]]*Table2[[#This Row],[RepCost]]</f>
        <v>260.1225</v>
      </c>
      <c r="O1461" s="25">
        <v>46114.597916666666</v>
      </c>
      <c r="P1461" s="26" t="s">
        <v>797</v>
      </c>
    </row>
    <row r="1462" spans="1:16" x14ac:dyDescent="0.25">
      <c r="A1462" s="20" t="s">
        <v>5211</v>
      </c>
      <c r="B1462" s="21">
        <v>714</v>
      </c>
      <c r="C1462" s="22" t="s">
        <v>1749</v>
      </c>
      <c r="D1462" s="22" t="s">
        <v>3568</v>
      </c>
      <c r="E1462" s="22" t="str">
        <f>CONCATENATE(B1462,D1462)</f>
        <v>71469236-103</v>
      </c>
      <c r="F1462" s="22" t="s">
        <v>3569</v>
      </c>
      <c r="G1462" s="22" t="s">
        <v>39</v>
      </c>
      <c r="H1462" s="23">
        <v>16.211400000000001</v>
      </c>
      <c r="I1462" s="24">
        <v>17</v>
      </c>
      <c r="J1462" s="24">
        <v>0</v>
      </c>
      <c r="K1462" s="24">
        <v>0</v>
      </c>
      <c r="L1462" s="41">
        <f>Table2[[#This Row],[Column1]]+Table2[[#This Row],[Column2]]</f>
        <v>0</v>
      </c>
      <c r="M1462" s="42">
        <f>Table2[[#This Row],[OnHandQty]]-Table2[[#This Row],[Projection Nov/Dec]]</f>
        <v>17</v>
      </c>
      <c r="N1462" s="35">
        <f>Table2[[#This Row],[OverStock]]*Table2[[#This Row],[RepCost]]</f>
        <v>275.59380000000004</v>
      </c>
      <c r="O1462" s="25">
        <v>46185.630555555559</v>
      </c>
      <c r="P1462" s="26" t="s">
        <v>1825</v>
      </c>
    </row>
    <row r="1463" spans="1:16" x14ac:dyDescent="0.25">
      <c r="A1463" s="20" t="s">
        <v>5211</v>
      </c>
      <c r="B1463" s="21">
        <v>714</v>
      </c>
      <c r="C1463" s="22" t="s">
        <v>1749</v>
      </c>
      <c r="D1463" s="22" t="s">
        <v>3566</v>
      </c>
      <c r="E1463" s="22" t="str">
        <f>CONCATENATE(B1463,D1463)</f>
        <v>71469236-105PREM</v>
      </c>
      <c r="F1463" s="22" t="s">
        <v>3567</v>
      </c>
      <c r="G1463" s="22" t="s">
        <v>29</v>
      </c>
      <c r="H1463" s="23">
        <v>44.4358</v>
      </c>
      <c r="I1463" s="24">
        <v>1</v>
      </c>
      <c r="J1463" s="24">
        <v>0</v>
      </c>
      <c r="K1463" s="24">
        <v>0</v>
      </c>
      <c r="L1463" s="41">
        <f>Table2[[#This Row],[Column1]]+Table2[[#This Row],[Column2]]</f>
        <v>0</v>
      </c>
      <c r="M1463" s="42">
        <f>Table2[[#This Row],[OnHandQty]]-Table2[[#This Row],[Projection Nov/Dec]]</f>
        <v>1</v>
      </c>
      <c r="N1463" s="35">
        <f>Table2[[#This Row],[OverStock]]*Table2[[#This Row],[RepCost]]</f>
        <v>44.4358</v>
      </c>
      <c r="O1463" s="25">
        <v>46151.379166666666</v>
      </c>
      <c r="P1463" s="26" t="s">
        <v>1062</v>
      </c>
    </row>
    <row r="1464" spans="1:16" x14ac:dyDescent="0.25">
      <c r="A1464" s="20" t="s">
        <v>5211</v>
      </c>
      <c r="B1464" s="21">
        <v>714</v>
      </c>
      <c r="C1464" s="22" t="s">
        <v>143</v>
      </c>
      <c r="D1464" s="22" t="s">
        <v>2579</v>
      </c>
      <c r="E1464" s="22" t="str">
        <f>CONCATENATE(B1464,D1464)</f>
        <v>71469276-310</v>
      </c>
      <c r="F1464" s="22" t="s">
        <v>2580</v>
      </c>
      <c r="G1464" s="22" t="s">
        <v>29</v>
      </c>
      <c r="H1464" s="23">
        <v>174.2979</v>
      </c>
      <c r="I1464" s="24">
        <v>4</v>
      </c>
      <c r="J1464" s="24">
        <v>0</v>
      </c>
      <c r="K1464" s="24">
        <v>0</v>
      </c>
      <c r="L1464" s="41">
        <f>Table2[[#This Row],[Column1]]+Table2[[#This Row],[Column2]]</f>
        <v>0</v>
      </c>
      <c r="M1464" s="42">
        <f>Table2[[#This Row],[OnHandQty]]-Table2[[#This Row],[Projection Nov/Dec]]</f>
        <v>4</v>
      </c>
      <c r="N1464" s="35">
        <f>Table2[[#This Row],[OverStock]]*Table2[[#This Row],[RepCost]]</f>
        <v>697.19159999999999</v>
      </c>
      <c r="O1464" s="25">
        <v>46111.479861111111</v>
      </c>
      <c r="P1464" s="26" t="s">
        <v>2225</v>
      </c>
    </row>
    <row r="1465" spans="1:16" x14ac:dyDescent="0.25">
      <c r="A1465" s="20" t="s">
        <v>5211</v>
      </c>
      <c r="B1465" s="21">
        <v>714</v>
      </c>
      <c r="C1465" s="22" t="s">
        <v>143</v>
      </c>
      <c r="D1465" s="22" t="s">
        <v>2557</v>
      </c>
      <c r="E1465" s="22" t="str">
        <f>CONCATENATE(B1465,D1465)</f>
        <v>71469276-236</v>
      </c>
      <c r="F1465" s="22" t="s">
        <v>2558</v>
      </c>
      <c r="G1465" s="22" t="s">
        <v>35</v>
      </c>
      <c r="H1465" s="23">
        <v>49</v>
      </c>
      <c r="I1465" s="24">
        <v>4</v>
      </c>
      <c r="J1465" s="24">
        <v>0</v>
      </c>
      <c r="K1465" s="24">
        <v>0</v>
      </c>
      <c r="L1465" s="41">
        <f>Table2[[#This Row],[Column1]]+Table2[[#This Row],[Column2]]</f>
        <v>0</v>
      </c>
      <c r="M1465" s="42">
        <f>Table2[[#This Row],[OnHandQty]]-Table2[[#This Row],[Projection Nov/Dec]]</f>
        <v>4</v>
      </c>
      <c r="N1465" s="35">
        <f>Table2[[#This Row],[OverStock]]*Table2[[#This Row],[RepCost]]</f>
        <v>196</v>
      </c>
      <c r="O1465" s="25">
        <v>45742.353472222225</v>
      </c>
      <c r="P1465" s="26" t="s">
        <v>2444</v>
      </c>
    </row>
    <row r="1466" spans="1:16" x14ac:dyDescent="0.25">
      <c r="A1466" s="20" t="s">
        <v>5211</v>
      </c>
      <c r="B1466" s="21">
        <v>714</v>
      </c>
      <c r="C1466" s="22" t="s">
        <v>143</v>
      </c>
      <c r="D1466" s="22" t="s">
        <v>2561</v>
      </c>
      <c r="E1466" s="22" t="str">
        <f>CONCATENATE(B1466,D1466)</f>
        <v>71469276-248</v>
      </c>
      <c r="F1466" s="22" t="s">
        <v>2562</v>
      </c>
      <c r="G1466" s="22" t="s">
        <v>35</v>
      </c>
      <c r="H1466" s="23">
        <v>75</v>
      </c>
      <c r="I1466" s="24">
        <v>3</v>
      </c>
      <c r="J1466" s="24">
        <v>0</v>
      </c>
      <c r="K1466" s="24">
        <v>0</v>
      </c>
      <c r="L1466" s="41">
        <f>Table2[[#This Row],[Column1]]+Table2[[#This Row],[Column2]]</f>
        <v>0</v>
      </c>
      <c r="M1466" s="42">
        <f>Table2[[#This Row],[OnHandQty]]-Table2[[#This Row],[Projection Nov/Dec]]</f>
        <v>3</v>
      </c>
      <c r="N1466" s="35">
        <f>Table2[[#This Row],[OverStock]]*Table2[[#This Row],[RepCost]]</f>
        <v>225</v>
      </c>
      <c r="O1466" s="25">
        <v>45742.353472222225</v>
      </c>
      <c r="P1466" s="26" t="s">
        <v>2444</v>
      </c>
    </row>
    <row r="1467" spans="1:16" x14ac:dyDescent="0.25">
      <c r="A1467" s="20" t="s">
        <v>5211</v>
      </c>
      <c r="B1467" s="21">
        <v>714</v>
      </c>
      <c r="C1467" s="22" t="s">
        <v>143</v>
      </c>
      <c r="D1467" s="22" t="s">
        <v>2442</v>
      </c>
      <c r="E1467" s="22" t="str">
        <f>CONCATENATE(B1467,D1467)</f>
        <v>71469276-306</v>
      </c>
      <c r="F1467" s="22" t="s">
        <v>2443</v>
      </c>
      <c r="G1467" s="22" t="s">
        <v>29</v>
      </c>
      <c r="H1467" s="23">
        <v>97.195599999999999</v>
      </c>
      <c r="I1467" s="24">
        <v>4</v>
      </c>
      <c r="J1467" s="24">
        <v>0</v>
      </c>
      <c r="K1467" s="24">
        <v>0</v>
      </c>
      <c r="L1467" s="41">
        <f>Table2[[#This Row],[Column1]]+Table2[[#This Row],[Column2]]</f>
        <v>0</v>
      </c>
      <c r="M1467" s="42">
        <f>Table2[[#This Row],[OnHandQty]]-Table2[[#This Row],[Projection Nov/Dec]]</f>
        <v>4</v>
      </c>
      <c r="N1467" s="35">
        <f>Table2[[#This Row],[OverStock]]*Table2[[#This Row],[RepCost]]</f>
        <v>388.7824</v>
      </c>
      <c r="O1467" s="25">
        <v>45742.353472222225</v>
      </c>
      <c r="P1467" s="26" t="s">
        <v>2444</v>
      </c>
    </row>
    <row r="1468" spans="1:16" x14ac:dyDescent="0.25">
      <c r="A1468" s="20" t="s">
        <v>5211</v>
      </c>
      <c r="B1468" s="21">
        <v>714</v>
      </c>
      <c r="C1468" s="22" t="s">
        <v>143</v>
      </c>
      <c r="D1468" s="22" t="s">
        <v>2284</v>
      </c>
      <c r="E1468" s="22" t="str">
        <f>CONCATENATE(B1468,D1468)</f>
        <v>71469276-107</v>
      </c>
      <c r="F1468" s="22" t="s">
        <v>2285</v>
      </c>
      <c r="G1468" s="22" t="s">
        <v>23</v>
      </c>
      <c r="H1468" s="23">
        <v>41.631500000000003</v>
      </c>
      <c r="I1468" s="24">
        <v>1</v>
      </c>
      <c r="J1468" s="24">
        <v>0</v>
      </c>
      <c r="K1468" s="24">
        <v>0</v>
      </c>
      <c r="L1468" s="41">
        <f>Table2[[#This Row],[Column1]]+Table2[[#This Row],[Column2]]</f>
        <v>0</v>
      </c>
      <c r="M1468" s="42">
        <f>Table2[[#This Row],[OnHandQty]]-Table2[[#This Row],[Projection Nov/Dec]]</f>
        <v>1</v>
      </c>
      <c r="N1468" s="35">
        <f>Table2[[#This Row],[OverStock]]*Table2[[#This Row],[RepCost]]</f>
        <v>41.631500000000003</v>
      </c>
      <c r="O1468" s="25">
        <v>46105.560416666667</v>
      </c>
      <c r="P1468" s="26" t="s">
        <v>216</v>
      </c>
    </row>
    <row r="1469" spans="1:16" x14ac:dyDescent="0.25">
      <c r="A1469" s="20" t="s">
        <v>5211</v>
      </c>
      <c r="B1469" s="21">
        <v>636</v>
      </c>
      <c r="C1469" s="22" t="s">
        <v>143</v>
      </c>
      <c r="D1469" s="22" t="s">
        <v>1074</v>
      </c>
      <c r="E1469" s="22" t="str">
        <f>CONCATENATE(B1469,D1469)</f>
        <v>63669286-103</v>
      </c>
      <c r="F1469" s="27" t="s">
        <v>1075</v>
      </c>
      <c r="G1469" s="27" t="s">
        <v>58</v>
      </c>
      <c r="H1469" s="23">
        <v>20.378399999999999</v>
      </c>
      <c r="I1469" s="24">
        <v>1</v>
      </c>
      <c r="J1469" s="24">
        <v>0</v>
      </c>
      <c r="K1469" s="24">
        <v>0</v>
      </c>
      <c r="L1469" s="41">
        <f>Table2[[#This Row],[Column1]]+Table2[[#This Row],[Column2]]</f>
        <v>0</v>
      </c>
      <c r="M1469" s="42">
        <f>Table2[[#This Row],[OnHandQty]]-Table2[[#This Row],[Projection Nov/Dec]]</f>
        <v>1</v>
      </c>
      <c r="N1469" s="35">
        <f>Table2[[#This Row],[OverStock]]*Table2[[#This Row],[RepCost]]</f>
        <v>20.378399999999999</v>
      </c>
      <c r="O1469" s="25">
        <v>45911.309027777781</v>
      </c>
      <c r="P1469" s="26" t="s">
        <v>140</v>
      </c>
    </row>
    <row r="1470" spans="1:16" x14ac:dyDescent="0.25">
      <c r="A1470" s="20" t="s">
        <v>5211</v>
      </c>
      <c r="B1470" s="21">
        <v>714</v>
      </c>
      <c r="C1470" s="22" t="s">
        <v>143</v>
      </c>
      <c r="D1470" s="22" t="s">
        <v>1074</v>
      </c>
      <c r="E1470" s="22" t="str">
        <f>CONCATENATE(B1470,D1470)</f>
        <v>71469286-103</v>
      </c>
      <c r="F1470" s="22" t="s">
        <v>1075</v>
      </c>
      <c r="G1470" s="22" t="s">
        <v>39</v>
      </c>
      <c r="H1470" s="23">
        <v>17.6526</v>
      </c>
      <c r="I1470" s="24">
        <v>4</v>
      </c>
      <c r="J1470" s="24">
        <v>0</v>
      </c>
      <c r="K1470" s="24">
        <v>0</v>
      </c>
      <c r="L1470" s="41">
        <f>Table2[[#This Row],[Column1]]+Table2[[#This Row],[Column2]]</f>
        <v>0</v>
      </c>
      <c r="M1470" s="42">
        <f>Table2[[#This Row],[OnHandQty]]-Table2[[#This Row],[Projection Nov/Dec]]</f>
        <v>4</v>
      </c>
      <c r="N1470" s="35">
        <f>Table2[[#This Row],[OverStock]]*Table2[[#This Row],[RepCost]]</f>
        <v>70.610399999999998</v>
      </c>
      <c r="O1470" s="25">
        <v>46177.484722222223</v>
      </c>
      <c r="P1470" s="26" t="s">
        <v>878</v>
      </c>
    </row>
    <row r="1471" spans="1:16" x14ac:dyDescent="0.25">
      <c r="A1471" s="20" t="s">
        <v>5211</v>
      </c>
      <c r="B1471" s="21">
        <v>718</v>
      </c>
      <c r="C1471" s="22" t="s">
        <v>143</v>
      </c>
      <c r="D1471" s="22" t="s">
        <v>1074</v>
      </c>
      <c r="E1471" s="22" t="str">
        <f>CONCATENATE(B1471,D1471)</f>
        <v>71869286-103</v>
      </c>
      <c r="F1471" s="22" t="s">
        <v>1075</v>
      </c>
      <c r="G1471" s="22" t="s">
        <v>29</v>
      </c>
      <c r="H1471" s="23">
        <v>18.722799999999999</v>
      </c>
      <c r="I1471" s="24">
        <v>20</v>
      </c>
      <c r="J1471" s="24">
        <v>0</v>
      </c>
      <c r="K1471" s="24">
        <v>0</v>
      </c>
      <c r="L1471" s="41">
        <f>Table2[[#This Row],[Column1]]+Table2[[#This Row],[Column2]]</f>
        <v>0</v>
      </c>
      <c r="M1471" s="42">
        <f>Table2[[#This Row],[OnHandQty]]-Table2[[#This Row],[Projection Nov/Dec]]</f>
        <v>20</v>
      </c>
      <c r="N1471" s="35">
        <f>Table2[[#This Row],[OverStock]]*Table2[[#This Row],[RepCost]]</f>
        <v>374.45600000000002</v>
      </c>
      <c r="O1471" s="25">
        <v>46190.647916666669</v>
      </c>
      <c r="P1471" s="26" t="s">
        <v>562</v>
      </c>
    </row>
    <row r="1472" spans="1:16" x14ac:dyDescent="0.25">
      <c r="A1472" s="20" t="s">
        <v>5211</v>
      </c>
      <c r="B1472" s="21">
        <v>714</v>
      </c>
      <c r="C1472" s="22" t="s">
        <v>143</v>
      </c>
      <c r="D1472" s="22" t="s">
        <v>2493</v>
      </c>
      <c r="E1472" s="22" t="str">
        <f>CONCATENATE(B1472,D1472)</f>
        <v>71469286-105</v>
      </c>
      <c r="F1472" s="22" t="s">
        <v>2494</v>
      </c>
      <c r="G1472" s="22" t="s">
        <v>23</v>
      </c>
      <c r="H1472" s="23">
        <v>30.275400000000001</v>
      </c>
      <c r="I1472" s="24">
        <v>2</v>
      </c>
      <c r="J1472" s="24">
        <v>0</v>
      </c>
      <c r="K1472" s="24">
        <v>0</v>
      </c>
      <c r="L1472" s="41">
        <f>Table2[[#This Row],[Column1]]+Table2[[#This Row],[Column2]]</f>
        <v>0</v>
      </c>
      <c r="M1472" s="42">
        <f>Table2[[#This Row],[OnHandQty]]-Table2[[#This Row],[Projection Nov/Dec]]</f>
        <v>2</v>
      </c>
      <c r="N1472" s="35">
        <f>Table2[[#This Row],[OverStock]]*Table2[[#This Row],[RepCost]]</f>
        <v>60.550800000000002</v>
      </c>
      <c r="O1472" s="25">
        <v>46198.477083333331</v>
      </c>
      <c r="P1472" s="26" t="s">
        <v>175</v>
      </c>
    </row>
    <row r="1473" spans="1:16" x14ac:dyDescent="0.25">
      <c r="A1473" s="20" t="s">
        <v>5211</v>
      </c>
      <c r="B1473" s="21">
        <v>714</v>
      </c>
      <c r="C1473" s="22" t="s">
        <v>12</v>
      </c>
      <c r="D1473" s="22" t="s">
        <v>1849</v>
      </c>
      <c r="E1473" s="22" t="str">
        <f>CONCATENATE(B1473,D1473)</f>
        <v>71479738-103</v>
      </c>
      <c r="F1473" s="22" t="s">
        <v>1850</v>
      </c>
      <c r="G1473" s="22" t="s">
        <v>29</v>
      </c>
      <c r="H1473" s="23">
        <v>8</v>
      </c>
      <c r="I1473" s="24">
        <v>31</v>
      </c>
      <c r="J1473" s="24">
        <v>0</v>
      </c>
      <c r="K1473" s="24">
        <v>0</v>
      </c>
      <c r="L1473" s="41">
        <f>Table2[[#This Row],[Column1]]+Table2[[#This Row],[Column2]]</f>
        <v>0</v>
      </c>
      <c r="M1473" s="42">
        <f>Table2[[#This Row],[OnHandQty]]-Table2[[#This Row],[Projection Nov/Dec]]</f>
        <v>31</v>
      </c>
      <c r="N1473" s="35">
        <f>Table2[[#This Row],[OverStock]]*Table2[[#This Row],[RepCost]]</f>
        <v>248</v>
      </c>
      <c r="O1473" s="25">
        <v>44679.68472222222</v>
      </c>
      <c r="P1473" s="26" t="s">
        <v>140</v>
      </c>
    </row>
    <row r="1474" spans="1:16" x14ac:dyDescent="0.25">
      <c r="A1474" s="20" t="s">
        <v>5211</v>
      </c>
      <c r="B1474" s="21">
        <v>636</v>
      </c>
      <c r="C1474" s="22" t="s">
        <v>1749</v>
      </c>
      <c r="D1474" s="22" t="s">
        <v>1782</v>
      </c>
      <c r="E1474" s="22" t="str">
        <f>CONCATENATE(B1474,D1474)</f>
        <v>63669394-101</v>
      </c>
      <c r="F1474" s="22" t="s">
        <v>1783</v>
      </c>
      <c r="G1474" s="22" t="s">
        <v>23</v>
      </c>
      <c r="H1474" s="23">
        <v>15.2151</v>
      </c>
      <c r="I1474" s="24">
        <v>15</v>
      </c>
      <c r="J1474" s="24">
        <v>0</v>
      </c>
      <c r="K1474" s="24">
        <v>0</v>
      </c>
      <c r="L1474" s="41">
        <f>Table2[[#This Row],[Column1]]+Table2[[#This Row],[Column2]]</f>
        <v>0</v>
      </c>
      <c r="M1474" s="42">
        <f>Table2[[#This Row],[OnHandQty]]-Table2[[#This Row],[Projection Nov/Dec]]</f>
        <v>15</v>
      </c>
      <c r="N1474" s="35">
        <f>Table2[[#This Row],[OverStock]]*Table2[[#This Row],[RepCost]]</f>
        <v>228.22649999999999</v>
      </c>
      <c r="O1474" s="25">
        <v>46177.431250000001</v>
      </c>
      <c r="P1474" s="26" t="s">
        <v>652</v>
      </c>
    </row>
    <row r="1475" spans="1:16" x14ac:dyDescent="0.25">
      <c r="A1475" s="20" t="s">
        <v>5211</v>
      </c>
      <c r="B1475" s="21">
        <v>714</v>
      </c>
      <c r="C1475" s="22" t="s">
        <v>70</v>
      </c>
      <c r="D1475" s="22" t="s">
        <v>2170</v>
      </c>
      <c r="E1475" s="22" t="str">
        <f>CONCATENATE(B1475,D1475)</f>
        <v>71484940-101</v>
      </c>
      <c r="F1475" s="22" t="s">
        <v>2171</v>
      </c>
      <c r="G1475" s="22" t="s">
        <v>112</v>
      </c>
      <c r="H1475" s="23">
        <v>7.3357000000000001</v>
      </c>
      <c r="I1475" s="24">
        <v>57</v>
      </c>
      <c r="J1475" s="24">
        <v>0</v>
      </c>
      <c r="K1475" s="24">
        <v>0</v>
      </c>
      <c r="L1475" s="41">
        <f>Table2[[#This Row],[Column1]]+Table2[[#This Row],[Column2]]</f>
        <v>0</v>
      </c>
      <c r="M1475" s="42">
        <f>Table2[[#This Row],[OnHandQty]]-Table2[[#This Row],[Projection Nov/Dec]]</f>
        <v>57</v>
      </c>
      <c r="N1475" s="35">
        <f>Table2[[#This Row],[OverStock]]*Table2[[#This Row],[RepCost]]</f>
        <v>418.13490000000002</v>
      </c>
      <c r="O1475" s="25">
        <v>46198.40902777778</v>
      </c>
      <c r="P1475" s="26" t="s">
        <v>573</v>
      </c>
    </row>
    <row r="1476" spans="1:16" x14ac:dyDescent="0.25">
      <c r="A1476" s="20" t="s">
        <v>5211</v>
      </c>
      <c r="B1476" s="21">
        <v>714</v>
      </c>
      <c r="C1476" s="22" t="s">
        <v>70</v>
      </c>
      <c r="D1476" s="22" t="s">
        <v>2172</v>
      </c>
      <c r="E1476" s="22" t="str">
        <f>CONCATENATE(B1476,D1476)</f>
        <v>71469405-102</v>
      </c>
      <c r="F1476" s="22" t="s">
        <v>2173</v>
      </c>
      <c r="G1476" s="22" t="s">
        <v>43</v>
      </c>
      <c r="H1476" s="23">
        <v>6.3441999999999998</v>
      </c>
      <c r="I1476" s="24">
        <v>30</v>
      </c>
      <c r="J1476" s="24">
        <v>10</v>
      </c>
      <c r="K1476" s="24">
        <v>0</v>
      </c>
      <c r="L1476" s="41">
        <f>Table2[[#This Row],[Column1]]+Table2[[#This Row],[Column2]]</f>
        <v>10</v>
      </c>
      <c r="M1476" s="42">
        <f>Table2[[#This Row],[OnHandQty]]-Table2[[#This Row],[Projection Nov/Dec]]</f>
        <v>20</v>
      </c>
      <c r="N1476" s="35">
        <f>Table2[[#This Row],[OverStock]]*Table2[[#This Row],[RepCost]]</f>
        <v>126.884</v>
      </c>
      <c r="O1476" s="25">
        <v>46193.431250000001</v>
      </c>
      <c r="P1476" s="26" t="s">
        <v>26</v>
      </c>
    </row>
    <row r="1477" spans="1:16" x14ac:dyDescent="0.25">
      <c r="A1477" s="20" t="s">
        <v>5211</v>
      </c>
      <c r="B1477" s="21">
        <v>718</v>
      </c>
      <c r="C1477" s="22" t="s">
        <v>70</v>
      </c>
      <c r="D1477" s="22" t="s">
        <v>2172</v>
      </c>
      <c r="E1477" s="22" t="str">
        <f>CONCATENATE(B1477,D1477)</f>
        <v>71869405-102</v>
      </c>
      <c r="F1477" s="22" t="s">
        <v>2173</v>
      </c>
      <c r="G1477" s="22" t="s">
        <v>39</v>
      </c>
      <c r="H1477" s="23">
        <v>6.4587000000000003</v>
      </c>
      <c r="I1477" s="24">
        <v>25</v>
      </c>
      <c r="J1477" s="24">
        <v>10</v>
      </c>
      <c r="K1477" s="24">
        <v>0</v>
      </c>
      <c r="L1477" s="41">
        <f>Table2[[#This Row],[Column1]]+Table2[[#This Row],[Column2]]</f>
        <v>10</v>
      </c>
      <c r="M1477" s="42">
        <f>Table2[[#This Row],[OnHandQty]]-Table2[[#This Row],[Projection Nov/Dec]]</f>
        <v>15</v>
      </c>
      <c r="N1477" s="35">
        <f>Table2[[#This Row],[OverStock]]*Table2[[#This Row],[RepCost]]</f>
        <v>96.880500000000012</v>
      </c>
      <c r="O1477" s="25">
        <v>46213.567361111112</v>
      </c>
      <c r="P1477" s="26" t="s">
        <v>26</v>
      </c>
    </row>
    <row r="1478" spans="1:16" x14ac:dyDescent="0.25">
      <c r="A1478" s="20" t="s">
        <v>5211</v>
      </c>
      <c r="B1478" s="21">
        <v>718</v>
      </c>
      <c r="C1478" s="22" t="s">
        <v>70</v>
      </c>
      <c r="D1478" s="22" t="s">
        <v>3691</v>
      </c>
      <c r="E1478" s="22" t="str">
        <f>CONCATENATE(B1478,D1478)</f>
        <v>71869405-SP4</v>
      </c>
      <c r="F1478" s="22" t="s">
        <v>3692</v>
      </c>
      <c r="G1478" s="22" t="s">
        <v>29</v>
      </c>
      <c r="H1478" s="23">
        <v>4.1432000000000002</v>
      </c>
      <c r="I1478" s="24">
        <v>16</v>
      </c>
      <c r="J1478" s="24">
        <v>0</v>
      </c>
      <c r="K1478" s="24">
        <v>0</v>
      </c>
      <c r="L1478" s="41">
        <f>Table2[[#This Row],[Column1]]+Table2[[#This Row],[Column2]]</f>
        <v>0</v>
      </c>
      <c r="M1478" s="42">
        <f>Table2[[#This Row],[OnHandQty]]-Table2[[#This Row],[Projection Nov/Dec]]</f>
        <v>16</v>
      </c>
      <c r="N1478" s="35">
        <f>Table2[[#This Row],[OverStock]]*Table2[[#This Row],[RepCost]]</f>
        <v>66.291200000000003</v>
      </c>
      <c r="O1478" s="25">
        <v>46149.466666666667</v>
      </c>
      <c r="P1478" s="26" t="s">
        <v>16</v>
      </c>
    </row>
    <row r="1479" spans="1:16" x14ac:dyDescent="0.25">
      <c r="A1479" s="20" t="s">
        <v>5211</v>
      </c>
      <c r="B1479" s="21">
        <v>718</v>
      </c>
      <c r="C1479" s="22" t="s">
        <v>70</v>
      </c>
      <c r="D1479" s="22" t="s">
        <v>3677</v>
      </c>
      <c r="E1479" s="22" t="str">
        <f>CONCATENATE(B1479,D1479)</f>
        <v>71869407-102</v>
      </c>
      <c r="F1479" s="22" t="s">
        <v>3678</v>
      </c>
      <c r="G1479" s="22" t="s">
        <v>112</v>
      </c>
      <c r="H1479" s="23">
        <v>8.0454000000000008</v>
      </c>
      <c r="I1479" s="24">
        <v>12</v>
      </c>
      <c r="J1479" s="24">
        <v>0</v>
      </c>
      <c r="K1479" s="24">
        <v>0</v>
      </c>
      <c r="L1479" s="41">
        <f>Table2[[#This Row],[Column1]]+Table2[[#This Row],[Column2]]</f>
        <v>0</v>
      </c>
      <c r="M1479" s="42">
        <f>Table2[[#This Row],[OnHandQty]]-Table2[[#This Row],[Projection Nov/Dec]]</f>
        <v>12</v>
      </c>
      <c r="N1479" s="35">
        <f>Table2[[#This Row],[OverStock]]*Table2[[#This Row],[RepCost]]</f>
        <v>96.544800000000009</v>
      </c>
      <c r="O1479" s="25">
        <v>46246.392361111109</v>
      </c>
      <c r="P1479" s="26" t="s">
        <v>40</v>
      </c>
    </row>
    <row r="1480" spans="1:16" x14ac:dyDescent="0.25">
      <c r="A1480" s="20" t="s">
        <v>5211</v>
      </c>
      <c r="B1480" s="21">
        <v>714</v>
      </c>
      <c r="C1480" s="22" t="s">
        <v>70</v>
      </c>
      <c r="D1480" s="22" t="s">
        <v>115</v>
      </c>
      <c r="E1480" s="22" t="str">
        <f>CONCATENATE(B1480,D1480)</f>
        <v>71469406-102</v>
      </c>
      <c r="F1480" s="22" t="s">
        <v>116</v>
      </c>
      <c r="G1480" s="22" t="s">
        <v>35</v>
      </c>
      <c r="H1480" s="23">
        <v>6.234</v>
      </c>
      <c r="I1480" s="24">
        <v>2</v>
      </c>
      <c r="J1480" s="24">
        <v>0</v>
      </c>
      <c r="K1480" s="24">
        <v>0</v>
      </c>
      <c r="L1480" s="41">
        <f>Table2[[#This Row],[Column1]]+Table2[[#This Row],[Column2]]</f>
        <v>0</v>
      </c>
      <c r="M1480" s="42">
        <f>Table2[[#This Row],[OnHandQty]]-Table2[[#This Row],[Projection Nov/Dec]]</f>
        <v>2</v>
      </c>
      <c r="N1480" s="35">
        <f>Table2[[#This Row],[OverStock]]*Table2[[#This Row],[RepCost]]</f>
        <v>12.468</v>
      </c>
      <c r="O1480" s="25">
        <v>45776.404166666667</v>
      </c>
      <c r="P1480" s="26" t="s">
        <v>26</v>
      </c>
    </row>
    <row r="1481" spans="1:16" x14ac:dyDescent="0.25">
      <c r="A1481" s="20" t="s">
        <v>5211</v>
      </c>
      <c r="B1481" s="21">
        <v>634</v>
      </c>
      <c r="C1481" s="22" t="s">
        <v>70</v>
      </c>
      <c r="D1481" s="22" t="s">
        <v>115</v>
      </c>
      <c r="E1481" s="22" t="str">
        <f>CONCATENATE(B1481,D1481)</f>
        <v>63469406-102</v>
      </c>
      <c r="F1481" s="22" t="s">
        <v>116</v>
      </c>
      <c r="G1481" s="22" t="s">
        <v>23</v>
      </c>
      <c r="H1481" s="23">
        <v>7.0834999999999999</v>
      </c>
      <c r="I1481" s="24">
        <v>20</v>
      </c>
      <c r="J1481" s="24">
        <v>0</v>
      </c>
      <c r="K1481" s="24">
        <v>0</v>
      </c>
      <c r="L1481" s="41">
        <f>Table2[[#This Row],[Column1]]+Table2[[#This Row],[Column2]]</f>
        <v>0</v>
      </c>
      <c r="M1481" s="42">
        <f>Table2[[#This Row],[OnHandQty]]-Table2[[#This Row],[Projection Nov/Dec]]</f>
        <v>20</v>
      </c>
      <c r="N1481" s="35">
        <f>Table2[[#This Row],[OverStock]]*Table2[[#This Row],[RepCost]]</f>
        <v>141.66999999999999</v>
      </c>
      <c r="O1481" s="25">
        <v>46237.726388888892</v>
      </c>
      <c r="P1481" s="26" t="s">
        <v>26</v>
      </c>
    </row>
    <row r="1482" spans="1:16" x14ac:dyDescent="0.25">
      <c r="A1482" s="20" t="s">
        <v>5211</v>
      </c>
      <c r="B1482" s="21">
        <v>718</v>
      </c>
      <c r="C1482" s="22" t="s">
        <v>70</v>
      </c>
      <c r="D1482" s="22" t="s">
        <v>115</v>
      </c>
      <c r="E1482" s="22" t="str">
        <f>CONCATENATE(B1482,D1482)</f>
        <v>71869406-102</v>
      </c>
      <c r="F1482" s="22" t="s">
        <v>116</v>
      </c>
      <c r="G1482" s="22" t="s">
        <v>112</v>
      </c>
      <c r="H1482" s="23">
        <v>6.6551999999999998</v>
      </c>
      <c r="I1482" s="24">
        <v>12</v>
      </c>
      <c r="J1482" s="24">
        <v>0</v>
      </c>
      <c r="K1482" s="24">
        <v>0</v>
      </c>
      <c r="L1482" s="41">
        <f>Table2[[#This Row],[Column1]]+Table2[[#This Row],[Column2]]</f>
        <v>0</v>
      </c>
      <c r="M1482" s="42">
        <f>Table2[[#This Row],[OnHandQty]]-Table2[[#This Row],[Projection Nov/Dec]]</f>
        <v>12</v>
      </c>
      <c r="N1482" s="35">
        <f>Table2[[#This Row],[OverStock]]*Table2[[#This Row],[RepCost]]</f>
        <v>79.862399999999994</v>
      </c>
      <c r="O1482" s="25">
        <v>46241.365277777775</v>
      </c>
      <c r="P1482" s="26" t="s">
        <v>26</v>
      </c>
    </row>
    <row r="1483" spans="1:16" x14ac:dyDescent="0.25">
      <c r="A1483" s="20" t="s">
        <v>5211</v>
      </c>
      <c r="B1483" s="21">
        <v>718</v>
      </c>
      <c r="C1483" s="22" t="s">
        <v>70</v>
      </c>
      <c r="D1483" s="22" t="s">
        <v>2101</v>
      </c>
      <c r="E1483" s="22" t="str">
        <f>CONCATENATE(B1483,D1483)</f>
        <v>71882187-102</v>
      </c>
      <c r="F1483" s="22" t="s">
        <v>2102</v>
      </c>
      <c r="G1483" s="22" t="s">
        <v>29</v>
      </c>
      <c r="H1483" s="23">
        <v>6.4473000000000003</v>
      </c>
      <c r="I1483" s="24">
        <v>26</v>
      </c>
      <c r="J1483" s="24">
        <v>6</v>
      </c>
      <c r="K1483" s="24">
        <v>0</v>
      </c>
      <c r="L1483" s="41">
        <f>Table2[[#This Row],[Column1]]+Table2[[#This Row],[Column2]]</f>
        <v>6</v>
      </c>
      <c r="M1483" s="42">
        <f>Table2[[#This Row],[OnHandQty]]-Table2[[#This Row],[Projection Nov/Dec]]</f>
        <v>20</v>
      </c>
      <c r="N1483" s="35">
        <f>Table2[[#This Row],[OverStock]]*Table2[[#This Row],[RepCost]]</f>
        <v>128.946</v>
      </c>
      <c r="O1483" s="25">
        <v>46213.567361111112</v>
      </c>
      <c r="P1483" s="26" t="s">
        <v>26</v>
      </c>
    </row>
    <row r="1484" spans="1:16" x14ac:dyDescent="0.25">
      <c r="A1484" s="20" t="s">
        <v>5211</v>
      </c>
      <c r="B1484" s="21">
        <v>714</v>
      </c>
      <c r="C1484" s="22" t="s">
        <v>70</v>
      </c>
      <c r="D1484" s="22" t="s">
        <v>2145</v>
      </c>
      <c r="E1484" s="22" t="str">
        <f>CONCATENATE(B1484,D1484)</f>
        <v>71469410-SP4</v>
      </c>
      <c r="F1484" s="22" t="s">
        <v>2146</v>
      </c>
      <c r="G1484" s="22" t="s">
        <v>39</v>
      </c>
      <c r="H1484" s="23">
        <v>4.8959000000000001</v>
      </c>
      <c r="I1484" s="24">
        <v>35</v>
      </c>
      <c r="J1484" s="24">
        <v>0</v>
      </c>
      <c r="K1484" s="24">
        <v>0</v>
      </c>
      <c r="L1484" s="41">
        <f>Table2[[#This Row],[Column1]]+Table2[[#This Row],[Column2]]</f>
        <v>0</v>
      </c>
      <c r="M1484" s="42">
        <f>Table2[[#This Row],[OnHandQty]]-Table2[[#This Row],[Projection Nov/Dec]]</f>
        <v>35</v>
      </c>
      <c r="N1484" s="35">
        <f>Table2[[#This Row],[OverStock]]*Table2[[#This Row],[RepCost]]</f>
        <v>171.35650000000001</v>
      </c>
      <c r="O1484" s="25">
        <v>46165.525000000001</v>
      </c>
      <c r="P1484" s="26" t="s">
        <v>16</v>
      </c>
    </row>
    <row r="1485" spans="1:16" x14ac:dyDescent="0.25">
      <c r="A1485" s="20" t="s">
        <v>5211</v>
      </c>
      <c r="B1485" s="21">
        <v>636</v>
      </c>
      <c r="C1485" s="22" t="s">
        <v>70</v>
      </c>
      <c r="D1485" s="22" t="s">
        <v>597</v>
      </c>
      <c r="E1485" s="22" t="str">
        <f>CONCATENATE(B1485,D1485)</f>
        <v>63669423-HB0010</v>
      </c>
      <c r="F1485" s="22" t="s">
        <v>598</v>
      </c>
      <c r="G1485" s="22" t="s">
        <v>43</v>
      </c>
      <c r="H1485" s="23">
        <v>17.191199999999998</v>
      </c>
      <c r="I1485" s="24">
        <v>14</v>
      </c>
      <c r="J1485" s="24">
        <v>0</v>
      </c>
      <c r="K1485" s="24">
        <v>0</v>
      </c>
      <c r="L1485" s="41">
        <f>Table2[[#This Row],[Column1]]+Table2[[#This Row],[Column2]]</f>
        <v>0</v>
      </c>
      <c r="M1485" s="42">
        <f>Table2[[#This Row],[OnHandQty]]-Table2[[#This Row],[Projection Nov/Dec]]</f>
        <v>14</v>
      </c>
      <c r="N1485" s="35">
        <f>Table2[[#This Row],[OverStock]]*Table2[[#This Row],[RepCost]]</f>
        <v>240.67679999999999</v>
      </c>
      <c r="O1485" s="25">
        <v>46181.29583333333</v>
      </c>
      <c r="P1485" s="26" t="s">
        <v>599</v>
      </c>
    </row>
    <row r="1486" spans="1:16" x14ac:dyDescent="0.25">
      <c r="A1486" s="20" t="s">
        <v>5211</v>
      </c>
      <c r="B1486" s="21">
        <v>636</v>
      </c>
      <c r="C1486" s="22" t="s">
        <v>70</v>
      </c>
      <c r="D1486" s="22" t="s">
        <v>839</v>
      </c>
      <c r="E1486" s="22" t="str">
        <f>CONCATENATE(B1486,D1486)</f>
        <v>63682621-0010</v>
      </c>
      <c r="F1486" s="22" t="s">
        <v>840</v>
      </c>
      <c r="G1486" s="22" t="s">
        <v>112</v>
      </c>
      <c r="H1486" s="23">
        <v>10.9922</v>
      </c>
      <c r="I1486" s="24">
        <v>22</v>
      </c>
      <c r="J1486" s="24">
        <v>0</v>
      </c>
      <c r="K1486" s="24">
        <v>0</v>
      </c>
      <c r="L1486" s="41">
        <f>Table2[[#This Row],[Column1]]+Table2[[#This Row],[Column2]]</f>
        <v>0</v>
      </c>
      <c r="M1486" s="42">
        <f>Table2[[#This Row],[OnHandQty]]-Table2[[#This Row],[Projection Nov/Dec]]</f>
        <v>22</v>
      </c>
      <c r="N1486" s="35">
        <f>Table2[[#This Row],[OverStock]]*Table2[[#This Row],[RepCost]]</f>
        <v>241.82840000000002</v>
      </c>
      <c r="O1486" s="25">
        <v>46135.595833333333</v>
      </c>
      <c r="P1486" s="26" t="s">
        <v>599</v>
      </c>
    </row>
    <row r="1487" spans="1:16" x14ac:dyDescent="0.25">
      <c r="A1487" s="20" t="s">
        <v>5211</v>
      </c>
      <c r="B1487" s="21">
        <v>636</v>
      </c>
      <c r="C1487" s="22" t="s">
        <v>70</v>
      </c>
      <c r="D1487" s="22" t="s">
        <v>723</v>
      </c>
      <c r="E1487" s="22" t="str">
        <f>CONCATENATE(B1487,D1487)</f>
        <v>63682621-0014</v>
      </c>
      <c r="F1487" s="22" t="s">
        <v>724</v>
      </c>
      <c r="G1487" s="22" t="s">
        <v>112</v>
      </c>
      <c r="H1487" s="23">
        <v>32.500799999999998</v>
      </c>
      <c r="I1487" s="24">
        <v>1</v>
      </c>
      <c r="J1487" s="24">
        <v>0</v>
      </c>
      <c r="K1487" s="24">
        <v>0</v>
      </c>
      <c r="L1487" s="41">
        <f>Table2[[#This Row],[Column1]]+Table2[[#This Row],[Column2]]</f>
        <v>0</v>
      </c>
      <c r="M1487" s="42">
        <f>Table2[[#This Row],[OnHandQty]]-Table2[[#This Row],[Projection Nov/Dec]]</f>
        <v>1</v>
      </c>
      <c r="N1487" s="35">
        <f>Table2[[#This Row],[OverStock]]*Table2[[#This Row],[RepCost]]</f>
        <v>32.500799999999998</v>
      </c>
      <c r="O1487" s="25">
        <v>46135.595833333333</v>
      </c>
      <c r="P1487" s="26" t="s">
        <v>599</v>
      </c>
    </row>
    <row r="1488" spans="1:16" x14ac:dyDescent="0.25">
      <c r="A1488" s="20" t="s">
        <v>5211</v>
      </c>
      <c r="B1488" s="21">
        <v>714</v>
      </c>
      <c r="C1488" s="22" t="s">
        <v>70</v>
      </c>
      <c r="D1488" s="22" t="s">
        <v>2103</v>
      </c>
      <c r="E1488" s="22" t="str">
        <f>CONCATENATE(B1488,D1488)</f>
        <v>71482621-006</v>
      </c>
      <c r="F1488" s="22" t="s">
        <v>2104</v>
      </c>
      <c r="G1488" s="22" t="s">
        <v>39</v>
      </c>
      <c r="H1488" s="23">
        <v>6.1222000000000003</v>
      </c>
      <c r="I1488" s="24">
        <v>2</v>
      </c>
      <c r="J1488" s="24">
        <v>0</v>
      </c>
      <c r="K1488" s="24">
        <v>0</v>
      </c>
      <c r="L1488" s="41">
        <f>Table2[[#This Row],[Column1]]+Table2[[#This Row],[Column2]]</f>
        <v>0</v>
      </c>
      <c r="M1488" s="42">
        <f>Table2[[#This Row],[OnHandQty]]-Table2[[#This Row],[Projection Nov/Dec]]</f>
        <v>2</v>
      </c>
      <c r="N1488" s="35">
        <f>Table2[[#This Row],[OverStock]]*Table2[[#This Row],[RepCost]]</f>
        <v>12.244400000000001</v>
      </c>
      <c r="O1488" s="25">
        <v>46148.615972222222</v>
      </c>
      <c r="P1488" s="26" t="s">
        <v>542</v>
      </c>
    </row>
    <row r="1489" spans="1:16" x14ac:dyDescent="0.25">
      <c r="A1489" s="20" t="s">
        <v>5211</v>
      </c>
      <c r="B1489" s="21">
        <v>636</v>
      </c>
      <c r="C1489" s="22" t="s">
        <v>143</v>
      </c>
      <c r="D1489" s="22" t="s">
        <v>1019</v>
      </c>
      <c r="E1489" s="22" t="str">
        <f>CONCATENATE(B1489,D1489)</f>
        <v>63669433-STD0010</v>
      </c>
      <c r="F1489" s="22" t="s">
        <v>1020</v>
      </c>
      <c r="G1489" s="22" t="s">
        <v>39</v>
      </c>
      <c r="H1489" s="23">
        <v>21.125499999999999</v>
      </c>
      <c r="I1489" s="24">
        <v>2</v>
      </c>
      <c r="J1489" s="24">
        <v>0</v>
      </c>
      <c r="K1489" s="24">
        <v>0</v>
      </c>
      <c r="L1489" s="41">
        <f>Table2[[#This Row],[Column1]]+Table2[[#This Row],[Column2]]</f>
        <v>0</v>
      </c>
      <c r="M1489" s="42">
        <f>Table2[[#This Row],[OnHandQty]]-Table2[[#This Row],[Projection Nov/Dec]]</f>
        <v>2</v>
      </c>
      <c r="N1489" s="35">
        <f>Table2[[#This Row],[OverStock]]*Table2[[#This Row],[RepCost]]</f>
        <v>42.250999999999998</v>
      </c>
      <c r="O1489" s="25">
        <v>46135.595833333333</v>
      </c>
      <c r="P1489" s="26" t="s">
        <v>599</v>
      </c>
    </row>
    <row r="1490" spans="1:16" x14ac:dyDescent="0.25">
      <c r="A1490" s="20" t="s">
        <v>5211</v>
      </c>
      <c r="B1490" s="21">
        <v>634</v>
      </c>
      <c r="C1490" s="22" t="s">
        <v>70</v>
      </c>
      <c r="D1490" s="22" t="s">
        <v>108</v>
      </c>
      <c r="E1490" s="22" t="str">
        <f>CONCATENATE(B1490,D1490)</f>
        <v>63469460-102</v>
      </c>
      <c r="F1490" s="22" t="s">
        <v>109</v>
      </c>
      <c r="G1490" s="22" t="s">
        <v>39</v>
      </c>
      <c r="H1490" s="23">
        <v>7.4497</v>
      </c>
      <c r="I1490" s="24">
        <v>9</v>
      </c>
      <c r="J1490" s="24">
        <v>6</v>
      </c>
      <c r="K1490" s="24">
        <v>0</v>
      </c>
      <c r="L1490" s="41">
        <f>Table2[[#This Row],[Column1]]+Table2[[#This Row],[Column2]]</f>
        <v>6</v>
      </c>
      <c r="M1490" s="42">
        <f>Table2[[#This Row],[OnHandQty]]-Table2[[#This Row],[Projection Nov/Dec]]</f>
        <v>3</v>
      </c>
      <c r="N1490" s="35">
        <f>Table2[[#This Row],[OverStock]]*Table2[[#This Row],[RepCost]]</f>
        <v>22.3491</v>
      </c>
      <c r="O1490" s="25">
        <v>46225.354166666664</v>
      </c>
      <c r="P1490" s="26" t="s">
        <v>40</v>
      </c>
    </row>
    <row r="1491" spans="1:16" x14ac:dyDescent="0.25">
      <c r="A1491" s="20" t="s">
        <v>5211</v>
      </c>
      <c r="B1491" s="21">
        <v>636</v>
      </c>
      <c r="C1491" s="22" t="s">
        <v>858</v>
      </c>
      <c r="D1491" s="22" t="s">
        <v>859</v>
      </c>
      <c r="E1491" s="22" t="str">
        <f>CONCATENATE(B1491,D1491)</f>
        <v>636RACK-0001</v>
      </c>
      <c r="F1491" s="22" t="s">
        <v>860</v>
      </c>
      <c r="G1491" s="22" t="s">
        <v>29</v>
      </c>
      <c r="H1491" s="23">
        <v>0</v>
      </c>
      <c r="I1491" s="24">
        <v>2</v>
      </c>
      <c r="J1491" s="24">
        <v>0</v>
      </c>
      <c r="K1491" s="24">
        <v>0</v>
      </c>
      <c r="L1491" s="41">
        <f>Table2[[#This Row],[Column1]]+Table2[[#This Row],[Column2]]</f>
        <v>0</v>
      </c>
      <c r="M1491" s="42">
        <f>Table2[[#This Row],[OnHandQty]]-Table2[[#This Row],[Projection Nov/Dec]]</f>
        <v>2</v>
      </c>
      <c r="N1491" s="35">
        <f>Table2[[#This Row],[OverStock]]*Table2[[#This Row],[RepCost]]</f>
        <v>0</v>
      </c>
      <c r="O1491" s="25">
        <v>46134.359722222223</v>
      </c>
      <c r="P1491" s="26" t="s">
        <v>140</v>
      </c>
    </row>
    <row r="1492" spans="1:16" x14ac:dyDescent="0.25">
      <c r="A1492" s="20" t="s">
        <v>5211</v>
      </c>
      <c r="B1492" s="21">
        <v>714</v>
      </c>
      <c r="C1492" s="22" t="s">
        <v>858</v>
      </c>
      <c r="D1492" s="22" t="s">
        <v>859</v>
      </c>
      <c r="E1492" s="22" t="str">
        <f>CONCATENATE(B1492,D1492)</f>
        <v>714RACK-0001</v>
      </c>
      <c r="F1492" s="22" t="s">
        <v>860</v>
      </c>
      <c r="G1492" s="22" t="s">
        <v>29</v>
      </c>
      <c r="H1492" s="23">
        <v>0</v>
      </c>
      <c r="I1492" s="24">
        <v>4</v>
      </c>
      <c r="J1492" s="24">
        <v>0</v>
      </c>
      <c r="K1492" s="24">
        <v>0</v>
      </c>
      <c r="L1492" s="41">
        <f>Table2[[#This Row],[Column1]]+Table2[[#This Row],[Column2]]</f>
        <v>0</v>
      </c>
      <c r="M1492" s="42">
        <f>Table2[[#This Row],[OnHandQty]]-Table2[[#This Row],[Projection Nov/Dec]]</f>
        <v>4</v>
      </c>
      <c r="N1492" s="35">
        <f>Table2[[#This Row],[OverStock]]*Table2[[#This Row],[RepCost]]</f>
        <v>0</v>
      </c>
      <c r="O1492" s="25">
        <v>46162.604861111111</v>
      </c>
      <c r="P1492" s="26" t="s">
        <v>1825</v>
      </c>
    </row>
    <row r="1493" spans="1:16" x14ac:dyDescent="0.25">
      <c r="A1493" s="20" t="s">
        <v>5211</v>
      </c>
      <c r="B1493" s="21">
        <v>634</v>
      </c>
      <c r="C1493" s="22" t="s">
        <v>323</v>
      </c>
      <c r="D1493" s="22" t="s">
        <v>414</v>
      </c>
      <c r="E1493" s="22" t="str">
        <f>CONCATENATE(B1493,D1493)</f>
        <v>63469623-025</v>
      </c>
      <c r="F1493" s="27" t="s">
        <v>415</v>
      </c>
      <c r="G1493" s="27" t="s">
        <v>58</v>
      </c>
      <c r="H1493" s="23">
        <v>241.94409999999999</v>
      </c>
      <c r="I1493" s="24">
        <v>1</v>
      </c>
      <c r="J1493" s="24">
        <v>0</v>
      </c>
      <c r="K1493" s="24">
        <v>0</v>
      </c>
      <c r="L1493" s="41">
        <f>Table2[[#This Row],[Column1]]+Table2[[#This Row],[Column2]]</f>
        <v>0</v>
      </c>
      <c r="M1493" s="42">
        <f>Table2[[#This Row],[OnHandQty]]-Table2[[#This Row],[Projection Nov/Dec]]</f>
        <v>1</v>
      </c>
      <c r="N1493" s="35">
        <f>Table2[[#This Row],[OverStock]]*Table2[[#This Row],[RepCost]]</f>
        <v>241.94409999999999</v>
      </c>
      <c r="O1493" s="25">
        <v>45366.492361111108</v>
      </c>
      <c r="P1493" s="26" t="s">
        <v>151</v>
      </c>
    </row>
    <row r="1494" spans="1:16" x14ac:dyDescent="0.25">
      <c r="A1494" s="20" t="s">
        <v>5211</v>
      </c>
      <c r="B1494" s="21">
        <v>634</v>
      </c>
      <c r="C1494" s="22" t="s">
        <v>323</v>
      </c>
      <c r="D1494" s="22" t="s">
        <v>335</v>
      </c>
      <c r="E1494" s="22" t="str">
        <f>CONCATENATE(B1494,D1494)</f>
        <v>63469623-030</v>
      </c>
      <c r="F1494" s="22" t="s">
        <v>336</v>
      </c>
      <c r="G1494" s="22" t="s">
        <v>29</v>
      </c>
      <c r="H1494" s="23">
        <v>331.78140000000002</v>
      </c>
      <c r="I1494" s="24">
        <v>3</v>
      </c>
      <c r="J1494" s="24">
        <v>0</v>
      </c>
      <c r="K1494" s="24">
        <v>0</v>
      </c>
      <c r="L1494" s="41">
        <f>Table2[[#This Row],[Column1]]+Table2[[#This Row],[Column2]]</f>
        <v>0</v>
      </c>
      <c r="M1494" s="42">
        <f>Table2[[#This Row],[OnHandQty]]-Table2[[#This Row],[Projection Nov/Dec]]</f>
        <v>3</v>
      </c>
      <c r="N1494" s="35">
        <f>Table2[[#This Row],[OverStock]]*Table2[[#This Row],[RepCost]]</f>
        <v>995.3442</v>
      </c>
      <c r="O1494" s="25">
        <v>46080.504166666666</v>
      </c>
      <c r="P1494" s="26" t="s">
        <v>151</v>
      </c>
    </row>
    <row r="1495" spans="1:16" x14ac:dyDescent="0.25">
      <c r="A1495" s="20" t="s">
        <v>5211</v>
      </c>
      <c r="B1495" s="21">
        <v>636</v>
      </c>
      <c r="C1495" s="22" t="s">
        <v>323</v>
      </c>
      <c r="D1495" s="22" t="s">
        <v>1737</v>
      </c>
      <c r="E1495" s="22" t="str">
        <f>CONCATENATE(B1495,D1495)</f>
        <v>63681903-025</v>
      </c>
      <c r="F1495" s="27" t="s">
        <v>1738</v>
      </c>
      <c r="G1495" s="27" t="s">
        <v>58</v>
      </c>
      <c r="H1495" s="23">
        <v>309.72640000000001</v>
      </c>
      <c r="I1495" s="24">
        <v>2</v>
      </c>
      <c r="J1495" s="24">
        <v>0</v>
      </c>
      <c r="K1495" s="24">
        <v>0</v>
      </c>
      <c r="L1495" s="41">
        <f>Table2[[#This Row],[Column1]]+Table2[[#This Row],[Column2]]</f>
        <v>0</v>
      </c>
      <c r="M1495" s="42">
        <f>Table2[[#This Row],[OnHandQty]]-Table2[[#This Row],[Projection Nov/Dec]]</f>
        <v>2</v>
      </c>
      <c r="N1495" s="35">
        <f>Table2[[#This Row],[OverStock]]*Table2[[#This Row],[RepCost]]</f>
        <v>619.45280000000002</v>
      </c>
      <c r="O1495" s="25">
        <v>45763.408333333333</v>
      </c>
      <c r="P1495" s="26" t="s">
        <v>178</v>
      </c>
    </row>
    <row r="1496" spans="1:16" x14ac:dyDescent="0.25">
      <c r="A1496" s="20" t="s">
        <v>5211</v>
      </c>
      <c r="B1496" s="21">
        <v>636</v>
      </c>
      <c r="C1496" s="22" t="s">
        <v>323</v>
      </c>
      <c r="D1496" s="22" t="s">
        <v>1324</v>
      </c>
      <c r="E1496" s="22" t="str">
        <f>CONCATENATE(B1496,D1496)</f>
        <v>63681903-035</v>
      </c>
      <c r="F1496" s="22" t="s">
        <v>1325</v>
      </c>
      <c r="G1496" s="22" t="s">
        <v>19</v>
      </c>
      <c r="H1496" s="23">
        <v>353.1816</v>
      </c>
      <c r="I1496" s="24">
        <v>2</v>
      </c>
      <c r="J1496" s="24">
        <v>0</v>
      </c>
      <c r="K1496" s="24">
        <v>0</v>
      </c>
      <c r="L1496" s="41">
        <f>Table2[[#This Row],[Column1]]+Table2[[#This Row],[Column2]]</f>
        <v>0</v>
      </c>
      <c r="M1496" s="42">
        <f>Table2[[#This Row],[OnHandQty]]-Table2[[#This Row],[Projection Nov/Dec]]</f>
        <v>2</v>
      </c>
      <c r="N1496" s="35">
        <f>Table2[[#This Row],[OverStock]]*Table2[[#This Row],[RepCost]]</f>
        <v>706.36320000000001</v>
      </c>
      <c r="O1496" s="25">
        <v>46086.3125</v>
      </c>
      <c r="P1496" s="26" t="s">
        <v>1229</v>
      </c>
    </row>
    <row r="1497" spans="1:16" x14ac:dyDescent="0.25">
      <c r="A1497" s="20" t="s">
        <v>5211</v>
      </c>
      <c r="B1497" s="21">
        <v>636</v>
      </c>
      <c r="C1497" s="22" t="s">
        <v>323</v>
      </c>
      <c r="D1497" s="22" t="s">
        <v>1446</v>
      </c>
      <c r="E1497" s="22" t="str">
        <f>CONCATENATE(B1497,D1497)</f>
        <v>63693638-020</v>
      </c>
      <c r="F1497" s="22" t="s">
        <v>1447</v>
      </c>
      <c r="G1497" s="22" t="s">
        <v>19</v>
      </c>
      <c r="H1497" s="23">
        <v>184.76310000000001</v>
      </c>
      <c r="I1497" s="24">
        <v>4</v>
      </c>
      <c r="J1497" s="24">
        <v>0</v>
      </c>
      <c r="K1497" s="24">
        <v>0</v>
      </c>
      <c r="L1497" s="41">
        <f>Table2[[#This Row],[Column1]]+Table2[[#This Row],[Column2]]</f>
        <v>0</v>
      </c>
      <c r="M1497" s="42">
        <f>Table2[[#This Row],[OnHandQty]]-Table2[[#This Row],[Projection Nov/Dec]]</f>
        <v>4</v>
      </c>
      <c r="N1497" s="35">
        <f>Table2[[#This Row],[OverStock]]*Table2[[#This Row],[RepCost]]</f>
        <v>739.05240000000003</v>
      </c>
      <c r="O1497" s="25">
        <v>46108.488888888889</v>
      </c>
      <c r="P1497" s="26" t="s">
        <v>357</v>
      </c>
    </row>
    <row r="1498" spans="1:16" x14ac:dyDescent="0.25">
      <c r="A1498" s="20" t="s">
        <v>5211</v>
      </c>
      <c r="B1498" s="21">
        <v>636</v>
      </c>
      <c r="C1498" s="22" t="s">
        <v>323</v>
      </c>
      <c r="D1498" s="22" t="s">
        <v>1568</v>
      </c>
      <c r="E1498" s="22" t="str">
        <f>CONCATENATE(B1498,D1498)</f>
        <v>63690408-025</v>
      </c>
      <c r="F1498" s="22" t="s">
        <v>1569</v>
      </c>
      <c r="G1498" s="22" t="s">
        <v>29</v>
      </c>
      <c r="H1498" s="23">
        <v>243.75630000000001</v>
      </c>
      <c r="I1498" s="24">
        <v>1</v>
      </c>
      <c r="J1498" s="24">
        <v>0</v>
      </c>
      <c r="K1498" s="24">
        <v>0</v>
      </c>
      <c r="L1498" s="41">
        <f>Table2[[#This Row],[Column1]]+Table2[[#This Row],[Column2]]</f>
        <v>0</v>
      </c>
      <c r="M1498" s="42">
        <f>Table2[[#This Row],[OnHandQty]]-Table2[[#This Row],[Projection Nov/Dec]]</f>
        <v>1</v>
      </c>
      <c r="N1498" s="35">
        <f>Table2[[#This Row],[OverStock]]*Table2[[#This Row],[RepCost]]</f>
        <v>243.75630000000001</v>
      </c>
      <c r="O1498" s="25">
        <v>46092.434027777781</v>
      </c>
      <c r="P1498" s="26" t="s">
        <v>357</v>
      </c>
    </row>
    <row r="1499" spans="1:16" x14ac:dyDescent="0.25">
      <c r="A1499" s="20" t="s">
        <v>5211</v>
      </c>
      <c r="B1499" s="21">
        <v>636</v>
      </c>
      <c r="C1499" s="22" t="s">
        <v>323</v>
      </c>
      <c r="D1499" s="22" t="s">
        <v>1731</v>
      </c>
      <c r="E1499" s="22" t="str">
        <f>CONCATENATE(B1499,D1499)</f>
        <v>63680521-020</v>
      </c>
      <c r="F1499" s="22" t="s">
        <v>1732</v>
      </c>
      <c r="G1499" s="22" t="s">
        <v>1047</v>
      </c>
      <c r="H1499" s="23">
        <v>187.95320000000001</v>
      </c>
      <c r="I1499" s="24">
        <v>4</v>
      </c>
      <c r="J1499" s="24">
        <v>0</v>
      </c>
      <c r="K1499" s="24">
        <v>0</v>
      </c>
      <c r="L1499" s="41">
        <f>Table2[[#This Row],[Column1]]+Table2[[#This Row],[Column2]]</f>
        <v>0</v>
      </c>
      <c r="M1499" s="42">
        <f>Table2[[#This Row],[OnHandQty]]-Table2[[#This Row],[Projection Nov/Dec]]</f>
        <v>4</v>
      </c>
      <c r="N1499" s="35">
        <f>Table2[[#This Row],[OverStock]]*Table2[[#This Row],[RepCost]]</f>
        <v>751.81280000000004</v>
      </c>
      <c r="O1499" s="25">
        <v>45733.642361111109</v>
      </c>
      <c r="P1499" s="26" t="s">
        <v>357</v>
      </c>
    </row>
    <row r="1500" spans="1:16" x14ac:dyDescent="0.25">
      <c r="A1500" s="20" t="s">
        <v>5211</v>
      </c>
      <c r="B1500" s="21">
        <v>714</v>
      </c>
      <c r="C1500" s="22" t="s">
        <v>323</v>
      </c>
      <c r="D1500" s="22" t="s">
        <v>1338</v>
      </c>
      <c r="E1500" s="22" t="str">
        <f>CONCATENATE(B1500,D1500)</f>
        <v>71480521-025</v>
      </c>
      <c r="F1500" s="22" t="s">
        <v>1339</v>
      </c>
      <c r="G1500" s="22" t="s">
        <v>29</v>
      </c>
      <c r="H1500" s="23">
        <v>215.76490000000001</v>
      </c>
      <c r="I1500" s="24">
        <v>2</v>
      </c>
      <c r="J1500" s="24">
        <v>0</v>
      </c>
      <c r="K1500" s="24">
        <v>0</v>
      </c>
      <c r="L1500" s="41">
        <f>Table2[[#This Row],[Column1]]+Table2[[#This Row],[Column2]]</f>
        <v>0</v>
      </c>
      <c r="M1500" s="42">
        <f>Table2[[#This Row],[OnHandQty]]-Table2[[#This Row],[Projection Nov/Dec]]</f>
        <v>2</v>
      </c>
      <c r="N1500" s="35">
        <f>Table2[[#This Row],[OverStock]]*Table2[[#This Row],[RepCost]]</f>
        <v>431.52980000000002</v>
      </c>
      <c r="O1500" s="25">
        <v>43467.6875</v>
      </c>
      <c r="P1500" s="26" t="s">
        <v>1234</v>
      </c>
    </row>
    <row r="1501" spans="1:16" x14ac:dyDescent="0.25">
      <c r="A1501" s="20" t="s">
        <v>5211</v>
      </c>
      <c r="B1501" s="21">
        <v>636</v>
      </c>
      <c r="C1501" s="22" t="s">
        <v>323</v>
      </c>
      <c r="D1501" s="22" t="s">
        <v>1338</v>
      </c>
      <c r="E1501" s="22" t="str">
        <f>CONCATENATE(B1501,D1501)</f>
        <v>63680521-025</v>
      </c>
      <c r="F1501" s="22" t="s">
        <v>1339</v>
      </c>
      <c r="G1501" s="22" t="s">
        <v>19</v>
      </c>
      <c r="H1501" s="23">
        <v>243.75630000000001</v>
      </c>
      <c r="I1501" s="24">
        <v>2</v>
      </c>
      <c r="J1501" s="24">
        <v>0</v>
      </c>
      <c r="K1501" s="24">
        <v>0</v>
      </c>
      <c r="L1501" s="41">
        <f>Table2[[#This Row],[Column1]]+Table2[[#This Row],[Column2]]</f>
        <v>0</v>
      </c>
      <c r="M1501" s="42">
        <f>Table2[[#This Row],[OnHandQty]]-Table2[[#This Row],[Projection Nov/Dec]]</f>
        <v>2</v>
      </c>
      <c r="N1501" s="35">
        <f>Table2[[#This Row],[OverStock]]*Table2[[#This Row],[RepCost]]</f>
        <v>487.51260000000002</v>
      </c>
      <c r="O1501" s="25">
        <v>46092.434027777781</v>
      </c>
      <c r="P1501" s="26" t="s">
        <v>357</v>
      </c>
    </row>
    <row r="1502" spans="1:16" x14ac:dyDescent="0.25">
      <c r="A1502" s="20" t="s">
        <v>5211</v>
      </c>
      <c r="B1502" s="21">
        <v>714</v>
      </c>
      <c r="C1502" s="22" t="s">
        <v>323</v>
      </c>
      <c r="D1502" s="22" t="s">
        <v>3429</v>
      </c>
      <c r="E1502" s="22" t="str">
        <f>CONCATENATE(B1502,D1502)</f>
        <v>71480521-125</v>
      </c>
      <c r="F1502" s="22" t="s">
        <v>3430</v>
      </c>
      <c r="G1502" s="22" t="s">
        <v>455</v>
      </c>
      <c r="H1502" s="23">
        <v>235.71129999999999</v>
      </c>
      <c r="I1502" s="24">
        <v>3</v>
      </c>
      <c r="J1502" s="24">
        <v>0</v>
      </c>
      <c r="K1502" s="24">
        <v>0</v>
      </c>
      <c r="L1502" s="41">
        <f>Table2[[#This Row],[Column1]]+Table2[[#This Row],[Column2]]</f>
        <v>0</v>
      </c>
      <c r="M1502" s="42">
        <f>Table2[[#This Row],[OnHandQty]]-Table2[[#This Row],[Projection Nov/Dec]]</f>
        <v>3</v>
      </c>
      <c r="N1502" s="35">
        <f>Table2[[#This Row],[OverStock]]*Table2[[#This Row],[RepCost]]</f>
        <v>707.13390000000004</v>
      </c>
      <c r="O1502" s="25">
        <v>46203.473611111112</v>
      </c>
      <c r="P1502" s="26" t="s">
        <v>2066</v>
      </c>
    </row>
    <row r="1503" spans="1:16" x14ac:dyDescent="0.25">
      <c r="A1503" s="20" t="s">
        <v>5211</v>
      </c>
      <c r="B1503" s="21">
        <v>636</v>
      </c>
      <c r="C1503" s="22" t="s">
        <v>70</v>
      </c>
      <c r="D1503" s="22" t="s">
        <v>747</v>
      </c>
      <c r="E1503" s="22" t="str">
        <f>CONCATENATE(B1503,D1503)</f>
        <v>63682609-101</v>
      </c>
      <c r="F1503" s="22" t="s">
        <v>748</v>
      </c>
      <c r="G1503" s="22" t="s">
        <v>39</v>
      </c>
      <c r="H1503" s="23">
        <v>6.1269999999999998</v>
      </c>
      <c r="I1503" s="24">
        <v>7</v>
      </c>
      <c r="J1503" s="24">
        <v>0</v>
      </c>
      <c r="K1503" s="24">
        <v>0</v>
      </c>
      <c r="L1503" s="41">
        <f>Table2[[#This Row],[Column1]]+Table2[[#This Row],[Column2]]</f>
        <v>0</v>
      </c>
      <c r="M1503" s="42">
        <f>Table2[[#This Row],[OnHandQty]]-Table2[[#This Row],[Projection Nov/Dec]]</f>
        <v>7</v>
      </c>
      <c r="N1503" s="35">
        <f>Table2[[#This Row],[OverStock]]*Table2[[#This Row],[RepCost]]</f>
        <v>42.888999999999996</v>
      </c>
      <c r="O1503" s="25">
        <v>46157.532638888886</v>
      </c>
      <c r="P1503" s="26" t="s">
        <v>16</v>
      </c>
    </row>
    <row r="1504" spans="1:16" x14ac:dyDescent="0.25">
      <c r="A1504" s="20" t="s">
        <v>5211</v>
      </c>
      <c r="B1504" s="21">
        <v>634</v>
      </c>
      <c r="C1504" s="22" t="s">
        <v>70</v>
      </c>
      <c r="D1504" s="22" t="s">
        <v>92</v>
      </c>
      <c r="E1504" s="22" t="str">
        <f>CONCATENATE(B1504,D1504)</f>
        <v>63465546-101</v>
      </c>
      <c r="F1504" s="22" t="s">
        <v>93</v>
      </c>
      <c r="G1504" s="22" t="s">
        <v>39</v>
      </c>
      <c r="H1504" s="23">
        <v>6.5415000000000001</v>
      </c>
      <c r="I1504" s="24">
        <v>7</v>
      </c>
      <c r="J1504" s="24">
        <v>0</v>
      </c>
      <c r="K1504" s="24">
        <v>0</v>
      </c>
      <c r="L1504" s="41">
        <f>Table2[[#This Row],[Column1]]+Table2[[#This Row],[Column2]]</f>
        <v>0</v>
      </c>
      <c r="M1504" s="42">
        <f>Table2[[#This Row],[OnHandQty]]-Table2[[#This Row],[Projection Nov/Dec]]</f>
        <v>7</v>
      </c>
      <c r="N1504" s="35">
        <f>Table2[[#This Row],[OverStock]]*Table2[[#This Row],[RepCost]]</f>
        <v>45.790500000000002</v>
      </c>
      <c r="O1504" s="25">
        <v>46217.376388888886</v>
      </c>
      <c r="P1504" s="26" t="s">
        <v>94</v>
      </c>
    </row>
    <row r="1505" spans="1:16" x14ac:dyDescent="0.25">
      <c r="A1505" s="20" t="s">
        <v>5211</v>
      </c>
      <c r="B1505" s="21">
        <v>714</v>
      </c>
      <c r="C1505" s="22" t="s">
        <v>70</v>
      </c>
      <c r="D1505" s="22" t="s">
        <v>2085</v>
      </c>
      <c r="E1505" s="22" t="str">
        <f>CONCATENATE(B1505,D1505)</f>
        <v>71490521-101</v>
      </c>
      <c r="F1505" s="22" t="s">
        <v>2086</v>
      </c>
      <c r="G1505" s="22" t="s">
        <v>112</v>
      </c>
      <c r="H1505" s="23">
        <v>7.2701000000000002</v>
      </c>
      <c r="I1505" s="24">
        <v>20</v>
      </c>
      <c r="J1505" s="24">
        <v>0</v>
      </c>
      <c r="K1505" s="24">
        <v>0</v>
      </c>
      <c r="L1505" s="41">
        <f>Table2[[#This Row],[Column1]]+Table2[[#This Row],[Column2]]</f>
        <v>0</v>
      </c>
      <c r="M1505" s="42">
        <f>Table2[[#This Row],[OnHandQty]]-Table2[[#This Row],[Projection Nov/Dec]]</f>
        <v>20</v>
      </c>
      <c r="N1505" s="35">
        <f>Table2[[#This Row],[OverStock]]*Table2[[#This Row],[RepCost]]</f>
        <v>145.40200000000002</v>
      </c>
      <c r="O1505" s="25">
        <v>46239.576388888891</v>
      </c>
      <c r="P1505" s="26" t="s">
        <v>573</v>
      </c>
    </row>
    <row r="1506" spans="1:16" x14ac:dyDescent="0.25">
      <c r="A1506" s="20" t="s">
        <v>5211</v>
      </c>
      <c r="B1506" s="21">
        <v>714</v>
      </c>
      <c r="C1506" s="22" t="s">
        <v>70</v>
      </c>
      <c r="D1506" s="22" t="s">
        <v>2180</v>
      </c>
      <c r="E1506" s="22" t="str">
        <f>CONCATENATE(B1506,D1506)</f>
        <v>71490522-101</v>
      </c>
      <c r="F1506" s="22" t="s">
        <v>2181</v>
      </c>
      <c r="G1506" s="22" t="s">
        <v>29</v>
      </c>
      <c r="H1506" s="23">
        <v>7.4630999999999998</v>
      </c>
      <c r="I1506" s="24">
        <v>9</v>
      </c>
      <c r="J1506" s="24">
        <v>0</v>
      </c>
      <c r="K1506" s="24">
        <v>0</v>
      </c>
      <c r="L1506" s="41">
        <f>Table2[[#This Row],[Column1]]+Table2[[#This Row],[Column2]]</f>
        <v>0</v>
      </c>
      <c r="M1506" s="42">
        <f>Table2[[#This Row],[OnHandQty]]-Table2[[#This Row],[Projection Nov/Dec]]</f>
        <v>9</v>
      </c>
      <c r="N1506" s="35">
        <f>Table2[[#This Row],[OverStock]]*Table2[[#This Row],[RepCost]]</f>
        <v>67.167900000000003</v>
      </c>
      <c r="O1506" s="25">
        <v>46239.576388888891</v>
      </c>
      <c r="P1506" s="26" t="s">
        <v>573</v>
      </c>
    </row>
    <row r="1507" spans="1:16" x14ac:dyDescent="0.25">
      <c r="A1507" s="20" t="s">
        <v>5211</v>
      </c>
      <c r="B1507" s="21">
        <v>714</v>
      </c>
      <c r="C1507" s="22" t="s">
        <v>70</v>
      </c>
      <c r="D1507" s="22" t="s">
        <v>2052</v>
      </c>
      <c r="E1507" s="22" t="str">
        <f>CONCATENATE(B1507,D1507)</f>
        <v>71465547-SP5</v>
      </c>
      <c r="F1507" s="22" t="s">
        <v>2053</v>
      </c>
      <c r="G1507" s="22" t="s">
        <v>39</v>
      </c>
      <c r="H1507" s="23">
        <v>3.8325</v>
      </c>
      <c r="I1507" s="24">
        <v>7</v>
      </c>
      <c r="J1507" s="24">
        <v>0</v>
      </c>
      <c r="K1507" s="24">
        <v>0</v>
      </c>
      <c r="L1507" s="41">
        <f>Table2[[#This Row],[Column1]]+Table2[[#This Row],[Column2]]</f>
        <v>0</v>
      </c>
      <c r="M1507" s="42">
        <f>Table2[[#This Row],[OnHandQty]]-Table2[[#This Row],[Projection Nov/Dec]]</f>
        <v>7</v>
      </c>
      <c r="N1507" s="35">
        <f>Table2[[#This Row],[OverStock]]*Table2[[#This Row],[RepCost]]</f>
        <v>26.827500000000001</v>
      </c>
      <c r="O1507" s="25">
        <v>46148.502083333333</v>
      </c>
      <c r="P1507" s="26" t="s">
        <v>506</v>
      </c>
    </row>
    <row r="1508" spans="1:16" x14ac:dyDescent="0.25">
      <c r="A1508" s="20" t="s">
        <v>5211</v>
      </c>
      <c r="B1508" s="21">
        <v>714</v>
      </c>
      <c r="C1508" s="22" t="s">
        <v>70</v>
      </c>
      <c r="D1508" s="22" t="s">
        <v>729</v>
      </c>
      <c r="E1508" s="22" t="str">
        <f>CONCATENATE(B1508,D1508)</f>
        <v>71469653-101</v>
      </c>
      <c r="F1508" s="22" t="s">
        <v>730</v>
      </c>
      <c r="G1508" s="22" t="s">
        <v>35</v>
      </c>
      <c r="H1508" s="23">
        <v>6.2233999999999998</v>
      </c>
      <c r="I1508" s="24">
        <v>17</v>
      </c>
      <c r="J1508" s="24">
        <v>0</v>
      </c>
      <c r="K1508" s="24">
        <v>0</v>
      </c>
      <c r="L1508" s="41">
        <f>Table2[[#This Row],[Column1]]+Table2[[#This Row],[Column2]]</f>
        <v>0</v>
      </c>
      <c r="M1508" s="42">
        <f>Table2[[#This Row],[OnHandQty]]-Table2[[#This Row],[Projection Nov/Dec]]</f>
        <v>17</v>
      </c>
      <c r="N1508" s="35">
        <f>Table2[[#This Row],[OverStock]]*Table2[[#This Row],[RepCost]]</f>
        <v>105.7978</v>
      </c>
      <c r="O1508" s="25">
        <v>46119.337500000001</v>
      </c>
      <c r="P1508" s="26" t="s">
        <v>94</v>
      </c>
    </row>
    <row r="1509" spans="1:16" x14ac:dyDescent="0.25">
      <c r="A1509" s="20" t="s">
        <v>5211</v>
      </c>
      <c r="B1509" s="21">
        <v>636</v>
      </c>
      <c r="C1509" s="22" t="s">
        <v>70</v>
      </c>
      <c r="D1509" s="22" t="s">
        <v>729</v>
      </c>
      <c r="E1509" s="22" t="str">
        <f>CONCATENATE(B1509,D1509)</f>
        <v>63669653-101</v>
      </c>
      <c r="F1509" s="22" t="s">
        <v>730</v>
      </c>
      <c r="G1509" s="22" t="s">
        <v>39</v>
      </c>
      <c r="H1509" s="23">
        <v>6.9</v>
      </c>
      <c r="I1509" s="24">
        <v>7</v>
      </c>
      <c r="J1509" s="24">
        <v>0</v>
      </c>
      <c r="K1509" s="24">
        <v>0</v>
      </c>
      <c r="L1509" s="41">
        <f>Table2[[#This Row],[Column1]]+Table2[[#This Row],[Column2]]</f>
        <v>0</v>
      </c>
      <c r="M1509" s="42">
        <f>Table2[[#This Row],[OnHandQty]]-Table2[[#This Row],[Projection Nov/Dec]]</f>
        <v>7</v>
      </c>
      <c r="N1509" s="35">
        <f>Table2[[#This Row],[OverStock]]*Table2[[#This Row],[RepCost]]</f>
        <v>48.300000000000004</v>
      </c>
      <c r="O1509" s="25">
        <v>46122.352083333331</v>
      </c>
      <c r="P1509" s="26" t="s">
        <v>573</v>
      </c>
    </row>
    <row r="1510" spans="1:16" x14ac:dyDescent="0.25">
      <c r="A1510" s="20" t="s">
        <v>5211</v>
      </c>
      <c r="B1510" s="21">
        <v>714</v>
      </c>
      <c r="C1510" s="22" t="s">
        <v>70</v>
      </c>
      <c r="D1510" s="22" t="s">
        <v>2135</v>
      </c>
      <c r="E1510" s="22" t="str">
        <f>CONCATENATE(B1510,D1510)</f>
        <v>71469032-105</v>
      </c>
      <c r="F1510" s="22" t="s">
        <v>2136</v>
      </c>
      <c r="G1510" s="22" t="s">
        <v>23</v>
      </c>
      <c r="H1510" s="23">
        <v>44.3872</v>
      </c>
      <c r="I1510" s="24">
        <v>9</v>
      </c>
      <c r="J1510" s="24">
        <v>0</v>
      </c>
      <c r="K1510" s="24">
        <v>0</v>
      </c>
      <c r="L1510" s="41">
        <f>Table2[[#This Row],[Column1]]+Table2[[#This Row],[Column2]]</f>
        <v>0</v>
      </c>
      <c r="M1510" s="42">
        <f>Table2[[#This Row],[OnHandQty]]-Table2[[#This Row],[Projection Nov/Dec]]</f>
        <v>9</v>
      </c>
      <c r="N1510" s="35">
        <f>Table2[[#This Row],[OverStock]]*Table2[[#This Row],[RepCost]]</f>
        <v>399.48480000000001</v>
      </c>
      <c r="O1510" s="25">
        <v>46126.649305555555</v>
      </c>
      <c r="P1510" s="26" t="s">
        <v>67</v>
      </c>
    </row>
    <row r="1511" spans="1:16" x14ac:dyDescent="0.25">
      <c r="A1511" s="20" t="s">
        <v>5211</v>
      </c>
      <c r="B1511" s="21">
        <v>634</v>
      </c>
      <c r="C1511" s="22" t="s">
        <v>12</v>
      </c>
      <c r="D1511" s="22" t="s">
        <v>27</v>
      </c>
      <c r="E1511" s="22" t="str">
        <f>CONCATENATE(B1511,D1511)</f>
        <v>63469669-101</v>
      </c>
      <c r="F1511" s="22" t="s">
        <v>28</v>
      </c>
      <c r="G1511" s="22" t="s">
        <v>29</v>
      </c>
      <c r="H1511" s="23">
        <v>6.0148000000000001</v>
      </c>
      <c r="I1511" s="24">
        <v>20</v>
      </c>
      <c r="J1511" s="24">
        <v>0</v>
      </c>
      <c r="K1511" s="24">
        <v>0</v>
      </c>
      <c r="L1511" s="41">
        <f>Table2[[#This Row],[Column1]]+Table2[[#This Row],[Column2]]</f>
        <v>0</v>
      </c>
      <c r="M1511" s="42">
        <f>Table2[[#This Row],[OnHandQty]]-Table2[[#This Row],[Projection Nov/Dec]]</f>
        <v>20</v>
      </c>
      <c r="N1511" s="35">
        <f>Table2[[#This Row],[OverStock]]*Table2[[#This Row],[RepCost]]</f>
        <v>120.29600000000001</v>
      </c>
      <c r="O1511" s="25">
        <v>46120.659722222219</v>
      </c>
      <c r="P1511" s="26" t="s">
        <v>30</v>
      </c>
    </row>
    <row r="1512" spans="1:16" x14ac:dyDescent="0.25">
      <c r="A1512" s="20" t="s">
        <v>5211</v>
      </c>
      <c r="B1512" s="21">
        <v>718</v>
      </c>
      <c r="C1512" s="22" t="s">
        <v>12</v>
      </c>
      <c r="D1512" s="22" t="s">
        <v>27</v>
      </c>
      <c r="E1512" s="22" t="str">
        <f>CONCATENATE(B1512,D1512)</f>
        <v>71869669-101</v>
      </c>
      <c r="F1512" s="22" t="s">
        <v>28</v>
      </c>
      <c r="G1512" s="22" t="s">
        <v>29</v>
      </c>
      <c r="H1512" s="23">
        <v>12.0831</v>
      </c>
      <c r="I1512" s="24">
        <v>9</v>
      </c>
      <c r="J1512" s="24">
        <v>0</v>
      </c>
      <c r="K1512" s="24">
        <v>0</v>
      </c>
      <c r="L1512" s="41">
        <f>Table2[[#This Row],[Column1]]+Table2[[#This Row],[Column2]]</f>
        <v>0</v>
      </c>
      <c r="M1512" s="42">
        <f>Table2[[#This Row],[OnHandQty]]-Table2[[#This Row],[Projection Nov/Dec]]</f>
        <v>9</v>
      </c>
      <c r="N1512" s="35">
        <f>Table2[[#This Row],[OverStock]]*Table2[[#This Row],[RepCost]]</f>
        <v>108.7479</v>
      </c>
      <c r="O1512" s="25">
        <v>46197.523611111108</v>
      </c>
      <c r="P1512" s="26" t="s">
        <v>40</v>
      </c>
    </row>
    <row r="1513" spans="1:16" x14ac:dyDescent="0.25">
      <c r="A1513" s="20" t="s">
        <v>5211</v>
      </c>
      <c r="B1513" s="21">
        <v>714</v>
      </c>
      <c r="C1513" s="22" t="s">
        <v>12</v>
      </c>
      <c r="D1513" s="22" t="s">
        <v>1960</v>
      </c>
      <c r="E1513" s="22" t="str">
        <f>CONCATENATE(B1513,D1513)</f>
        <v>71469669-SP4</v>
      </c>
      <c r="F1513" s="22" t="s">
        <v>1961</v>
      </c>
      <c r="G1513" s="22" t="s">
        <v>29</v>
      </c>
      <c r="H1513" s="23">
        <v>3.8571</v>
      </c>
      <c r="I1513" s="24">
        <v>2</v>
      </c>
      <c r="J1513" s="24">
        <v>0</v>
      </c>
      <c r="K1513" s="24">
        <v>0</v>
      </c>
      <c r="L1513" s="41">
        <f>Table2[[#This Row],[Column1]]+Table2[[#This Row],[Column2]]</f>
        <v>0</v>
      </c>
      <c r="M1513" s="42">
        <f>Table2[[#This Row],[OnHandQty]]-Table2[[#This Row],[Projection Nov/Dec]]</f>
        <v>2</v>
      </c>
      <c r="N1513" s="35">
        <f>Table2[[#This Row],[OverStock]]*Table2[[#This Row],[RepCost]]</f>
        <v>7.7141999999999999</v>
      </c>
      <c r="O1513" s="25">
        <v>46231.486805555556</v>
      </c>
      <c r="P1513" s="26" t="s">
        <v>94</v>
      </c>
    </row>
    <row r="1514" spans="1:16" x14ac:dyDescent="0.25">
      <c r="A1514" s="20" t="s">
        <v>5211</v>
      </c>
      <c r="B1514" s="21">
        <v>634</v>
      </c>
      <c r="C1514" s="22" t="s">
        <v>12</v>
      </c>
      <c r="D1514" s="22" t="s">
        <v>37</v>
      </c>
      <c r="E1514" s="22" t="str">
        <f>CONCATENATE(B1514,D1514)</f>
        <v>63478209-101</v>
      </c>
      <c r="F1514" s="22" t="s">
        <v>38</v>
      </c>
      <c r="G1514" s="22" t="s">
        <v>39</v>
      </c>
      <c r="H1514" s="23">
        <v>10.739100000000001</v>
      </c>
      <c r="I1514" s="24">
        <v>10</v>
      </c>
      <c r="J1514" s="24">
        <v>6</v>
      </c>
      <c r="K1514" s="24">
        <v>0</v>
      </c>
      <c r="L1514" s="41">
        <f>Table2[[#This Row],[Column1]]+Table2[[#This Row],[Column2]]</f>
        <v>6</v>
      </c>
      <c r="M1514" s="42">
        <f>Table2[[#This Row],[OnHandQty]]-Table2[[#This Row],[Projection Nov/Dec]]</f>
        <v>4</v>
      </c>
      <c r="N1514" s="35">
        <f>Table2[[#This Row],[OverStock]]*Table2[[#This Row],[RepCost]]</f>
        <v>42.956400000000002</v>
      </c>
      <c r="O1514" s="25">
        <v>46120.659722222219</v>
      </c>
      <c r="P1514" s="26" t="s">
        <v>30</v>
      </c>
    </row>
    <row r="1515" spans="1:16" x14ac:dyDescent="0.25">
      <c r="A1515" s="20" t="s">
        <v>5211</v>
      </c>
      <c r="B1515" s="21">
        <v>714</v>
      </c>
      <c r="C1515" s="22" t="s">
        <v>143</v>
      </c>
      <c r="D1515" s="22" t="s">
        <v>2411</v>
      </c>
      <c r="E1515" s="22" t="str">
        <f>CONCATENATE(B1515,D1515)</f>
        <v>71469769-110</v>
      </c>
      <c r="F1515" s="22" t="s">
        <v>2412</v>
      </c>
      <c r="G1515" s="22" t="s">
        <v>19</v>
      </c>
      <c r="H1515" s="23">
        <v>39.6</v>
      </c>
      <c r="I1515" s="24">
        <v>1</v>
      </c>
      <c r="J1515" s="24">
        <v>0</v>
      </c>
      <c r="K1515" s="24">
        <v>0</v>
      </c>
      <c r="L1515" s="41">
        <f>Table2[[#This Row],[Column1]]+Table2[[#This Row],[Column2]]</f>
        <v>0</v>
      </c>
      <c r="M1515" s="42">
        <f>Table2[[#This Row],[OnHandQty]]-Table2[[#This Row],[Projection Nov/Dec]]</f>
        <v>1</v>
      </c>
      <c r="N1515" s="35">
        <f>Table2[[#This Row],[OverStock]]*Table2[[#This Row],[RepCost]]</f>
        <v>39.6</v>
      </c>
      <c r="O1515" s="25">
        <v>46139.672222222223</v>
      </c>
      <c r="P1515" s="26" t="s">
        <v>1535</v>
      </c>
    </row>
    <row r="1516" spans="1:16" x14ac:dyDescent="0.25">
      <c r="A1516" s="20" t="s">
        <v>5211</v>
      </c>
      <c r="B1516" s="21">
        <v>718</v>
      </c>
      <c r="C1516" s="22" t="s">
        <v>143</v>
      </c>
      <c r="D1516" s="22" t="s">
        <v>3762</v>
      </c>
      <c r="E1516" s="22" t="str">
        <f>CONCATENATE(B1516,D1516)</f>
        <v>71869769-115</v>
      </c>
      <c r="F1516" s="22" t="s">
        <v>3763</v>
      </c>
      <c r="G1516" s="22" t="s">
        <v>19</v>
      </c>
      <c r="H1516" s="23">
        <v>92.632800000000003</v>
      </c>
      <c r="I1516" s="24">
        <v>3</v>
      </c>
      <c r="J1516" s="24">
        <v>0</v>
      </c>
      <c r="K1516" s="24">
        <v>0</v>
      </c>
      <c r="L1516" s="41">
        <f>Table2[[#This Row],[Column1]]+Table2[[#This Row],[Column2]]</f>
        <v>0</v>
      </c>
      <c r="M1516" s="42">
        <f>Table2[[#This Row],[OnHandQty]]-Table2[[#This Row],[Projection Nov/Dec]]</f>
        <v>3</v>
      </c>
      <c r="N1516" s="35">
        <f>Table2[[#This Row],[OverStock]]*Table2[[#This Row],[RepCost]]</f>
        <v>277.89840000000004</v>
      </c>
      <c r="O1516" s="25">
        <v>46156.459722222222</v>
      </c>
      <c r="P1516" s="26" t="s">
        <v>175</v>
      </c>
    </row>
    <row r="1517" spans="1:16" x14ac:dyDescent="0.25">
      <c r="A1517" s="20" t="s">
        <v>5211</v>
      </c>
      <c r="B1517" s="21">
        <v>636</v>
      </c>
      <c r="C1517" s="22" t="s">
        <v>143</v>
      </c>
      <c r="D1517" s="22" t="s">
        <v>1086</v>
      </c>
      <c r="E1517" s="22" t="str">
        <f>CONCATENATE(B1517,D1517)</f>
        <v>63669770-110</v>
      </c>
      <c r="F1517" s="22" t="s">
        <v>1087</v>
      </c>
      <c r="G1517" s="22" t="s">
        <v>29</v>
      </c>
      <c r="H1517" s="23">
        <v>68.208699999999993</v>
      </c>
      <c r="I1517" s="24">
        <v>15</v>
      </c>
      <c r="J1517" s="24">
        <v>0</v>
      </c>
      <c r="K1517" s="24">
        <v>0</v>
      </c>
      <c r="L1517" s="41">
        <f>Table2[[#This Row],[Column1]]+Table2[[#This Row],[Column2]]</f>
        <v>0</v>
      </c>
      <c r="M1517" s="42">
        <f>Table2[[#This Row],[OnHandQty]]-Table2[[#This Row],[Projection Nov/Dec]]</f>
        <v>15</v>
      </c>
      <c r="N1517" s="35">
        <f>Table2[[#This Row],[OverStock]]*Table2[[#This Row],[RepCost]]</f>
        <v>1023.1304999999999</v>
      </c>
      <c r="O1517" s="25">
        <v>46126.396527777775</v>
      </c>
      <c r="P1517" s="26" t="s">
        <v>175</v>
      </c>
    </row>
    <row r="1518" spans="1:16" x14ac:dyDescent="0.25">
      <c r="A1518" s="20" t="s">
        <v>5211</v>
      </c>
      <c r="B1518" s="21">
        <v>714</v>
      </c>
      <c r="C1518" s="22" t="s">
        <v>143</v>
      </c>
      <c r="D1518" s="22" t="s">
        <v>1086</v>
      </c>
      <c r="E1518" s="22" t="str">
        <f>CONCATENATE(B1518,D1518)</f>
        <v>71469770-110</v>
      </c>
      <c r="F1518" s="22" t="s">
        <v>1087</v>
      </c>
      <c r="G1518" s="22" t="s">
        <v>19</v>
      </c>
      <c r="H1518" s="23">
        <v>75.338200000000001</v>
      </c>
      <c r="I1518" s="24">
        <v>4</v>
      </c>
      <c r="J1518" s="24">
        <v>0</v>
      </c>
      <c r="K1518" s="24">
        <v>0</v>
      </c>
      <c r="L1518" s="41">
        <f>Table2[[#This Row],[Column1]]+Table2[[#This Row],[Column2]]</f>
        <v>0</v>
      </c>
      <c r="M1518" s="42">
        <f>Table2[[#This Row],[OnHandQty]]-Table2[[#This Row],[Projection Nov/Dec]]</f>
        <v>4</v>
      </c>
      <c r="N1518" s="35">
        <f>Table2[[#This Row],[OverStock]]*Table2[[#This Row],[RepCost]]</f>
        <v>301.3528</v>
      </c>
      <c r="O1518" s="25">
        <v>46128.709722222222</v>
      </c>
      <c r="P1518" s="26" t="s">
        <v>195</v>
      </c>
    </row>
    <row r="1519" spans="1:16" x14ac:dyDescent="0.25">
      <c r="A1519" s="20" t="s">
        <v>5211</v>
      </c>
      <c r="B1519" s="21">
        <v>714</v>
      </c>
      <c r="C1519" s="22" t="s">
        <v>143</v>
      </c>
      <c r="D1519" s="22" t="s">
        <v>2701</v>
      </c>
      <c r="E1519" s="22" t="str">
        <f>CONCATENATE(B1519,D1519)</f>
        <v>71469770-248</v>
      </c>
      <c r="F1519" s="22" t="s">
        <v>2702</v>
      </c>
      <c r="G1519" s="22" t="s">
        <v>158</v>
      </c>
      <c r="H1519" s="23">
        <v>109.1901</v>
      </c>
      <c r="I1519" s="24">
        <v>50</v>
      </c>
      <c r="J1519" s="24">
        <v>0</v>
      </c>
      <c r="K1519" s="24">
        <v>0</v>
      </c>
      <c r="L1519" s="41">
        <f>Table2[[#This Row],[Column1]]+Table2[[#This Row],[Column2]]</f>
        <v>0</v>
      </c>
      <c r="M1519" s="42">
        <f>Table2[[#This Row],[OnHandQty]]-Table2[[#This Row],[Projection Nov/Dec]]</f>
        <v>50</v>
      </c>
      <c r="N1519" s="35">
        <f>Table2[[#This Row],[OverStock]]*Table2[[#This Row],[RepCost]]</f>
        <v>5459.5050000000001</v>
      </c>
      <c r="O1519" s="25">
        <v>46153.668749999997</v>
      </c>
      <c r="P1519" s="26" t="s">
        <v>2271</v>
      </c>
    </row>
    <row r="1520" spans="1:16" x14ac:dyDescent="0.25">
      <c r="A1520" s="20" t="s">
        <v>5211</v>
      </c>
      <c r="B1520" s="21">
        <v>636</v>
      </c>
      <c r="C1520" s="22" t="s">
        <v>143</v>
      </c>
      <c r="D1520" s="22" t="s">
        <v>976</v>
      </c>
      <c r="E1520" s="22" t="str">
        <f>CONCATENATE(B1520,D1520)</f>
        <v>63669770-306</v>
      </c>
      <c r="F1520" s="22" t="s">
        <v>977</v>
      </c>
      <c r="G1520" s="22" t="s">
        <v>29</v>
      </c>
      <c r="H1520" s="23">
        <v>295.24529999999999</v>
      </c>
      <c r="I1520" s="24">
        <v>19</v>
      </c>
      <c r="J1520" s="24">
        <v>0</v>
      </c>
      <c r="K1520" s="24">
        <v>0</v>
      </c>
      <c r="L1520" s="41">
        <f>Table2[[#This Row],[Column1]]+Table2[[#This Row],[Column2]]</f>
        <v>0</v>
      </c>
      <c r="M1520" s="42">
        <f>Table2[[#This Row],[OnHandQty]]-Table2[[#This Row],[Projection Nov/Dec]]</f>
        <v>19</v>
      </c>
      <c r="N1520" s="35">
        <f>Table2[[#This Row],[OverStock]]*Table2[[#This Row],[RepCost]]</f>
        <v>5609.6606999999995</v>
      </c>
      <c r="O1520" s="25">
        <v>46142.59375</v>
      </c>
      <c r="P1520" s="26" t="s">
        <v>444</v>
      </c>
    </row>
    <row r="1521" spans="1:16" x14ac:dyDescent="0.25">
      <c r="A1521" s="20" t="s">
        <v>5211</v>
      </c>
      <c r="B1521" s="21">
        <v>718</v>
      </c>
      <c r="C1521" s="22" t="s">
        <v>143</v>
      </c>
      <c r="D1521" s="22" t="s">
        <v>976</v>
      </c>
      <c r="E1521" s="22" t="str">
        <f>CONCATENATE(B1521,D1521)</f>
        <v>71869770-306</v>
      </c>
      <c r="F1521" s="22" t="s">
        <v>977</v>
      </c>
      <c r="G1521" s="22" t="s">
        <v>29</v>
      </c>
      <c r="H1521" s="23">
        <v>274.88150000000002</v>
      </c>
      <c r="I1521" s="24">
        <v>8</v>
      </c>
      <c r="J1521" s="24">
        <v>0</v>
      </c>
      <c r="K1521" s="24">
        <v>0</v>
      </c>
      <c r="L1521" s="41">
        <f>Table2[[#This Row],[Column1]]+Table2[[#This Row],[Column2]]</f>
        <v>0</v>
      </c>
      <c r="M1521" s="42">
        <f>Table2[[#This Row],[OnHandQty]]-Table2[[#This Row],[Projection Nov/Dec]]</f>
        <v>8</v>
      </c>
      <c r="N1521" s="35">
        <f>Table2[[#This Row],[OverStock]]*Table2[[#This Row],[RepCost]]</f>
        <v>2199.0520000000001</v>
      </c>
      <c r="O1521" s="25">
        <v>46163.499305555553</v>
      </c>
      <c r="P1521" s="26" t="s">
        <v>444</v>
      </c>
    </row>
    <row r="1522" spans="1:16" x14ac:dyDescent="0.25">
      <c r="A1522" s="20" t="s">
        <v>5211</v>
      </c>
      <c r="B1522" s="21">
        <v>634</v>
      </c>
      <c r="C1522" s="22" t="s">
        <v>70</v>
      </c>
      <c r="D1522" s="22" t="s">
        <v>104</v>
      </c>
      <c r="E1522" s="22" t="str">
        <f>CONCATENATE(B1522,D1522)</f>
        <v>63469775-101</v>
      </c>
      <c r="F1522" s="22" t="s">
        <v>105</v>
      </c>
      <c r="G1522" s="22" t="s">
        <v>23</v>
      </c>
      <c r="H1522" s="23">
        <v>8.8199000000000005</v>
      </c>
      <c r="I1522" s="24">
        <v>26</v>
      </c>
      <c r="J1522" s="24">
        <v>14</v>
      </c>
      <c r="K1522" s="24">
        <v>0</v>
      </c>
      <c r="L1522" s="41">
        <f>Table2[[#This Row],[Column1]]+Table2[[#This Row],[Column2]]</f>
        <v>14</v>
      </c>
      <c r="M1522" s="42">
        <f>Table2[[#This Row],[OnHandQty]]-Table2[[#This Row],[Projection Nov/Dec]]</f>
        <v>12</v>
      </c>
      <c r="N1522" s="35">
        <f>Table2[[#This Row],[OverStock]]*Table2[[#This Row],[RepCost]]</f>
        <v>105.83880000000001</v>
      </c>
      <c r="O1522" s="25">
        <v>46177.4</v>
      </c>
      <c r="P1522" s="26" t="s">
        <v>16</v>
      </c>
    </row>
    <row r="1523" spans="1:16" x14ac:dyDescent="0.25">
      <c r="A1523" s="20" t="s">
        <v>5211</v>
      </c>
      <c r="B1523" s="21">
        <v>634</v>
      </c>
      <c r="C1523" s="22" t="s">
        <v>323</v>
      </c>
      <c r="D1523" s="22" t="s">
        <v>358</v>
      </c>
      <c r="E1523" s="22" t="str">
        <f>CONCATENATE(B1523,D1523)</f>
        <v>63469818-025</v>
      </c>
      <c r="F1523" s="22" t="s">
        <v>359</v>
      </c>
      <c r="G1523" s="22" t="s">
        <v>29</v>
      </c>
      <c r="H1523" s="23">
        <v>260.55869999999999</v>
      </c>
      <c r="I1523" s="24">
        <v>2</v>
      </c>
      <c r="J1523" s="24">
        <v>0</v>
      </c>
      <c r="K1523" s="24">
        <v>0</v>
      </c>
      <c r="L1523" s="41">
        <f>Table2[[#This Row],[Column1]]+Table2[[#This Row],[Column2]]</f>
        <v>0</v>
      </c>
      <c r="M1523" s="42">
        <f>Table2[[#This Row],[OnHandQty]]-Table2[[#This Row],[Projection Nov/Dec]]</f>
        <v>2</v>
      </c>
      <c r="N1523" s="35">
        <f>Table2[[#This Row],[OverStock]]*Table2[[#This Row],[RepCost]]</f>
        <v>521.11739999999998</v>
      </c>
      <c r="O1523" s="25">
        <v>46112.445833333331</v>
      </c>
      <c r="P1523" s="26" t="s">
        <v>360</v>
      </c>
    </row>
    <row r="1524" spans="1:16" x14ac:dyDescent="0.25">
      <c r="A1524" s="20" t="s">
        <v>5211</v>
      </c>
      <c r="B1524" s="21">
        <v>636</v>
      </c>
      <c r="C1524" s="22" t="s">
        <v>1749</v>
      </c>
      <c r="D1524" s="22" t="s">
        <v>1752</v>
      </c>
      <c r="E1524" s="22" t="str">
        <f>CONCATENATE(B1524,D1524)</f>
        <v>63669839-0010</v>
      </c>
      <c r="F1524" s="22" t="s">
        <v>1753</v>
      </c>
      <c r="G1524" s="22" t="s">
        <v>39</v>
      </c>
      <c r="H1524" s="23">
        <v>27.264299999999999</v>
      </c>
      <c r="I1524" s="24">
        <v>5</v>
      </c>
      <c r="J1524" s="24">
        <v>0</v>
      </c>
      <c r="K1524" s="24">
        <v>0</v>
      </c>
      <c r="L1524" s="41">
        <f>Table2[[#This Row],[Column1]]+Table2[[#This Row],[Column2]]</f>
        <v>0</v>
      </c>
      <c r="M1524" s="42">
        <f>Table2[[#This Row],[OnHandQty]]-Table2[[#This Row],[Projection Nov/Dec]]</f>
        <v>5</v>
      </c>
      <c r="N1524" s="35">
        <f>Table2[[#This Row],[OverStock]]*Table2[[#This Row],[RepCost]]</f>
        <v>136.32149999999999</v>
      </c>
      <c r="O1524" s="25">
        <v>46114.597916666666</v>
      </c>
      <c r="P1524" s="26" t="s">
        <v>797</v>
      </c>
    </row>
    <row r="1525" spans="1:16" x14ac:dyDescent="0.25">
      <c r="A1525" s="20" t="s">
        <v>5211</v>
      </c>
      <c r="B1525" s="21">
        <v>714</v>
      </c>
      <c r="C1525" s="22" t="s">
        <v>70</v>
      </c>
      <c r="D1525" s="22" t="s">
        <v>2161</v>
      </c>
      <c r="E1525" s="22" t="str">
        <f>CONCATENATE(B1525,D1525)</f>
        <v>71477179-102</v>
      </c>
      <c r="F1525" s="22" t="s">
        <v>2162</v>
      </c>
      <c r="G1525" s="22" t="s">
        <v>29</v>
      </c>
      <c r="H1525" s="23">
        <v>13.27</v>
      </c>
      <c r="I1525" s="24">
        <v>22</v>
      </c>
      <c r="J1525" s="24">
        <v>0</v>
      </c>
      <c r="K1525" s="24">
        <v>0</v>
      </c>
      <c r="L1525" s="41">
        <f>Table2[[#This Row],[Column1]]+Table2[[#This Row],[Column2]]</f>
        <v>0</v>
      </c>
      <c r="M1525" s="42">
        <f>Table2[[#This Row],[OnHandQty]]-Table2[[#This Row],[Projection Nov/Dec]]</f>
        <v>22</v>
      </c>
      <c r="N1525" s="35">
        <f>Table2[[#This Row],[OverStock]]*Table2[[#This Row],[RepCost]]</f>
        <v>291.94</v>
      </c>
      <c r="O1525" s="25">
        <v>46190.381944444445</v>
      </c>
      <c r="P1525" s="26" t="s">
        <v>720</v>
      </c>
    </row>
    <row r="1526" spans="1:16" x14ac:dyDescent="0.25">
      <c r="A1526" s="20" t="s">
        <v>5211</v>
      </c>
      <c r="B1526" s="21">
        <v>714</v>
      </c>
      <c r="C1526" s="22" t="s">
        <v>70</v>
      </c>
      <c r="D1526" s="22" t="s">
        <v>2032</v>
      </c>
      <c r="E1526" s="22" t="str">
        <f>CONCATENATE(B1526,D1526)</f>
        <v>71477183-102</v>
      </c>
      <c r="F1526" s="22" t="s">
        <v>2033</v>
      </c>
      <c r="G1526" s="22" t="s">
        <v>29</v>
      </c>
      <c r="H1526" s="23">
        <v>19.079699999999999</v>
      </c>
      <c r="I1526" s="24">
        <v>20</v>
      </c>
      <c r="J1526" s="24">
        <v>0</v>
      </c>
      <c r="K1526" s="24">
        <v>0</v>
      </c>
      <c r="L1526" s="41">
        <f>Table2[[#This Row],[Column1]]+Table2[[#This Row],[Column2]]</f>
        <v>0</v>
      </c>
      <c r="M1526" s="42">
        <f>Table2[[#This Row],[OnHandQty]]-Table2[[#This Row],[Projection Nov/Dec]]</f>
        <v>20</v>
      </c>
      <c r="N1526" s="35">
        <f>Table2[[#This Row],[OverStock]]*Table2[[#This Row],[RepCost]]</f>
        <v>381.59399999999999</v>
      </c>
      <c r="O1526" s="25">
        <v>44659.54583333333</v>
      </c>
      <c r="P1526" s="26" t="s">
        <v>573</v>
      </c>
    </row>
    <row r="1527" spans="1:16" x14ac:dyDescent="0.25">
      <c r="A1527" s="20" t="s">
        <v>5211</v>
      </c>
      <c r="B1527" s="21">
        <v>636</v>
      </c>
      <c r="C1527" s="22" t="s">
        <v>70</v>
      </c>
      <c r="D1527" s="22" t="s">
        <v>849</v>
      </c>
      <c r="E1527" s="22" t="str">
        <f>CONCATENATE(B1527,D1527)</f>
        <v>63677185-103</v>
      </c>
      <c r="F1527" s="22" t="s">
        <v>850</v>
      </c>
      <c r="G1527" s="22" t="s">
        <v>39</v>
      </c>
      <c r="H1527" s="23">
        <v>14.5558</v>
      </c>
      <c r="I1527" s="24">
        <v>1</v>
      </c>
      <c r="J1527" s="24">
        <v>0</v>
      </c>
      <c r="K1527" s="24">
        <v>0</v>
      </c>
      <c r="L1527" s="41">
        <f>Table2[[#This Row],[Column1]]+Table2[[#This Row],[Column2]]</f>
        <v>0</v>
      </c>
      <c r="M1527" s="42">
        <f>Table2[[#This Row],[OnHandQty]]-Table2[[#This Row],[Projection Nov/Dec]]</f>
        <v>1</v>
      </c>
      <c r="N1527" s="35">
        <f>Table2[[#This Row],[OverStock]]*Table2[[#This Row],[RepCost]]</f>
        <v>14.5558</v>
      </c>
      <c r="O1527" s="25">
        <v>46140.529861111114</v>
      </c>
      <c r="P1527" s="26" t="s">
        <v>40</v>
      </c>
    </row>
    <row r="1528" spans="1:16" x14ac:dyDescent="0.25">
      <c r="A1528" s="20" t="s">
        <v>5211</v>
      </c>
      <c r="B1528" s="21">
        <v>718</v>
      </c>
      <c r="C1528" s="22" t="s">
        <v>70</v>
      </c>
      <c r="D1528" s="22" t="s">
        <v>2075</v>
      </c>
      <c r="E1528" s="22" t="str">
        <f>CONCATENATE(B1528,D1528)</f>
        <v>71877186-102</v>
      </c>
      <c r="F1528" s="22" t="s">
        <v>2076</v>
      </c>
      <c r="G1528" s="22" t="s">
        <v>29</v>
      </c>
      <c r="H1528" s="23">
        <v>10.0966</v>
      </c>
      <c r="I1528" s="24">
        <v>3</v>
      </c>
      <c r="J1528" s="24">
        <v>0</v>
      </c>
      <c r="K1528" s="24">
        <v>0</v>
      </c>
      <c r="L1528" s="41">
        <f>Table2[[#This Row],[Column1]]+Table2[[#This Row],[Column2]]</f>
        <v>0</v>
      </c>
      <c r="M1528" s="42">
        <f>Table2[[#This Row],[OnHandQty]]-Table2[[#This Row],[Projection Nov/Dec]]</f>
        <v>3</v>
      </c>
      <c r="N1528" s="35">
        <f>Table2[[#This Row],[OverStock]]*Table2[[#This Row],[RepCost]]</f>
        <v>30.2898</v>
      </c>
      <c r="O1528" s="25">
        <v>45436.655555555553</v>
      </c>
      <c r="P1528" s="26" t="s">
        <v>26</v>
      </c>
    </row>
    <row r="1529" spans="1:16" x14ac:dyDescent="0.25">
      <c r="A1529" s="20" t="s">
        <v>5211</v>
      </c>
      <c r="B1529" s="21">
        <v>636</v>
      </c>
      <c r="C1529" s="22" t="s">
        <v>70</v>
      </c>
      <c r="D1529" s="22" t="s">
        <v>600</v>
      </c>
      <c r="E1529" s="22" t="str">
        <f>CONCATENATE(B1529,D1529)</f>
        <v>63669862-102</v>
      </c>
      <c r="F1529" s="22" t="s">
        <v>601</v>
      </c>
      <c r="G1529" s="22" t="s">
        <v>39</v>
      </c>
      <c r="H1529" s="23">
        <v>14.895099999999999</v>
      </c>
      <c r="I1529" s="24">
        <v>1</v>
      </c>
      <c r="J1529" s="24">
        <v>0</v>
      </c>
      <c r="K1529" s="24">
        <v>0</v>
      </c>
      <c r="L1529" s="41">
        <f>Table2[[#This Row],[Column1]]+Table2[[#This Row],[Column2]]</f>
        <v>0</v>
      </c>
      <c r="M1529" s="42">
        <f>Table2[[#This Row],[OnHandQty]]-Table2[[#This Row],[Projection Nov/Dec]]</f>
        <v>1</v>
      </c>
      <c r="N1529" s="35">
        <f>Table2[[#This Row],[OverStock]]*Table2[[#This Row],[RepCost]]</f>
        <v>14.895099999999999</v>
      </c>
      <c r="O1529" s="25">
        <v>46148.397916666669</v>
      </c>
      <c r="P1529" s="26" t="s">
        <v>16</v>
      </c>
    </row>
    <row r="1530" spans="1:16" x14ac:dyDescent="0.25">
      <c r="A1530" s="20" t="s">
        <v>5211</v>
      </c>
      <c r="B1530" s="21">
        <v>636</v>
      </c>
      <c r="C1530" s="22" t="s">
        <v>70</v>
      </c>
      <c r="D1530" s="22" t="s">
        <v>600</v>
      </c>
      <c r="E1530" s="22" t="str">
        <f>CONCATENATE(B1530,D1530)</f>
        <v>63669862-102</v>
      </c>
      <c r="F1530" s="22" t="s">
        <v>601</v>
      </c>
      <c r="G1530" s="22" t="s">
        <v>39</v>
      </c>
      <c r="H1530" s="23">
        <v>14.895099999999999</v>
      </c>
      <c r="I1530" s="24">
        <v>1</v>
      </c>
      <c r="J1530" s="24">
        <v>0</v>
      </c>
      <c r="K1530" s="24">
        <v>0</v>
      </c>
      <c r="L1530" s="41">
        <f>Table2[[#This Row],[Column1]]+Table2[[#This Row],[Column2]]</f>
        <v>0</v>
      </c>
      <c r="M1530" s="42">
        <f>Table2[[#This Row],[OnHandQty]]-Table2[[#This Row],[Projection Nov/Dec]]</f>
        <v>1</v>
      </c>
      <c r="N1530" s="35">
        <f>Table2[[#This Row],[OverStock]]*Table2[[#This Row],[RepCost]]</f>
        <v>14.895099999999999</v>
      </c>
      <c r="O1530" s="25">
        <v>46148.397916666669</v>
      </c>
      <c r="P1530" s="26" t="s">
        <v>16</v>
      </c>
    </row>
    <row r="1531" spans="1:16" x14ac:dyDescent="0.25">
      <c r="A1531" s="20" t="s">
        <v>5211</v>
      </c>
      <c r="B1531" s="21">
        <v>636</v>
      </c>
      <c r="C1531" s="22" t="s">
        <v>70</v>
      </c>
      <c r="D1531" s="22" t="s">
        <v>600</v>
      </c>
      <c r="E1531" s="22" t="str">
        <f>CONCATENATE(B1531,D1531)</f>
        <v>63669862-102</v>
      </c>
      <c r="F1531" s="22" t="s">
        <v>601</v>
      </c>
      <c r="G1531" s="22" t="s">
        <v>39</v>
      </c>
      <c r="H1531" s="23">
        <v>14.895099999999999</v>
      </c>
      <c r="I1531" s="24">
        <v>1</v>
      </c>
      <c r="J1531" s="24">
        <v>0</v>
      </c>
      <c r="K1531" s="24">
        <v>0</v>
      </c>
      <c r="L1531" s="41">
        <f>Table2[[#This Row],[Column1]]+Table2[[#This Row],[Column2]]</f>
        <v>0</v>
      </c>
      <c r="M1531" s="42">
        <f>Table2[[#This Row],[OnHandQty]]-Table2[[#This Row],[Projection Nov/Dec]]</f>
        <v>1</v>
      </c>
      <c r="N1531" s="35">
        <f>Table2[[#This Row],[OverStock]]*Table2[[#This Row],[RepCost]]</f>
        <v>14.895099999999999</v>
      </c>
      <c r="O1531" s="25">
        <v>46148.397916666669</v>
      </c>
      <c r="P1531" s="26" t="s">
        <v>16</v>
      </c>
    </row>
    <row r="1532" spans="1:16" x14ac:dyDescent="0.25">
      <c r="A1532" s="20" t="s">
        <v>5211</v>
      </c>
      <c r="B1532" s="21">
        <v>636</v>
      </c>
      <c r="C1532" s="22" t="s">
        <v>70</v>
      </c>
      <c r="D1532" s="22" t="s">
        <v>783</v>
      </c>
      <c r="E1532" s="22" t="str">
        <f>CONCATENATE(B1532,D1532)</f>
        <v>63676732-103</v>
      </c>
      <c r="F1532" s="22" t="s">
        <v>784</v>
      </c>
      <c r="G1532" s="22" t="s">
        <v>29</v>
      </c>
      <c r="H1532" s="23">
        <v>44.7682</v>
      </c>
      <c r="I1532" s="24">
        <v>5</v>
      </c>
      <c r="J1532" s="24">
        <v>0</v>
      </c>
      <c r="K1532" s="24">
        <v>0</v>
      </c>
      <c r="L1532" s="41">
        <f>Table2[[#This Row],[Column1]]+Table2[[#This Row],[Column2]]</f>
        <v>0</v>
      </c>
      <c r="M1532" s="42">
        <f>Table2[[#This Row],[OnHandQty]]-Table2[[#This Row],[Projection Nov/Dec]]</f>
        <v>5</v>
      </c>
      <c r="N1532" s="35">
        <f>Table2[[#This Row],[OverStock]]*Table2[[#This Row],[RepCost]]</f>
        <v>223.84100000000001</v>
      </c>
      <c r="O1532" s="25">
        <v>46149.512499999997</v>
      </c>
      <c r="P1532" s="26" t="s">
        <v>195</v>
      </c>
    </row>
    <row r="1533" spans="1:16" x14ac:dyDescent="0.25">
      <c r="A1533" s="20" t="s">
        <v>5211</v>
      </c>
      <c r="B1533" s="21">
        <v>636</v>
      </c>
      <c r="C1533" s="22" t="s">
        <v>70</v>
      </c>
      <c r="D1533" s="22" t="s">
        <v>668</v>
      </c>
      <c r="E1533" s="22" t="str">
        <f>CONCATENATE(B1533,D1533)</f>
        <v>63676733-103</v>
      </c>
      <c r="F1533" s="22" t="s">
        <v>669</v>
      </c>
      <c r="G1533" s="22" t="s">
        <v>29</v>
      </c>
      <c r="H1533" s="23">
        <v>47.527200000000001</v>
      </c>
      <c r="I1533" s="24">
        <v>1</v>
      </c>
      <c r="J1533" s="24">
        <v>0</v>
      </c>
      <c r="K1533" s="24">
        <v>0</v>
      </c>
      <c r="L1533" s="41">
        <f>Table2[[#This Row],[Column1]]+Table2[[#This Row],[Column2]]</f>
        <v>0</v>
      </c>
      <c r="M1533" s="42">
        <f>Table2[[#This Row],[OnHandQty]]-Table2[[#This Row],[Projection Nov/Dec]]</f>
        <v>1</v>
      </c>
      <c r="N1533" s="35">
        <f>Table2[[#This Row],[OverStock]]*Table2[[#This Row],[RepCost]]</f>
        <v>47.527200000000001</v>
      </c>
      <c r="O1533" s="25">
        <v>46150.597222222219</v>
      </c>
      <c r="P1533" s="26" t="s">
        <v>40</v>
      </c>
    </row>
    <row r="1534" spans="1:16" x14ac:dyDescent="0.25">
      <c r="A1534" s="20" t="s">
        <v>5211</v>
      </c>
      <c r="B1534" s="21">
        <v>634</v>
      </c>
      <c r="C1534" s="22" t="s">
        <v>12</v>
      </c>
      <c r="D1534" s="22" t="s">
        <v>13</v>
      </c>
      <c r="E1534" s="22" t="str">
        <f>CONCATENATE(B1534,D1534)</f>
        <v>63469908-101</v>
      </c>
      <c r="F1534" s="22" t="s">
        <v>14</v>
      </c>
      <c r="G1534" s="22" t="s">
        <v>15</v>
      </c>
      <c r="H1534" s="23">
        <v>6.4409999999999998</v>
      </c>
      <c r="I1534" s="24">
        <v>6</v>
      </c>
      <c r="J1534" s="24">
        <v>0</v>
      </c>
      <c r="K1534" s="24">
        <v>0</v>
      </c>
      <c r="L1534" s="41">
        <f>Table2[[#This Row],[Column1]]+Table2[[#This Row],[Column2]]</f>
        <v>0</v>
      </c>
      <c r="M1534" s="42">
        <f>Table2[[#This Row],[OnHandQty]]-Table2[[#This Row],[Projection Nov/Dec]]</f>
        <v>6</v>
      </c>
      <c r="N1534" s="35">
        <f>Table2[[#This Row],[OverStock]]*Table2[[#This Row],[RepCost]]</f>
        <v>38.646000000000001</v>
      </c>
      <c r="O1534" s="25">
        <v>45863.606249999997</v>
      </c>
      <c r="P1534" s="26" t="s">
        <v>16</v>
      </c>
    </row>
    <row r="1535" spans="1:16" x14ac:dyDescent="0.25">
      <c r="A1535" s="20" t="s">
        <v>5211</v>
      </c>
      <c r="B1535" s="21">
        <v>714</v>
      </c>
      <c r="C1535" s="22" t="s">
        <v>12</v>
      </c>
      <c r="D1535" s="22" t="s">
        <v>13</v>
      </c>
      <c r="E1535" s="22" t="str">
        <f>CONCATENATE(B1535,D1535)</f>
        <v>71469908-101</v>
      </c>
      <c r="F1535" s="22" t="s">
        <v>14</v>
      </c>
      <c r="G1535" s="22" t="s">
        <v>15</v>
      </c>
      <c r="H1535" s="23">
        <v>5.7274000000000003</v>
      </c>
      <c r="I1535" s="24">
        <v>30</v>
      </c>
      <c r="J1535" s="24">
        <v>0</v>
      </c>
      <c r="K1535" s="24">
        <v>0</v>
      </c>
      <c r="L1535" s="41">
        <f>Table2[[#This Row],[Column1]]+Table2[[#This Row],[Column2]]</f>
        <v>0</v>
      </c>
      <c r="M1535" s="42">
        <f>Table2[[#This Row],[OnHandQty]]-Table2[[#This Row],[Projection Nov/Dec]]</f>
        <v>30</v>
      </c>
      <c r="N1535" s="35">
        <f>Table2[[#This Row],[OverStock]]*Table2[[#This Row],[RepCost]]</f>
        <v>171.822</v>
      </c>
      <c r="O1535" s="25">
        <v>46200.333333333336</v>
      </c>
      <c r="P1535" s="26" t="s">
        <v>1154</v>
      </c>
    </row>
    <row r="1536" spans="1:16" x14ac:dyDescent="0.25">
      <c r="A1536" s="20" t="s">
        <v>5211</v>
      </c>
      <c r="B1536" s="21">
        <v>634</v>
      </c>
      <c r="C1536" s="22" t="s">
        <v>12</v>
      </c>
      <c r="D1536" s="22" t="s">
        <v>62</v>
      </c>
      <c r="E1536" s="22" t="str">
        <f>CONCATENATE(B1536,D1536)</f>
        <v>63469908-103</v>
      </c>
      <c r="F1536" s="22" t="s">
        <v>63</v>
      </c>
      <c r="G1536" s="22" t="s">
        <v>39</v>
      </c>
      <c r="H1536" s="23">
        <v>14.661</v>
      </c>
      <c r="I1536" s="24">
        <v>6</v>
      </c>
      <c r="J1536" s="24">
        <v>2</v>
      </c>
      <c r="K1536" s="24">
        <v>0</v>
      </c>
      <c r="L1536" s="41">
        <f>Table2[[#This Row],[Column1]]+Table2[[#This Row],[Column2]]</f>
        <v>2</v>
      </c>
      <c r="M1536" s="42">
        <f>Table2[[#This Row],[OnHandQty]]-Table2[[#This Row],[Projection Nov/Dec]]</f>
        <v>4</v>
      </c>
      <c r="N1536" s="35">
        <f>Table2[[#This Row],[OverStock]]*Table2[[#This Row],[RepCost]]</f>
        <v>58.643999999999998</v>
      </c>
      <c r="O1536" s="25">
        <v>46184.3</v>
      </c>
      <c r="P1536" s="26" t="s">
        <v>64</v>
      </c>
    </row>
    <row r="1537" spans="1:16" x14ac:dyDescent="0.25">
      <c r="A1537" s="20" t="s">
        <v>5211</v>
      </c>
      <c r="B1537" s="21">
        <v>714</v>
      </c>
      <c r="C1537" s="22" t="s">
        <v>12</v>
      </c>
      <c r="D1537" s="22" t="s">
        <v>62</v>
      </c>
      <c r="E1537" s="22" t="str">
        <f>CONCATENATE(B1537,D1537)</f>
        <v>71469908-103</v>
      </c>
      <c r="F1537" s="22" t="s">
        <v>63</v>
      </c>
      <c r="G1537" s="22" t="s">
        <v>39</v>
      </c>
      <c r="H1537" s="23">
        <v>12.2889</v>
      </c>
      <c r="I1537" s="24">
        <v>31</v>
      </c>
      <c r="J1537" s="24">
        <v>2</v>
      </c>
      <c r="K1537" s="24">
        <v>0</v>
      </c>
      <c r="L1537" s="41">
        <f>Table2[[#This Row],[Column1]]+Table2[[#This Row],[Column2]]</f>
        <v>2</v>
      </c>
      <c r="M1537" s="42">
        <f>Table2[[#This Row],[OnHandQty]]-Table2[[#This Row],[Projection Nov/Dec]]</f>
        <v>29</v>
      </c>
      <c r="N1537" s="35">
        <f>Table2[[#This Row],[OverStock]]*Table2[[#This Row],[RepCost]]</f>
        <v>356.37810000000002</v>
      </c>
      <c r="O1537" s="25">
        <v>46193.431250000001</v>
      </c>
      <c r="P1537" s="26" t="s">
        <v>26</v>
      </c>
    </row>
    <row r="1538" spans="1:16" x14ac:dyDescent="0.25">
      <c r="A1538" s="20" t="s">
        <v>5211</v>
      </c>
      <c r="B1538" s="21">
        <v>718</v>
      </c>
      <c r="C1538" s="22" t="s">
        <v>12</v>
      </c>
      <c r="D1538" s="22" t="s">
        <v>62</v>
      </c>
      <c r="E1538" s="22" t="str">
        <f>CONCATENATE(B1538,D1538)</f>
        <v>71869908-103</v>
      </c>
      <c r="F1538" s="22" t="s">
        <v>63</v>
      </c>
      <c r="G1538" s="22" t="s">
        <v>112</v>
      </c>
      <c r="H1538" s="23">
        <v>13.0634</v>
      </c>
      <c r="I1538" s="24">
        <v>23</v>
      </c>
      <c r="J1538" s="24">
        <v>2</v>
      </c>
      <c r="K1538" s="24">
        <v>0</v>
      </c>
      <c r="L1538" s="41">
        <f>Table2[[#This Row],[Column1]]+Table2[[#This Row],[Column2]]</f>
        <v>2</v>
      </c>
      <c r="M1538" s="42">
        <f>Table2[[#This Row],[OnHandQty]]-Table2[[#This Row],[Projection Nov/Dec]]</f>
        <v>21</v>
      </c>
      <c r="N1538" s="35">
        <f>Table2[[#This Row],[OverStock]]*Table2[[#This Row],[RepCost]]</f>
        <v>274.33139999999997</v>
      </c>
      <c r="O1538" s="25">
        <v>46218.347916666666</v>
      </c>
      <c r="P1538" s="26" t="s">
        <v>3590</v>
      </c>
    </row>
    <row r="1539" spans="1:16" x14ac:dyDescent="0.25">
      <c r="A1539" s="20" t="s">
        <v>5211</v>
      </c>
      <c r="B1539" s="21">
        <v>636</v>
      </c>
      <c r="C1539" s="22" t="s">
        <v>12</v>
      </c>
      <c r="D1539" s="22" t="s">
        <v>62</v>
      </c>
      <c r="E1539" s="22" t="str">
        <f>CONCATENATE(B1539,D1539)</f>
        <v>63669908-103</v>
      </c>
      <c r="F1539" s="22" t="s">
        <v>63</v>
      </c>
      <c r="G1539" s="22" t="s">
        <v>39</v>
      </c>
      <c r="H1539" s="23">
        <v>13.8126</v>
      </c>
      <c r="I1539" s="24">
        <v>22</v>
      </c>
      <c r="J1539" s="24">
        <v>2</v>
      </c>
      <c r="K1539" s="24">
        <v>0</v>
      </c>
      <c r="L1539" s="41">
        <f>Table2[[#This Row],[Column1]]+Table2[[#This Row],[Column2]]</f>
        <v>2</v>
      </c>
      <c r="M1539" s="42">
        <f>Table2[[#This Row],[OnHandQty]]-Table2[[#This Row],[Projection Nov/Dec]]</f>
        <v>20</v>
      </c>
      <c r="N1539" s="35">
        <f>Table2[[#This Row],[OverStock]]*Table2[[#This Row],[RepCost]]</f>
        <v>276.25200000000001</v>
      </c>
      <c r="O1539" s="25">
        <v>46218.588888888888</v>
      </c>
      <c r="P1539" s="26" t="s">
        <v>40</v>
      </c>
    </row>
    <row r="1540" spans="1:16" x14ac:dyDescent="0.25">
      <c r="A1540" s="20" t="s">
        <v>5211</v>
      </c>
      <c r="B1540" s="21">
        <v>714</v>
      </c>
      <c r="C1540" s="22" t="s">
        <v>12</v>
      </c>
      <c r="D1540" s="22" t="s">
        <v>1958</v>
      </c>
      <c r="E1540" s="22" t="str">
        <f>CONCATENATE(B1540,D1540)</f>
        <v>71477690-101</v>
      </c>
      <c r="F1540" s="22" t="s">
        <v>1959</v>
      </c>
      <c r="G1540" s="22" t="s">
        <v>23</v>
      </c>
      <c r="H1540" s="23">
        <v>7.2568000000000001</v>
      </c>
      <c r="I1540" s="24">
        <v>10</v>
      </c>
      <c r="J1540" s="24">
        <v>1</v>
      </c>
      <c r="K1540" s="24">
        <v>0</v>
      </c>
      <c r="L1540" s="41">
        <f>Table2[[#This Row],[Column1]]+Table2[[#This Row],[Column2]]</f>
        <v>1</v>
      </c>
      <c r="M1540" s="42">
        <f>Table2[[#This Row],[OnHandQty]]-Table2[[#This Row],[Projection Nov/Dec]]</f>
        <v>9</v>
      </c>
      <c r="N1540" s="35">
        <f>Table2[[#This Row],[OverStock]]*Table2[[#This Row],[RepCost]]</f>
        <v>65.311199999999999</v>
      </c>
      <c r="O1540" s="25">
        <v>46119.337500000001</v>
      </c>
      <c r="P1540" s="26" t="s">
        <v>94</v>
      </c>
    </row>
    <row r="1541" spans="1:16" x14ac:dyDescent="0.25">
      <c r="A1541" s="20" t="s">
        <v>5211</v>
      </c>
      <c r="B1541" s="21">
        <v>636</v>
      </c>
      <c r="C1541" s="22" t="s">
        <v>12</v>
      </c>
      <c r="D1541" s="22" t="s">
        <v>514</v>
      </c>
      <c r="E1541" s="22" t="str">
        <f>CONCATENATE(B1541,D1541)</f>
        <v>63677690-103</v>
      </c>
      <c r="F1541" s="22" t="s">
        <v>515</v>
      </c>
      <c r="G1541" s="22" t="s">
        <v>29</v>
      </c>
      <c r="H1541" s="23">
        <v>15.0024</v>
      </c>
      <c r="I1541" s="24">
        <v>6</v>
      </c>
      <c r="J1541" s="24">
        <v>0</v>
      </c>
      <c r="K1541" s="24">
        <v>0</v>
      </c>
      <c r="L1541" s="41">
        <f>Table2[[#This Row],[Column1]]+Table2[[#This Row],[Column2]]</f>
        <v>0</v>
      </c>
      <c r="M1541" s="42">
        <f>Table2[[#This Row],[OnHandQty]]-Table2[[#This Row],[Projection Nov/Dec]]</f>
        <v>6</v>
      </c>
      <c r="N1541" s="35">
        <f>Table2[[#This Row],[OverStock]]*Table2[[#This Row],[RepCost]]</f>
        <v>90.014399999999995</v>
      </c>
      <c r="O1541" s="25">
        <v>46177.611805555556</v>
      </c>
      <c r="P1541" s="26" t="s">
        <v>26</v>
      </c>
    </row>
    <row r="1542" spans="1:16" x14ac:dyDescent="0.25">
      <c r="A1542" s="20" t="s">
        <v>5211</v>
      </c>
      <c r="B1542" s="21">
        <v>714</v>
      </c>
      <c r="C1542" s="22" t="s">
        <v>12</v>
      </c>
      <c r="D1542" s="22" t="s">
        <v>514</v>
      </c>
      <c r="E1542" s="22" t="str">
        <f>CONCATENATE(B1542,D1542)</f>
        <v>71477690-103</v>
      </c>
      <c r="F1542" s="22" t="s">
        <v>515</v>
      </c>
      <c r="G1542" s="22" t="s">
        <v>23</v>
      </c>
      <c r="H1542" s="23">
        <v>10.8378</v>
      </c>
      <c r="I1542" s="24">
        <v>2</v>
      </c>
      <c r="J1542" s="24">
        <v>0</v>
      </c>
      <c r="K1542" s="24">
        <v>0</v>
      </c>
      <c r="L1542" s="41">
        <f>Table2[[#This Row],[Column1]]+Table2[[#This Row],[Column2]]</f>
        <v>0</v>
      </c>
      <c r="M1542" s="42">
        <f>Table2[[#This Row],[OnHandQty]]-Table2[[#This Row],[Projection Nov/Dec]]</f>
        <v>2</v>
      </c>
      <c r="N1542" s="35">
        <f>Table2[[#This Row],[OverStock]]*Table2[[#This Row],[RepCost]]</f>
        <v>21.675599999999999</v>
      </c>
      <c r="O1542" s="25">
        <v>46178.441666666666</v>
      </c>
      <c r="P1542" s="26" t="s">
        <v>216</v>
      </c>
    </row>
    <row r="1543" spans="1:16" x14ac:dyDescent="0.25">
      <c r="A1543" s="20" t="s">
        <v>5211</v>
      </c>
      <c r="B1543" s="21">
        <v>714</v>
      </c>
      <c r="C1543" s="22" t="s">
        <v>12</v>
      </c>
      <c r="D1543" s="22" t="s">
        <v>1902</v>
      </c>
      <c r="E1543" s="22" t="str">
        <f>CONCATENATE(B1543,D1543)</f>
        <v>71469909-101</v>
      </c>
      <c r="F1543" s="27" t="s">
        <v>1903</v>
      </c>
      <c r="G1543" s="27" t="s">
        <v>58</v>
      </c>
      <c r="H1543" s="23">
        <v>6.1813000000000002</v>
      </c>
      <c r="I1543" s="24">
        <v>30</v>
      </c>
      <c r="J1543" s="24">
        <v>0</v>
      </c>
      <c r="K1543" s="24">
        <v>0</v>
      </c>
      <c r="L1543" s="41">
        <f>Table2[[#This Row],[Column1]]+Table2[[#This Row],[Column2]]</f>
        <v>0</v>
      </c>
      <c r="M1543" s="42">
        <f>Table2[[#This Row],[OnHandQty]]-Table2[[#This Row],[Projection Nov/Dec]]</f>
        <v>30</v>
      </c>
      <c r="N1543" s="35">
        <f>Table2[[#This Row],[OverStock]]*Table2[[#This Row],[RepCost]]</f>
        <v>185.43900000000002</v>
      </c>
      <c r="O1543" s="25">
        <v>45469.572916666664</v>
      </c>
      <c r="P1543" s="26" t="s">
        <v>44</v>
      </c>
    </row>
    <row r="1544" spans="1:16" x14ac:dyDescent="0.25">
      <c r="A1544" s="20" t="s">
        <v>5211</v>
      </c>
      <c r="B1544" s="21">
        <v>714</v>
      </c>
      <c r="C1544" s="22" t="s">
        <v>12</v>
      </c>
      <c r="D1544" s="22" t="s">
        <v>1855</v>
      </c>
      <c r="E1544" s="22" t="str">
        <f>CONCATENATE(B1544,D1544)</f>
        <v>71469910-101</v>
      </c>
      <c r="F1544" s="22" t="s">
        <v>1856</v>
      </c>
      <c r="G1544" s="22" t="s">
        <v>29</v>
      </c>
      <c r="H1544" s="23">
        <v>8.7363999999999997</v>
      </c>
      <c r="I1544" s="24">
        <v>25</v>
      </c>
      <c r="J1544" s="24">
        <v>0</v>
      </c>
      <c r="K1544" s="24">
        <v>0</v>
      </c>
      <c r="L1544" s="41">
        <f>Table2[[#This Row],[Column1]]+Table2[[#This Row],[Column2]]</f>
        <v>0</v>
      </c>
      <c r="M1544" s="42">
        <f>Table2[[#This Row],[OnHandQty]]-Table2[[#This Row],[Projection Nov/Dec]]</f>
        <v>25</v>
      </c>
      <c r="N1544" s="35">
        <f>Table2[[#This Row],[OverStock]]*Table2[[#This Row],[RepCost]]</f>
        <v>218.41</v>
      </c>
      <c r="O1544" s="25">
        <v>46120.630555555559</v>
      </c>
      <c r="P1544" s="26" t="s">
        <v>44</v>
      </c>
    </row>
    <row r="1545" spans="1:16" x14ac:dyDescent="0.25">
      <c r="A1545" s="20" t="s">
        <v>5211</v>
      </c>
      <c r="B1545" s="21">
        <v>636</v>
      </c>
      <c r="C1545" s="22" t="s">
        <v>12</v>
      </c>
      <c r="D1545" s="22" t="s">
        <v>536</v>
      </c>
      <c r="E1545" s="22" t="str">
        <f>CONCATENATE(B1545,D1545)</f>
        <v>63669911-105</v>
      </c>
      <c r="F1545" s="22" t="s">
        <v>537</v>
      </c>
      <c r="G1545" s="22" t="s">
        <v>29</v>
      </c>
      <c r="H1545" s="23">
        <v>31.309200000000001</v>
      </c>
      <c r="I1545" s="24">
        <v>15</v>
      </c>
      <c r="J1545" s="24">
        <v>0</v>
      </c>
      <c r="K1545" s="24">
        <v>0</v>
      </c>
      <c r="L1545" s="41">
        <f>Table2[[#This Row],[Column1]]+Table2[[#This Row],[Column2]]</f>
        <v>0</v>
      </c>
      <c r="M1545" s="42">
        <f>Table2[[#This Row],[OnHandQty]]-Table2[[#This Row],[Projection Nov/Dec]]</f>
        <v>15</v>
      </c>
      <c r="N1545" s="35">
        <f>Table2[[#This Row],[OverStock]]*Table2[[#This Row],[RepCost]]</f>
        <v>469.63800000000003</v>
      </c>
      <c r="O1545" s="25">
        <v>46146.459722222222</v>
      </c>
      <c r="P1545" s="26" t="s">
        <v>67</v>
      </c>
    </row>
    <row r="1546" spans="1:16" x14ac:dyDescent="0.25">
      <c r="A1546" s="20" t="s">
        <v>5211</v>
      </c>
      <c r="B1546" s="21">
        <v>636</v>
      </c>
      <c r="C1546" s="22" t="s">
        <v>12</v>
      </c>
      <c r="D1546" s="22" t="s">
        <v>555</v>
      </c>
      <c r="E1546" s="22" t="str">
        <f>CONCATENATE(B1546,D1546)</f>
        <v>63669912-SP2</v>
      </c>
      <c r="F1546" s="22" t="s">
        <v>556</v>
      </c>
      <c r="G1546" s="22" t="s">
        <v>19</v>
      </c>
      <c r="H1546" s="23">
        <v>2.1614</v>
      </c>
      <c r="I1546" s="24">
        <v>18</v>
      </c>
      <c r="J1546" s="24">
        <v>0</v>
      </c>
      <c r="K1546" s="24">
        <v>0</v>
      </c>
      <c r="L1546" s="41">
        <f>Table2[[#This Row],[Column1]]+Table2[[#This Row],[Column2]]</f>
        <v>0</v>
      </c>
      <c r="M1546" s="42">
        <f>Table2[[#This Row],[OnHandQty]]-Table2[[#This Row],[Projection Nov/Dec]]</f>
        <v>18</v>
      </c>
      <c r="N1546" s="35">
        <f>Table2[[#This Row],[OverStock]]*Table2[[#This Row],[RepCost]]</f>
        <v>38.905200000000001</v>
      </c>
      <c r="O1546" s="25">
        <v>46183.595833333333</v>
      </c>
      <c r="P1546" s="26" t="s">
        <v>557</v>
      </c>
    </row>
    <row r="1547" spans="1:16" x14ac:dyDescent="0.25">
      <c r="A1547" s="20" t="s">
        <v>5211</v>
      </c>
      <c r="B1547" s="21">
        <v>714</v>
      </c>
      <c r="C1547" s="22" t="s">
        <v>12</v>
      </c>
      <c r="D1547" s="22" t="s">
        <v>1865</v>
      </c>
      <c r="E1547" s="22" t="str">
        <f>CONCATENATE(B1547,D1547)</f>
        <v>71469967-105</v>
      </c>
      <c r="F1547" s="22" t="s">
        <v>1866</v>
      </c>
      <c r="G1547" s="22" t="s">
        <v>35</v>
      </c>
      <c r="H1547" s="23">
        <v>29.894300000000001</v>
      </c>
      <c r="I1547" s="24">
        <v>2</v>
      </c>
      <c r="J1547" s="24">
        <v>0</v>
      </c>
      <c r="K1547" s="24">
        <v>0</v>
      </c>
      <c r="L1547" s="41">
        <f>Table2[[#This Row],[Column1]]+Table2[[#This Row],[Column2]]</f>
        <v>0</v>
      </c>
      <c r="M1547" s="42">
        <f>Table2[[#This Row],[OnHandQty]]-Table2[[#This Row],[Projection Nov/Dec]]</f>
        <v>2</v>
      </c>
      <c r="N1547" s="35">
        <f>Table2[[#This Row],[OverStock]]*Table2[[#This Row],[RepCost]]</f>
        <v>59.788600000000002</v>
      </c>
      <c r="O1547" s="25">
        <v>45769.556250000001</v>
      </c>
      <c r="P1547" s="26" t="s">
        <v>1867</v>
      </c>
    </row>
    <row r="1548" spans="1:16" x14ac:dyDescent="0.25">
      <c r="A1548" s="20" t="s">
        <v>5211</v>
      </c>
      <c r="B1548" s="21">
        <v>714</v>
      </c>
      <c r="C1548" s="22" t="s">
        <v>12</v>
      </c>
      <c r="D1548" s="22" t="s">
        <v>1912</v>
      </c>
      <c r="E1548" s="22" t="str">
        <f>CONCATENATE(B1548,D1548)</f>
        <v>71469969-103</v>
      </c>
      <c r="F1548" s="22" t="s">
        <v>1913</v>
      </c>
      <c r="G1548" s="22" t="s">
        <v>39</v>
      </c>
      <c r="H1548" s="23">
        <v>17.963699999999999</v>
      </c>
      <c r="I1548" s="24">
        <v>3</v>
      </c>
      <c r="J1548" s="24">
        <v>0</v>
      </c>
      <c r="K1548" s="24">
        <v>0</v>
      </c>
      <c r="L1548" s="41">
        <f>Table2[[#This Row],[Column1]]+Table2[[#This Row],[Column2]]</f>
        <v>0</v>
      </c>
      <c r="M1548" s="42">
        <f>Table2[[#This Row],[OnHandQty]]-Table2[[#This Row],[Projection Nov/Dec]]</f>
        <v>3</v>
      </c>
      <c r="N1548" s="35">
        <f>Table2[[#This Row],[OverStock]]*Table2[[#This Row],[RepCost]]</f>
        <v>53.891099999999994</v>
      </c>
      <c r="O1548" s="25">
        <v>45759.422222222223</v>
      </c>
      <c r="P1548" s="26" t="s">
        <v>140</v>
      </c>
    </row>
    <row r="1549" spans="1:16" x14ac:dyDescent="0.25">
      <c r="A1549" s="20" t="s">
        <v>5211</v>
      </c>
      <c r="B1549" s="21">
        <v>718</v>
      </c>
      <c r="C1549" s="22" t="s">
        <v>12</v>
      </c>
      <c r="D1549" s="22" t="s">
        <v>3584</v>
      </c>
      <c r="E1549" s="22" t="str">
        <f>CONCATENATE(B1549,D1549)</f>
        <v>71879320-STK105</v>
      </c>
      <c r="F1549" s="22" t="s">
        <v>3585</v>
      </c>
      <c r="G1549" s="22" t="s">
        <v>29</v>
      </c>
      <c r="H1549" s="23">
        <v>48.757199999999997</v>
      </c>
      <c r="I1549" s="24">
        <v>1</v>
      </c>
      <c r="J1549" s="24">
        <v>0</v>
      </c>
      <c r="K1549" s="24">
        <v>0</v>
      </c>
      <c r="L1549" s="41">
        <f>Table2[[#This Row],[Column1]]+Table2[[#This Row],[Column2]]</f>
        <v>0</v>
      </c>
      <c r="M1549" s="42">
        <f>Table2[[#This Row],[OnHandQty]]-Table2[[#This Row],[Projection Nov/Dec]]</f>
        <v>1</v>
      </c>
      <c r="N1549" s="35">
        <f>Table2[[#This Row],[OverStock]]*Table2[[#This Row],[RepCost]]</f>
        <v>48.757199999999997</v>
      </c>
      <c r="O1549" s="25">
        <v>45433.568055555559</v>
      </c>
      <c r="P1549" s="26" t="s">
        <v>67</v>
      </c>
    </row>
    <row r="1550" spans="1:16" x14ac:dyDescent="0.25">
      <c r="A1550" s="20" t="s">
        <v>5211</v>
      </c>
      <c r="B1550" s="21">
        <v>714</v>
      </c>
      <c r="C1550" s="22" t="s">
        <v>12</v>
      </c>
      <c r="D1550" s="22" t="s">
        <v>1826</v>
      </c>
      <c r="E1550" s="22" t="str">
        <f>CONCATENATE(B1550,D1550)</f>
        <v>71479320-ST105PREM</v>
      </c>
      <c r="F1550" s="22" t="s">
        <v>1827</v>
      </c>
      <c r="G1550" s="22" t="s">
        <v>29</v>
      </c>
      <c r="H1550" s="23">
        <v>50.417900000000003</v>
      </c>
      <c r="I1550" s="24">
        <v>5</v>
      </c>
      <c r="J1550" s="24">
        <v>0</v>
      </c>
      <c r="K1550" s="24">
        <v>0</v>
      </c>
      <c r="L1550" s="41">
        <f>Table2[[#This Row],[Column1]]+Table2[[#This Row],[Column2]]</f>
        <v>0</v>
      </c>
      <c r="M1550" s="42">
        <f>Table2[[#This Row],[OnHandQty]]-Table2[[#This Row],[Projection Nov/Dec]]</f>
        <v>5</v>
      </c>
      <c r="N1550" s="35">
        <f>Table2[[#This Row],[OverStock]]*Table2[[#This Row],[RepCost]]</f>
        <v>252.08950000000002</v>
      </c>
      <c r="O1550" s="25">
        <v>46126.649305555555</v>
      </c>
      <c r="P1550" s="26" t="s">
        <v>67</v>
      </c>
    </row>
    <row r="1551" spans="1:16" x14ac:dyDescent="0.25">
      <c r="A1551" s="20" t="s">
        <v>5211</v>
      </c>
      <c r="B1551" s="21">
        <v>636</v>
      </c>
      <c r="C1551" s="22" t="s">
        <v>126</v>
      </c>
      <c r="D1551" s="22" t="s">
        <v>876</v>
      </c>
      <c r="E1551" s="22" t="str">
        <f>CONCATENATE(B1551,D1551)</f>
        <v>63695007-0016DECPFO</v>
      </c>
      <c r="F1551" s="22" t="s">
        <v>877</v>
      </c>
      <c r="G1551" s="22" t="s">
        <v>29</v>
      </c>
      <c r="H1551" s="23">
        <v>33.888300000000001</v>
      </c>
      <c r="I1551" s="24">
        <v>2</v>
      </c>
      <c r="J1551" s="24">
        <v>0</v>
      </c>
      <c r="K1551" s="24">
        <v>0</v>
      </c>
      <c r="L1551" s="41">
        <f>Table2[[#This Row],[Column1]]+Table2[[#This Row],[Column2]]</f>
        <v>0</v>
      </c>
      <c r="M1551" s="42">
        <f>Table2[[#This Row],[OnHandQty]]-Table2[[#This Row],[Projection Nov/Dec]]</f>
        <v>2</v>
      </c>
      <c r="N1551" s="35">
        <f>Table2[[#This Row],[OverStock]]*Table2[[#This Row],[RepCost]]</f>
        <v>67.776600000000002</v>
      </c>
      <c r="O1551" s="25">
        <v>46147.606249999997</v>
      </c>
      <c r="P1551" s="26" t="s">
        <v>878</v>
      </c>
    </row>
    <row r="1552" spans="1:16" x14ac:dyDescent="0.25">
      <c r="A1552" s="20" t="s">
        <v>5211</v>
      </c>
      <c r="B1552" s="21">
        <v>714</v>
      </c>
      <c r="C1552" s="22" t="s">
        <v>126</v>
      </c>
      <c r="D1552" s="22" t="s">
        <v>2199</v>
      </c>
      <c r="E1552" s="22" t="str">
        <f>CONCATENATE(B1552,D1552)</f>
        <v>71495006-0016DECPFO</v>
      </c>
      <c r="F1552" s="22" t="s">
        <v>2200</v>
      </c>
      <c r="G1552" s="22" t="s">
        <v>39</v>
      </c>
      <c r="H1552" s="23">
        <v>35.312600000000003</v>
      </c>
      <c r="I1552" s="24">
        <v>5</v>
      </c>
      <c r="J1552" s="24">
        <v>0</v>
      </c>
      <c r="K1552" s="24">
        <v>0</v>
      </c>
      <c r="L1552" s="41">
        <f>Table2[[#This Row],[Column1]]+Table2[[#This Row],[Column2]]</f>
        <v>0</v>
      </c>
      <c r="M1552" s="42">
        <f>Table2[[#This Row],[OnHandQty]]-Table2[[#This Row],[Projection Nov/Dec]]</f>
        <v>5</v>
      </c>
      <c r="N1552" s="35">
        <f>Table2[[#This Row],[OverStock]]*Table2[[#This Row],[RepCost]]</f>
        <v>176.56300000000002</v>
      </c>
      <c r="O1552" s="25">
        <v>46204.464583333334</v>
      </c>
      <c r="P1552" s="26" t="s">
        <v>878</v>
      </c>
    </row>
    <row r="1553" spans="1:16" x14ac:dyDescent="0.25">
      <c r="A1553" s="20" t="s">
        <v>5211</v>
      </c>
      <c r="B1553" s="21">
        <v>718</v>
      </c>
      <c r="C1553" s="22" t="s">
        <v>70</v>
      </c>
      <c r="D1553" s="22" t="s">
        <v>3641</v>
      </c>
      <c r="E1553" s="22" t="str">
        <f>CONCATENATE(B1553,D1553)</f>
        <v>71870043-SP4PREM</v>
      </c>
      <c r="F1553" s="22" t="s">
        <v>3642</v>
      </c>
      <c r="G1553" s="22" t="s">
        <v>112</v>
      </c>
      <c r="H1553" s="23">
        <v>2.21</v>
      </c>
      <c r="I1553" s="24">
        <v>145</v>
      </c>
      <c r="J1553" s="24">
        <v>0</v>
      </c>
      <c r="K1553" s="24">
        <v>0</v>
      </c>
      <c r="L1553" s="41">
        <f>Table2[[#This Row],[Column1]]+Table2[[#This Row],[Column2]]</f>
        <v>0</v>
      </c>
      <c r="M1553" s="42">
        <f>Table2[[#This Row],[OnHandQty]]-Table2[[#This Row],[Projection Nov/Dec]]</f>
        <v>145</v>
      </c>
      <c r="N1553" s="35">
        <f>Table2[[#This Row],[OverStock]]*Table2[[#This Row],[RepCost]]</f>
        <v>320.45</v>
      </c>
      <c r="O1553" s="25">
        <v>46163.370833333334</v>
      </c>
      <c r="P1553" s="26" t="s">
        <v>1932</v>
      </c>
    </row>
    <row r="1554" spans="1:16" x14ac:dyDescent="0.25">
      <c r="A1554" s="20" t="s">
        <v>5211</v>
      </c>
      <c r="B1554" s="21">
        <v>714</v>
      </c>
      <c r="C1554" s="22" t="s">
        <v>70</v>
      </c>
      <c r="D1554" s="22" t="s">
        <v>2129</v>
      </c>
      <c r="E1554" s="22" t="str">
        <f>CONCATENATE(B1554,D1554)</f>
        <v>71484622-101</v>
      </c>
      <c r="F1554" s="22" t="s">
        <v>2130</v>
      </c>
      <c r="G1554" s="22" t="s">
        <v>29</v>
      </c>
      <c r="H1554" s="23">
        <v>8.6212</v>
      </c>
      <c r="I1554" s="24">
        <v>49</v>
      </c>
      <c r="J1554" s="24">
        <v>0</v>
      </c>
      <c r="K1554" s="24">
        <v>0</v>
      </c>
      <c r="L1554" s="41">
        <f>Table2[[#This Row],[Column1]]+Table2[[#This Row],[Column2]]</f>
        <v>0</v>
      </c>
      <c r="M1554" s="42">
        <f>Table2[[#This Row],[OnHandQty]]-Table2[[#This Row],[Projection Nov/Dec]]</f>
        <v>49</v>
      </c>
      <c r="N1554" s="35">
        <f>Table2[[#This Row],[OverStock]]*Table2[[#This Row],[RepCost]]</f>
        <v>422.43880000000001</v>
      </c>
      <c r="O1554" s="25">
        <v>46213.455555555556</v>
      </c>
      <c r="P1554" s="26" t="s">
        <v>573</v>
      </c>
    </row>
    <row r="1555" spans="1:16" x14ac:dyDescent="0.25">
      <c r="A1555" s="20" t="s">
        <v>5211</v>
      </c>
      <c r="B1555" s="21">
        <v>718</v>
      </c>
      <c r="C1555" s="22" t="s">
        <v>70</v>
      </c>
      <c r="D1555" s="22" t="s">
        <v>3693</v>
      </c>
      <c r="E1555" s="22" t="str">
        <f>CONCATENATE(B1555,D1555)</f>
        <v>71883184-101</v>
      </c>
      <c r="F1555" s="22" t="s">
        <v>3694</v>
      </c>
      <c r="G1555" s="22" t="s">
        <v>39</v>
      </c>
      <c r="H1555" s="23">
        <v>8.3377999999999997</v>
      </c>
      <c r="I1555" s="24">
        <v>17</v>
      </c>
      <c r="J1555" s="24">
        <v>0</v>
      </c>
      <c r="K1555" s="24">
        <v>0</v>
      </c>
      <c r="L1555" s="41">
        <f>Table2[[#This Row],[Column1]]+Table2[[#This Row],[Column2]]</f>
        <v>0</v>
      </c>
      <c r="M1555" s="42">
        <f>Table2[[#This Row],[OnHandQty]]-Table2[[#This Row],[Projection Nov/Dec]]</f>
        <v>17</v>
      </c>
      <c r="N1555" s="35">
        <f>Table2[[#This Row],[OverStock]]*Table2[[#This Row],[RepCost]]</f>
        <v>141.74259999999998</v>
      </c>
      <c r="O1555" s="25">
        <v>46232.6</v>
      </c>
      <c r="P1555" s="26" t="s">
        <v>573</v>
      </c>
    </row>
    <row r="1556" spans="1:16" x14ac:dyDescent="0.25">
      <c r="A1556" s="20" t="s">
        <v>5211</v>
      </c>
      <c r="B1556" s="21">
        <v>636</v>
      </c>
      <c r="C1556" s="22" t="s">
        <v>70</v>
      </c>
      <c r="D1556" s="22" t="s">
        <v>706</v>
      </c>
      <c r="E1556" s="22" t="str">
        <f>CONCATENATE(B1556,D1556)</f>
        <v>63690787-102</v>
      </c>
      <c r="F1556" s="22" t="s">
        <v>707</v>
      </c>
      <c r="G1556" s="22" t="s">
        <v>29</v>
      </c>
      <c r="H1556" s="23">
        <v>9.7272999999999996</v>
      </c>
      <c r="I1556" s="24">
        <v>1</v>
      </c>
      <c r="J1556" s="24">
        <v>0</v>
      </c>
      <c r="K1556" s="24">
        <v>0</v>
      </c>
      <c r="L1556" s="41">
        <f>Table2[[#This Row],[Column1]]+Table2[[#This Row],[Column2]]</f>
        <v>0</v>
      </c>
      <c r="M1556" s="42">
        <f>Table2[[#This Row],[OnHandQty]]-Table2[[#This Row],[Projection Nov/Dec]]</f>
        <v>1</v>
      </c>
      <c r="N1556" s="35">
        <f>Table2[[#This Row],[OverStock]]*Table2[[#This Row],[RepCost]]</f>
        <v>9.7272999999999996</v>
      </c>
      <c r="O1556" s="25">
        <v>46178.285416666666</v>
      </c>
      <c r="P1556" s="26" t="s">
        <v>522</v>
      </c>
    </row>
    <row r="1557" spans="1:16" x14ac:dyDescent="0.25">
      <c r="A1557" s="20" t="s">
        <v>5211</v>
      </c>
      <c r="B1557" s="21">
        <v>636</v>
      </c>
      <c r="C1557" s="22" t="s">
        <v>70</v>
      </c>
      <c r="D1557" s="22" t="s">
        <v>666</v>
      </c>
      <c r="E1557" s="22" t="str">
        <f>CONCATENATE(B1557,D1557)</f>
        <v>63689094-101</v>
      </c>
      <c r="F1557" s="22" t="s">
        <v>667</v>
      </c>
      <c r="G1557" s="22" t="s">
        <v>112</v>
      </c>
      <c r="H1557" s="23">
        <v>3.1873</v>
      </c>
      <c r="I1557" s="24">
        <v>43</v>
      </c>
      <c r="J1557" s="24">
        <v>0</v>
      </c>
      <c r="K1557" s="24">
        <v>0</v>
      </c>
      <c r="L1557" s="41">
        <f>Table2[[#This Row],[Column1]]+Table2[[#This Row],[Column2]]</f>
        <v>0</v>
      </c>
      <c r="M1557" s="42">
        <f>Table2[[#This Row],[OnHandQty]]-Table2[[#This Row],[Projection Nov/Dec]]</f>
        <v>43</v>
      </c>
      <c r="N1557" s="35">
        <f>Table2[[#This Row],[OverStock]]*Table2[[#This Row],[RepCost]]</f>
        <v>137.0539</v>
      </c>
      <c r="O1557" s="25">
        <v>46111.487500000003</v>
      </c>
      <c r="P1557" s="26" t="s">
        <v>545</v>
      </c>
    </row>
    <row r="1558" spans="1:16" x14ac:dyDescent="0.25">
      <c r="A1558" s="20" t="s">
        <v>5211</v>
      </c>
      <c r="B1558" s="21">
        <v>714</v>
      </c>
      <c r="C1558" s="22" t="s">
        <v>126</v>
      </c>
      <c r="D1558" s="22" t="s">
        <v>2192</v>
      </c>
      <c r="E1558" s="22" t="str">
        <f>CONCATENATE(B1558,D1558)</f>
        <v>71495792-STD105PFO</v>
      </c>
      <c r="F1558" s="22" t="s">
        <v>2193</v>
      </c>
      <c r="G1558" s="22" t="s">
        <v>35</v>
      </c>
      <c r="H1558" s="23">
        <v>55.89</v>
      </c>
      <c r="I1558" s="24">
        <v>1</v>
      </c>
      <c r="J1558" s="24">
        <v>0</v>
      </c>
      <c r="K1558" s="24">
        <v>0</v>
      </c>
      <c r="L1558" s="41">
        <f>Table2[[#This Row],[Column1]]+Table2[[#This Row],[Column2]]</f>
        <v>0</v>
      </c>
      <c r="M1558" s="42">
        <f>Table2[[#This Row],[OnHandQty]]-Table2[[#This Row],[Projection Nov/Dec]]</f>
        <v>1</v>
      </c>
      <c r="N1558" s="35">
        <f>Table2[[#This Row],[OverStock]]*Table2[[#This Row],[RepCost]]</f>
        <v>55.89</v>
      </c>
      <c r="O1558" s="25">
        <v>45764.423611111109</v>
      </c>
      <c r="P1558" s="26" t="s">
        <v>140</v>
      </c>
    </row>
    <row r="1559" spans="1:16" x14ac:dyDescent="0.25">
      <c r="A1559" s="20" t="s">
        <v>5211</v>
      </c>
      <c r="B1559" s="21">
        <v>636</v>
      </c>
      <c r="C1559" s="22" t="s">
        <v>70</v>
      </c>
      <c r="D1559" s="22" t="s">
        <v>684</v>
      </c>
      <c r="E1559" s="22" t="str">
        <f>CONCATENATE(B1559,D1559)</f>
        <v>63690870-101</v>
      </c>
      <c r="F1559" s="22" t="s">
        <v>685</v>
      </c>
      <c r="G1559" s="22" t="s">
        <v>23</v>
      </c>
      <c r="H1559" s="23">
        <v>6.4641999999999999</v>
      </c>
      <c r="I1559" s="24">
        <v>1</v>
      </c>
      <c r="J1559" s="24">
        <v>0</v>
      </c>
      <c r="K1559" s="24">
        <v>0</v>
      </c>
      <c r="L1559" s="41">
        <f>Table2[[#This Row],[Column1]]+Table2[[#This Row],[Column2]]</f>
        <v>0</v>
      </c>
      <c r="M1559" s="42">
        <f>Table2[[#This Row],[OnHandQty]]-Table2[[#This Row],[Projection Nov/Dec]]</f>
        <v>1</v>
      </c>
      <c r="N1559" s="35">
        <f>Table2[[#This Row],[OverStock]]*Table2[[#This Row],[RepCost]]</f>
        <v>6.4641999999999999</v>
      </c>
      <c r="O1559" s="25">
        <v>46248.390277777777</v>
      </c>
      <c r="P1559" s="26" t="s">
        <v>16</v>
      </c>
    </row>
    <row r="1560" spans="1:16" x14ac:dyDescent="0.25">
      <c r="A1560" s="20" t="s">
        <v>5211</v>
      </c>
      <c r="B1560" s="21">
        <v>634</v>
      </c>
      <c r="C1560" s="22" t="s">
        <v>12</v>
      </c>
      <c r="D1560" s="22" t="s">
        <v>21</v>
      </c>
      <c r="E1560" s="22" t="str">
        <f>CONCATENATE(B1560,D1560)</f>
        <v>63472623-SP4</v>
      </c>
      <c r="F1560" s="22" t="s">
        <v>22</v>
      </c>
      <c r="G1560" s="22" t="s">
        <v>23</v>
      </c>
      <c r="H1560" s="23">
        <v>3.6911999999999998</v>
      </c>
      <c r="I1560" s="24">
        <v>13</v>
      </c>
      <c r="J1560" s="24">
        <v>0</v>
      </c>
      <c r="K1560" s="24">
        <v>0</v>
      </c>
      <c r="L1560" s="41">
        <f>Table2[[#This Row],[Column1]]+Table2[[#This Row],[Column2]]</f>
        <v>0</v>
      </c>
      <c r="M1560" s="42">
        <f>Table2[[#This Row],[OnHandQty]]-Table2[[#This Row],[Projection Nov/Dec]]</f>
        <v>13</v>
      </c>
      <c r="N1560" s="35">
        <f>Table2[[#This Row],[OverStock]]*Table2[[#This Row],[RepCost]]</f>
        <v>47.985599999999998</v>
      </c>
      <c r="O1560" s="25">
        <v>46217.382638888892</v>
      </c>
      <c r="P1560" s="26" t="s">
        <v>20</v>
      </c>
    </row>
    <row r="1561" spans="1:16" x14ac:dyDescent="0.25">
      <c r="A1561" s="20" t="s">
        <v>5211</v>
      </c>
      <c r="B1561" s="21">
        <v>636</v>
      </c>
      <c r="C1561" s="22" t="s">
        <v>70</v>
      </c>
      <c r="D1561" s="22" t="s">
        <v>767</v>
      </c>
      <c r="E1561" s="22" t="str">
        <f>CONCATENATE(B1561,D1561)</f>
        <v>63670311-HB0010</v>
      </c>
      <c r="F1561" s="22" t="s">
        <v>768</v>
      </c>
      <c r="G1561" s="22" t="s">
        <v>23</v>
      </c>
      <c r="H1561" s="23">
        <v>22.345099999999999</v>
      </c>
      <c r="I1561" s="24">
        <v>21</v>
      </c>
      <c r="J1561" s="24">
        <v>0</v>
      </c>
      <c r="K1561" s="24">
        <v>0</v>
      </c>
      <c r="L1561" s="41">
        <f>Table2[[#This Row],[Column1]]+Table2[[#This Row],[Column2]]</f>
        <v>0</v>
      </c>
      <c r="M1561" s="42">
        <f>Table2[[#This Row],[OnHandQty]]-Table2[[#This Row],[Projection Nov/Dec]]</f>
        <v>21</v>
      </c>
      <c r="N1561" s="35">
        <f>Table2[[#This Row],[OverStock]]*Table2[[#This Row],[RepCost]]</f>
        <v>469.24709999999999</v>
      </c>
      <c r="O1561" s="25">
        <v>46150.59652777778</v>
      </c>
      <c r="P1561" s="26" t="s">
        <v>590</v>
      </c>
    </row>
    <row r="1562" spans="1:16" x14ac:dyDescent="0.25">
      <c r="A1562" s="20" t="s">
        <v>5211</v>
      </c>
      <c r="B1562" s="21">
        <v>636</v>
      </c>
      <c r="C1562" s="22" t="s">
        <v>1749</v>
      </c>
      <c r="D1562" s="22" t="s">
        <v>1754</v>
      </c>
      <c r="E1562" s="22" t="str">
        <f>CONCATENATE(B1562,D1562)</f>
        <v>63670319-INTDB006</v>
      </c>
      <c r="F1562" s="22" t="s">
        <v>1755</v>
      </c>
      <c r="G1562" s="22" t="s">
        <v>112</v>
      </c>
      <c r="H1562" s="23">
        <v>19.7239</v>
      </c>
      <c r="I1562" s="24">
        <v>6</v>
      </c>
      <c r="J1562" s="24">
        <v>0</v>
      </c>
      <c r="K1562" s="24">
        <v>0</v>
      </c>
      <c r="L1562" s="41">
        <f>Table2[[#This Row],[Column1]]+Table2[[#This Row],[Column2]]</f>
        <v>0</v>
      </c>
      <c r="M1562" s="42">
        <f>Table2[[#This Row],[OnHandQty]]-Table2[[#This Row],[Projection Nov/Dec]]</f>
        <v>6</v>
      </c>
      <c r="N1562" s="35">
        <f>Table2[[#This Row],[OverStock]]*Table2[[#This Row],[RepCost]]</f>
        <v>118.3434</v>
      </c>
      <c r="O1562" s="25">
        <v>46242.431944444441</v>
      </c>
      <c r="P1562" s="26" t="s">
        <v>652</v>
      </c>
    </row>
    <row r="1563" spans="1:16" x14ac:dyDescent="0.25">
      <c r="A1563" s="20" t="s">
        <v>5211</v>
      </c>
      <c r="B1563" s="21">
        <v>636</v>
      </c>
      <c r="C1563" s="22" t="s">
        <v>1749</v>
      </c>
      <c r="D1563" s="22" t="s">
        <v>1754</v>
      </c>
      <c r="E1563" s="22" t="str">
        <f>CONCATENATE(B1563,D1563)</f>
        <v>63670319-INTDB006</v>
      </c>
      <c r="F1563" s="22" t="s">
        <v>1755</v>
      </c>
      <c r="G1563" s="22" t="s">
        <v>112</v>
      </c>
      <c r="H1563" s="23">
        <v>19.7239</v>
      </c>
      <c r="I1563" s="24">
        <v>6</v>
      </c>
      <c r="J1563" s="24">
        <v>0</v>
      </c>
      <c r="K1563" s="24">
        <v>0</v>
      </c>
      <c r="L1563" s="41">
        <f>Table2[[#This Row],[Column1]]+Table2[[#This Row],[Column2]]</f>
        <v>0</v>
      </c>
      <c r="M1563" s="42">
        <f>Table2[[#This Row],[OnHandQty]]-Table2[[#This Row],[Projection Nov/Dec]]</f>
        <v>6</v>
      </c>
      <c r="N1563" s="35">
        <f>Table2[[#This Row],[OverStock]]*Table2[[#This Row],[RepCost]]</f>
        <v>118.3434</v>
      </c>
      <c r="O1563" s="25">
        <v>46242.431944444441</v>
      </c>
      <c r="P1563" s="26" t="s">
        <v>652</v>
      </c>
    </row>
    <row r="1564" spans="1:16" x14ac:dyDescent="0.25">
      <c r="A1564" s="20" t="s">
        <v>5211</v>
      </c>
      <c r="B1564" s="21">
        <v>634</v>
      </c>
      <c r="C1564" s="22" t="s">
        <v>12</v>
      </c>
      <c r="D1564" s="22" t="s">
        <v>50</v>
      </c>
      <c r="E1564" s="22" t="str">
        <f>CONCATENATE(B1564,D1564)</f>
        <v>63472677-SP4</v>
      </c>
      <c r="F1564" s="22" t="s">
        <v>51</v>
      </c>
      <c r="G1564" s="22" t="s">
        <v>19</v>
      </c>
      <c r="H1564" s="23">
        <v>1.0865</v>
      </c>
      <c r="I1564" s="24">
        <v>18</v>
      </c>
      <c r="J1564" s="24">
        <v>0</v>
      </c>
      <c r="K1564" s="24">
        <v>0</v>
      </c>
      <c r="L1564" s="41">
        <f>Table2[[#This Row],[Column1]]+Table2[[#This Row],[Column2]]</f>
        <v>0</v>
      </c>
      <c r="M1564" s="42">
        <f>Table2[[#This Row],[OnHandQty]]-Table2[[#This Row],[Projection Nov/Dec]]</f>
        <v>18</v>
      </c>
      <c r="N1564" s="35">
        <f>Table2[[#This Row],[OverStock]]*Table2[[#This Row],[RepCost]]</f>
        <v>19.557000000000002</v>
      </c>
      <c r="O1564" s="25">
        <v>46217.382638888892</v>
      </c>
      <c r="P1564" s="26" t="s">
        <v>20</v>
      </c>
    </row>
    <row r="1565" spans="1:16" x14ac:dyDescent="0.25">
      <c r="A1565" s="20" t="s">
        <v>5211</v>
      </c>
      <c r="B1565" s="21">
        <v>636</v>
      </c>
      <c r="C1565" s="22" t="s">
        <v>70</v>
      </c>
      <c r="D1565" s="22" t="s">
        <v>818</v>
      </c>
      <c r="E1565" s="22" t="str">
        <f>CONCATENATE(B1565,D1565)</f>
        <v>63672673-101</v>
      </c>
      <c r="F1565" s="22" t="s">
        <v>819</v>
      </c>
      <c r="G1565" s="22" t="s">
        <v>81</v>
      </c>
      <c r="H1565" s="23">
        <v>5.5928000000000004</v>
      </c>
      <c r="I1565" s="24">
        <v>2</v>
      </c>
      <c r="J1565" s="24">
        <v>0</v>
      </c>
      <c r="K1565" s="24">
        <v>0</v>
      </c>
      <c r="L1565" s="41">
        <f>Table2[[#This Row],[Column1]]+Table2[[#This Row],[Column2]]</f>
        <v>0</v>
      </c>
      <c r="M1565" s="42">
        <f>Table2[[#This Row],[OnHandQty]]-Table2[[#This Row],[Projection Nov/Dec]]</f>
        <v>2</v>
      </c>
      <c r="N1565" s="35">
        <f>Table2[[#This Row],[OverStock]]*Table2[[#This Row],[RepCost]]</f>
        <v>11.185600000000001</v>
      </c>
      <c r="O1565" s="25">
        <v>46189.418749999997</v>
      </c>
      <c r="P1565" s="26" t="s">
        <v>16</v>
      </c>
    </row>
    <row r="1566" spans="1:16" x14ac:dyDescent="0.25">
      <c r="A1566" s="20" t="s">
        <v>5211</v>
      </c>
      <c r="B1566" s="21">
        <v>636</v>
      </c>
      <c r="C1566" s="22" t="s">
        <v>12</v>
      </c>
      <c r="D1566" s="22" t="s">
        <v>520</v>
      </c>
      <c r="E1566" s="22" t="str">
        <f>CONCATENATE(B1566,D1566)</f>
        <v>63672674-101</v>
      </c>
      <c r="F1566" s="22" t="s">
        <v>521</v>
      </c>
      <c r="G1566" s="22" t="s">
        <v>29</v>
      </c>
      <c r="H1566" s="23">
        <v>6.9225000000000003</v>
      </c>
      <c r="I1566" s="24">
        <v>2</v>
      </c>
      <c r="J1566" s="24">
        <v>0</v>
      </c>
      <c r="K1566" s="24">
        <v>0</v>
      </c>
      <c r="L1566" s="41">
        <f>Table2[[#This Row],[Column1]]+Table2[[#This Row],[Column2]]</f>
        <v>0</v>
      </c>
      <c r="M1566" s="42">
        <f>Table2[[#This Row],[OnHandQty]]-Table2[[#This Row],[Projection Nov/Dec]]</f>
        <v>2</v>
      </c>
      <c r="N1566" s="35">
        <f>Table2[[#This Row],[OverStock]]*Table2[[#This Row],[RepCost]]</f>
        <v>13.845000000000001</v>
      </c>
      <c r="O1566" s="25">
        <v>46245.611805555556</v>
      </c>
      <c r="P1566" s="26" t="s">
        <v>522</v>
      </c>
    </row>
    <row r="1567" spans="1:16" x14ac:dyDescent="0.25">
      <c r="A1567" s="20" t="s">
        <v>5211</v>
      </c>
      <c r="B1567" s="21">
        <v>634</v>
      </c>
      <c r="C1567" s="22" t="s">
        <v>12</v>
      </c>
      <c r="D1567" s="22" t="s">
        <v>17</v>
      </c>
      <c r="E1567" s="22" t="str">
        <f>CONCATENATE(B1567,D1567)</f>
        <v>63477223-SP4</v>
      </c>
      <c r="F1567" s="22" t="s">
        <v>18</v>
      </c>
      <c r="G1567" s="22" t="s">
        <v>19</v>
      </c>
      <c r="H1567" s="23">
        <v>1.1907000000000001</v>
      </c>
      <c r="I1567" s="24">
        <v>18</v>
      </c>
      <c r="J1567" s="24">
        <v>0</v>
      </c>
      <c r="K1567" s="24">
        <v>0</v>
      </c>
      <c r="L1567" s="41">
        <f>Table2[[#This Row],[Column1]]+Table2[[#This Row],[Column2]]</f>
        <v>0</v>
      </c>
      <c r="M1567" s="42">
        <f>Table2[[#This Row],[OnHandQty]]-Table2[[#This Row],[Projection Nov/Dec]]</f>
        <v>18</v>
      </c>
      <c r="N1567" s="35">
        <f>Table2[[#This Row],[OverStock]]*Table2[[#This Row],[RepCost]]</f>
        <v>21.432600000000001</v>
      </c>
      <c r="O1567" s="25">
        <v>46217.382638888892</v>
      </c>
      <c r="P1567" s="26" t="s">
        <v>20</v>
      </c>
    </row>
    <row r="1568" spans="1:16" x14ac:dyDescent="0.25">
      <c r="A1568" s="20" t="s">
        <v>5211</v>
      </c>
      <c r="B1568" s="21">
        <v>714</v>
      </c>
      <c r="C1568" s="22" t="s">
        <v>143</v>
      </c>
      <c r="D1568" s="22" t="s">
        <v>2262</v>
      </c>
      <c r="E1568" s="22" t="str">
        <f>CONCATENATE(B1568,D1568)</f>
        <v>71491715-103</v>
      </c>
      <c r="F1568" s="22" t="s">
        <v>2263</v>
      </c>
      <c r="G1568" s="22" t="s">
        <v>35</v>
      </c>
      <c r="H1568" s="23">
        <v>17.5</v>
      </c>
      <c r="I1568" s="24">
        <v>9</v>
      </c>
      <c r="J1568" s="24">
        <v>0</v>
      </c>
      <c r="K1568" s="24">
        <v>0</v>
      </c>
      <c r="L1568" s="41">
        <f>Table2[[#This Row],[Column1]]+Table2[[#This Row],[Column2]]</f>
        <v>0</v>
      </c>
      <c r="M1568" s="42">
        <f>Table2[[#This Row],[OnHandQty]]-Table2[[#This Row],[Projection Nov/Dec]]</f>
        <v>9</v>
      </c>
      <c r="N1568" s="35">
        <f>Table2[[#This Row],[OverStock]]*Table2[[#This Row],[RepCost]]</f>
        <v>157.5</v>
      </c>
      <c r="O1568" s="25">
        <v>45853.355555555558</v>
      </c>
      <c r="P1568" s="26" t="s">
        <v>229</v>
      </c>
    </row>
    <row r="1569" spans="1:16" x14ac:dyDescent="0.25">
      <c r="A1569" s="20" t="s">
        <v>5211</v>
      </c>
      <c r="B1569" s="21">
        <v>636</v>
      </c>
      <c r="C1569" s="22" t="s">
        <v>1749</v>
      </c>
      <c r="D1569" s="22" t="s">
        <v>1800</v>
      </c>
      <c r="E1569" s="22" t="str">
        <f>CONCATENATE(B1569,D1569)</f>
        <v>63684505-006</v>
      </c>
      <c r="F1569" s="22" t="s">
        <v>1801</v>
      </c>
      <c r="G1569" s="22" t="s">
        <v>29</v>
      </c>
      <c r="H1569" s="23">
        <v>19.1204</v>
      </c>
      <c r="I1569" s="24">
        <v>8</v>
      </c>
      <c r="J1569" s="24">
        <v>0</v>
      </c>
      <c r="K1569" s="24">
        <v>0</v>
      </c>
      <c r="L1569" s="41">
        <f>Table2[[#This Row],[Column1]]+Table2[[#This Row],[Column2]]</f>
        <v>0</v>
      </c>
      <c r="M1569" s="42">
        <f>Table2[[#This Row],[OnHandQty]]-Table2[[#This Row],[Projection Nov/Dec]]</f>
        <v>8</v>
      </c>
      <c r="N1569" s="35">
        <f>Table2[[#This Row],[OverStock]]*Table2[[#This Row],[RepCost]]</f>
        <v>152.9632</v>
      </c>
      <c r="O1569" s="25">
        <v>46114.597916666666</v>
      </c>
      <c r="P1569" s="26" t="s">
        <v>797</v>
      </c>
    </row>
    <row r="1570" spans="1:16" x14ac:dyDescent="0.25">
      <c r="A1570" s="20" t="s">
        <v>5211</v>
      </c>
      <c r="B1570" s="21">
        <v>636</v>
      </c>
      <c r="C1570" s="22" t="s">
        <v>1749</v>
      </c>
      <c r="D1570" s="22" t="s">
        <v>1794</v>
      </c>
      <c r="E1570" s="22" t="str">
        <f>CONCATENATE(B1570,D1570)</f>
        <v>63691630-HB008</v>
      </c>
      <c r="F1570" s="22" t="s">
        <v>1795</v>
      </c>
      <c r="G1570" s="22" t="s">
        <v>29</v>
      </c>
      <c r="H1570" s="23">
        <v>15.2255</v>
      </c>
      <c r="I1570" s="24">
        <v>2</v>
      </c>
      <c r="J1570" s="24">
        <v>0</v>
      </c>
      <c r="K1570" s="24">
        <v>0</v>
      </c>
      <c r="L1570" s="41">
        <f>Table2[[#This Row],[Column1]]+Table2[[#This Row],[Column2]]</f>
        <v>0</v>
      </c>
      <c r="M1570" s="42">
        <f>Table2[[#This Row],[OnHandQty]]-Table2[[#This Row],[Projection Nov/Dec]]</f>
        <v>2</v>
      </c>
      <c r="N1570" s="35">
        <f>Table2[[#This Row],[OverStock]]*Table2[[#This Row],[RepCost]]</f>
        <v>30.451000000000001</v>
      </c>
      <c r="O1570" s="25">
        <v>46114.597916666666</v>
      </c>
      <c r="P1570" s="26" t="s">
        <v>797</v>
      </c>
    </row>
    <row r="1571" spans="1:16" x14ac:dyDescent="0.25">
      <c r="A1571" s="20" t="s">
        <v>5211</v>
      </c>
      <c r="B1571" s="21">
        <v>636</v>
      </c>
      <c r="C1571" s="22" t="s">
        <v>70</v>
      </c>
      <c r="D1571" s="22" t="s">
        <v>804</v>
      </c>
      <c r="E1571" s="22" t="str">
        <f>CONCATENATE(B1571,D1571)</f>
        <v>63670378-101</v>
      </c>
      <c r="F1571" s="22" t="s">
        <v>805</v>
      </c>
      <c r="G1571" s="22" t="s">
        <v>39</v>
      </c>
      <c r="H1571" s="23">
        <v>5.9028999999999998</v>
      </c>
      <c r="I1571" s="24">
        <v>2</v>
      </c>
      <c r="J1571" s="24">
        <v>0</v>
      </c>
      <c r="K1571" s="24">
        <v>0</v>
      </c>
      <c r="L1571" s="41">
        <f>Table2[[#This Row],[Column1]]+Table2[[#This Row],[Column2]]</f>
        <v>0</v>
      </c>
      <c r="M1571" s="42">
        <f>Table2[[#This Row],[OnHandQty]]-Table2[[#This Row],[Projection Nov/Dec]]</f>
        <v>2</v>
      </c>
      <c r="N1571" s="35">
        <f>Table2[[#This Row],[OverStock]]*Table2[[#This Row],[RepCost]]</f>
        <v>11.8058</v>
      </c>
      <c r="O1571" s="25">
        <v>46184.540277777778</v>
      </c>
      <c r="P1571" s="26" t="s">
        <v>16</v>
      </c>
    </row>
    <row r="1572" spans="1:16" x14ac:dyDescent="0.25">
      <c r="A1572" s="20" t="s">
        <v>5211</v>
      </c>
      <c r="B1572" s="21">
        <v>636</v>
      </c>
      <c r="C1572" s="22" t="s">
        <v>70</v>
      </c>
      <c r="D1572" s="22" t="s">
        <v>86</v>
      </c>
      <c r="E1572" s="22" t="str">
        <f>CONCATENATE(B1572,D1572)</f>
        <v>63696202-PF4PFO</v>
      </c>
      <c r="F1572" s="22" t="s">
        <v>87</v>
      </c>
      <c r="G1572" s="22" t="s">
        <v>112</v>
      </c>
      <c r="H1572" s="23">
        <v>6.4250999999999996</v>
      </c>
      <c r="I1572" s="24">
        <v>22</v>
      </c>
      <c r="J1572" s="24">
        <v>0</v>
      </c>
      <c r="K1572" s="24">
        <v>0</v>
      </c>
      <c r="L1572" s="41">
        <f>Table2[[#This Row],[Column1]]+Table2[[#This Row],[Column2]]</f>
        <v>0</v>
      </c>
      <c r="M1572" s="42">
        <f>Table2[[#This Row],[OnHandQty]]-Table2[[#This Row],[Projection Nov/Dec]]</f>
        <v>22</v>
      </c>
      <c r="N1572" s="35">
        <f>Table2[[#This Row],[OverStock]]*Table2[[#This Row],[RepCost]]</f>
        <v>141.35219999999998</v>
      </c>
      <c r="O1572" s="25">
        <v>46171.48541666667</v>
      </c>
      <c r="P1572" s="26" t="s">
        <v>16</v>
      </c>
    </row>
    <row r="1573" spans="1:16" x14ac:dyDescent="0.25">
      <c r="A1573" s="20" t="s">
        <v>5211</v>
      </c>
      <c r="B1573" s="21">
        <v>634</v>
      </c>
      <c r="C1573" s="22" t="s">
        <v>70</v>
      </c>
      <c r="D1573" s="22" t="s">
        <v>86</v>
      </c>
      <c r="E1573" s="22" t="str">
        <f>CONCATENATE(B1573,D1573)</f>
        <v>63496202-PF4PFO</v>
      </c>
      <c r="F1573" s="22" t="s">
        <v>87</v>
      </c>
      <c r="G1573" s="22" t="s">
        <v>81</v>
      </c>
      <c r="H1573" s="23">
        <v>6.7615999999999996</v>
      </c>
      <c r="I1573" s="24">
        <v>2</v>
      </c>
      <c r="J1573" s="24">
        <v>0</v>
      </c>
      <c r="K1573" s="24">
        <v>0</v>
      </c>
      <c r="L1573" s="41">
        <f>Table2[[#This Row],[Column1]]+Table2[[#This Row],[Column2]]</f>
        <v>0</v>
      </c>
      <c r="M1573" s="42">
        <f>Table2[[#This Row],[OnHandQty]]-Table2[[#This Row],[Projection Nov/Dec]]</f>
        <v>2</v>
      </c>
      <c r="N1573" s="35">
        <f>Table2[[#This Row],[OverStock]]*Table2[[#This Row],[RepCost]]</f>
        <v>13.523199999999999</v>
      </c>
      <c r="O1573" s="25">
        <v>46177.4</v>
      </c>
      <c r="P1573" s="26" t="s">
        <v>16</v>
      </c>
    </row>
    <row r="1574" spans="1:16" x14ac:dyDescent="0.25">
      <c r="A1574" s="20" t="s">
        <v>5211</v>
      </c>
      <c r="B1574" s="21">
        <v>718</v>
      </c>
      <c r="C1574" s="22" t="s">
        <v>70</v>
      </c>
      <c r="D1574" s="22" t="s">
        <v>86</v>
      </c>
      <c r="E1574" s="22" t="str">
        <f>CONCATENATE(B1574,D1574)</f>
        <v>71896202-PF4PFO</v>
      </c>
      <c r="F1574" s="22" t="s">
        <v>87</v>
      </c>
      <c r="G1574" s="22" t="s">
        <v>39</v>
      </c>
      <c r="H1574" s="23">
        <v>6.2187999999999999</v>
      </c>
      <c r="I1574" s="24">
        <v>31</v>
      </c>
      <c r="J1574" s="24">
        <v>0</v>
      </c>
      <c r="K1574" s="24">
        <v>0</v>
      </c>
      <c r="L1574" s="41">
        <f>Table2[[#This Row],[Column1]]+Table2[[#This Row],[Column2]]</f>
        <v>0</v>
      </c>
      <c r="M1574" s="42">
        <f>Table2[[#This Row],[OnHandQty]]-Table2[[#This Row],[Projection Nov/Dec]]</f>
        <v>31</v>
      </c>
      <c r="N1574" s="35">
        <f>Table2[[#This Row],[OverStock]]*Table2[[#This Row],[RepCost]]</f>
        <v>192.78280000000001</v>
      </c>
      <c r="O1574" s="25">
        <v>46234.345138888886</v>
      </c>
      <c r="P1574" s="26" t="s">
        <v>16</v>
      </c>
    </row>
    <row r="1575" spans="1:16" x14ac:dyDescent="0.25">
      <c r="A1575" s="20" t="s">
        <v>5211</v>
      </c>
      <c r="B1575" s="21">
        <v>714</v>
      </c>
      <c r="C1575" s="22" t="s">
        <v>70</v>
      </c>
      <c r="D1575" s="22" t="s">
        <v>86</v>
      </c>
      <c r="E1575" s="22" t="str">
        <f>CONCATENATE(B1575,D1575)</f>
        <v>71496202-PF4PFO</v>
      </c>
      <c r="F1575" s="22" t="s">
        <v>87</v>
      </c>
      <c r="G1575" s="22" t="s">
        <v>39</v>
      </c>
      <c r="H1575" s="23">
        <v>7.0048000000000004</v>
      </c>
      <c r="I1575" s="24">
        <v>16</v>
      </c>
      <c r="J1575" s="24">
        <v>0</v>
      </c>
      <c r="K1575" s="24">
        <v>0</v>
      </c>
      <c r="L1575" s="41">
        <f>Table2[[#This Row],[Column1]]+Table2[[#This Row],[Column2]]</f>
        <v>0</v>
      </c>
      <c r="M1575" s="42">
        <f>Table2[[#This Row],[OnHandQty]]-Table2[[#This Row],[Projection Nov/Dec]]</f>
        <v>16</v>
      </c>
      <c r="N1575" s="35">
        <f>Table2[[#This Row],[OverStock]]*Table2[[#This Row],[RepCost]]</f>
        <v>112.07680000000001</v>
      </c>
      <c r="O1575" s="25">
        <v>46234.623611111114</v>
      </c>
      <c r="P1575" s="26" t="s">
        <v>16</v>
      </c>
    </row>
    <row r="1576" spans="1:16" x14ac:dyDescent="0.25">
      <c r="A1576" s="20" t="s">
        <v>5211</v>
      </c>
      <c r="B1576" s="21">
        <v>636</v>
      </c>
      <c r="C1576" s="22" t="s">
        <v>70</v>
      </c>
      <c r="D1576" s="22" t="s">
        <v>775</v>
      </c>
      <c r="E1576" s="22" t="str">
        <f>CONCATENATE(B1576,D1576)</f>
        <v>63694117-101</v>
      </c>
      <c r="F1576" s="22" t="s">
        <v>776</v>
      </c>
      <c r="G1576" s="22" t="s">
        <v>29</v>
      </c>
      <c r="H1576" s="23">
        <v>6.5282999999999998</v>
      </c>
      <c r="I1576" s="24">
        <v>3</v>
      </c>
      <c r="J1576" s="24">
        <v>0</v>
      </c>
      <c r="K1576" s="24">
        <v>0</v>
      </c>
      <c r="L1576" s="41">
        <f>Table2[[#This Row],[Column1]]+Table2[[#This Row],[Column2]]</f>
        <v>0</v>
      </c>
      <c r="M1576" s="42">
        <f>Table2[[#This Row],[OnHandQty]]-Table2[[#This Row],[Projection Nov/Dec]]</f>
        <v>3</v>
      </c>
      <c r="N1576" s="35">
        <f>Table2[[#This Row],[OverStock]]*Table2[[#This Row],[RepCost]]</f>
        <v>19.584899999999998</v>
      </c>
      <c r="O1576" s="25">
        <v>46232.470833333333</v>
      </c>
      <c r="P1576" s="26" t="s">
        <v>522</v>
      </c>
    </row>
    <row r="1577" spans="1:16" x14ac:dyDescent="0.25">
      <c r="A1577" s="20" t="s">
        <v>5211</v>
      </c>
      <c r="B1577" s="21">
        <v>636</v>
      </c>
      <c r="C1577" s="22" t="s">
        <v>70</v>
      </c>
      <c r="D1577" s="22" t="s">
        <v>688</v>
      </c>
      <c r="E1577" s="22" t="str">
        <f>CONCATENATE(B1577,D1577)</f>
        <v>63687171-101</v>
      </c>
      <c r="F1577" s="22" t="s">
        <v>689</v>
      </c>
      <c r="G1577" s="22" t="s">
        <v>39</v>
      </c>
      <c r="H1577" s="23">
        <v>5.9282000000000004</v>
      </c>
      <c r="I1577" s="24">
        <v>1</v>
      </c>
      <c r="J1577" s="24">
        <v>0</v>
      </c>
      <c r="K1577" s="24">
        <v>0</v>
      </c>
      <c r="L1577" s="41">
        <f>Table2[[#This Row],[Column1]]+Table2[[#This Row],[Column2]]</f>
        <v>0</v>
      </c>
      <c r="M1577" s="42">
        <f>Table2[[#This Row],[OnHandQty]]-Table2[[#This Row],[Projection Nov/Dec]]</f>
        <v>1</v>
      </c>
      <c r="N1577" s="35">
        <f>Table2[[#This Row],[OverStock]]*Table2[[#This Row],[RepCost]]</f>
        <v>5.9282000000000004</v>
      </c>
      <c r="O1577" s="25">
        <v>46171.48541666667</v>
      </c>
      <c r="P1577" s="26" t="s">
        <v>16</v>
      </c>
    </row>
    <row r="1578" spans="1:16" x14ac:dyDescent="0.25">
      <c r="A1578" s="20" t="s">
        <v>5211</v>
      </c>
      <c r="B1578" s="21">
        <v>718</v>
      </c>
      <c r="C1578" s="22" t="s">
        <v>70</v>
      </c>
      <c r="D1578" s="22" t="s">
        <v>3695</v>
      </c>
      <c r="E1578" s="22" t="str">
        <f>CONCATENATE(B1578,D1578)</f>
        <v>71882713-102</v>
      </c>
      <c r="F1578" s="22" t="s">
        <v>3696</v>
      </c>
      <c r="G1578" s="22" t="s">
        <v>39</v>
      </c>
      <c r="H1578" s="23">
        <v>10.017099999999999</v>
      </c>
      <c r="I1578" s="24">
        <v>4</v>
      </c>
      <c r="J1578" s="24">
        <v>0</v>
      </c>
      <c r="K1578" s="24">
        <v>0</v>
      </c>
      <c r="L1578" s="41">
        <f>Table2[[#This Row],[Column1]]+Table2[[#This Row],[Column2]]</f>
        <v>0</v>
      </c>
      <c r="M1578" s="42">
        <f>Table2[[#This Row],[OnHandQty]]-Table2[[#This Row],[Projection Nov/Dec]]</f>
        <v>4</v>
      </c>
      <c r="N1578" s="35">
        <f>Table2[[#This Row],[OverStock]]*Table2[[#This Row],[RepCost]]</f>
        <v>40.068399999999997</v>
      </c>
      <c r="O1578" s="25">
        <v>46232.6</v>
      </c>
      <c r="P1578" s="26" t="s">
        <v>573</v>
      </c>
    </row>
    <row r="1579" spans="1:16" x14ac:dyDescent="0.25">
      <c r="A1579" s="20" t="s">
        <v>5211</v>
      </c>
      <c r="B1579" s="21">
        <v>636</v>
      </c>
      <c r="C1579" s="22" t="s">
        <v>70</v>
      </c>
      <c r="D1579" s="22" t="s">
        <v>670</v>
      </c>
      <c r="E1579" s="22" t="str">
        <f>CONCATENATE(B1579,D1579)</f>
        <v>63692304-PF4</v>
      </c>
      <c r="F1579" s="22" t="s">
        <v>671</v>
      </c>
      <c r="G1579" s="22" t="s">
        <v>39</v>
      </c>
      <c r="H1579" s="23">
        <v>7.3623000000000003</v>
      </c>
      <c r="I1579" s="24">
        <v>1</v>
      </c>
      <c r="J1579" s="24">
        <v>0</v>
      </c>
      <c r="K1579" s="24">
        <v>0</v>
      </c>
      <c r="L1579" s="41">
        <f>Table2[[#This Row],[Column1]]+Table2[[#This Row],[Column2]]</f>
        <v>0</v>
      </c>
      <c r="M1579" s="42">
        <f>Table2[[#This Row],[OnHandQty]]-Table2[[#This Row],[Projection Nov/Dec]]</f>
        <v>1</v>
      </c>
      <c r="N1579" s="35">
        <f>Table2[[#This Row],[OverStock]]*Table2[[#This Row],[RepCost]]</f>
        <v>7.3623000000000003</v>
      </c>
      <c r="O1579" s="25">
        <v>46247.30972222222</v>
      </c>
      <c r="P1579" s="26" t="s">
        <v>40</v>
      </c>
    </row>
    <row r="1580" spans="1:16" x14ac:dyDescent="0.25">
      <c r="A1580" s="20" t="s">
        <v>5211</v>
      </c>
      <c r="B1580" s="21">
        <v>714</v>
      </c>
      <c r="C1580" s="22" t="s">
        <v>70</v>
      </c>
      <c r="D1580" s="22" t="s">
        <v>2168</v>
      </c>
      <c r="E1580" s="22" t="str">
        <f>CONCATENATE(B1580,D1580)</f>
        <v>71470452-101</v>
      </c>
      <c r="F1580" s="22" t="s">
        <v>2169</v>
      </c>
      <c r="G1580" s="22" t="s">
        <v>29</v>
      </c>
      <c r="H1580" s="23">
        <v>7.3632</v>
      </c>
      <c r="I1580" s="24">
        <v>25</v>
      </c>
      <c r="J1580" s="24">
        <v>0</v>
      </c>
      <c r="K1580" s="24">
        <v>0</v>
      </c>
      <c r="L1580" s="41">
        <f>Table2[[#This Row],[Column1]]+Table2[[#This Row],[Column2]]</f>
        <v>0</v>
      </c>
      <c r="M1580" s="42">
        <f>Table2[[#This Row],[OnHandQty]]-Table2[[#This Row],[Projection Nov/Dec]]</f>
        <v>25</v>
      </c>
      <c r="N1580" s="35">
        <f>Table2[[#This Row],[OverStock]]*Table2[[#This Row],[RepCost]]</f>
        <v>184.08</v>
      </c>
      <c r="O1580" s="25">
        <v>46232.375694444447</v>
      </c>
      <c r="P1580" s="26" t="s">
        <v>40</v>
      </c>
    </row>
    <row r="1581" spans="1:16" x14ac:dyDescent="0.25">
      <c r="A1581" s="20" t="s">
        <v>5211</v>
      </c>
      <c r="B1581" s="21">
        <v>636</v>
      </c>
      <c r="C1581" s="22" t="s">
        <v>323</v>
      </c>
      <c r="D1581" s="22" t="s">
        <v>1314</v>
      </c>
      <c r="E1581" s="22" t="str">
        <f>CONCATENATE(B1581,D1581)</f>
        <v>63670480-0017</v>
      </c>
      <c r="F1581" s="22" t="s">
        <v>1315</v>
      </c>
      <c r="G1581" s="22" t="s">
        <v>158</v>
      </c>
      <c r="H1581" s="23">
        <v>126.5013</v>
      </c>
      <c r="I1581" s="24">
        <v>6</v>
      </c>
      <c r="J1581" s="24">
        <v>0</v>
      </c>
      <c r="K1581" s="24">
        <v>0</v>
      </c>
      <c r="L1581" s="41">
        <f>Table2[[#This Row],[Column1]]+Table2[[#This Row],[Column2]]</f>
        <v>0</v>
      </c>
      <c r="M1581" s="42">
        <f>Table2[[#This Row],[OnHandQty]]-Table2[[#This Row],[Projection Nov/Dec]]</f>
        <v>6</v>
      </c>
      <c r="N1581" s="35">
        <f>Table2[[#This Row],[OverStock]]*Table2[[#This Row],[RepCost]]</f>
        <v>759.00779999999997</v>
      </c>
      <c r="O1581" s="25">
        <v>46146.344444444447</v>
      </c>
      <c r="P1581" s="26" t="s">
        <v>797</v>
      </c>
    </row>
    <row r="1582" spans="1:16" x14ac:dyDescent="0.25">
      <c r="A1582" s="20" t="s">
        <v>5211</v>
      </c>
      <c r="B1582" s="21">
        <v>634</v>
      </c>
      <c r="C1582" s="22" t="s">
        <v>143</v>
      </c>
      <c r="D1582" s="22" t="s">
        <v>147</v>
      </c>
      <c r="E1582" s="22" t="str">
        <f>CONCATENATE(B1582,D1582)</f>
        <v>63470535-103</v>
      </c>
      <c r="F1582" s="22" t="s">
        <v>148</v>
      </c>
      <c r="G1582" s="22" t="s">
        <v>23</v>
      </c>
      <c r="H1582" s="23">
        <v>22.2667</v>
      </c>
      <c r="I1582" s="24">
        <v>3</v>
      </c>
      <c r="J1582" s="24">
        <v>0</v>
      </c>
      <c r="K1582" s="24">
        <v>0</v>
      </c>
      <c r="L1582" s="41">
        <f>Table2[[#This Row],[Column1]]+Table2[[#This Row],[Column2]]</f>
        <v>0</v>
      </c>
      <c r="M1582" s="42">
        <f>Table2[[#This Row],[OnHandQty]]-Table2[[#This Row],[Projection Nov/Dec]]</f>
        <v>3</v>
      </c>
      <c r="N1582" s="35">
        <f>Table2[[#This Row],[OverStock]]*Table2[[#This Row],[RepCost]]</f>
        <v>66.8001</v>
      </c>
      <c r="O1582" s="25">
        <v>46184.3</v>
      </c>
      <c r="P1582" s="26" t="s">
        <v>64</v>
      </c>
    </row>
    <row r="1583" spans="1:16" x14ac:dyDescent="0.25">
      <c r="A1583" s="20" t="s">
        <v>5211</v>
      </c>
      <c r="B1583" s="21">
        <v>714</v>
      </c>
      <c r="C1583" s="22" t="s">
        <v>143</v>
      </c>
      <c r="D1583" s="22" t="s">
        <v>2375</v>
      </c>
      <c r="E1583" s="22" t="str">
        <f>CONCATENATE(B1583,D1583)</f>
        <v>71470535-105</v>
      </c>
      <c r="F1583" s="22" t="s">
        <v>2376</v>
      </c>
      <c r="G1583" s="22" t="s">
        <v>29</v>
      </c>
      <c r="H1583" s="23">
        <v>26.877300000000002</v>
      </c>
      <c r="I1583" s="24">
        <v>3</v>
      </c>
      <c r="J1583" s="24">
        <v>0</v>
      </c>
      <c r="K1583" s="24">
        <v>0</v>
      </c>
      <c r="L1583" s="41">
        <f>Table2[[#This Row],[Column1]]+Table2[[#This Row],[Column2]]</f>
        <v>0</v>
      </c>
      <c r="M1583" s="42">
        <f>Table2[[#This Row],[OnHandQty]]-Table2[[#This Row],[Projection Nov/Dec]]</f>
        <v>3</v>
      </c>
      <c r="N1583" s="35">
        <f>Table2[[#This Row],[OverStock]]*Table2[[#This Row],[RepCost]]</f>
        <v>80.631900000000002</v>
      </c>
      <c r="O1583" s="25">
        <v>46189.522222222222</v>
      </c>
      <c r="P1583" s="26" t="s">
        <v>2066</v>
      </c>
    </row>
    <row r="1584" spans="1:16" x14ac:dyDescent="0.25">
      <c r="A1584" s="20" t="s">
        <v>5211</v>
      </c>
      <c r="B1584" s="21">
        <v>714</v>
      </c>
      <c r="C1584" s="22" t="s">
        <v>143</v>
      </c>
      <c r="D1584" s="22" t="s">
        <v>2380</v>
      </c>
      <c r="E1584" s="22" t="str">
        <f>CONCATENATE(B1584,D1584)</f>
        <v>71485719-103</v>
      </c>
      <c r="F1584" s="27" t="s">
        <v>2381</v>
      </c>
      <c r="G1584" s="27" t="s">
        <v>58</v>
      </c>
      <c r="H1584" s="23">
        <v>18.482099999999999</v>
      </c>
      <c r="I1584" s="24">
        <v>2</v>
      </c>
      <c r="J1584" s="24">
        <v>0</v>
      </c>
      <c r="K1584" s="24">
        <v>0</v>
      </c>
      <c r="L1584" s="41">
        <f>Table2[[#This Row],[Column1]]+Table2[[#This Row],[Column2]]</f>
        <v>0</v>
      </c>
      <c r="M1584" s="42">
        <f>Table2[[#This Row],[OnHandQty]]-Table2[[#This Row],[Projection Nov/Dec]]</f>
        <v>2</v>
      </c>
      <c r="N1584" s="35">
        <f>Table2[[#This Row],[OverStock]]*Table2[[#This Row],[RepCost]]</f>
        <v>36.964199999999998</v>
      </c>
      <c r="O1584" s="25">
        <v>45440.651388888888</v>
      </c>
      <c r="P1584" s="26" t="s">
        <v>26</v>
      </c>
    </row>
    <row r="1585" spans="1:16" x14ac:dyDescent="0.25">
      <c r="A1585" s="20" t="s">
        <v>5211</v>
      </c>
      <c r="B1585" s="21">
        <v>636</v>
      </c>
      <c r="C1585" s="22" t="s">
        <v>143</v>
      </c>
      <c r="D1585" s="22" t="s">
        <v>993</v>
      </c>
      <c r="E1585" s="22" t="str">
        <f>CONCATENATE(B1585,D1585)</f>
        <v>63683121-103</v>
      </c>
      <c r="F1585" s="22" t="s">
        <v>994</v>
      </c>
      <c r="G1585" s="22" t="s">
        <v>29</v>
      </c>
      <c r="H1585" s="23">
        <v>19.481300000000001</v>
      </c>
      <c r="I1585" s="24">
        <v>13</v>
      </c>
      <c r="J1585" s="24">
        <v>0</v>
      </c>
      <c r="K1585" s="24">
        <v>0</v>
      </c>
      <c r="L1585" s="41">
        <f>Table2[[#This Row],[Column1]]+Table2[[#This Row],[Column2]]</f>
        <v>0</v>
      </c>
      <c r="M1585" s="42">
        <f>Table2[[#This Row],[OnHandQty]]-Table2[[#This Row],[Projection Nov/Dec]]</f>
        <v>13</v>
      </c>
      <c r="N1585" s="35">
        <f>Table2[[#This Row],[OverStock]]*Table2[[#This Row],[RepCost]]</f>
        <v>253.2569</v>
      </c>
      <c r="O1585" s="25">
        <v>45827.498611111114</v>
      </c>
      <c r="P1585" s="26" t="s">
        <v>26</v>
      </c>
    </row>
    <row r="1586" spans="1:16" x14ac:dyDescent="0.25">
      <c r="A1586" s="20" t="s">
        <v>5211</v>
      </c>
      <c r="B1586" s="21">
        <v>636</v>
      </c>
      <c r="C1586" s="22" t="s">
        <v>70</v>
      </c>
      <c r="D1586" s="22" t="s">
        <v>798</v>
      </c>
      <c r="E1586" s="22" t="str">
        <f>CONCATENATE(B1586,D1586)</f>
        <v>63686914-101</v>
      </c>
      <c r="F1586" s="22" t="s">
        <v>799</v>
      </c>
      <c r="G1586" s="22" t="s">
        <v>29</v>
      </c>
      <c r="H1586" s="23">
        <v>6.5702999999999996</v>
      </c>
      <c r="I1586" s="24">
        <v>1</v>
      </c>
      <c r="J1586" s="24">
        <v>0</v>
      </c>
      <c r="K1586" s="24">
        <v>0</v>
      </c>
      <c r="L1586" s="41">
        <f>Table2[[#This Row],[Column1]]+Table2[[#This Row],[Column2]]</f>
        <v>0</v>
      </c>
      <c r="M1586" s="42">
        <f>Table2[[#This Row],[OnHandQty]]-Table2[[#This Row],[Projection Nov/Dec]]</f>
        <v>1</v>
      </c>
      <c r="N1586" s="35">
        <f>Table2[[#This Row],[OverStock]]*Table2[[#This Row],[RepCost]]</f>
        <v>6.5702999999999996</v>
      </c>
      <c r="O1586" s="25">
        <v>46210.588888888888</v>
      </c>
      <c r="P1586" s="26" t="s">
        <v>522</v>
      </c>
    </row>
    <row r="1587" spans="1:16" x14ac:dyDescent="0.25">
      <c r="A1587" s="20" t="s">
        <v>5211</v>
      </c>
      <c r="B1587" s="21">
        <v>636</v>
      </c>
      <c r="C1587" s="22" t="s">
        <v>70</v>
      </c>
      <c r="D1587" s="22" t="s">
        <v>620</v>
      </c>
      <c r="E1587" s="22" t="str">
        <f>CONCATENATE(B1587,D1587)</f>
        <v>63670539-101</v>
      </c>
      <c r="F1587" s="22" t="s">
        <v>621</v>
      </c>
      <c r="G1587" s="22" t="s">
        <v>39</v>
      </c>
      <c r="H1587" s="23">
        <v>6.0377999999999998</v>
      </c>
      <c r="I1587" s="24">
        <v>14</v>
      </c>
      <c r="J1587" s="24">
        <v>0</v>
      </c>
      <c r="K1587" s="24">
        <v>0</v>
      </c>
      <c r="L1587" s="41">
        <f>Table2[[#This Row],[Column1]]+Table2[[#This Row],[Column2]]</f>
        <v>0</v>
      </c>
      <c r="M1587" s="42">
        <f>Table2[[#This Row],[OnHandQty]]-Table2[[#This Row],[Projection Nov/Dec]]</f>
        <v>14</v>
      </c>
      <c r="N1587" s="35">
        <f>Table2[[#This Row],[OverStock]]*Table2[[#This Row],[RepCost]]</f>
        <v>84.529200000000003</v>
      </c>
      <c r="O1587" s="25">
        <v>46178.285416666666</v>
      </c>
      <c r="P1587" s="26" t="s">
        <v>522</v>
      </c>
    </row>
    <row r="1588" spans="1:16" x14ac:dyDescent="0.25">
      <c r="A1588" s="20" t="s">
        <v>5211</v>
      </c>
      <c r="B1588" s="21">
        <v>718</v>
      </c>
      <c r="C1588" s="22" t="s">
        <v>143</v>
      </c>
      <c r="D1588" s="22" t="s">
        <v>3767</v>
      </c>
      <c r="E1588" s="22" t="str">
        <f>CONCATENATE(B1588,D1588)</f>
        <v>71894824-307</v>
      </c>
      <c r="F1588" s="22" t="s">
        <v>3768</v>
      </c>
      <c r="G1588" s="22" t="s">
        <v>29</v>
      </c>
      <c r="H1588" s="23">
        <v>275.19260000000003</v>
      </c>
      <c r="I1588" s="24">
        <v>2</v>
      </c>
      <c r="J1588" s="24">
        <v>0</v>
      </c>
      <c r="K1588" s="24">
        <v>0</v>
      </c>
      <c r="L1588" s="41">
        <f>Table2[[#This Row],[Column1]]+Table2[[#This Row],[Column2]]</f>
        <v>0</v>
      </c>
      <c r="M1588" s="42">
        <f>Table2[[#This Row],[OnHandQty]]-Table2[[#This Row],[Projection Nov/Dec]]</f>
        <v>2</v>
      </c>
      <c r="N1588" s="35">
        <f>Table2[[#This Row],[OverStock]]*Table2[[#This Row],[RepCost]]</f>
        <v>550.38520000000005</v>
      </c>
      <c r="O1588" s="25">
        <v>46118.523611111108</v>
      </c>
      <c r="P1588" s="26" t="s">
        <v>137</v>
      </c>
    </row>
    <row r="1589" spans="1:16" x14ac:dyDescent="0.25">
      <c r="A1589" s="20" t="s">
        <v>5211</v>
      </c>
      <c r="B1589" s="21">
        <v>718</v>
      </c>
      <c r="C1589" s="22" t="s">
        <v>323</v>
      </c>
      <c r="D1589" s="22" t="s">
        <v>3883</v>
      </c>
      <c r="E1589" s="22" t="str">
        <f>CONCATENATE(B1589,D1589)</f>
        <v>71870558-120.305</v>
      </c>
      <c r="F1589" s="22" t="s">
        <v>3884</v>
      </c>
      <c r="G1589" s="22" t="s">
        <v>23</v>
      </c>
      <c r="H1589" s="23">
        <v>185.1833</v>
      </c>
      <c r="I1589" s="24">
        <v>1</v>
      </c>
      <c r="J1589" s="24">
        <v>0</v>
      </c>
      <c r="K1589" s="24">
        <v>0</v>
      </c>
      <c r="L1589" s="41">
        <f>Table2[[#This Row],[Column1]]+Table2[[#This Row],[Column2]]</f>
        <v>0</v>
      </c>
      <c r="M1589" s="42">
        <f>Table2[[#This Row],[OnHandQty]]-Table2[[#This Row],[Projection Nov/Dec]]</f>
        <v>1</v>
      </c>
      <c r="N1589" s="35">
        <f>Table2[[#This Row],[OverStock]]*Table2[[#This Row],[RepCost]]</f>
        <v>185.1833</v>
      </c>
      <c r="O1589" s="25">
        <v>46135.509027777778</v>
      </c>
      <c r="P1589" s="26" t="s">
        <v>2423</v>
      </c>
    </row>
    <row r="1590" spans="1:16" x14ac:dyDescent="0.25">
      <c r="A1590" s="20" t="s">
        <v>5211</v>
      </c>
      <c r="B1590" s="21">
        <v>636</v>
      </c>
      <c r="C1590" s="22" t="s">
        <v>323</v>
      </c>
      <c r="D1590" s="22" t="s">
        <v>1729</v>
      </c>
      <c r="E1590" s="22" t="str">
        <f>CONCATENATE(B1590,D1590)</f>
        <v>63670558-307</v>
      </c>
      <c r="F1590" s="22" t="s">
        <v>1730</v>
      </c>
      <c r="G1590" s="22" t="s">
        <v>29</v>
      </c>
      <c r="H1590" s="23">
        <v>337.17660000000001</v>
      </c>
      <c r="I1590" s="24">
        <v>10</v>
      </c>
      <c r="J1590" s="24">
        <v>4</v>
      </c>
      <c r="K1590" s="24">
        <v>0</v>
      </c>
      <c r="L1590" s="41">
        <f>Table2[[#This Row],[Column1]]+Table2[[#This Row],[Column2]]</f>
        <v>4</v>
      </c>
      <c r="M1590" s="42">
        <f>Table2[[#This Row],[OnHandQty]]-Table2[[#This Row],[Projection Nov/Dec]]</f>
        <v>6</v>
      </c>
      <c r="N1590" s="35">
        <f>Table2[[#This Row],[OverStock]]*Table2[[#This Row],[RepCost]]</f>
        <v>2023.0596</v>
      </c>
      <c r="O1590" s="25">
        <v>46170.59097222222</v>
      </c>
      <c r="P1590" s="26" t="s">
        <v>137</v>
      </c>
    </row>
    <row r="1591" spans="1:16" x14ac:dyDescent="0.25">
      <c r="A1591" s="20" t="s">
        <v>5211</v>
      </c>
      <c r="B1591" s="21">
        <v>636</v>
      </c>
      <c r="C1591" s="22" t="s">
        <v>323</v>
      </c>
      <c r="D1591" s="22" t="s">
        <v>1606</v>
      </c>
      <c r="E1591" s="22" t="str">
        <f>CONCATENATE(B1591,D1591)</f>
        <v>63670558-309</v>
      </c>
      <c r="F1591" s="22" t="s">
        <v>1607</v>
      </c>
      <c r="G1591" s="22" t="s">
        <v>29</v>
      </c>
      <c r="H1591" s="23">
        <v>525.5145</v>
      </c>
      <c r="I1591" s="24">
        <v>2</v>
      </c>
      <c r="J1591" s="24">
        <v>0</v>
      </c>
      <c r="K1591" s="24">
        <v>0</v>
      </c>
      <c r="L1591" s="41">
        <f>Table2[[#This Row],[Column1]]+Table2[[#This Row],[Column2]]</f>
        <v>0</v>
      </c>
      <c r="M1591" s="42">
        <f>Table2[[#This Row],[OnHandQty]]-Table2[[#This Row],[Projection Nov/Dec]]</f>
        <v>2</v>
      </c>
      <c r="N1591" s="35">
        <f>Table2[[#This Row],[OverStock]]*Table2[[#This Row],[RepCost]]</f>
        <v>1051.029</v>
      </c>
      <c r="O1591" s="25">
        <v>46183.53402777778</v>
      </c>
      <c r="P1591" s="26" t="s">
        <v>137</v>
      </c>
    </row>
    <row r="1592" spans="1:16" x14ac:dyDescent="0.25">
      <c r="A1592" s="20" t="s">
        <v>5211</v>
      </c>
      <c r="B1592" s="21">
        <v>636</v>
      </c>
      <c r="C1592" s="22" t="s">
        <v>323</v>
      </c>
      <c r="D1592" s="22" t="s">
        <v>1598</v>
      </c>
      <c r="E1592" s="22" t="str">
        <f>CONCATENATE(B1592,D1592)</f>
        <v>63683101-248</v>
      </c>
      <c r="F1592" s="22" t="s">
        <v>1599</v>
      </c>
      <c r="G1592" s="22" t="s">
        <v>19</v>
      </c>
      <c r="H1592" s="23">
        <v>483.39159999999998</v>
      </c>
      <c r="I1592" s="24">
        <v>2</v>
      </c>
      <c r="J1592" s="24">
        <v>0</v>
      </c>
      <c r="K1592" s="24">
        <v>0</v>
      </c>
      <c r="L1592" s="41">
        <f>Table2[[#This Row],[Column1]]+Table2[[#This Row],[Column2]]</f>
        <v>0</v>
      </c>
      <c r="M1592" s="42">
        <f>Table2[[#This Row],[OnHandQty]]-Table2[[#This Row],[Projection Nov/Dec]]</f>
        <v>2</v>
      </c>
      <c r="N1592" s="35">
        <f>Table2[[#This Row],[OverStock]]*Table2[[#This Row],[RepCost]]</f>
        <v>966.78319999999997</v>
      </c>
      <c r="O1592" s="25">
        <v>46132.304166666669</v>
      </c>
      <c r="P1592" s="26" t="s">
        <v>178</v>
      </c>
    </row>
    <row r="1593" spans="1:16" x14ac:dyDescent="0.25">
      <c r="A1593" s="20" t="s">
        <v>5211</v>
      </c>
      <c r="B1593" s="21">
        <v>636</v>
      </c>
      <c r="C1593" s="22" t="s">
        <v>143</v>
      </c>
      <c r="D1593" s="22" t="s">
        <v>978</v>
      </c>
      <c r="E1593" s="22" t="str">
        <f>CONCATENATE(B1593,D1593)</f>
        <v>63670565-105</v>
      </c>
      <c r="F1593" s="22" t="s">
        <v>979</v>
      </c>
      <c r="G1593" s="22" t="s">
        <v>29</v>
      </c>
      <c r="H1593" s="23">
        <v>55.654200000000003</v>
      </c>
      <c r="I1593" s="24">
        <v>2</v>
      </c>
      <c r="J1593" s="24">
        <v>0</v>
      </c>
      <c r="K1593" s="24">
        <v>0</v>
      </c>
      <c r="L1593" s="41">
        <f>Table2[[#This Row],[Column1]]+Table2[[#This Row],[Column2]]</f>
        <v>0</v>
      </c>
      <c r="M1593" s="42">
        <f>Table2[[#This Row],[OnHandQty]]-Table2[[#This Row],[Projection Nov/Dec]]</f>
        <v>2</v>
      </c>
      <c r="N1593" s="35">
        <f>Table2[[#This Row],[OverStock]]*Table2[[#This Row],[RepCost]]</f>
        <v>111.30840000000001</v>
      </c>
      <c r="O1593" s="25">
        <v>46112.343055555553</v>
      </c>
      <c r="P1593" s="26" t="s">
        <v>137</v>
      </c>
    </row>
    <row r="1594" spans="1:16" x14ac:dyDescent="0.25">
      <c r="A1594" s="20" t="s">
        <v>5211</v>
      </c>
      <c r="B1594" s="21">
        <v>636</v>
      </c>
      <c r="C1594" s="22" t="s">
        <v>143</v>
      </c>
      <c r="D1594" s="22" t="s">
        <v>945</v>
      </c>
      <c r="E1594" s="22" t="str">
        <f>CONCATENATE(B1594,D1594)</f>
        <v>63670565-STD224</v>
      </c>
      <c r="F1594" s="22" t="s">
        <v>946</v>
      </c>
      <c r="G1594" s="22" t="s">
        <v>29</v>
      </c>
      <c r="H1594" s="23">
        <v>125.62439999999999</v>
      </c>
      <c r="I1594" s="24">
        <v>3</v>
      </c>
      <c r="J1594" s="24">
        <v>0</v>
      </c>
      <c r="K1594" s="24">
        <v>0</v>
      </c>
      <c r="L1594" s="41">
        <f>Table2[[#This Row],[Column1]]+Table2[[#This Row],[Column2]]</f>
        <v>0</v>
      </c>
      <c r="M1594" s="42">
        <f>Table2[[#This Row],[OnHandQty]]-Table2[[#This Row],[Projection Nov/Dec]]</f>
        <v>3</v>
      </c>
      <c r="N1594" s="35">
        <f>Table2[[#This Row],[OverStock]]*Table2[[#This Row],[RepCost]]</f>
        <v>376.8732</v>
      </c>
      <c r="O1594" s="25">
        <v>46142.609027777777</v>
      </c>
      <c r="P1594" s="26" t="s">
        <v>137</v>
      </c>
    </row>
    <row r="1595" spans="1:16" x14ac:dyDescent="0.25">
      <c r="A1595" s="20" t="s">
        <v>5211</v>
      </c>
      <c r="B1595" s="21">
        <v>714</v>
      </c>
      <c r="C1595" s="22" t="s">
        <v>143</v>
      </c>
      <c r="D1595" s="22" t="s">
        <v>2363</v>
      </c>
      <c r="E1595" s="22" t="str">
        <f>CONCATENATE(B1595,D1595)</f>
        <v>71470565-STD105</v>
      </c>
      <c r="F1595" s="22" t="s">
        <v>2364</v>
      </c>
      <c r="G1595" s="22" t="s">
        <v>29</v>
      </c>
      <c r="H1595" s="23">
        <v>117.6675</v>
      </c>
      <c r="I1595" s="24">
        <v>1</v>
      </c>
      <c r="J1595" s="24">
        <v>0</v>
      </c>
      <c r="K1595" s="24">
        <v>0</v>
      </c>
      <c r="L1595" s="41">
        <f>Table2[[#This Row],[Column1]]+Table2[[#This Row],[Column2]]</f>
        <v>0</v>
      </c>
      <c r="M1595" s="42">
        <f>Table2[[#This Row],[OnHandQty]]-Table2[[#This Row],[Projection Nov/Dec]]</f>
        <v>1</v>
      </c>
      <c r="N1595" s="35">
        <f>Table2[[#This Row],[OverStock]]*Table2[[#This Row],[RepCost]]</f>
        <v>117.6675</v>
      </c>
      <c r="O1595" s="25">
        <v>45000.415972222225</v>
      </c>
      <c r="P1595" s="26" t="s">
        <v>363</v>
      </c>
    </row>
    <row r="1596" spans="1:16" x14ac:dyDescent="0.25">
      <c r="A1596" s="20" t="s">
        <v>5211</v>
      </c>
      <c r="B1596" s="21">
        <v>718</v>
      </c>
      <c r="C1596" s="22" t="s">
        <v>143</v>
      </c>
      <c r="D1596" s="22" t="s">
        <v>3747</v>
      </c>
      <c r="E1596" s="22" t="str">
        <f>CONCATENATE(B1596,D1596)</f>
        <v>71870569-106</v>
      </c>
      <c r="F1596" s="22" t="s">
        <v>3748</v>
      </c>
      <c r="G1596" s="22" t="s">
        <v>39</v>
      </c>
      <c r="H1596" s="23">
        <v>42.490499999999997</v>
      </c>
      <c r="I1596" s="24">
        <v>1</v>
      </c>
      <c r="J1596" s="24">
        <v>0</v>
      </c>
      <c r="K1596" s="24">
        <v>0</v>
      </c>
      <c r="L1596" s="41">
        <f>Table2[[#This Row],[Column1]]+Table2[[#This Row],[Column2]]</f>
        <v>0</v>
      </c>
      <c r="M1596" s="42">
        <f>Table2[[#This Row],[OnHandQty]]-Table2[[#This Row],[Projection Nov/Dec]]</f>
        <v>1</v>
      </c>
      <c r="N1596" s="35">
        <f>Table2[[#This Row],[OverStock]]*Table2[[#This Row],[RepCost]]</f>
        <v>42.490499999999997</v>
      </c>
      <c r="O1596" s="25">
        <v>45747.695138888892</v>
      </c>
      <c r="P1596" s="26" t="s">
        <v>137</v>
      </c>
    </row>
    <row r="1597" spans="1:16" x14ac:dyDescent="0.25">
      <c r="A1597" s="20" t="s">
        <v>5211</v>
      </c>
      <c r="B1597" s="21">
        <v>714</v>
      </c>
      <c r="C1597" s="22" t="s">
        <v>323</v>
      </c>
      <c r="D1597" s="22" t="s">
        <v>3488</v>
      </c>
      <c r="E1597" s="22" t="str">
        <f>CONCATENATE(B1597,D1597)</f>
        <v>71470572-110</v>
      </c>
      <c r="F1597" s="22" t="s">
        <v>3489</v>
      </c>
      <c r="G1597" s="22" t="s">
        <v>23</v>
      </c>
      <c r="H1597" s="23">
        <v>176.5779</v>
      </c>
      <c r="I1597" s="24">
        <v>4</v>
      </c>
      <c r="J1597" s="24">
        <v>0</v>
      </c>
      <c r="K1597" s="24">
        <v>0</v>
      </c>
      <c r="L1597" s="41">
        <f>Table2[[#This Row],[Column1]]+Table2[[#This Row],[Column2]]</f>
        <v>0</v>
      </c>
      <c r="M1597" s="42">
        <f>Table2[[#This Row],[OnHandQty]]-Table2[[#This Row],[Projection Nov/Dec]]</f>
        <v>4</v>
      </c>
      <c r="N1597" s="35">
        <f>Table2[[#This Row],[OverStock]]*Table2[[#This Row],[RepCost]]</f>
        <v>706.3116</v>
      </c>
      <c r="O1597" s="25">
        <v>46147.525694444441</v>
      </c>
      <c r="P1597" s="26" t="s">
        <v>1535</v>
      </c>
    </row>
    <row r="1598" spans="1:16" x14ac:dyDescent="0.25">
      <c r="A1598" s="20" t="s">
        <v>5211</v>
      </c>
      <c r="B1598" s="21">
        <v>718</v>
      </c>
      <c r="C1598" s="22" t="s">
        <v>323</v>
      </c>
      <c r="D1598" s="22" t="s">
        <v>3960</v>
      </c>
      <c r="E1598" s="22" t="str">
        <f>CONCATENATE(B1598,D1598)</f>
        <v>71870572-248</v>
      </c>
      <c r="F1598" s="22" t="s">
        <v>3961</v>
      </c>
      <c r="G1598" s="22" t="s">
        <v>19</v>
      </c>
      <c r="H1598" s="23">
        <v>126.199</v>
      </c>
      <c r="I1598" s="24">
        <v>2</v>
      </c>
      <c r="J1598" s="24">
        <v>0</v>
      </c>
      <c r="K1598" s="24">
        <v>0</v>
      </c>
      <c r="L1598" s="41">
        <f>Table2[[#This Row],[Column1]]+Table2[[#This Row],[Column2]]</f>
        <v>0</v>
      </c>
      <c r="M1598" s="42">
        <f>Table2[[#This Row],[OnHandQty]]-Table2[[#This Row],[Projection Nov/Dec]]</f>
        <v>2</v>
      </c>
      <c r="N1598" s="35">
        <f>Table2[[#This Row],[OverStock]]*Table2[[#This Row],[RepCost]]</f>
        <v>252.398</v>
      </c>
      <c r="O1598" s="25">
        <v>46135.509027777778</v>
      </c>
      <c r="P1598" s="26" t="s">
        <v>2423</v>
      </c>
    </row>
    <row r="1599" spans="1:16" x14ac:dyDescent="0.25">
      <c r="A1599" s="20" t="s">
        <v>5211</v>
      </c>
      <c r="B1599" s="21">
        <v>714</v>
      </c>
      <c r="C1599" s="22" t="s">
        <v>323</v>
      </c>
      <c r="D1599" s="22" t="s">
        <v>3306</v>
      </c>
      <c r="E1599" s="22" t="str">
        <f>CONCATENATE(B1599,D1599)</f>
        <v>71470572-305</v>
      </c>
      <c r="F1599" s="22" t="s">
        <v>3307</v>
      </c>
      <c r="G1599" s="22" t="s">
        <v>29</v>
      </c>
      <c r="H1599" s="23">
        <v>153.93260000000001</v>
      </c>
      <c r="I1599" s="24">
        <v>4</v>
      </c>
      <c r="J1599" s="24">
        <v>0</v>
      </c>
      <c r="K1599" s="24">
        <v>0</v>
      </c>
      <c r="L1599" s="41">
        <f>Table2[[#This Row],[Column1]]+Table2[[#This Row],[Column2]]</f>
        <v>0</v>
      </c>
      <c r="M1599" s="42">
        <f>Table2[[#This Row],[OnHandQty]]-Table2[[#This Row],[Projection Nov/Dec]]</f>
        <v>4</v>
      </c>
      <c r="N1599" s="35">
        <f>Table2[[#This Row],[OverStock]]*Table2[[#This Row],[RepCost]]</f>
        <v>615.73040000000003</v>
      </c>
      <c r="O1599" s="25">
        <v>46118.304861111108</v>
      </c>
      <c r="P1599" s="26" t="s">
        <v>2423</v>
      </c>
    </row>
    <row r="1600" spans="1:16" x14ac:dyDescent="0.25">
      <c r="A1600" s="20" t="s">
        <v>5211</v>
      </c>
      <c r="B1600" s="21">
        <v>718</v>
      </c>
      <c r="C1600" s="22" t="s">
        <v>323</v>
      </c>
      <c r="D1600" s="22" t="s">
        <v>3306</v>
      </c>
      <c r="E1600" s="22" t="str">
        <f>CONCATENATE(B1600,D1600)</f>
        <v>71870572-305</v>
      </c>
      <c r="F1600" s="22" t="s">
        <v>3307</v>
      </c>
      <c r="G1600" s="22" t="s">
        <v>29</v>
      </c>
      <c r="H1600" s="23">
        <v>234.43520000000001</v>
      </c>
      <c r="I1600" s="24">
        <v>2</v>
      </c>
      <c r="J1600" s="24">
        <v>0</v>
      </c>
      <c r="K1600" s="24">
        <v>0</v>
      </c>
      <c r="L1600" s="41">
        <f>Table2[[#This Row],[Column1]]+Table2[[#This Row],[Column2]]</f>
        <v>0</v>
      </c>
      <c r="M1600" s="42">
        <f>Table2[[#This Row],[OnHandQty]]-Table2[[#This Row],[Projection Nov/Dec]]</f>
        <v>2</v>
      </c>
      <c r="N1600" s="35">
        <f>Table2[[#This Row],[OverStock]]*Table2[[#This Row],[RepCost]]</f>
        <v>468.87040000000002</v>
      </c>
      <c r="O1600" s="25">
        <v>46140.54583333333</v>
      </c>
      <c r="P1600" s="26" t="s">
        <v>137</v>
      </c>
    </row>
    <row r="1601" spans="1:16" x14ac:dyDescent="0.25">
      <c r="A1601" s="20" t="s">
        <v>5211</v>
      </c>
      <c r="B1601" s="21">
        <v>714</v>
      </c>
      <c r="C1601" s="22" t="s">
        <v>323</v>
      </c>
      <c r="D1601" s="22" t="s">
        <v>3196</v>
      </c>
      <c r="E1601" s="22" t="str">
        <f>CONCATENATE(B1601,D1601)</f>
        <v>71470572-306</v>
      </c>
      <c r="F1601" s="22" t="s">
        <v>3197</v>
      </c>
      <c r="G1601" s="22" t="s">
        <v>19</v>
      </c>
      <c r="H1601" s="23">
        <v>565.70719999999994</v>
      </c>
      <c r="I1601" s="24">
        <v>4</v>
      </c>
      <c r="J1601" s="24">
        <v>0</v>
      </c>
      <c r="K1601" s="24">
        <v>0</v>
      </c>
      <c r="L1601" s="41">
        <f>Table2[[#This Row],[Column1]]+Table2[[#This Row],[Column2]]</f>
        <v>0</v>
      </c>
      <c r="M1601" s="42">
        <f>Table2[[#This Row],[OnHandQty]]-Table2[[#This Row],[Projection Nov/Dec]]</f>
        <v>4</v>
      </c>
      <c r="N1601" s="35">
        <f>Table2[[#This Row],[OverStock]]*Table2[[#This Row],[RepCost]]</f>
        <v>2262.8287999999998</v>
      </c>
      <c r="O1601" s="25">
        <v>46148.463888888888</v>
      </c>
      <c r="P1601" s="26" t="s">
        <v>137</v>
      </c>
    </row>
    <row r="1602" spans="1:16" x14ac:dyDescent="0.25">
      <c r="A1602" s="20" t="s">
        <v>5211</v>
      </c>
      <c r="B1602" s="21">
        <v>714</v>
      </c>
      <c r="C1602" s="22" t="s">
        <v>323</v>
      </c>
      <c r="D1602" s="22" t="s">
        <v>3121</v>
      </c>
      <c r="E1602" s="22" t="str">
        <f>CONCATENATE(B1602,D1602)</f>
        <v>71470572-STK105PREM</v>
      </c>
      <c r="F1602" s="22" t="s">
        <v>3122</v>
      </c>
      <c r="G1602" s="22" t="s">
        <v>39</v>
      </c>
      <c r="H1602" s="23">
        <v>76.412300000000002</v>
      </c>
      <c r="I1602" s="24">
        <v>6</v>
      </c>
      <c r="J1602" s="24">
        <v>0</v>
      </c>
      <c r="K1602" s="24">
        <v>0</v>
      </c>
      <c r="L1602" s="41">
        <f>Table2[[#This Row],[Column1]]+Table2[[#This Row],[Column2]]</f>
        <v>0</v>
      </c>
      <c r="M1602" s="42">
        <f>Table2[[#This Row],[OnHandQty]]-Table2[[#This Row],[Projection Nov/Dec]]</f>
        <v>6</v>
      </c>
      <c r="N1602" s="35">
        <f>Table2[[#This Row],[OverStock]]*Table2[[#This Row],[RepCost]]</f>
        <v>458.47379999999998</v>
      </c>
      <c r="O1602" s="25">
        <v>45903.385416666664</v>
      </c>
      <c r="P1602" s="26" t="s">
        <v>36</v>
      </c>
    </row>
    <row r="1603" spans="1:16" x14ac:dyDescent="0.25">
      <c r="A1603" s="20" t="s">
        <v>5211</v>
      </c>
      <c r="B1603" s="21">
        <v>718</v>
      </c>
      <c r="C1603" s="22" t="s">
        <v>323</v>
      </c>
      <c r="D1603" s="22" t="s">
        <v>3121</v>
      </c>
      <c r="E1603" s="22" t="str">
        <f>CONCATENATE(B1603,D1603)</f>
        <v>71870572-STK105PREM</v>
      </c>
      <c r="F1603" s="22" t="s">
        <v>3122</v>
      </c>
      <c r="G1603" s="22" t="s">
        <v>39</v>
      </c>
      <c r="H1603" s="23">
        <v>76.915899999999993</v>
      </c>
      <c r="I1603" s="24">
        <v>2</v>
      </c>
      <c r="J1603" s="24">
        <v>0</v>
      </c>
      <c r="K1603" s="24">
        <v>0</v>
      </c>
      <c r="L1603" s="41">
        <f>Table2[[#This Row],[Column1]]+Table2[[#This Row],[Column2]]</f>
        <v>0</v>
      </c>
      <c r="M1603" s="42">
        <f>Table2[[#This Row],[OnHandQty]]-Table2[[#This Row],[Projection Nov/Dec]]</f>
        <v>2</v>
      </c>
      <c r="N1603" s="35">
        <f>Table2[[#This Row],[OverStock]]*Table2[[#This Row],[RepCost]]</f>
        <v>153.83179999999999</v>
      </c>
      <c r="O1603" s="25">
        <v>46112.350694444445</v>
      </c>
      <c r="P1603" s="26" t="s">
        <v>36</v>
      </c>
    </row>
    <row r="1604" spans="1:16" x14ac:dyDescent="0.25">
      <c r="A1604" s="20" t="s">
        <v>5211</v>
      </c>
      <c r="B1604" s="21">
        <v>714</v>
      </c>
      <c r="C1604" s="22" t="s">
        <v>323</v>
      </c>
      <c r="D1604" s="22" t="s">
        <v>2975</v>
      </c>
      <c r="E1604" s="22" t="str">
        <f>CONCATENATE(B1604,D1604)</f>
        <v>71470572-STK107PREM</v>
      </c>
      <c r="F1604" s="22" t="s">
        <v>2976</v>
      </c>
      <c r="G1604" s="22" t="s">
        <v>1047</v>
      </c>
      <c r="H1604" s="23">
        <v>153.9761</v>
      </c>
      <c r="I1604" s="24">
        <v>5</v>
      </c>
      <c r="J1604" s="24">
        <v>0</v>
      </c>
      <c r="K1604" s="24">
        <v>0</v>
      </c>
      <c r="L1604" s="41">
        <f>Table2[[#This Row],[Column1]]+Table2[[#This Row],[Column2]]</f>
        <v>0</v>
      </c>
      <c r="M1604" s="42">
        <f>Table2[[#This Row],[OnHandQty]]-Table2[[#This Row],[Projection Nov/Dec]]</f>
        <v>5</v>
      </c>
      <c r="N1604" s="35">
        <f>Table2[[#This Row],[OverStock]]*Table2[[#This Row],[RepCost]]</f>
        <v>769.88049999999998</v>
      </c>
      <c r="O1604" s="25">
        <v>45903.385416666664</v>
      </c>
      <c r="P1604" s="26" t="s">
        <v>36</v>
      </c>
    </row>
    <row r="1605" spans="1:16" x14ac:dyDescent="0.25">
      <c r="A1605" s="20" t="s">
        <v>5211</v>
      </c>
      <c r="B1605" s="21">
        <v>636</v>
      </c>
      <c r="C1605" s="22" t="s">
        <v>143</v>
      </c>
      <c r="D1605" s="22" t="s">
        <v>893</v>
      </c>
      <c r="E1605" s="22" t="str">
        <f>CONCATENATE(B1605,D1605)</f>
        <v>63670575-106</v>
      </c>
      <c r="F1605" s="22" t="s">
        <v>894</v>
      </c>
      <c r="G1605" s="22" t="s">
        <v>29</v>
      </c>
      <c r="H1605" s="23">
        <v>45.535299999999999</v>
      </c>
      <c r="I1605" s="24">
        <v>4</v>
      </c>
      <c r="J1605" s="24">
        <v>0</v>
      </c>
      <c r="K1605" s="24">
        <v>0</v>
      </c>
      <c r="L1605" s="41">
        <f>Table2[[#This Row],[Column1]]+Table2[[#This Row],[Column2]]</f>
        <v>0</v>
      </c>
      <c r="M1605" s="42">
        <f>Table2[[#This Row],[OnHandQty]]-Table2[[#This Row],[Projection Nov/Dec]]</f>
        <v>4</v>
      </c>
      <c r="N1605" s="35">
        <f>Table2[[#This Row],[OverStock]]*Table2[[#This Row],[RepCost]]</f>
        <v>182.1412</v>
      </c>
      <c r="O1605" s="25">
        <v>46112.343055555553</v>
      </c>
      <c r="P1605" s="26" t="s">
        <v>137</v>
      </c>
    </row>
    <row r="1606" spans="1:16" x14ac:dyDescent="0.25">
      <c r="A1606" s="20" t="s">
        <v>5211</v>
      </c>
      <c r="B1606" s="21">
        <v>714</v>
      </c>
      <c r="C1606" s="22" t="s">
        <v>143</v>
      </c>
      <c r="D1606" s="22" t="s">
        <v>2336</v>
      </c>
      <c r="E1606" s="22" t="str">
        <f>CONCATENATE(B1606,D1606)</f>
        <v>71470596-3T110</v>
      </c>
      <c r="F1606" s="22" t="s">
        <v>2337</v>
      </c>
      <c r="G1606" s="22" t="s">
        <v>29</v>
      </c>
      <c r="H1606" s="23">
        <v>165.60900000000001</v>
      </c>
      <c r="I1606" s="24">
        <v>15</v>
      </c>
      <c r="J1606" s="24">
        <v>0</v>
      </c>
      <c r="K1606" s="24">
        <v>0</v>
      </c>
      <c r="L1606" s="41">
        <f>Table2[[#This Row],[Column1]]+Table2[[#This Row],[Column2]]</f>
        <v>0</v>
      </c>
      <c r="M1606" s="42">
        <f>Table2[[#This Row],[OnHandQty]]-Table2[[#This Row],[Projection Nov/Dec]]</f>
        <v>15</v>
      </c>
      <c r="N1606" s="35">
        <f>Table2[[#This Row],[OverStock]]*Table2[[#This Row],[RepCost]]</f>
        <v>2484.1350000000002</v>
      </c>
      <c r="O1606" s="25">
        <v>46112.315972222219</v>
      </c>
      <c r="P1606" s="26" t="s">
        <v>36</v>
      </c>
    </row>
    <row r="1607" spans="1:16" x14ac:dyDescent="0.25">
      <c r="A1607" s="20" t="s">
        <v>5211</v>
      </c>
      <c r="B1607" s="21">
        <v>718</v>
      </c>
      <c r="C1607" s="22" t="s">
        <v>143</v>
      </c>
      <c r="D1607" s="22" t="s">
        <v>3758</v>
      </c>
      <c r="E1607" s="22" t="str">
        <f>CONCATENATE(B1607,D1607)</f>
        <v>71870596-3T115</v>
      </c>
      <c r="F1607" s="22" t="s">
        <v>3759</v>
      </c>
      <c r="G1607" s="22" t="s">
        <v>19</v>
      </c>
      <c r="H1607" s="23">
        <v>354.79</v>
      </c>
      <c r="I1607" s="24">
        <v>2</v>
      </c>
      <c r="J1607" s="24">
        <v>0</v>
      </c>
      <c r="K1607" s="24">
        <v>0</v>
      </c>
      <c r="L1607" s="41">
        <f>Table2[[#This Row],[Column1]]+Table2[[#This Row],[Column2]]</f>
        <v>0</v>
      </c>
      <c r="M1607" s="42">
        <f>Table2[[#This Row],[OnHandQty]]-Table2[[#This Row],[Projection Nov/Dec]]</f>
        <v>2</v>
      </c>
      <c r="N1607" s="35">
        <f>Table2[[#This Row],[OverStock]]*Table2[[#This Row],[RepCost]]</f>
        <v>709.58</v>
      </c>
      <c r="O1607" s="25">
        <v>46155.659722222219</v>
      </c>
      <c r="P1607" s="26" t="s">
        <v>501</v>
      </c>
    </row>
    <row r="1608" spans="1:16" x14ac:dyDescent="0.25">
      <c r="A1608" s="20" t="s">
        <v>5211</v>
      </c>
      <c r="B1608" s="21">
        <v>714</v>
      </c>
      <c r="C1608" s="22" t="s">
        <v>143</v>
      </c>
      <c r="D1608" s="22" t="s">
        <v>2711</v>
      </c>
      <c r="E1608" s="22" t="str">
        <f>CONCATENATE(B1608,D1608)</f>
        <v>71470596-3T105</v>
      </c>
      <c r="F1608" s="22" t="s">
        <v>2712</v>
      </c>
      <c r="G1608" s="22" t="s">
        <v>29</v>
      </c>
      <c r="H1608" s="23">
        <v>119.56189999999999</v>
      </c>
      <c r="I1608" s="24">
        <v>5</v>
      </c>
      <c r="J1608" s="24">
        <v>0</v>
      </c>
      <c r="K1608" s="24">
        <v>0</v>
      </c>
      <c r="L1608" s="41">
        <f>Table2[[#This Row],[Column1]]+Table2[[#This Row],[Column2]]</f>
        <v>0</v>
      </c>
      <c r="M1608" s="42">
        <f>Table2[[#This Row],[OnHandQty]]-Table2[[#This Row],[Projection Nov/Dec]]</f>
        <v>5</v>
      </c>
      <c r="N1608" s="35">
        <f>Table2[[#This Row],[OverStock]]*Table2[[#This Row],[RepCost]]</f>
        <v>597.80949999999996</v>
      </c>
      <c r="O1608" s="25">
        <v>46112.315972222219</v>
      </c>
      <c r="P1608" s="26" t="s">
        <v>36</v>
      </c>
    </row>
    <row r="1609" spans="1:16" x14ac:dyDescent="0.25">
      <c r="A1609" s="20" t="s">
        <v>5211</v>
      </c>
      <c r="B1609" s="21">
        <v>718</v>
      </c>
      <c r="C1609" s="22" t="s">
        <v>143</v>
      </c>
      <c r="D1609" s="22" t="s">
        <v>2711</v>
      </c>
      <c r="E1609" s="22" t="str">
        <f>CONCATENATE(B1609,D1609)</f>
        <v>71870596-3T105</v>
      </c>
      <c r="F1609" s="27" t="s">
        <v>2712</v>
      </c>
      <c r="G1609" s="27" t="s">
        <v>58</v>
      </c>
      <c r="H1609" s="23">
        <v>120.00490000000001</v>
      </c>
      <c r="I1609" s="24">
        <v>4</v>
      </c>
      <c r="J1609" s="24">
        <v>0</v>
      </c>
      <c r="K1609" s="24">
        <v>0</v>
      </c>
      <c r="L1609" s="41">
        <f>Table2[[#This Row],[Column1]]+Table2[[#This Row],[Column2]]</f>
        <v>0</v>
      </c>
      <c r="M1609" s="42">
        <f>Table2[[#This Row],[OnHandQty]]-Table2[[#This Row],[Projection Nov/Dec]]</f>
        <v>4</v>
      </c>
      <c r="N1609" s="35">
        <f>Table2[[#This Row],[OverStock]]*Table2[[#This Row],[RepCost]]</f>
        <v>480.01960000000003</v>
      </c>
      <c r="O1609" s="25">
        <v>46112.350694444445</v>
      </c>
      <c r="P1609" s="26" t="s">
        <v>36</v>
      </c>
    </row>
    <row r="1610" spans="1:16" x14ac:dyDescent="0.25">
      <c r="A1610" s="20" t="s">
        <v>5211</v>
      </c>
      <c r="B1610" s="21">
        <v>714</v>
      </c>
      <c r="C1610" s="22" t="s">
        <v>143</v>
      </c>
      <c r="D1610" s="22" t="s">
        <v>2802</v>
      </c>
      <c r="E1610" s="22" t="str">
        <f>CONCATENATE(B1610,D1610)</f>
        <v>71470596-103-30IN</v>
      </c>
      <c r="F1610" s="22" t="s">
        <v>2803</v>
      </c>
      <c r="G1610" s="22" t="s">
        <v>23</v>
      </c>
      <c r="H1610" s="23">
        <v>47.04</v>
      </c>
      <c r="I1610" s="24">
        <v>3</v>
      </c>
      <c r="J1610" s="24">
        <v>0</v>
      </c>
      <c r="K1610" s="24">
        <v>0</v>
      </c>
      <c r="L1610" s="41">
        <f>Table2[[#This Row],[Column1]]+Table2[[#This Row],[Column2]]</f>
        <v>0</v>
      </c>
      <c r="M1610" s="42">
        <f>Table2[[#This Row],[OnHandQty]]-Table2[[#This Row],[Projection Nov/Dec]]</f>
        <v>3</v>
      </c>
      <c r="N1610" s="35">
        <f>Table2[[#This Row],[OverStock]]*Table2[[#This Row],[RepCost]]</f>
        <v>141.12</v>
      </c>
      <c r="O1610" s="25">
        <v>46165.327777777777</v>
      </c>
      <c r="P1610" s="26" t="s">
        <v>2268</v>
      </c>
    </row>
    <row r="1611" spans="1:16" x14ac:dyDescent="0.25">
      <c r="A1611" s="20" t="s">
        <v>5211</v>
      </c>
      <c r="B1611" s="21">
        <v>718</v>
      </c>
      <c r="C1611" s="22" t="s">
        <v>143</v>
      </c>
      <c r="D1611" s="22" t="s">
        <v>3786</v>
      </c>
      <c r="E1611" s="22" t="str">
        <f>CONCATENATE(B1611,D1611)</f>
        <v>71870596-101PREM</v>
      </c>
      <c r="F1611" s="27" t="s">
        <v>3787</v>
      </c>
      <c r="G1611" s="27" t="s">
        <v>58</v>
      </c>
      <c r="H1611" s="23">
        <v>12.481400000000001</v>
      </c>
      <c r="I1611" s="24">
        <v>2</v>
      </c>
      <c r="J1611" s="24">
        <v>0</v>
      </c>
      <c r="K1611" s="24">
        <v>0</v>
      </c>
      <c r="L1611" s="41">
        <f>Table2[[#This Row],[Column1]]+Table2[[#This Row],[Column2]]</f>
        <v>0</v>
      </c>
      <c r="M1611" s="42">
        <f>Table2[[#This Row],[OnHandQty]]-Table2[[#This Row],[Projection Nov/Dec]]</f>
        <v>2</v>
      </c>
      <c r="N1611" s="35">
        <f>Table2[[#This Row],[OverStock]]*Table2[[#This Row],[RepCost]]</f>
        <v>24.962800000000001</v>
      </c>
      <c r="O1611" s="25">
        <v>45517.629166666666</v>
      </c>
      <c r="P1611" s="26" t="s">
        <v>36</v>
      </c>
    </row>
    <row r="1612" spans="1:16" x14ac:dyDescent="0.25">
      <c r="A1612" s="20" t="s">
        <v>5211</v>
      </c>
      <c r="B1612" s="21">
        <v>718</v>
      </c>
      <c r="C1612" s="22" t="s">
        <v>143</v>
      </c>
      <c r="D1612" s="22" t="s">
        <v>3717</v>
      </c>
      <c r="E1612" s="22" t="str">
        <f>CONCATENATE(B1612,D1612)</f>
        <v>71870596-110PREM</v>
      </c>
      <c r="F1612" s="22" t="s">
        <v>3718</v>
      </c>
      <c r="G1612" s="22" t="s">
        <v>29</v>
      </c>
      <c r="H1612" s="23">
        <v>96.578500000000005</v>
      </c>
      <c r="I1612" s="24">
        <v>2</v>
      </c>
      <c r="J1612" s="24">
        <v>0</v>
      </c>
      <c r="K1612" s="24">
        <v>0</v>
      </c>
      <c r="L1612" s="41">
        <f>Table2[[#This Row],[Column1]]+Table2[[#This Row],[Column2]]</f>
        <v>0</v>
      </c>
      <c r="M1612" s="42">
        <f>Table2[[#This Row],[OnHandQty]]-Table2[[#This Row],[Projection Nov/Dec]]</f>
        <v>2</v>
      </c>
      <c r="N1612" s="35">
        <f>Table2[[#This Row],[OverStock]]*Table2[[#This Row],[RepCost]]</f>
        <v>193.15700000000001</v>
      </c>
      <c r="O1612" s="25">
        <v>45517.629166666666</v>
      </c>
      <c r="P1612" s="26" t="s">
        <v>36</v>
      </c>
    </row>
    <row r="1613" spans="1:16" x14ac:dyDescent="0.25">
      <c r="A1613" s="20" t="s">
        <v>5211</v>
      </c>
      <c r="B1613" s="21">
        <v>714</v>
      </c>
      <c r="C1613" s="22" t="s">
        <v>143</v>
      </c>
      <c r="D1613" s="22" t="s">
        <v>2219</v>
      </c>
      <c r="E1613" s="22" t="str">
        <f>CONCATENATE(B1613,D1613)</f>
        <v>71470596-SP115</v>
      </c>
      <c r="F1613" s="22" t="s">
        <v>2220</v>
      </c>
      <c r="G1613" s="22" t="s">
        <v>29</v>
      </c>
      <c r="H1613" s="23">
        <v>322.10230000000001</v>
      </c>
      <c r="I1613" s="24">
        <v>1</v>
      </c>
      <c r="J1613" s="24">
        <v>0</v>
      </c>
      <c r="K1613" s="24">
        <v>0</v>
      </c>
      <c r="L1613" s="41">
        <f>Table2[[#This Row],[Column1]]+Table2[[#This Row],[Column2]]</f>
        <v>0</v>
      </c>
      <c r="M1613" s="42">
        <f>Table2[[#This Row],[OnHandQty]]-Table2[[#This Row],[Projection Nov/Dec]]</f>
        <v>1</v>
      </c>
      <c r="N1613" s="35">
        <f>Table2[[#This Row],[OverStock]]*Table2[[#This Row],[RepCost]]</f>
        <v>322.10230000000001</v>
      </c>
      <c r="O1613" s="25">
        <v>46147.435416666667</v>
      </c>
      <c r="P1613" s="26" t="s">
        <v>501</v>
      </c>
    </row>
    <row r="1614" spans="1:16" x14ac:dyDescent="0.25">
      <c r="A1614" s="20" t="s">
        <v>5211</v>
      </c>
      <c r="B1614" s="21">
        <v>718</v>
      </c>
      <c r="C1614" s="22" t="s">
        <v>143</v>
      </c>
      <c r="D1614" s="22" t="s">
        <v>2219</v>
      </c>
      <c r="E1614" s="22" t="str">
        <f>CONCATENATE(B1614,D1614)</f>
        <v>71870596-SP115</v>
      </c>
      <c r="F1614" s="22" t="s">
        <v>2220</v>
      </c>
      <c r="G1614" s="22" t="s">
        <v>19</v>
      </c>
      <c r="H1614" s="23">
        <v>346.13659999999999</v>
      </c>
      <c r="I1614" s="24">
        <v>3</v>
      </c>
      <c r="J1614" s="24">
        <v>0</v>
      </c>
      <c r="K1614" s="24">
        <v>0</v>
      </c>
      <c r="L1614" s="41">
        <f>Table2[[#This Row],[Column1]]+Table2[[#This Row],[Column2]]</f>
        <v>0</v>
      </c>
      <c r="M1614" s="42">
        <f>Table2[[#This Row],[OnHandQty]]-Table2[[#This Row],[Projection Nov/Dec]]</f>
        <v>3</v>
      </c>
      <c r="N1614" s="35">
        <f>Table2[[#This Row],[OverStock]]*Table2[[#This Row],[RepCost]]</f>
        <v>1038.4097999999999</v>
      </c>
      <c r="O1614" s="25">
        <v>46155.659722222219</v>
      </c>
      <c r="P1614" s="26" t="s">
        <v>501</v>
      </c>
    </row>
    <row r="1615" spans="1:16" x14ac:dyDescent="0.25">
      <c r="A1615" s="20" t="s">
        <v>5211</v>
      </c>
      <c r="B1615" s="21">
        <v>714</v>
      </c>
      <c r="C1615" s="22" t="s">
        <v>143</v>
      </c>
      <c r="D1615" s="22" t="s">
        <v>2340</v>
      </c>
      <c r="E1615" s="22" t="str">
        <f>CONCATENATE(B1615,D1615)</f>
        <v>71470596-SP120-48IN</v>
      </c>
      <c r="F1615" s="22" t="s">
        <v>2341</v>
      </c>
      <c r="G1615" s="22" t="s">
        <v>19</v>
      </c>
      <c r="H1615" s="23">
        <v>390.72559999999999</v>
      </c>
      <c r="I1615" s="24">
        <v>2</v>
      </c>
      <c r="J1615" s="24">
        <v>0</v>
      </c>
      <c r="K1615" s="24">
        <v>0</v>
      </c>
      <c r="L1615" s="41">
        <f>Table2[[#This Row],[Column1]]+Table2[[#This Row],[Column2]]</f>
        <v>0</v>
      </c>
      <c r="M1615" s="42">
        <f>Table2[[#This Row],[OnHandQty]]-Table2[[#This Row],[Projection Nov/Dec]]</f>
        <v>2</v>
      </c>
      <c r="N1615" s="35">
        <f>Table2[[#This Row],[OverStock]]*Table2[[#This Row],[RepCost]]</f>
        <v>781.45119999999997</v>
      </c>
      <c r="O1615" s="25">
        <v>46149.3125</v>
      </c>
      <c r="P1615" s="26" t="s">
        <v>137</v>
      </c>
    </row>
    <row r="1616" spans="1:16" x14ac:dyDescent="0.25">
      <c r="A1616" s="20" t="s">
        <v>5211</v>
      </c>
      <c r="B1616" s="21">
        <v>636</v>
      </c>
      <c r="C1616" s="22" t="s">
        <v>323</v>
      </c>
      <c r="D1616" s="22" t="s">
        <v>1592</v>
      </c>
      <c r="E1616" s="22" t="str">
        <f>CONCATENATE(B1616,D1616)</f>
        <v>63675750-305</v>
      </c>
      <c r="F1616" s="22" t="s">
        <v>1593</v>
      </c>
      <c r="G1616" s="22" t="s">
        <v>29</v>
      </c>
      <c r="H1616" s="23">
        <v>125.2834</v>
      </c>
      <c r="I1616" s="24">
        <v>8</v>
      </c>
      <c r="J1616" s="24">
        <v>0</v>
      </c>
      <c r="K1616" s="24">
        <v>0</v>
      </c>
      <c r="L1616" s="41">
        <f>Table2[[#This Row],[Column1]]+Table2[[#This Row],[Column2]]</f>
        <v>0</v>
      </c>
      <c r="M1616" s="42">
        <f>Table2[[#This Row],[OnHandQty]]-Table2[[#This Row],[Projection Nov/Dec]]</f>
        <v>8</v>
      </c>
      <c r="N1616" s="35">
        <f>Table2[[#This Row],[OverStock]]*Table2[[#This Row],[RepCost]]</f>
        <v>1002.2672</v>
      </c>
      <c r="O1616" s="25">
        <v>46136.538194444445</v>
      </c>
      <c r="P1616" s="26" t="s">
        <v>1500</v>
      </c>
    </row>
    <row r="1617" spans="1:16" x14ac:dyDescent="0.25">
      <c r="A1617" s="20" t="s">
        <v>5211</v>
      </c>
      <c r="B1617" s="21">
        <v>636</v>
      </c>
      <c r="C1617" s="22" t="s">
        <v>323</v>
      </c>
      <c r="D1617" s="22" t="s">
        <v>1421</v>
      </c>
      <c r="E1617" s="22" t="str">
        <f>CONCATENATE(B1617,D1617)</f>
        <v>63670601-105</v>
      </c>
      <c r="F1617" s="22" t="s">
        <v>1422</v>
      </c>
      <c r="G1617" s="22" t="s">
        <v>29</v>
      </c>
      <c r="H1617" s="23">
        <v>48.5884</v>
      </c>
      <c r="I1617" s="24">
        <v>4</v>
      </c>
      <c r="J1617" s="24">
        <v>2</v>
      </c>
      <c r="K1617" s="24">
        <v>0</v>
      </c>
      <c r="L1617" s="41">
        <f>Table2[[#This Row],[Column1]]+Table2[[#This Row],[Column2]]</f>
        <v>2</v>
      </c>
      <c r="M1617" s="42">
        <f>Table2[[#This Row],[OnHandQty]]-Table2[[#This Row],[Projection Nov/Dec]]</f>
        <v>2</v>
      </c>
      <c r="N1617" s="35">
        <f>Table2[[#This Row],[OverStock]]*Table2[[#This Row],[RepCost]]</f>
        <v>97.1768</v>
      </c>
      <c r="O1617" s="25">
        <v>45980.417361111111</v>
      </c>
      <c r="P1617" s="26" t="s">
        <v>40</v>
      </c>
    </row>
    <row r="1618" spans="1:16" x14ac:dyDescent="0.25">
      <c r="A1618" s="20" t="s">
        <v>5211</v>
      </c>
      <c r="B1618" s="21">
        <v>718</v>
      </c>
      <c r="C1618" s="22" t="s">
        <v>323</v>
      </c>
      <c r="D1618" s="22" t="s">
        <v>3843</v>
      </c>
      <c r="E1618" s="22" t="str">
        <f>CONCATENATE(B1618,D1618)</f>
        <v>71892474-248</v>
      </c>
      <c r="F1618" s="22" t="s">
        <v>3844</v>
      </c>
      <c r="G1618" s="22" t="s">
        <v>29</v>
      </c>
      <c r="H1618" s="23">
        <v>171.6611</v>
      </c>
      <c r="I1618" s="24">
        <v>1</v>
      </c>
      <c r="J1618" s="24">
        <v>0</v>
      </c>
      <c r="K1618" s="24">
        <v>0</v>
      </c>
      <c r="L1618" s="41">
        <f>Table2[[#This Row],[Column1]]+Table2[[#This Row],[Column2]]</f>
        <v>0</v>
      </c>
      <c r="M1618" s="42">
        <f>Table2[[#This Row],[OnHandQty]]-Table2[[#This Row],[Projection Nov/Dec]]</f>
        <v>1</v>
      </c>
      <c r="N1618" s="35">
        <f>Table2[[#This Row],[OverStock]]*Table2[[#This Row],[RepCost]]</f>
        <v>171.6611</v>
      </c>
      <c r="O1618" s="25">
        <v>46169.374305555553</v>
      </c>
      <c r="P1618" s="26" t="s">
        <v>137</v>
      </c>
    </row>
    <row r="1619" spans="1:16" x14ac:dyDescent="0.25">
      <c r="A1619" s="20" t="s">
        <v>5211</v>
      </c>
      <c r="B1619" s="21">
        <v>636</v>
      </c>
      <c r="C1619" s="22" t="s">
        <v>323</v>
      </c>
      <c r="D1619" s="22" t="s">
        <v>1620</v>
      </c>
      <c r="E1619" s="22" t="str">
        <f>CONCATENATE(B1619,D1619)</f>
        <v>63680032-307</v>
      </c>
      <c r="F1619" s="22" t="s">
        <v>1621</v>
      </c>
      <c r="G1619" s="22" t="s">
        <v>29</v>
      </c>
      <c r="H1619" s="23">
        <v>346.72320000000002</v>
      </c>
      <c r="I1619" s="24">
        <v>2</v>
      </c>
      <c r="J1619" s="24">
        <v>0</v>
      </c>
      <c r="K1619" s="24">
        <v>0</v>
      </c>
      <c r="L1619" s="41">
        <f>Table2[[#This Row],[Column1]]+Table2[[#This Row],[Column2]]</f>
        <v>0</v>
      </c>
      <c r="M1619" s="42">
        <f>Table2[[#This Row],[OnHandQty]]-Table2[[#This Row],[Projection Nov/Dec]]</f>
        <v>2</v>
      </c>
      <c r="N1619" s="35">
        <f>Table2[[#This Row],[OverStock]]*Table2[[#This Row],[RepCost]]</f>
        <v>693.44640000000004</v>
      </c>
      <c r="O1619" s="25">
        <v>46142.609027777777</v>
      </c>
      <c r="P1619" s="26" t="s">
        <v>137</v>
      </c>
    </row>
    <row r="1620" spans="1:16" x14ac:dyDescent="0.25">
      <c r="A1620" s="20" t="s">
        <v>5211</v>
      </c>
      <c r="B1620" s="21">
        <v>714</v>
      </c>
      <c r="C1620" s="22" t="s">
        <v>323</v>
      </c>
      <c r="D1620" s="22" t="s">
        <v>3288</v>
      </c>
      <c r="E1620" s="22" t="str">
        <f>CONCATENATE(B1620,D1620)</f>
        <v>71478902-312</v>
      </c>
      <c r="F1620" s="22" t="s">
        <v>3289</v>
      </c>
      <c r="G1620" s="22" t="s">
        <v>29</v>
      </c>
      <c r="H1620" s="23">
        <v>861.16229999999996</v>
      </c>
      <c r="I1620" s="24">
        <v>1</v>
      </c>
      <c r="J1620" s="24">
        <v>0</v>
      </c>
      <c r="K1620" s="24">
        <v>0</v>
      </c>
      <c r="L1620" s="41">
        <f>Table2[[#This Row],[Column1]]+Table2[[#This Row],[Column2]]</f>
        <v>0</v>
      </c>
      <c r="M1620" s="42">
        <f>Table2[[#This Row],[OnHandQty]]-Table2[[#This Row],[Projection Nov/Dec]]</f>
        <v>1</v>
      </c>
      <c r="N1620" s="35">
        <f>Table2[[#This Row],[OverStock]]*Table2[[#This Row],[RepCost]]</f>
        <v>861.16229999999996</v>
      </c>
      <c r="O1620" s="25">
        <v>46119.573611111111</v>
      </c>
      <c r="P1620" s="26" t="s">
        <v>137</v>
      </c>
    </row>
    <row r="1621" spans="1:16" x14ac:dyDescent="0.25">
      <c r="A1621" s="20" t="s">
        <v>5211</v>
      </c>
      <c r="B1621" s="21">
        <v>718</v>
      </c>
      <c r="C1621" s="22" t="s">
        <v>323</v>
      </c>
      <c r="D1621" s="22" t="s">
        <v>3941</v>
      </c>
      <c r="E1621" s="22" t="str">
        <f>CONCATENATE(B1621,D1621)</f>
        <v>71878902-307</v>
      </c>
      <c r="F1621" s="22" t="s">
        <v>3942</v>
      </c>
      <c r="G1621" s="22" t="s">
        <v>29</v>
      </c>
      <c r="H1621" s="23">
        <v>285.02089999999998</v>
      </c>
      <c r="I1621" s="24">
        <v>1</v>
      </c>
      <c r="J1621" s="24">
        <v>0</v>
      </c>
      <c r="K1621" s="24">
        <v>0</v>
      </c>
      <c r="L1621" s="41">
        <f>Table2[[#This Row],[Column1]]+Table2[[#This Row],[Column2]]</f>
        <v>0</v>
      </c>
      <c r="M1621" s="42">
        <f>Table2[[#This Row],[OnHandQty]]-Table2[[#This Row],[Projection Nov/Dec]]</f>
        <v>1</v>
      </c>
      <c r="N1621" s="35">
        <f>Table2[[#This Row],[OverStock]]*Table2[[#This Row],[RepCost]]</f>
        <v>285.02089999999998</v>
      </c>
      <c r="O1621" s="25">
        <v>46118.523611111108</v>
      </c>
      <c r="P1621" s="26" t="s">
        <v>137</v>
      </c>
    </row>
    <row r="1622" spans="1:16" x14ac:dyDescent="0.25">
      <c r="A1622" s="20" t="s">
        <v>5211</v>
      </c>
      <c r="B1622" s="21">
        <v>714</v>
      </c>
      <c r="C1622" s="22" t="s">
        <v>323</v>
      </c>
      <c r="D1622" s="22" t="s">
        <v>2877</v>
      </c>
      <c r="E1622" s="22" t="str">
        <f>CONCATENATE(B1622,D1622)</f>
        <v>71470614-305</v>
      </c>
      <c r="F1622" s="22" t="s">
        <v>2878</v>
      </c>
      <c r="G1622" s="22" t="s">
        <v>29</v>
      </c>
      <c r="H1622" s="23">
        <v>286.03160000000003</v>
      </c>
      <c r="I1622" s="24">
        <v>1</v>
      </c>
      <c r="J1622" s="24">
        <v>0</v>
      </c>
      <c r="K1622" s="24">
        <v>0</v>
      </c>
      <c r="L1622" s="41">
        <f>Table2[[#This Row],[Column1]]+Table2[[#This Row],[Column2]]</f>
        <v>0</v>
      </c>
      <c r="M1622" s="42">
        <f>Table2[[#This Row],[OnHandQty]]-Table2[[#This Row],[Projection Nov/Dec]]</f>
        <v>1</v>
      </c>
      <c r="N1622" s="35">
        <f>Table2[[#This Row],[OverStock]]*Table2[[#This Row],[RepCost]]</f>
        <v>286.03160000000003</v>
      </c>
      <c r="O1622" s="25">
        <v>46126.711805555555</v>
      </c>
      <c r="P1622" s="26" t="s">
        <v>178</v>
      </c>
    </row>
    <row r="1623" spans="1:16" x14ac:dyDescent="0.25">
      <c r="A1623" s="20" t="s">
        <v>5211</v>
      </c>
      <c r="B1623" s="21">
        <v>636</v>
      </c>
      <c r="C1623" s="22" t="s">
        <v>323</v>
      </c>
      <c r="D1623" s="22" t="s">
        <v>1272</v>
      </c>
      <c r="E1623" s="22" t="str">
        <f>CONCATENATE(B1623,D1623)</f>
        <v>63681117-110</v>
      </c>
      <c r="F1623" s="27" t="s">
        <v>1273</v>
      </c>
      <c r="G1623" s="27" t="s">
        <v>58</v>
      </c>
      <c r="H1623" s="23">
        <v>152.88499999999999</v>
      </c>
      <c r="I1623" s="24">
        <v>1</v>
      </c>
      <c r="J1623" s="24">
        <v>0</v>
      </c>
      <c r="K1623" s="24">
        <v>0</v>
      </c>
      <c r="L1623" s="41">
        <f>Table2[[#This Row],[Column1]]+Table2[[#This Row],[Column2]]</f>
        <v>0</v>
      </c>
      <c r="M1623" s="42">
        <f>Table2[[#This Row],[OnHandQty]]-Table2[[#This Row],[Projection Nov/Dec]]</f>
        <v>1</v>
      </c>
      <c r="N1623" s="35">
        <f>Table2[[#This Row],[OverStock]]*Table2[[#This Row],[RepCost]]</f>
        <v>152.88499999999999</v>
      </c>
      <c r="O1623" s="25">
        <v>45016.46875</v>
      </c>
      <c r="P1623" s="26" t="s">
        <v>501</v>
      </c>
    </row>
    <row r="1624" spans="1:16" x14ac:dyDescent="0.25">
      <c r="A1624" s="20" t="s">
        <v>5211</v>
      </c>
      <c r="B1624" s="21">
        <v>634</v>
      </c>
      <c r="C1624" s="22" t="s">
        <v>323</v>
      </c>
      <c r="D1624" s="22" t="s">
        <v>339</v>
      </c>
      <c r="E1624" s="22" t="str">
        <f>CONCATENATE(B1624,D1624)</f>
        <v>63481117-307</v>
      </c>
      <c r="F1624" s="22" t="s">
        <v>340</v>
      </c>
      <c r="G1624" s="22" t="s">
        <v>19</v>
      </c>
      <c r="H1624" s="23">
        <v>389.78039999999999</v>
      </c>
      <c r="I1624" s="24">
        <v>1</v>
      </c>
      <c r="J1624" s="24">
        <v>0</v>
      </c>
      <c r="K1624" s="24">
        <v>0</v>
      </c>
      <c r="L1624" s="41">
        <f>Table2[[#This Row],[Column1]]+Table2[[#This Row],[Column2]]</f>
        <v>0</v>
      </c>
      <c r="M1624" s="42">
        <f>Table2[[#This Row],[OnHandQty]]-Table2[[#This Row],[Projection Nov/Dec]]</f>
        <v>1</v>
      </c>
      <c r="N1624" s="35">
        <f>Table2[[#This Row],[OverStock]]*Table2[[#This Row],[RepCost]]</f>
        <v>389.78039999999999</v>
      </c>
      <c r="O1624" s="25">
        <v>45041.656944444447</v>
      </c>
      <c r="P1624" s="26" t="s">
        <v>178</v>
      </c>
    </row>
    <row r="1625" spans="1:16" x14ac:dyDescent="0.25">
      <c r="A1625" s="20" t="s">
        <v>5211</v>
      </c>
      <c r="B1625" s="21">
        <v>634</v>
      </c>
      <c r="C1625" s="22" t="s">
        <v>323</v>
      </c>
      <c r="D1625" s="22" t="s">
        <v>388</v>
      </c>
      <c r="E1625" s="22" t="str">
        <f>CONCATENATE(B1625,D1625)</f>
        <v>63481117-308</v>
      </c>
      <c r="F1625" s="22" t="s">
        <v>389</v>
      </c>
      <c r="G1625" s="22" t="s">
        <v>23</v>
      </c>
      <c r="H1625" s="23">
        <v>462.18090000000001</v>
      </c>
      <c r="I1625" s="24">
        <v>2</v>
      </c>
      <c r="J1625" s="24">
        <v>0</v>
      </c>
      <c r="K1625" s="24">
        <v>0</v>
      </c>
      <c r="L1625" s="41">
        <f>Table2[[#This Row],[Column1]]+Table2[[#This Row],[Column2]]</f>
        <v>0</v>
      </c>
      <c r="M1625" s="42">
        <f>Table2[[#This Row],[OnHandQty]]-Table2[[#This Row],[Projection Nov/Dec]]</f>
        <v>2</v>
      </c>
      <c r="N1625" s="35">
        <f>Table2[[#This Row],[OverStock]]*Table2[[#This Row],[RepCost]]</f>
        <v>924.36180000000002</v>
      </c>
      <c r="O1625" s="25">
        <v>45390.51458333333</v>
      </c>
      <c r="P1625" s="26" t="s">
        <v>178</v>
      </c>
    </row>
    <row r="1626" spans="1:16" x14ac:dyDescent="0.25">
      <c r="A1626" s="20" t="s">
        <v>5211</v>
      </c>
      <c r="B1626" s="21">
        <v>714</v>
      </c>
      <c r="C1626" s="22" t="s">
        <v>323</v>
      </c>
      <c r="D1626" s="22" t="s">
        <v>3401</v>
      </c>
      <c r="E1626" s="22" t="str">
        <f>CONCATENATE(B1626,D1626)</f>
        <v>71470620-305</v>
      </c>
      <c r="F1626" s="22" t="s">
        <v>3402</v>
      </c>
      <c r="G1626" s="22" t="s">
        <v>29</v>
      </c>
      <c r="H1626" s="23">
        <v>122.5013</v>
      </c>
      <c r="I1626" s="24">
        <v>1</v>
      </c>
      <c r="J1626" s="24">
        <v>0</v>
      </c>
      <c r="K1626" s="24">
        <v>0</v>
      </c>
      <c r="L1626" s="41">
        <f>Table2[[#This Row],[Column1]]+Table2[[#This Row],[Column2]]</f>
        <v>0</v>
      </c>
      <c r="M1626" s="42">
        <f>Table2[[#This Row],[OnHandQty]]-Table2[[#This Row],[Projection Nov/Dec]]</f>
        <v>1</v>
      </c>
      <c r="N1626" s="35">
        <f>Table2[[#This Row],[OverStock]]*Table2[[#This Row],[RepCost]]</f>
        <v>122.5013</v>
      </c>
      <c r="O1626" s="25">
        <v>45013.480555555558</v>
      </c>
      <c r="P1626" s="26" t="s">
        <v>137</v>
      </c>
    </row>
    <row r="1627" spans="1:16" x14ac:dyDescent="0.25">
      <c r="A1627" s="20" t="s">
        <v>5211</v>
      </c>
      <c r="B1627" s="21">
        <v>636</v>
      </c>
      <c r="C1627" s="22" t="s">
        <v>323</v>
      </c>
      <c r="D1627" s="22" t="s">
        <v>1521</v>
      </c>
      <c r="E1627" s="22" t="str">
        <f>CONCATENATE(B1627,D1627)</f>
        <v>63684329-110</v>
      </c>
      <c r="F1627" s="22" t="s">
        <v>1522</v>
      </c>
      <c r="G1627" s="22" t="s">
        <v>29</v>
      </c>
      <c r="H1627" s="23">
        <v>233.32</v>
      </c>
      <c r="I1627" s="24">
        <v>2</v>
      </c>
      <c r="J1627" s="24">
        <v>0</v>
      </c>
      <c r="K1627" s="24">
        <v>0</v>
      </c>
      <c r="L1627" s="41">
        <f>Table2[[#This Row],[Column1]]+Table2[[#This Row],[Column2]]</f>
        <v>0</v>
      </c>
      <c r="M1627" s="42">
        <f>Table2[[#This Row],[OnHandQty]]-Table2[[#This Row],[Projection Nov/Dec]]</f>
        <v>2</v>
      </c>
      <c r="N1627" s="35">
        <f>Table2[[#This Row],[OverStock]]*Table2[[#This Row],[RepCost]]</f>
        <v>466.64</v>
      </c>
      <c r="O1627" s="25">
        <v>46140.29583333333</v>
      </c>
      <c r="P1627" s="26" t="s">
        <v>501</v>
      </c>
    </row>
    <row r="1628" spans="1:16" x14ac:dyDescent="0.25">
      <c r="A1628" s="20" t="s">
        <v>5211</v>
      </c>
      <c r="B1628" s="21">
        <v>636</v>
      </c>
      <c r="C1628" s="22" t="s">
        <v>323</v>
      </c>
      <c r="D1628" s="22" t="s">
        <v>1306</v>
      </c>
      <c r="E1628" s="22" t="str">
        <f>CONCATENATE(B1628,D1628)</f>
        <v>63670619-110</v>
      </c>
      <c r="F1628" s="22" t="s">
        <v>1307</v>
      </c>
      <c r="G1628" s="22" t="s">
        <v>35</v>
      </c>
      <c r="H1628" s="23">
        <v>258.27949999999998</v>
      </c>
      <c r="I1628" s="24">
        <v>4</v>
      </c>
      <c r="J1628" s="24">
        <v>1</v>
      </c>
      <c r="K1628" s="24">
        <v>0</v>
      </c>
      <c r="L1628" s="41">
        <f>Table2[[#This Row],[Column1]]+Table2[[#This Row],[Column2]]</f>
        <v>1</v>
      </c>
      <c r="M1628" s="42">
        <f>Table2[[#This Row],[OnHandQty]]-Table2[[#This Row],[Projection Nov/Dec]]</f>
        <v>3</v>
      </c>
      <c r="N1628" s="35">
        <f>Table2[[#This Row],[OverStock]]*Table2[[#This Row],[RepCost]]</f>
        <v>774.83849999999995</v>
      </c>
      <c r="O1628" s="25">
        <v>46140.29583333333</v>
      </c>
      <c r="P1628" s="26" t="s">
        <v>501</v>
      </c>
    </row>
    <row r="1629" spans="1:16" x14ac:dyDescent="0.25">
      <c r="A1629" s="20" t="s">
        <v>5211</v>
      </c>
      <c r="B1629" s="21">
        <v>718</v>
      </c>
      <c r="C1629" s="22" t="s">
        <v>323</v>
      </c>
      <c r="D1629" s="22" t="s">
        <v>3119</v>
      </c>
      <c r="E1629" s="22" t="str">
        <f>CONCATENATE(B1629,D1629)</f>
        <v>71870619-309</v>
      </c>
      <c r="F1629" s="22" t="s">
        <v>3120</v>
      </c>
      <c r="G1629" s="22" t="s">
        <v>19</v>
      </c>
      <c r="H1629" s="23">
        <v>1113.8747000000001</v>
      </c>
      <c r="I1629" s="24">
        <v>1</v>
      </c>
      <c r="J1629" s="24">
        <v>0</v>
      </c>
      <c r="K1629" s="24">
        <v>0</v>
      </c>
      <c r="L1629" s="41">
        <f>Table2[[#This Row],[Column1]]+Table2[[#This Row],[Column2]]</f>
        <v>0</v>
      </c>
      <c r="M1629" s="42">
        <f>Table2[[#This Row],[OnHandQty]]-Table2[[#This Row],[Projection Nov/Dec]]</f>
        <v>1</v>
      </c>
      <c r="N1629" s="35">
        <f>Table2[[#This Row],[OverStock]]*Table2[[#This Row],[RepCost]]</f>
        <v>1113.8747000000001</v>
      </c>
      <c r="O1629" s="25">
        <v>46118.523611111108</v>
      </c>
      <c r="P1629" s="26" t="s">
        <v>137</v>
      </c>
    </row>
    <row r="1630" spans="1:16" x14ac:dyDescent="0.25">
      <c r="A1630" s="20" t="s">
        <v>5211</v>
      </c>
      <c r="B1630" s="21">
        <v>714</v>
      </c>
      <c r="C1630" s="22" t="s">
        <v>323</v>
      </c>
      <c r="D1630" s="22" t="s">
        <v>3119</v>
      </c>
      <c r="E1630" s="22" t="str">
        <f>CONCATENATE(B1630,D1630)</f>
        <v>71470619-309</v>
      </c>
      <c r="F1630" s="22" t="s">
        <v>3120</v>
      </c>
      <c r="G1630" s="22" t="s">
        <v>29</v>
      </c>
      <c r="H1630" s="23">
        <v>1148.2165</v>
      </c>
      <c r="I1630" s="24">
        <v>1</v>
      </c>
      <c r="J1630" s="24">
        <v>0</v>
      </c>
      <c r="K1630" s="24">
        <v>0</v>
      </c>
      <c r="L1630" s="41">
        <f>Table2[[#This Row],[Column1]]+Table2[[#This Row],[Column2]]</f>
        <v>0</v>
      </c>
      <c r="M1630" s="42">
        <f>Table2[[#This Row],[OnHandQty]]-Table2[[#This Row],[Projection Nov/Dec]]</f>
        <v>1</v>
      </c>
      <c r="N1630" s="35">
        <f>Table2[[#This Row],[OverStock]]*Table2[[#This Row],[RepCost]]</f>
        <v>1148.2165</v>
      </c>
      <c r="O1630" s="25">
        <v>46119.573611111111</v>
      </c>
      <c r="P1630" s="26" t="s">
        <v>137</v>
      </c>
    </row>
    <row r="1631" spans="1:16" x14ac:dyDescent="0.25">
      <c r="A1631" s="20" t="s">
        <v>5211</v>
      </c>
      <c r="B1631" s="21">
        <v>714</v>
      </c>
      <c r="C1631" s="22" t="s">
        <v>323</v>
      </c>
      <c r="D1631" s="22" t="s">
        <v>3141</v>
      </c>
      <c r="E1631" s="22" t="str">
        <f>CONCATENATE(B1631,D1631)</f>
        <v>71484331-305</v>
      </c>
      <c r="F1631" s="22" t="s">
        <v>3142</v>
      </c>
      <c r="G1631" s="22" t="s">
        <v>23</v>
      </c>
      <c r="H1631" s="23">
        <v>326.99599999999998</v>
      </c>
      <c r="I1631" s="24">
        <v>1</v>
      </c>
      <c r="J1631" s="24">
        <v>0</v>
      </c>
      <c r="K1631" s="24">
        <v>0</v>
      </c>
      <c r="L1631" s="41">
        <f>Table2[[#This Row],[Column1]]+Table2[[#This Row],[Column2]]</f>
        <v>0</v>
      </c>
      <c r="M1631" s="42">
        <f>Table2[[#This Row],[OnHandQty]]-Table2[[#This Row],[Projection Nov/Dec]]</f>
        <v>1</v>
      </c>
      <c r="N1631" s="35">
        <f>Table2[[#This Row],[OverStock]]*Table2[[#This Row],[RepCost]]</f>
        <v>326.99599999999998</v>
      </c>
      <c r="O1631" s="25">
        <v>46147.525694444441</v>
      </c>
      <c r="P1631" s="26" t="s">
        <v>1535</v>
      </c>
    </row>
    <row r="1632" spans="1:16" x14ac:dyDescent="0.25">
      <c r="A1632" s="20" t="s">
        <v>5211</v>
      </c>
      <c r="B1632" s="21">
        <v>634</v>
      </c>
      <c r="C1632" s="22" t="s">
        <v>323</v>
      </c>
      <c r="D1632" s="22" t="s">
        <v>346</v>
      </c>
      <c r="E1632" s="22" t="str">
        <f>CONCATENATE(B1632,D1632)</f>
        <v>63484331-105</v>
      </c>
      <c r="F1632" s="22" t="s">
        <v>347</v>
      </c>
      <c r="G1632" s="22" t="s">
        <v>39</v>
      </c>
      <c r="H1632" s="23">
        <v>37.137700000000002</v>
      </c>
      <c r="I1632" s="24">
        <v>1</v>
      </c>
      <c r="J1632" s="24">
        <v>0</v>
      </c>
      <c r="K1632" s="24">
        <v>0</v>
      </c>
      <c r="L1632" s="41">
        <f>Table2[[#This Row],[Column1]]+Table2[[#This Row],[Column2]]</f>
        <v>0</v>
      </c>
      <c r="M1632" s="42">
        <f>Table2[[#This Row],[OnHandQty]]-Table2[[#This Row],[Projection Nov/Dec]]</f>
        <v>1</v>
      </c>
      <c r="N1632" s="35">
        <f>Table2[[#This Row],[OverStock]]*Table2[[#This Row],[RepCost]]</f>
        <v>37.137700000000002</v>
      </c>
      <c r="O1632" s="25">
        <v>45925.515277777777</v>
      </c>
      <c r="P1632" s="26" t="s">
        <v>40</v>
      </c>
    </row>
    <row r="1633" spans="1:16" x14ac:dyDescent="0.25">
      <c r="A1633" s="20" t="s">
        <v>5211</v>
      </c>
      <c r="B1633" s="21">
        <v>714</v>
      </c>
      <c r="C1633" s="22" t="s">
        <v>323</v>
      </c>
      <c r="D1633" s="22" t="s">
        <v>2846</v>
      </c>
      <c r="E1633" s="22" t="str">
        <f>CONCATENATE(B1633,D1633)</f>
        <v>71478895-310</v>
      </c>
      <c r="F1633" s="22" t="s">
        <v>2847</v>
      </c>
      <c r="G1633" s="22" t="s">
        <v>29</v>
      </c>
      <c r="H1633" s="23">
        <v>483.9556</v>
      </c>
      <c r="I1633" s="24">
        <v>1</v>
      </c>
      <c r="J1633" s="24">
        <v>0</v>
      </c>
      <c r="K1633" s="24">
        <v>0</v>
      </c>
      <c r="L1633" s="41">
        <f>Table2[[#This Row],[Column1]]+Table2[[#This Row],[Column2]]</f>
        <v>0</v>
      </c>
      <c r="M1633" s="42">
        <f>Table2[[#This Row],[OnHandQty]]-Table2[[#This Row],[Projection Nov/Dec]]</f>
        <v>1</v>
      </c>
      <c r="N1633" s="35">
        <f>Table2[[#This Row],[OverStock]]*Table2[[#This Row],[RepCost]]</f>
        <v>483.9556</v>
      </c>
      <c r="O1633" s="25">
        <v>45013.480555555558</v>
      </c>
      <c r="P1633" s="26" t="s">
        <v>137</v>
      </c>
    </row>
    <row r="1634" spans="1:16" x14ac:dyDescent="0.25">
      <c r="A1634" s="20" t="s">
        <v>5211</v>
      </c>
      <c r="B1634" s="21">
        <v>718</v>
      </c>
      <c r="C1634" s="22" t="s">
        <v>323</v>
      </c>
      <c r="D1634" s="22" t="s">
        <v>3867</v>
      </c>
      <c r="E1634" s="22" t="str">
        <f>CONCATENATE(B1634,D1634)</f>
        <v>71884332-305</v>
      </c>
      <c r="F1634" s="22" t="s">
        <v>3868</v>
      </c>
      <c r="G1634" s="22" t="s">
        <v>43</v>
      </c>
      <c r="H1634" s="23">
        <v>179.99100000000001</v>
      </c>
      <c r="I1634" s="24">
        <v>3</v>
      </c>
      <c r="J1634" s="24">
        <v>0</v>
      </c>
      <c r="K1634" s="24">
        <v>0</v>
      </c>
      <c r="L1634" s="41">
        <f>Table2[[#This Row],[Column1]]+Table2[[#This Row],[Column2]]</f>
        <v>0</v>
      </c>
      <c r="M1634" s="42">
        <f>Table2[[#This Row],[OnHandQty]]-Table2[[#This Row],[Projection Nov/Dec]]</f>
        <v>3</v>
      </c>
      <c r="N1634" s="35">
        <f>Table2[[#This Row],[OverStock]]*Table2[[#This Row],[RepCost]]</f>
        <v>539.97300000000007</v>
      </c>
      <c r="O1634" s="25">
        <v>46155.659722222219</v>
      </c>
      <c r="P1634" s="26" t="s">
        <v>501</v>
      </c>
    </row>
    <row r="1635" spans="1:16" x14ac:dyDescent="0.25">
      <c r="A1635" s="20" t="s">
        <v>5211</v>
      </c>
      <c r="B1635" s="21">
        <v>718</v>
      </c>
      <c r="C1635" s="22" t="s">
        <v>323</v>
      </c>
      <c r="D1635" s="22" t="s">
        <v>3937</v>
      </c>
      <c r="E1635" s="22" t="str">
        <f>CONCATENATE(B1635,D1635)</f>
        <v>71870626-115</v>
      </c>
      <c r="F1635" s="22" t="s">
        <v>3938</v>
      </c>
      <c r="G1635" s="22" t="s">
        <v>29</v>
      </c>
      <c r="H1635" s="23">
        <v>86.751499999999993</v>
      </c>
      <c r="I1635" s="24">
        <v>6</v>
      </c>
      <c r="J1635" s="24">
        <v>0</v>
      </c>
      <c r="K1635" s="24">
        <v>0</v>
      </c>
      <c r="L1635" s="41">
        <f>Table2[[#This Row],[Column1]]+Table2[[#This Row],[Column2]]</f>
        <v>0</v>
      </c>
      <c r="M1635" s="42">
        <f>Table2[[#This Row],[OnHandQty]]-Table2[[#This Row],[Projection Nov/Dec]]</f>
        <v>6</v>
      </c>
      <c r="N1635" s="35">
        <f>Table2[[#This Row],[OverStock]]*Table2[[#This Row],[RepCost]]</f>
        <v>520.50900000000001</v>
      </c>
      <c r="O1635" s="25">
        <v>46175.657638888886</v>
      </c>
      <c r="P1635" s="26" t="s">
        <v>3755</v>
      </c>
    </row>
    <row r="1636" spans="1:16" x14ac:dyDescent="0.25">
      <c r="A1636" s="20" t="s">
        <v>5211</v>
      </c>
      <c r="B1636" s="21">
        <v>718</v>
      </c>
      <c r="C1636" s="22" t="s">
        <v>323</v>
      </c>
      <c r="D1636" s="22" t="s">
        <v>3051</v>
      </c>
      <c r="E1636" s="22" t="str">
        <f>CONCATENATE(B1636,D1636)</f>
        <v>71870626-105</v>
      </c>
      <c r="F1636" s="22" t="s">
        <v>3052</v>
      </c>
      <c r="G1636" s="22" t="s">
        <v>39</v>
      </c>
      <c r="H1636" s="23">
        <v>71.604399999999998</v>
      </c>
      <c r="I1636" s="24">
        <v>1</v>
      </c>
      <c r="J1636" s="24">
        <v>0</v>
      </c>
      <c r="K1636" s="24">
        <v>0</v>
      </c>
      <c r="L1636" s="41">
        <f>Table2[[#This Row],[Column1]]+Table2[[#This Row],[Column2]]</f>
        <v>0</v>
      </c>
      <c r="M1636" s="42">
        <f>Table2[[#This Row],[OnHandQty]]-Table2[[#This Row],[Projection Nov/Dec]]</f>
        <v>1</v>
      </c>
      <c r="N1636" s="35">
        <f>Table2[[#This Row],[OverStock]]*Table2[[#This Row],[RepCost]]</f>
        <v>71.604399999999998</v>
      </c>
      <c r="O1636" s="25">
        <v>45813.561805555553</v>
      </c>
      <c r="P1636" s="26" t="s">
        <v>36</v>
      </c>
    </row>
    <row r="1637" spans="1:16" x14ac:dyDescent="0.25">
      <c r="A1637" s="20" t="s">
        <v>5211</v>
      </c>
      <c r="B1637" s="21">
        <v>714</v>
      </c>
      <c r="C1637" s="22" t="s">
        <v>323</v>
      </c>
      <c r="D1637" s="22" t="s">
        <v>3051</v>
      </c>
      <c r="E1637" s="22" t="str">
        <f>CONCATENATE(B1637,D1637)</f>
        <v>71470626-105</v>
      </c>
      <c r="F1637" s="22" t="s">
        <v>3052</v>
      </c>
      <c r="G1637" s="22" t="s">
        <v>29</v>
      </c>
      <c r="H1637" s="23">
        <v>71.984099999999998</v>
      </c>
      <c r="I1637" s="24">
        <v>1</v>
      </c>
      <c r="J1637" s="24">
        <v>0</v>
      </c>
      <c r="K1637" s="24">
        <v>0</v>
      </c>
      <c r="L1637" s="41">
        <f>Table2[[#This Row],[Column1]]+Table2[[#This Row],[Column2]]</f>
        <v>0</v>
      </c>
      <c r="M1637" s="42">
        <f>Table2[[#This Row],[OnHandQty]]-Table2[[#This Row],[Projection Nov/Dec]]</f>
        <v>1</v>
      </c>
      <c r="N1637" s="35">
        <f>Table2[[#This Row],[OverStock]]*Table2[[#This Row],[RepCost]]</f>
        <v>71.984099999999998</v>
      </c>
      <c r="O1637" s="25">
        <v>45814.374305555553</v>
      </c>
      <c r="P1637" s="26" t="s">
        <v>36</v>
      </c>
    </row>
    <row r="1638" spans="1:16" x14ac:dyDescent="0.25">
      <c r="A1638" s="20" t="s">
        <v>5211</v>
      </c>
      <c r="B1638" s="21">
        <v>634</v>
      </c>
      <c r="C1638" s="22" t="s">
        <v>323</v>
      </c>
      <c r="D1638" s="22" t="s">
        <v>458</v>
      </c>
      <c r="E1638" s="22" t="str">
        <f>CONCATENATE(B1638,D1638)</f>
        <v>63470642-310</v>
      </c>
      <c r="F1638" s="22" t="s">
        <v>459</v>
      </c>
      <c r="G1638" s="22" t="s">
        <v>29</v>
      </c>
      <c r="H1638" s="23">
        <v>432.77390000000003</v>
      </c>
      <c r="I1638" s="24">
        <v>5</v>
      </c>
      <c r="J1638" s="24">
        <v>0</v>
      </c>
      <c r="K1638" s="24">
        <v>0</v>
      </c>
      <c r="L1638" s="41">
        <f>Table2[[#This Row],[Column1]]+Table2[[#This Row],[Column2]]</f>
        <v>0</v>
      </c>
      <c r="M1638" s="42">
        <f>Table2[[#This Row],[OnHandQty]]-Table2[[#This Row],[Projection Nov/Dec]]</f>
        <v>5</v>
      </c>
      <c r="N1638" s="35">
        <f>Table2[[#This Row],[OverStock]]*Table2[[#This Row],[RepCost]]</f>
        <v>2163.8695000000002</v>
      </c>
      <c r="O1638" s="25">
        <v>46132.624305555553</v>
      </c>
      <c r="P1638" s="26" t="s">
        <v>357</v>
      </c>
    </row>
    <row r="1639" spans="1:16" x14ac:dyDescent="0.25">
      <c r="A1639" s="20" t="s">
        <v>5211</v>
      </c>
      <c r="B1639" s="21">
        <v>634</v>
      </c>
      <c r="C1639" s="22" t="s">
        <v>323</v>
      </c>
      <c r="D1639" s="22" t="s">
        <v>355</v>
      </c>
      <c r="E1639" s="22" t="str">
        <f>CONCATENATE(B1639,D1639)</f>
        <v>63470642-308</v>
      </c>
      <c r="F1639" s="22" t="s">
        <v>356</v>
      </c>
      <c r="G1639" s="22" t="s">
        <v>19</v>
      </c>
      <c r="H1639" s="23">
        <v>310.39569999999998</v>
      </c>
      <c r="I1639" s="24">
        <v>6</v>
      </c>
      <c r="J1639" s="24">
        <v>0</v>
      </c>
      <c r="K1639" s="24">
        <v>0</v>
      </c>
      <c r="L1639" s="41">
        <f>Table2[[#This Row],[Column1]]+Table2[[#This Row],[Column2]]</f>
        <v>0</v>
      </c>
      <c r="M1639" s="42">
        <f>Table2[[#This Row],[OnHandQty]]-Table2[[#This Row],[Projection Nov/Dec]]</f>
        <v>6</v>
      </c>
      <c r="N1639" s="35">
        <f>Table2[[#This Row],[OverStock]]*Table2[[#This Row],[RepCost]]</f>
        <v>1862.3741999999997</v>
      </c>
      <c r="O1639" s="25">
        <v>46132.624305555553</v>
      </c>
      <c r="P1639" s="26" t="s">
        <v>357</v>
      </c>
    </row>
    <row r="1640" spans="1:16" x14ac:dyDescent="0.25">
      <c r="A1640" s="20" t="s">
        <v>5211</v>
      </c>
      <c r="B1640" s="21">
        <v>714</v>
      </c>
      <c r="C1640" s="22" t="s">
        <v>143</v>
      </c>
      <c r="D1640" s="22" t="s">
        <v>2577</v>
      </c>
      <c r="E1640" s="22" t="str">
        <f>CONCATENATE(B1640,D1640)</f>
        <v>71470628-107-W18IN</v>
      </c>
      <c r="F1640" s="22" t="s">
        <v>2578</v>
      </c>
      <c r="G1640" s="22" t="s">
        <v>29</v>
      </c>
      <c r="H1640" s="23">
        <v>92.414500000000004</v>
      </c>
      <c r="I1640" s="24">
        <v>4</v>
      </c>
      <c r="J1640" s="24">
        <v>0</v>
      </c>
      <c r="K1640" s="24">
        <v>0</v>
      </c>
      <c r="L1640" s="41">
        <f>Table2[[#This Row],[Column1]]+Table2[[#This Row],[Column2]]</f>
        <v>0</v>
      </c>
      <c r="M1640" s="42">
        <f>Table2[[#This Row],[OnHandQty]]-Table2[[#This Row],[Projection Nov/Dec]]</f>
        <v>4</v>
      </c>
      <c r="N1640" s="35">
        <f>Table2[[#This Row],[OverStock]]*Table2[[#This Row],[RepCost]]</f>
        <v>369.65800000000002</v>
      </c>
      <c r="O1640" s="25">
        <v>46154.438194444447</v>
      </c>
      <c r="P1640" s="26" t="s">
        <v>1535</v>
      </c>
    </row>
    <row r="1641" spans="1:16" x14ac:dyDescent="0.25">
      <c r="A1641" s="20" t="s">
        <v>5211</v>
      </c>
      <c r="B1641" s="21">
        <v>714</v>
      </c>
      <c r="C1641" s="22" t="s">
        <v>143</v>
      </c>
      <c r="D1641" s="22" t="s">
        <v>2748</v>
      </c>
      <c r="E1641" s="22" t="str">
        <f>CONCATENATE(B1641,D1641)</f>
        <v>71470628-102</v>
      </c>
      <c r="F1641" s="22" t="s">
        <v>2749</v>
      </c>
      <c r="G1641" s="22" t="s">
        <v>23</v>
      </c>
      <c r="H1641" s="23">
        <v>45.903799999999997</v>
      </c>
      <c r="I1641" s="24">
        <v>12</v>
      </c>
      <c r="J1641" s="24">
        <v>0</v>
      </c>
      <c r="K1641" s="24">
        <v>0</v>
      </c>
      <c r="L1641" s="41">
        <f>Table2[[#This Row],[Column1]]+Table2[[#This Row],[Column2]]</f>
        <v>0</v>
      </c>
      <c r="M1641" s="42">
        <f>Table2[[#This Row],[OnHandQty]]-Table2[[#This Row],[Projection Nov/Dec]]</f>
        <v>12</v>
      </c>
      <c r="N1641" s="35">
        <f>Table2[[#This Row],[OverStock]]*Table2[[#This Row],[RepCost]]</f>
        <v>550.84559999999999</v>
      </c>
      <c r="O1641" s="25">
        <v>46196.347916666666</v>
      </c>
      <c r="P1641" s="26" t="s">
        <v>36</v>
      </c>
    </row>
    <row r="1642" spans="1:16" x14ac:dyDescent="0.25">
      <c r="A1642" s="20" t="s">
        <v>5211</v>
      </c>
      <c r="B1642" s="21">
        <v>714</v>
      </c>
      <c r="C1642" s="22" t="s">
        <v>143</v>
      </c>
      <c r="D1642" s="22" t="s">
        <v>2519</v>
      </c>
      <c r="E1642" s="22" t="str">
        <f>CONCATENATE(B1642,D1642)</f>
        <v>71470628-224</v>
      </c>
      <c r="F1642" s="27" t="s">
        <v>2520</v>
      </c>
      <c r="G1642" s="27" t="s">
        <v>58</v>
      </c>
      <c r="H1642" s="23">
        <v>146.97479999999999</v>
      </c>
      <c r="I1642" s="24">
        <v>1</v>
      </c>
      <c r="J1642" s="24">
        <v>0</v>
      </c>
      <c r="K1642" s="24">
        <v>0</v>
      </c>
      <c r="L1642" s="41">
        <f>Table2[[#This Row],[Column1]]+Table2[[#This Row],[Column2]]</f>
        <v>0</v>
      </c>
      <c r="M1642" s="42">
        <f>Table2[[#This Row],[OnHandQty]]-Table2[[#This Row],[Projection Nov/Dec]]</f>
        <v>1</v>
      </c>
      <c r="N1642" s="35">
        <f>Table2[[#This Row],[OverStock]]*Table2[[#This Row],[RepCost]]</f>
        <v>146.97479999999999</v>
      </c>
      <c r="O1642" s="25">
        <v>45029.46875</v>
      </c>
      <c r="P1642" s="26" t="s">
        <v>137</v>
      </c>
    </row>
    <row r="1643" spans="1:16" x14ac:dyDescent="0.25">
      <c r="A1643" s="20" t="s">
        <v>5211</v>
      </c>
      <c r="B1643" s="21">
        <v>636</v>
      </c>
      <c r="C1643" s="22" t="s">
        <v>143</v>
      </c>
      <c r="D1643" s="22" t="s">
        <v>1011</v>
      </c>
      <c r="E1643" s="22" t="str">
        <f>CONCATENATE(B1643,D1643)</f>
        <v>63670628-110-W24IN</v>
      </c>
      <c r="F1643" s="22" t="s">
        <v>1012</v>
      </c>
      <c r="G1643" s="22" t="s">
        <v>158</v>
      </c>
      <c r="H1643" s="23">
        <v>155.34209999999999</v>
      </c>
      <c r="I1643" s="24">
        <v>1</v>
      </c>
      <c r="J1643" s="24">
        <v>0</v>
      </c>
      <c r="K1643" s="24">
        <v>0</v>
      </c>
      <c r="L1643" s="41">
        <f>Table2[[#This Row],[Column1]]+Table2[[#This Row],[Column2]]</f>
        <v>0</v>
      </c>
      <c r="M1643" s="42">
        <f>Table2[[#This Row],[OnHandQty]]-Table2[[#This Row],[Projection Nov/Dec]]</f>
        <v>1</v>
      </c>
      <c r="N1643" s="35">
        <f>Table2[[#This Row],[OverStock]]*Table2[[#This Row],[RepCost]]</f>
        <v>155.34209999999999</v>
      </c>
      <c r="O1643" s="25">
        <v>46133.45</v>
      </c>
      <c r="P1643" s="26" t="s">
        <v>137</v>
      </c>
    </row>
    <row r="1644" spans="1:16" x14ac:dyDescent="0.25">
      <c r="A1644" s="20" t="s">
        <v>5211</v>
      </c>
      <c r="B1644" s="21">
        <v>714</v>
      </c>
      <c r="C1644" s="22" t="s">
        <v>143</v>
      </c>
      <c r="D1644" s="22" t="s">
        <v>2426</v>
      </c>
      <c r="E1644" s="22" t="str">
        <f>CONCATENATE(B1644,D1644)</f>
        <v>71470628-236</v>
      </c>
      <c r="F1644" s="27" t="s">
        <v>2427</v>
      </c>
      <c r="G1644" s="27" t="s">
        <v>58</v>
      </c>
      <c r="H1644" s="23">
        <v>271.38119999999998</v>
      </c>
      <c r="I1644" s="24">
        <v>1</v>
      </c>
      <c r="J1644" s="24">
        <v>0</v>
      </c>
      <c r="K1644" s="24">
        <v>0</v>
      </c>
      <c r="L1644" s="41">
        <f>Table2[[#This Row],[Column1]]+Table2[[#This Row],[Column2]]</f>
        <v>0</v>
      </c>
      <c r="M1644" s="42">
        <f>Table2[[#This Row],[OnHandQty]]-Table2[[#This Row],[Projection Nov/Dec]]</f>
        <v>1</v>
      </c>
      <c r="N1644" s="35">
        <f>Table2[[#This Row],[OverStock]]*Table2[[#This Row],[RepCost]]</f>
        <v>271.38119999999998</v>
      </c>
      <c r="O1644" s="25">
        <v>45766.421527777777</v>
      </c>
      <c r="P1644" s="26" t="s">
        <v>178</v>
      </c>
    </row>
    <row r="1645" spans="1:16" x14ac:dyDescent="0.25">
      <c r="A1645" s="20" t="s">
        <v>5211</v>
      </c>
      <c r="B1645" s="21">
        <v>718</v>
      </c>
      <c r="C1645" s="22" t="s">
        <v>143</v>
      </c>
      <c r="D1645" s="22" t="s">
        <v>3796</v>
      </c>
      <c r="E1645" s="22" t="str">
        <f>CONCATENATE(B1645,D1645)</f>
        <v>71870628-W836</v>
      </c>
      <c r="F1645" s="22" t="s">
        <v>3797</v>
      </c>
      <c r="G1645" s="22" t="s">
        <v>19</v>
      </c>
      <c r="H1645" s="23">
        <v>291.25200000000001</v>
      </c>
      <c r="I1645" s="24">
        <v>1</v>
      </c>
      <c r="J1645" s="24">
        <v>0</v>
      </c>
      <c r="K1645" s="24">
        <v>0</v>
      </c>
      <c r="L1645" s="41">
        <f>Table2[[#This Row],[Column1]]+Table2[[#This Row],[Column2]]</f>
        <v>0</v>
      </c>
      <c r="M1645" s="42">
        <f>Table2[[#This Row],[OnHandQty]]-Table2[[#This Row],[Projection Nov/Dec]]</f>
        <v>1</v>
      </c>
      <c r="N1645" s="35">
        <f>Table2[[#This Row],[OverStock]]*Table2[[#This Row],[RepCost]]</f>
        <v>291.25200000000001</v>
      </c>
      <c r="O1645" s="25">
        <v>46128.680555555555</v>
      </c>
      <c r="P1645" s="26" t="s">
        <v>178</v>
      </c>
    </row>
    <row r="1646" spans="1:16" x14ac:dyDescent="0.25">
      <c r="A1646" s="20" t="s">
        <v>5211</v>
      </c>
      <c r="B1646" s="21">
        <v>714</v>
      </c>
      <c r="C1646" s="22" t="s">
        <v>143</v>
      </c>
      <c r="D1646" s="22" t="s">
        <v>2424</v>
      </c>
      <c r="E1646" s="22" t="str">
        <f>CONCATENATE(B1646,D1646)</f>
        <v>71470628-STD221</v>
      </c>
      <c r="F1646" s="27" t="s">
        <v>2425</v>
      </c>
      <c r="G1646" s="27" t="s">
        <v>58</v>
      </c>
      <c r="H1646" s="23">
        <v>98.513499999999993</v>
      </c>
      <c r="I1646" s="24">
        <v>1</v>
      </c>
      <c r="J1646" s="24">
        <v>0</v>
      </c>
      <c r="K1646" s="24">
        <v>0</v>
      </c>
      <c r="L1646" s="41">
        <f>Table2[[#This Row],[Column1]]+Table2[[#This Row],[Column2]]</f>
        <v>0</v>
      </c>
      <c r="M1646" s="42">
        <f>Table2[[#This Row],[OnHandQty]]-Table2[[#This Row],[Projection Nov/Dec]]</f>
        <v>1</v>
      </c>
      <c r="N1646" s="35">
        <f>Table2[[#This Row],[OverStock]]*Table2[[#This Row],[RepCost]]</f>
        <v>98.513499999999993</v>
      </c>
      <c r="O1646" s="25">
        <v>45013.480555555558</v>
      </c>
      <c r="P1646" s="26" t="s">
        <v>137</v>
      </c>
    </row>
    <row r="1647" spans="1:16" x14ac:dyDescent="0.25">
      <c r="A1647" s="20" t="s">
        <v>5211</v>
      </c>
      <c r="B1647" s="21">
        <v>714</v>
      </c>
      <c r="C1647" s="22" t="s">
        <v>143</v>
      </c>
      <c r="D1647" s="22" t="s">
        <v>2367</v>
      </c>
      <c r="E1647" s="22" t="str">
        <f>CONCATENATE(B1647,D1647)</f>
        <v>71470628-STD105</v>
      </c>
      <c r="F1647" s="22" t="s">
        <v>2368</v>
      </c>
      <c r="G1647" s="22" t="s">
        <v>23</v>
      </c>
      <c r="H1647" s="23">
        <v>123.07810000000001</v>
      </c>
      <c r="I1647" s="24">
        <v>5</v>
      </c>
      <c r="J1647" s="24">
        <v>0</v>
      </c>
      <c r="K1647" s="24">
        <v>0</v>
      </c>
      <c r="L1647" s="41">
        <f>Table2[[#This Row],[Column1]]+Table2[[#This Row],[Column2]]</f>
        <v>0</v>
      </c>
      <c r="M1647" s="42">
        <f>Table2[[#This Row],[OnHandQty]]-Table2[[#This Row],[Projection Nov/Dec]]</f>
        <v>5</v>
      </c>
      <c r="N1647" s="35">
        <f>Table2[[#This Row],[OverStock]]*Table2[[#This Row],[RepCost]]</f>
        <v>615.39049999999997</v>
      </c>
      <c r="O1647" s="25">
        <v>46112.315972222219</v>
      </c>
      <c r="P1647" s="26" t="s">
        <v>36</v>
      </c>
    </row>
    <row r="1648" spans="1:16" x14ac:dyDescent="0.25">
      <c r="A1648" s="20" t="s">
        <v>5211</v>
      </c>
      <c r="B1648" s="21">
        <v>714</v>
      </c>
      <c r="C1648" s="22" t="s">
        <v>143</v>
      </c>
      <c r="D1648" s="22" t="s">
        <v>2679</v>
      </c>
      <c r="E1648" s="22" t="str">
        <f>CONCATENATE(B1648,D1648)</f>
        <v>71470637-W842</v>
      </c>
      <c r="F1648" s="22" t="s">
        <v>2680</v>
      </c>
      <c r="G1648" s="22" t="s">
        <v>29</v>
      </c>
      <c r="H1648" s="23">
        <v>338.2072</v>
      </c>
      <c r="I1648" s="24">
        <v>1</v>
      </c>
      <c r="J1648" s="24">
        <v>0</v>
      </c>
      <c r="K1648" s="24">
        <v>0</v>
      </c>
      <c r="L1648" s="41">
        <f>Table2[[#This Row],[Column1]]+Table2[[#This Row],[Column2]]</f>
        <v>0</v>
      </c>
      <c r="M1648" s="42">
        <f>Table2[[#This Row],[OnHandQty]]-Table2[[#This Row],[Projection Nov/Dec]]</f>
        <v>1</v>
      </c>
      <c r="N1648" s="35">
        <f>Table2[[#This Row],[OverStock]]*Table2[[#This Row],[RepCost]]</f>
        <v>338.2072</v>
      </c>
      <c r="O1648" s="25">
        <v>46126.695833333331</v>
      </c>
      <c r="P1648" s="26" t="s">
        <v>178</v>
      </c>
    </row>
    <row r="1649" spans="1:16" x14ac:dyDescent="0.25">
      <c r="A1649" s="20" t="s">
        <v>5211</v>
      </c>
      <c r="B1649" s="21">
        <v>718</v>
      </c>
      <c r="C1649" s="22" t="s">
        <v>323</v>
      </c>
      <c r="D1649" s="22" t="s">
        <v>3099</v>
      </c>
      <c r="E1649" s="22" t="str">
        <f>CONCATENATE(B1649,D1649)</f>
        <v>71881374-110</v>
      </c>
      <c r="F1649" s="22" t="s">
        <v>3100</v>
      </c>
      <c r="G1649" s="22" t="s">
        <v>23</v>
      </c>
      <c r="H1649" s="23">
        <v>137.2636</v>
      </c>
      <c r="I1649" s="24">
        <v>3</v>
      </c>
      <c r="J1649" s="24">
        <v>0</v>
      </c>
      <c r="K1649" s="24">
        <v>1</v>
      </c>
      <c r="L1649" s="41">
        <f>Table2[[#This Row],[Column1]]+Table2[[#This Row],[Column2]]</f>
        <v>1</v>
      </c>
      <c r="M1649" s="42">
        <f>Table2[[#This Row],[OnHandQty]]-Table2[[#This Row],[Projection Nov/Dec]]</f>
        <v>2</v>
      </c>
      <c r="N1649" s="35">
        <f>Table2[[#This Row],[OverStock]]*Table2[[#This Row],[RepCost]]</f>
        <v>274.52719999999999</v>
      </c>
      <c r="O1649" s="25">
        <v>46112.350694444445</v>
      </c>
      <c r="P1649" s="26" t="s">
        <v>36</v>
      </c>
    </row>
    <row r="1650" spans="1:16" x14ac:dyDescent="0.25">
      <c r="A1650" s="20" t="s">
        <v>5211</v>
      </c>
      <c r="B1650" s="21">
        <v>634</v>
      </c>
      <c r="C1650" s="22" t="s">
        <v>323</v>
      </c>
      <c r="D1650" s="22" t="s">
        <v>374</v>
      </c>
      <c r="E1650" s="22" t="str">
        <f>CONCATENATE(B1650,D1650)</f>
        <v>63481374-115</v>
      </c>
      <c r="F1650" s="27" t="s">
        <v>375</v>
      </c>
      <c r="G1650" s="27" t="s">
        <v>58</v>
      </c>
      <c r="H1650" s="23">
        <v>163.5274</v>
      </c>
      <c r="I1650" s="24">
        <v>1</v>
      </c>
      <c r="J1650" s="24">
        <v>0</v>
      </c>
      <c r="K1650" s="24">
        <v>0</v>
      </c>
      <c r="L1650" s="41">
        <f>Table2[[#This Row],[Column1]]+Table2[[#This Row],[Column2]]</f>
        <v>0</v>
      </c>
      <c r="M1650" s="42">
        <f>Table2[[#This Row],[OnHandQty]]-Table2[[#This Row],[Projection Nov/Dec]]</f>
        <v>1</v>
      </c>
      <c r="N1650" s="35">
        <f>Table2[[#This Row],[OverStock]]*Table2[[#This Row],[RepCost]]</f>
        <v>163.5274</v>
      </c>
      <c r="O1650" s="25">
        <v>44664.477777777778</v>
      </c>
      <c r="P1650" s="26" t="s">
        <v>376</v>
      </c>
    </row>
    <row r="1651" spans="1:16" x14ac:dyDescent="0.25">
      <c r="A1651" s="20" t="s">
        <v>5211</v>
      </c>
      <c r="B1651" s="21">
        <v>634</v>
      </c>
      <c r="C1651" s="22" t="s">
        <v>143</v>
      </c>
      <c r="D1651" s="22" t="s">
        <v>259</v>
      </c>
      <c r="E1651" s="22" t="str">
        <f>CONCATENATE(B1651,D1651)</f>
        <v>63470651-110</v>
      </c>
      <c r="F1651" s="27" t="s">
        <v>260</v>
      </c>
      <c r="G1651" s="27" t="s">
        <v>58</v>
      </c>
      <c r="H1651" s="23">
        <v>65.952200000000005</v>
      </c>
      <c r="I1651" s="24">
        <v>1</v>
      </c>
      <c r="J1651" s="24">
        <v>0</v>
      </c>
      <c r="K1651" s="24">
        <v>0</v>
      </c>
      <c r="L1651" s="41">
        <f>Table2[[#This Row],[Column1]]+Table2[[#This Row],[Column2]]</f>
        <v>0</v>
      </c>
      <c r="M1651" s="42">
        <f>Table2[[#This Row],[OnHandQty]]-Table2[[#This Row],[Projection Nov/Dec]]</f>
        <v>1</v>
      </c>
      <c r="N1651" s="35">
        <f>Table2[[#This Row],[OverStock]]*Table2[[#This Row],[RepCost]]</f>
        <v>65.952200000000005</v>
      </c>
      <c r="O1651" s="25">
        <v>42830.538888888892</v>
      </c>
      <c r="P1651" s="26" t="s">
        <v>261</v>
      </c>
    </row>
    <row r="1652" spans="1:16" x14ac:dyDescent="0.25">
      <c r="A1652" s="20" t="s">
        <v>5211</v>
      </c>
      <c r="B1652" s="21">
        <v>634</v>
      </c>
      <c r="C1652" s="22" t="s">
        <v>143</v>
      </c>
      <c r="D1652" s="22" t="s">
        <v>160</v>
      </c>
      <c r="E1652" s="22" t="str">
        <f>CONCATENATE(B1652,D1652)</f>
        <v>63470651-103</v>
      </c>
      <c r="F1652" s="22" t="s">
        <v>161</v>
      </c>
      <c r="G1652" s="22" t="s">
        <v>39</v>
      </c>
      <c r="H1652" s="23">
        <v>17.8292</v>
      </c>
      <c r="I1652" s="24">
        <v>15</v>
      </c>
      <c r="J1652" s="24">
        <v>3</v>
      </c>
      <c r="K1652" s="24">
        <v>2</v>
      </c>
      <c r="L1652" s="41">
        <f>Table2[[#This Row],[Column1]]+Table2[[#This Row],[Column2]]</f>
        <v>5</v>
      </c>
      <c r="M1652" s="42">
        <f>Table2[[#This Row],[OnHandQty]]-Table2[[#This Row],[Projection Nov/Dec]]</f>
        <v>10</v>
      </c>
      <c r="N1652" s="35">
        <f>Table2[[#This Row],[OverStock]]*Table2[[#This Row],[RepCost]]</f>
        <v>178.292</v>
      </c>
      <c r="O1652" s="25">
        <v>46126.546527777777</v>
      </c>
      <c r="P1652" s="26" t="s">
        <v>162</v>
      </c>
    </row>
    <row r="1653" spans="1:16" x14ac:dyDescent="0.25">
      <c r="A1653" s="20" t="s">
        <v>5211</v>
      </c>
      <c r="B1653" s="21">
        <v>636</v>
      </c>
      <c r="C1653" s="22" t="s">
        <v>143</v>
      </c>
      <c r="D1653" s="22" t="s">
        <v>1080</v>
      </c>
      <c r="E1653" s="22" t="str">
        <f>CONCATENATE(B1653,D1653)</f>
        <v>63670652-105</v>
      </c>
      <c r="F1653" s="22" t="s">
        <v>1081</v>
      </c>
      <c r="G1653" s="22" t="s">
        <v>158</v>
      </c>
      <c r="H1653" s="23">
        <v>41.717500000000001</v>
      </c>
      <c r="I1653" s="24">
        <v>1</v>
      </c>
      <c r="J1653" s="24">
        <v>0</v>
      </c>
      <c r="K1653" s="24">
        <v>0</v>
      </c>
      <c r="L1653" s="41">
        <f>Table2[[#This Row],[Column1]]+Table2[[#This Row],[Column2]]</f>
        <v>0</v>
      </c>
      <c r="M1653" s="42">
        <f>Table2[[#This Row],[OnHandQty]]-Table2[[#This Row],[Projection Nov/Dec]]</f>
        <v>1</v>
      </c>
      <c r="N1653" s="35">
        <f>Table2[[#This Row],[OverStock]]*Table2[[#This Row],[RepCost]]</f>
        <v>41.717500000000001</v>
      </c>
      <c r="O1653" s="25">
        <v>46142.44027777778</v>
      </c>
      <c r="P1653" s="26" t="s">
        <v>40</v>
      </c>
    </row>
    <row r="1654" spans="1:16" x14ac:dyDescent="0.25">
      <c r="A1654" s="20" t="s">
        <v>5211</v>
      </c>
      <c r="B1654" s="21">
        <v>718</v>
      </c>
      <c r="C1654" s="22" t="s">
        <v>143</v>
      </c>
      <c r="D1654" s="22" t="s">
        <v>2464</v>
      </c>
      <c r="E1654" s="22" t="str">
        <f>CONCATENATE(B1654,D1654)</f>
        <v>71870655-107</v>
      </c>
      <c r="F1654" s="22" t="s">
        <v>2465</v>
      </c>
      <c r="G1654" s="22" t="s">
        <v>39</v>
      </c>
      <c r="H1654" s="23">
        <v>60.935499999999998</v>
      </c>
      <c r="I1654" s="24">
        <v>3</v>
      </c>
      <c r="J1654" s="24">
        <v>0</v>
      </c>
      <c r="K1654" s="24">
        <v>0</v>
      </c>
      <c r="L1654" s="41">
        <f>Table2[[#This Row],[Column1]]+Table2[[#This Row],[Column2]]</f>
        <v>0</v>
      </c>
      <c r="M1654" s="42">
        <f>Table2[[#This Row],[OnHandQty]]-Table2[[#This Row],[Projection Nov/Dec]]</f>
        <v>3</v>
      </c>
      <c r="N1654" s="35">
        <f>Table2[[#This Row],[OverStock]]*Table2[[#This Row],[RepCost]]</f>
        <v>182.8065</v>
      </c>
      <c r="O1654" s="25">
        <v>46118.523611111108</v>
      </c>
      <c r="P1654" s="26" t="s">
        <v>137</v>
      </c>
    </row>
    <row r="1655" spans="1:16" x14ac:dyDescent="0.25">
      <c r="A1655" s="20" t="s">
        <v>5211</v>
      </c>
      <c r="B1655" s="21">
        <v>714</v>
      </c>
      <c r="C1655" s="22" t="s">
        <v>143</v>
      </c>
      <c r="D1655" s="22" t="s">
        <v>2464</v>
      </c>
      <c r="E1655" s="22" t="str">
        <f>CONCATENATE(B1655,D1655)</f>
        <v>71470655-107</v>
      </c>
      <c r="F1655" s="22" t="s">
        <v>2465</v>
      </c>
      <c r="G1655" s="22" t="s">
        <v>23</v>
      </c>
      <c r="H1655" s="23">
        <v>63.031300000000002</v>
      </c>
      <c r="I1655" s="24">
        <v>3</v>
      </c>
      <c r="J1655" s="24">
        <v>0</v>
      </c>
      <c r="K1655" s="24">
        <v>0</v>
      </c>
      <c r="L1655" s="41">
        <f>Table2[[#This Row],[Column1]]+Table2[[#This Row],[Column2]]</f>
        <v>0</v>
      </c>
      <c r="M1655" s="42">
        <f>Table2[[#This Row],[OnHandQty]]-Table2[[#This Row],[Projection Nov/Dec]]</f>
        <v>3</v>
      </c>
      <c r="N1655" s="35">
        <f>Table2[[#This Row],[OverStock]]*Table2[[#This Row],[RepCost]]</f>
        <v>189.09390000000002</v>
      </c>
      <c r="O1655" s="25">
        <v>46154.436111111114</v>
      </c>
      <c r="P1655" s="26" t="s">
        <v>137</v>
      </c>
    </row>
    <row r="1656" spans="1:16" x14ac:dyDescent="0.25">
      <c r="A1656" s="20" t="s">
        <v>5211</v>
      </c>
      <c r="B1656" s="21">
        <v>636</v>
      </c>
      <c r="C1656" s="22" t="s">
        <v>143</v>
      </c>
      <c r="D1656" s="22" t="s">
        <v>319</v>
      </c>
      <c r="E1656" s="22" t="str">
        <f>CONCATENATE(B1656,D1656)</f>
        <v>63678551-115</v>
      </c>
      <c r="F1656" s="22" t="s">
        <v>320</v>
      </c>
      <c r="G1656" s="22" t="s">
        <v>19</v>
      </c>
      <c r="H1656" s="23">
        <v>98.506799999999998</v>
      </c>
      <c r="I1656" s="24">
        <v>3</v>
      </c>
      <c r="J1656" s="24">
        <v>0</v>
      </c>
      <c r="K1656" s="24">
        <v>0</v>
      </c>
      <c r="L1656" s="41">
        <f>Table2[[#This Row],[Column1]]+Table2[[#This Row],[Column2]]</f>
        <v>0</v>
      </c>
      <c r="M1656" s="42">
        <f>Table2[[#This Row],[OnHandQty]]-Table2[[#This Row],[Projection Nov/Dec]]</f>
        <v>3</v>
      </c>
      <c r="N1656" s="35">
        <f>Table2[[#This Row],[OverStock]]*Table2[[#This Row],[RepCost]]</f>
        <v>295.5204</v>
      </c>
      <c r="O1656" s="25">
        <v>46114.436111111114</v>
      </c>
      <c r="P1656" s="26" t="s">
        <v>170</v>
      </c>
    </row>
    <row r="1657" spans="1:16" x14ac:dyDescent="0.25">
      <c r="A1657" s="20" t="s">
        <v>5211</v>
      </c>
      <c r="B1657" s="21">
        <v>634</v>
      </c>
      <c r="C1657" s="22" t="s">
        <v>143</v>
      </c>
      <c r="D1657" s="22" t="s">
        <v>319</v>
      </c>
      <c r="E1657" s="22" t="str">
        <f>CONCATENATE(B1657,D1657)</f>
        <v>63478551-115</v>
      </c>
      <c r="F1657" s="22" t="s">
        <v>320</v>
      </c>
      <c r="G1657" s="22" t="s">
        <v>19</v>
      </c>
      <c r="H1657" s="23">
        <v>105.3261</v>
      </c>
      <c r="I1657" s="24">
        <v>10</v>
      </c>
      <c r="J1657" s="24">
        <v>0</v>
      </c>
      <c r="K1657" s="24">
        <v>0</v>
      </c>
      <c r="L1657" s="41">
        <f>Table2[[#This Row],[Column1]]+Table2[[#This Row],[Column2]]</f>
        <v>0</v>
      </c>
      <c r="M1657" s="42">
        <f>Table2[[#This Row],[OnHandQty]]-Table2[[#This Row],[Projection Nov/Dec]]</f>
        <v>10</v>
      </c>
      <c r="N1657" s="35">
        <f>Table2[[#This Row],[OverStock]]*Table2[[#This Row],[RepCost]]</f>
        <v>1053.261</v>
      </c>
      <c r="O1657" s="25">
        <v>46119.382638888892</v>
      </c>
      <c r="P1657" s="26" t="s">
        <v>170</v>
      </c>
    </row>
    <row r="1658" spans="1:16" x14ac:dyDescent="0.25">
      <c r="A1658" s="20" t="s">
        <v>5211</v>
      </c>
      <c r="B1658" s="21">
        <v>634</v>
      </c>
      <c r="C1658" s="22" t="s">
        <v>143</v>
      </c>
      <c r="D1658" s="22" t="s">
        <v>264</v>
      </c>
      <c r="E1658" s="22" t="str">
        <f>CONCATENATE(B1658,D1658)</f>
        <v>63478552-110</v>
      </c>
      <c r="F1658" s="22" t="s">
        <v>265</v>
      </c>
      <c r="G1658" s="22" t="s">
        <v>23</v>
      </c>
      <c r="H1658" s="23">
        <v>72.453299999999999</v>
      </c>
      <c r="I1658" s="24">
        <v>5</v>
      </c>
      <c r="J1658" s="24">
        <v>0</v>
      </c>
      <c r="K1658" s="24">
        <v>0</v>
      </c>
      <c r="L1658" s="41">
        <f>Table2[[#This Row],[Column1]]+Table2[[#This Row],[Column2]]</f>
        <v>0</v>
      </c>
      <c r="M1658" s="42">
        <f>Table2[[#This Row],[OnHandQty]]-Table2[[#This Row],[Projection Nov/Dec]]</f>
        <v>5</v>
      </c>
      <c r="N1658" s="35">
        <f>Table2[[#This Row],[OverStock]]*Table2[[#This Row],[RepCost]]</f>
        <v>362.26650000000001</v>
      </c>
      <c r="O1658" s="25">
        <v>46099.42083333333</v>
      </c>
      <c r="P1658" s="26" t="s">
        <v>137</v>
      </c>
    </row>
    <row r="1659" spans="1:16" x14ac:dyDescent="0.25">
      <c r="A1659" s="20" t="s">
        <v>5211</v>
      </c>
      <c r="B1659" s="21">
        <v>636</v>
      </c>
      <c r="C1659" s="22" t="s">
        <v>143</v>
      </c>
      <c r="D1659" s="22" t="s">
        <v>1192</v>
      </c>
      <c r="E1659" s="22" t="str">
        <f>CONCATENATE(B1659,D1659)</f>
        <v>63678552-115</v>
      </c>
      <c r="F1659" s="22" t="s">
        <v>1193</v>
      </c>
      <c r="G1659" s="22" t="s">
        <v>23</v>
      </c>
      <c r="H1659" s="23">
        <v>85.863299999999995</v>
      </c>
      <c r="I1659" s="24">
        <v>1</v>
      </c>
      <c r="J1659" s="24">
        <v>0</v>
      </c>
      <c r="K1659" s="24">
        <v>0</v>
      </c>
      <c r="L1659" s="41">
        <f>Table2[[#This Row],[Column1]]+Table2[[#This Row],[Column2]]</f>
        <v>0</v>
      </c>
      <c r="M1659" s="42">
        <f>Table2[[#This Row],[OnHandQty]]-Table2[[#This Row],[Projection Nov/Dec]]</f>
        <v>1</v>
      </c>
      <c r="N1659" s="35">
        <f>Table2[[#This Row],[OverStock]]*Table2[[#This Row],[RepCost]]</f>
        <v>85.863299999999995</v>
      </c>
      <c r="O1659" s="25">
        <v>46083.459722222222</v>
      </c>
      <c r="P1659" s="26" t="s">
        <v>137</v>
      </c>
    </row>
    <row r="1660" spans="1:16" x14ac:dyDescent="0.25">
      <c r="A1660" s="20" t="s">
        <v>5211</v>
      </c>
      <c r="B1660" s="21">
        <v>634</v>
      </c>
      <c r="C1660" s="22" t="s">
        <v>323</v>
      </c>
      <c r="D1660" s="22" t="s">
        <v>447</v>
      </c>
      <c r="E1660" s="22" t="str">
        <f>CONCATENATE(B1660,D1660)</f>
        <v>63470688-306</v>
      </c>
      <c r="F1660" s="27" t="s">
        <v>448</v>
      </c>
      <c r="G1660" s="27" t="s">
        <v>58</v>
      </c>
      <c r="H1660" s="23">
        <v>294.096</v>
      </c>
      <c r="I1660" s="24">
        <v>2</v>
      </c>
      <c r="J1660" s="24">
        <v>0</v>
      </c>
      <c r="K1660" s="24">
        <v>0</v>
      </c>
      <c r="L1660" s="41">
        <f>Table2[[#This Row],[Column1]]+Table2[[#This Row],[Column2]]</f>
        <v>0</v>
      </c>
      <c r="M1660" s="42">
        <f>Table2[[#This Row],[OnHandQty]]-Table2[[#This Row],[Projection Nov/Dec]]</f>
        <v>2</v>
      </c>
      <c r="N1660" s="35">
        <f>Table2[[#This Row],[OverStock]]*Table2[[#This Row],[RepCost]]</f>
        <v>588.19200000000001</v>
      </c>
      <c r="O1660" s="25">
        <v>45412.510416666664</v>
      </c>
      <c r="P1660" s="26" t="s">
        <v>178</v>
      </c>
    </row>
    <row r="1661" spans="1:16" x14ac:dyDescent="0.25">
      <c r="A1661" s="20" t="s">
        <v>5211</v>
      </c>
      <c r="B1661" s="21">
        <v>636</v>
      </c>
      <c r="C1661" s="22" t="s">
        <v>323</v>
      </c>
      <c r="D1661" s="22" t="s">
        <v>1715</v>
      </c>
      <c r="E1661" s="22" t="str">
        <f>CONCATENATE(B1661,D1661)</f>
        <v>63690290-248</v>
      </c>
      <c r="F1661" s="22" t="s">
        <v>1716</v>
      </c>
      <c r="G1661" s="22" t="s">
        <v>29</v>
      </c>
      <c r="H1661" s="23">
        <v>297.02370000000002</v>
      </c>
      <c r="I1661" s="24">
        <v>4</v>
      </c>
      <c r="J1661" s="24">
        <v>0</v>
      </c>
      <c r="K1661" s="24">
        <v>0</v>
      </c>
      <c r="L1661" s="41">
        <f>Table2[[#This Row],[Column1]]+Table2[[#This Row],[Column2]]</f>
        <v>0</v>
      </c>
      <c r="M1661" s="42">
        <f>Table2[[#This Row],[OnHandQty]]-Table2[[#This Row],[Projection Nov/Dec]]</f>
        <v>4</v>
      </c>
      <c r="N1661" s="35">
        <f>Table2[[#This Row],[OverStock]]*Table2[[#This Row],[RepCost]]</f>
        <v>1188.0948000000001</v>
      </c>
      <c r="O1661" s="25">
        <v>46132.304166666669</v>
      </c>
      <c r="P1661" s="26" t="s">
        <v>178</v>
      </c>
    </row>
    <row r="1662" spans="1:16" x14ac:dyDescent="0.25">
      <c r="A1662" s="20" t="s">
        <v>5211</v>
      </c>
      <c r="B1662" s="21">
        <v>636</v>
      </c>
      <c r="C1662" s="22" t="s">
        <v>323</v>
      </c>
      <c r="D1662" s="22" t="s">
        <v>1529</v>
      </c>
      <c r="E1662" s="22" t="str">
        <f>CONCATENATE(B1662,D1662)</f>
        <v>63692642-305</v>
      </c>
      <c r="F1662" s="22" t="s">
        <v>1530</v>
      </c>
      <c r="G1662" s="22" t="s">
        <v>29</v>
      </c>
      <c r="H1662" s="23">
        <v>177.76580000000001</v>
      </c>
      <c r="I1662" s="24">
        <v>4</v>
      </c>
      <c r="J1662" s="24">
        <v>0</v>
      </c>
      <c r="K1662" s="24">
        <v>0</v>
      </c>
      <c r="L1662" s="41">
        <f>Table2[[#This Row],[Column1]]+Table2[[#This Row],[Column2]]</f>
        <v>0</v>
      </c>
      <c r="M1662" s="42">
        <f>Table2[[#This Row],[OnHandQty]]-Table2[[#This Row],[Projection Nov/Dec]]</f>
        <v>4</v>
      </c>
      <c r="N1662" s="35">
        <f>Table2[[#This Row],[OverStock]]*Table2[[#This Row],[RepCost]]</f>
        <v>711.06320000000005</v>
      </c>
      <c r="O1662" s="25">
        <v>46140.295138888891</v>
      </c>
      <c r="P1662" s="26" t="s">
        <v>137</v>
      </c>
    </row>
    <row r="1663" spans="1:16" x14ac:dyDescent="0.25">
      <c r="A1663" s="20" t="s">
        <v>5211</v>
      </c>
      <c r="B1663" s="21">
        <v>636</v>
      </c>
      <c r="C1663" s="22" t="s">
        <v>323</v>
      </c>
      <c r="D1663" s="22" t="s">
        <v>1531</v>
      </c>
      <c r="E1663" s="22" t="str">
        <f>CONCATENATE(B1663,D1663)</f>
        <v>63692642-306</v>
      </c>
      <c r="F1663" s="22" t="s">
        <v>1532</v>
      </c>
      <c r="G1663" s="22" t="s">
        <v>29</v>
      </c>
      <c r="H1663" s="23">
        <v>234.006</v>
      </c>
      <c r="I1663" s="24">
        <v>4</v>
      </c>
      <c r="J1663" s="24">
        <v>0</v>
      </c>
      <c r="K1663" s="24">
        <v>0</v>
      </c>
      <c r="L1663" s="41">
        <f>Table2[[#This Row],[Column1]]+Table2[[#This Row],[Column2]]</f>
        <v>0</v>
      </c>
      <c r="M1663" s="42">
        <f>Table2[[#This Row],[OnHandQty]]-Table2[[#This Row],[Projection Nov/Dec]]</f>
        <v>4</v>
      </c>
      <c r="N1663" s="35">
        <f>Table2[[#This Row],[OverStock]]*Table2[[#This Row],[RepCost]]</f>
        <v>936.024</v>
      </c>
      <c r="O1663" s="25">
        <v>46120.310416666667</v>
      </c>
      <c r="P1663" s="26" t="s">
        <v>137</v>
      </c>
    </row>
    <row r="1664" spans="1:16" x14ac:dyDescent="0.25">
      <c r="A1664" s="20" t="s">
        <v>5211</v>
      </c>
      <c r="B1664" s="21">
        <v>636</v>
      </c>
      <c r="C1664" s="22" t="s">
        <v>323</v>
      </c>
      <c r="D1664" s="22" t="s">
        <v>1533</v>
      </c>
      <c r="E1664" s="22" t="str">
        <f>CONCATENATE(B1664,D1664)</f>
        <v>63696399-115</v>
      </c>
      <c r="F1664" s="22" t="s">
        <v>1534</v>
      </c>
      <c r="G1664" s="22" t="s">
        <v>19</v>
      </c>
      <c r="H1664" s="23">
        <v>169.0915</v>
      </c>
      <c r="I1664" s="24">
        <v>2</v>
      </c>
      <c r="J1664" s="24">
        <v>0</v>
      </c>
      <c r="K1664" s="24">
        <v>0</v>
      </c>
      <c r="L1664" s="41">
        <f>Table2[[#This Row],[Column1]]+Table2[[#This Row],[Column2]]</f>
        <v>0</v>
      </c>
      <c r="M1664" s="42">
        <f>Table2[[#This Row],[OnHandQty]]-Table2[[#This Row],[Projection Nov/Dec]]</f>
        <v>2</v>
      </c>
      <c r="N1664" s="35">
        <f>Table2[[#This Row],[OverStock]]*Table2[[#This Row],[RepCost]]</f>
        <v>338.18299999999999</v>
      </c>
      <c r="O1664" s="25">
        <v>46140.29583333333</v>
      </c>
      <c r="P1664" s="26" t="s">
        <v>501</v>
      </c>
    </row>
    <row r="1665" spans="1:16" x14ac:dyDescent="0.25">
      <c r="A1665" s="20" t="s">
        <v>5211</v>
      </c>
      <c r="B1665" s="21">
        <v>636</v>
      </c>
      <c r="C1665" s="22" t="s">
        <v>323</v>
      </c>
      <c r="D1665" s="22" t="s">
        <v>1686</v>
      </c>
      <c r="E1665" s="22" t="str">
        <f>CONCATENATE(B1665,D1665)</f>
        <v>63683448-115</v>
      </c>
      <c r="F1665" s="22" t="s">
        <v>1687</v>
      </c>
      <c r="G1665" s="22" t="s">
        <v>29</v>
      </c>
      <c r="H1665" s="23">
        <v>294.92700000000002</v>
      </c>
      <c r="I1665" s="24">
        <v>4</v>
      </c>
      <c r="J1665" s="24">
        <v>0</v>
      </c>
      <c r="K1665" s="24">
        <v>0</v>
      </c>
      <c r="L1665" s="41">
        <f>Table2[[#This Row],[Column1]]+Table2[[#This Row],[Column2]]</f>
        <v>0</v>
      </c>
      <c r="M1665" s="42">
        <f>Table2[[#This Row],[OnHandQty]]-Table2[[#This Row],[Projection Nov/Dec]]</f>
        <v>4</v>
      </c>
      <c r="N1665" s="35">
        <f>Table2[[#This Row],[OverStock]]*Table2[[#This Row],[RepCost]]</f>
        <v>1179.7080000000001</v>
      </c>
      <c r="O1665" s="25">
        <v>46140.29583333333</v>
      </c>
      <c r="P1665" s="26" t="s">
        <v>501</v>
      </c>
    </row>
    <row r="1666" spans="1:16" x14ac:dyDescent="0.25">
      <c r="A1666" s="20" t="s">
        <v>5211</v>
      </c>
      <c r="B1666" s="21">
        <v>636</v>
      </c>
      <c r="C1666" s="22" t="s">
        <v>323</v>
      </c>
      <c r="D1666" s="22" t="s">
        <v>1486</v>
      </c>
      <c r="E1666" s="22" t="str">
        <f>CONCATENATE(B1666,D1666)</f>
        <v>63683448-106</v>
      </c>
      <c r="F1666" s="22" t="s">
        <v>1487</v>
      </c>
      <c r="G1666" s="22" t="s">
        <v>29</v>
      </c>
      <c r="H1666" s="23">
        <v>142.8758</v>
      </c>
      <c r="I1666" s="24">
        <v>4</v>
      </c>
      <c r="J1666" s="24">
        <v>0</v>
      </c>
      <c r="K1666" s="24">
        <v>0</v>
      </c>
      <c r="L1666" s="41">
        <f>Table2[[#This Row],[Column1]]+Table2[[#This Row],[Column2]]</f>
        <v>0</v>
      </c>
      <c r="M1666" s="42">
        <f>Table2[[#This Row],[OnHandQty]]-Table2[[#This Row],[Projection Nov/Dec]]</f>
        <v>4</v>
      </c>
      <c r="N1666" s="35">
        <f>Table2[[#This Row],[OverStock]]*Table2[[#This Row],[RepCost]]</f>
        <v>571.50319999999999</v>
      </c>
      <c r="O1666" s="25">
        <v>46140.29583333333</v>
      </c>
      <c r="P1666" s="26" t="s">
        <v>501</v>
      </c>
    </row>
    <row r="1667" spans="1:16" x14ac:dyDescent="0.25">
      <c r="A1667" s="20" t="s">
        <v>5211</v>
      </c>
      <c r="B1667" s="21">
        <v>636</v>
      </c>
      <c r="C1667" s="22" t="s">
        <v>143</v>
      </c>
      <c r="D1667" s="22" t="s">
        <v>891</v>
      </c>
      <c r="E1667" s="22" t="str">
        <f>CONCATENATE(B1667,D1667)</f>
        <v>63670731-103</v>
      </c>
      <c r="F1667" s="22" t="s">
        <v>892</v>
      </c>
      <c r="G1667" s="22" t="s">
        <v>29</v>
      </c>
      <c r="H1667" s="23">
        <v>72.748699999999999</v>
      </c>
      <c r="I1667" s="24">
        <v>5</v>
      </c>
      <c r="J1667" s="24">
        <v>0</v>
      </c>
      <c r="K1667" s="24">
        <v>0</v>
      </c>
      <c r="L1667" s="41">
        <f>Table2[[#This Row],[Column1]]+Table2[[#This Row],[Column2]]</f>
        <v>0</v>
      </c>
      <c r="M1667" s="42">
        <f>Table2[[#This Row],[OnHandQty]]-Table2[[#This Row],[Projection Nov/Dec]]</f>
        <v>5</v>
      </c>
      <c r="N1667" s="35">
        <f>Table2[[#This Row],[OverStock]]*Table2[[#This Row],[RepCost]]</f>
        <v>363.74349999999998</v>
      </c>
      <c r="O1667" s="25">
        <v>46140.29583333333</v>
      </c>
      <c r="P1667" s="26" t="s">
        <v>501</v>
      </c>
    </row>
    <row r="1668" spans="1:16" x14ac:dyDescent="0.25">
      <c r="A1668" s="20" t="s">
        <v>5211</v>
      </c>
      <c r="B1668" s="21">
        <v>714</v>
      </c>
      <c r="C1668" s="22" t="s">
        <v>323</v>
      </c>
      <c r="D1668" s="22" t="s">
        <v>3274</v>
      </c>
      <c r="E1668" s="22" t="str">
        <f>CONCATENATE(B1668,D1668)</f>
        <v>71475122-306</v>
      </c>
      <c r="F1668" s="22" t="s">
        <v>3275</v>
      </c>
      <c r="G1668" s="22" t="s">
        <v>29</v>
      </c>
      <c r="H1668" s="23">
        <v>312.80930000000001</v>
      </c>
      <c r="I1668" s="24">
        <v>2</v>
      </c>
      <c r="J1668" s="24">
        <v>0</v>
      </c>
      <c r="K1668" s="24">
        <v>0</v>
      </c>
      <c r="L1668" s="41">
        <f>Table2[[#This Row],[Column1]]+Table2[[#This Row],[Column2]]</f>
        <v>0</v>
      </c>
      <c r="M1668" s="42">
        <f>Table2[[#This Row],[OnHandQty]]-Table2[[#This Row],[Projection Nov/Dec]]</f>
        <v>2</v>
      </c>
      <c r="N1668" s="35">
        <f>Table2[[#This Row],[OverStock]]*Table2[[#This Row],[RepCost]]</f>
        <v>625.61860000000001</v>
      </c>
      <c r="O1668" s="25">
        <v>45766.421527777777</v>
      </c>
      <c r="P1668" s="26" t="s">
        <v>178</v>
      </c>
    </row>
    <row r="1669" spans="1:16" x14ac:dyDescent="0.25">
      <c r="A1669" s="20" t="s">
        <v>5211</v>
      </c>
      <c r="B1669" s="21">
        <v>636</v>
      </c>
      <c r="C1669" s="22" t="s">
        <v>143</v>
      </c>
      <c r="D1669" s="22" t="s">
        <v>964</v>
      </c>
      <c r="E1669" s="22" t="str">
        <f>CONCATENATE(B1669,D1669)</f>
        <v>63691938-W842</v>
      </c>
      <c r="F1669" s="22" t="s">
        <v>965</v>
      </c>
      <c r="G1669" s="22" t="s">
        <v>29</v>
      </c>
      <c r="H1669" s="23">
        <v>320.31970000000001</v>
      </c>
      <c r="I1669" s="24">
        <v>4</v>
      </c>
      <c r="J1669" s="24">
        <v>0</v>
      </c>
      <c r="K1669" s="24">
        <v>0</v>
      </c>
      <c r="L1669" s="41">
        <f>Table2[[#This Row],[Column1]]+Table2[[#This Row],[Column2]]</f>
        <v>0</v>
      </c>
      <c r="M1669" s="42">
        <f>Table2[[#This Row],[OnHandQty]]-Table2[[#This Row],[Projection Nov/Dec]]</f>
        <v>4</v>
      </c>
      <c r="N1669" s="35">
        <f>Table2[[#This Row],[OverStock]]*Table2[[#This Row],[RepCost]]</f>
        <v>1281.2788</v>
      </c>
      <c r="O1669" s="25">
        <v>46132.304166666669</v>
      </c>
      <c r="P1669" s="26" t="s">
        <v>178</v>
      </c>
    </row>
    <row r="1670" spans="1:16" x14ac:dyDescent="0.25">
      <c r="A1670" s="20" t="s">
        <v>5211</v>
      </c>
      <c r="B1670" s="21">
        <v>636</v>
      </c>
      <c r="C1670" s="22" t="s">
        <v>323</v>
      </c>
      <c r="D1670" s="22" t="s">
        <v>1666</v>
      </c>
      <c r="E1670" s="22" t="str">
        <f>CONCATENATE(B1670,D1670)</f>
        <v>63679219-107</v>
      </c>
      <c r="F1670" s="22" t="s">
        <v>1667</v>
      </c>
      <c r="G1670" s="22" t="s">
        <v>29</v>
      </c>
      <c r="H1670" s="23">
        <v>170.0438</v>
      </c>
      <c r="I1670" s="24">
        <v>1</v>
      </c>
      <c r="J1670" s="24">
        <v>0</v>
      </c>
      <c r="K1670" s="24">
        <v>0</v>
      </c>
      <c r="L1670" s="41">
        <f>Table2[[#This Row],[Column1]]+Table2[[#This Row],[Column2]]</f>
        <v>0</v>
      </c>
      <c r="M1670" s="42">
        <f>Table2[[#This Row],[OnHandQty]]-Table2[[#This Row],[Projection Nov/Dec]]</f>
        <v>1</v>
      </c>
      <c r="N1670" s="35">
        <f>Table2[[#This Row],[OverStock]]*Table2[[#This Row],[RepCost]]</f>
        <v>170.0438</v>
      </c>
      <c r="O1670" s="25">
        <v>46119.725694444445</v>
      </c>
      <c r="P1670" s="26" t="s">
        <v>165</v>
      </c>
    </row>
    <row r="1671" spans="1:16" x14ac:dyDescent="0.25">
      <c r="A1671" s="20" t="s">
        <v>5211</v>
      </c>
      <c r="B1671" s="21">
        <v>714</v>
      </c>
      <c r="C1671" s="22" t="s">
        <v>323</v>
      </c>
      <c r="D1671" s="22" t="s">
        <v>2852</v>
      </c>
      <c r="E1671" s="22" t="str">
        <f>CONCATENATE(B1671,D1671)</f>
        <v>71478567-248</v>
      </c>
      <c r="F1671" s="22" t="s">
        <v>2853</v>
      </c>
      <c r="G1671" s="22" t="s">
        <v>29</v>
      </c>
      <c r="H1671" s="23">
        <v>119.34099999999999</v>
      </c>
      <c r="I1671" s="24">
        <v>3</v>
      </c>
      <c r="J1671" s="24">
        <v>0</v>
      </c>
      <c r="K1671" s="24">
        <v>0</v>
      </c>
      <c r="L1671" s="41">
        <f>Table2[[#This Row],[Column1]]+Table2[[#This Row],[Column2]]</f>
        <v>0</v>
      </c>
      <c r="M1671" s="42">
        <f>Table2[[#This Row],[OnHandQty]]-Table2[[#This Row],[Projection Nov/Dec]]</f>
        <v>3</v>
      </c>
      <c r="N1671" s="35">
        <f>Table2[[#This Row],[OverStock]]*Table2[[#This Row],[RepCost]]</f>
        <v>358.02299999999997</v>
      </c>
      <c r="O1671" s="25">
        <v>46118.304861111108</v>
      </c>
      <c r="P1671" s="26" t="s">
        <v>2423</v>
      </c>
    </row>
    <row r="1672" spans="1:16" x14ac:dyDescent="0.25">
      <c r="A1672" s="20" t="s">
        <v>5211</v>
      </c>
      <c r="B1672" s="21">
        <v>714</v>
      </c>
      <c r="C1672" s="22" t="s">
        <v>323</v>
      </c>
      <c r="D1672" s="22" t="s">
        <v>3524</v>
      </c>
      <c r="E1672" s="22" t="str">
        <f>CONCATENATE(B1672,D1672)</f>
        <v>71478567-306</v>
      </c>
      <c r="F1672" s="22" t="s">
        <v>3525</v>
      </c>
      <c r="G1672" s="22" t="s">
        <v>19</v>
      </c>
      <c r="H1672" s="23">
        <v>284.80950000000001</v>
      </c>
      <c r="I1672" s="24">
        <v>3</v>
      </c>
      <c r="J1672" s="24">
        <v>0</v>
      </c>
      <c r="K1672" s="24">
        <v>0</v>
      </c>
      <c r="L1672" s="41">
        <f>Table2[[#This Row],[Column1]]+Table2[[#This Row],[Column2]]</f>
        <v>0</v>
      </c>
      <c r="M1672" s="42">
        <f>Table2[[#This Row],[OnHandQty]]-Table2[[#This Row],[Projection Nov/Dec]]</f>
        <v>3</v>
      </c>
      <c r="N1672" s="35">
        <f>Table2[[#This Row],[OverStock]]*Table2[[#This Row],[RepCost]]</f>
        <v>854.42849999999999</v>
      </c>
      <c r="O1672" s="25">
        <v>46126.695833333331</v>
      </c>
      <c r="P1672" s="26" t="s">
        <v>178</v>
      </c>
    </row>
    <row r="1673" spans="1:16" x14ac:dyDescent="0.25">
      <c r="A1673" s="20" t="s">
        <v>5211</v>
      </c>
      <c r="B1673" s="21">
        <v>718</v>
      </c>
      <c r="C1673" s="22" t="s">
        <v>323</v>
      </c>
      <c r="D1673" s="22" t="s">
        <v>3524</v>
      </c>
      <c r="E1673" s="22" t="str">
        <f>CONCATENATE(B1673,D1673)</f>
        <v>71878567-306</v>
      </c>
      <c r="F1673" s="22" t="s">
        <v>3525</v>
      </c>
      <c r="G1673" s="22" t="s">
        <v>19</v>
      </c>
      <c r="H1673" s="23">
        <v>248.67070000000001</v>
      </c>
      <c r="I1673" s="24">
        <v>3</v>
      </c>
      <c r="J1673" s="24">
        <v>0</v>
      </c>
      <c r="K1673" s="24">
        <v>0</v>
      </c>
      <c r="L1673" s="41">
        <f>Table2[[#This Row],[Column1]]+Table2[[#This Row],[Column2]]</f>
        <v>0</v>
      </c>
      <c r="M1673" s="42">
        <f>Table2[[#This Row],[OnHandQty]]-Table2[[#This Row],[Projection Nov/Dec]]</f>
        <v>3</v>
      </c>
      <c r="N1673" s="35">
        <f>Table2[[#This Row],[OverStock]]*Table2[[#This Row],[RepCost]]</f>
        <v>746.01210000000003</v>
      </c>
      <c r="O1673" s="25">
        <v>46128.680555555555</v>
      </c>
      <c r="P1673" s="26" t="s">
        <v>178</v>
      </c>
    </row>
    <row r="1674" spans="1:16" x14ac:dyDescent="0.25">
      <c r="A1674" s="20" t="s">
        <v>5211</v>
      </c>
      <c r="B1674" s="21">
        <v>636</v>
      </c>
      <c r="C1674" s="22" t="s">
        <v>323</v>
      </c>
      <c r="D1674" s="22" t="s">
        <v>1482</v>
      </c>
      <c r="E1674" s="22" t="str">
        <f>CONCATENATE(B1674,D1674)</f>
        <v>63684348-115</v>
      </c>
      <c r="F1674" s="22" t="s">
        <v>1483</v>
      </c>
      <c r="G1674" s="22" t="s">
        <v>29</v>
      </c>
      <c r="H1674" s="23">
        <v>167.7807</v>
      </c>
      <c r="I1674" s="24">
        <v>4</v>
      </c>
      <c r="J1674" s="24">
        <v>0</v>
      </c>
      <c r="K1674" s="24">
        <v>0</v>
      </c>
      <c r="L1674" s="41">
        <f>Table2[[#This Row],[Column1]]+Table2[[#This Row],[Column2]]</f>
        <v>0</v>
      </c>
      <c r="M1674" s="42">
        <f>Table2[[#This Row],[OnHandQty]]-Table2[[#This Row],[Projection Nov/Dec]]</f>
        <v>4</v>
      </c>
      <c r="N1674" s="35">
        <f>Table2[[#This Row],[OverStock]]*Table2[[#This Row],[RepCost]]</f>
        <v>671.12279999999998</v>
      </c>
      <c r="O1674" s="25">
        <v>46140.29583333333</v>
      </c>
      <c r="P1674" s="26" t="s">
        <v>501</v>
      </c>
    </row>
    <row r="1675" spans="1:16" x14ac:dyDescent="0.25">
      <c r="A1675" s="20" t="s">
        <v>5211</v>
      </c>
      <c r="B1675" s="21">
        <v>636</v>
      </c>
      <c r="C1675" s="22" t="s">
        <v>323</v>
      </c>
      <c r="D1675" s="22" t="s">
        <v>1492</v>
      </c>
      <c r="E1675" s="22" t="str">
        <f>CONCATENATE(B1675,D1675)</f>
        <v>63684346-236</v>
      </c>
      <c r="F1675" s="22" t="s">
        <v>1493</v>
      </c>
      <c r="G1675" s="22" t="s">
        <v>29</v>
      </c>
      <c r="H1675" s="23">
        <v>238.78380000000001</v>
      </c>
      <c r="I1675" s="24">
        <v>3</v>
      </c>
      <c r="J1675" s="24">
        <v>0</v>
      </c>
      <c r="K1675" s="24">
        <v>0</v>
      </c>
      <c r="L1675" s="41">
        <f>Table2[[#This Row],[Column1]]+Table2[[#This Row],[Column2]]</f>
        <v>0</v>
      </c>
      <c r="M1675" s="42">
        <f>Table2[[#This Row],[OnHandQty]]-Table2[[#This Row],[Projection Nov/Dec]]</f>
        <v>3</v>
      </c>
      <c r="N1675" s="35">
        <f>Table2[[#This Row],[OverStock]]*Table2[[#This Row],[RepCost]]</f>
        <v>716.35140000000001</v>
      </c>
      <c r="O1675" s="25">
        <v>46132.304166666669</v>
      </c>
      <c r="P1675" s="26" t="s">
        <v>178</v>
      </c>
    </row>
    <row r="1676" spans="1:16" x14ac:dyDescent="0.25">
      <c r="A1676" s="20" t="s">
        <v>5211</v>
      </c>
      <c r="B1676" s="21">
        <v>636</v>
      </c>
      <c r="C1676" s="22" t="s">
        <v>323</v>
      </c>
      <c r="D1676" s="22" t="s">
        <v>1741</v>
      </c>
      <c r="E1676" s="22" t="str">
        <f>CONCATENATE(B1676,D1676)</f>
        <v>63696472-W830</v>
      </c>
      <c r="F1676" s="22" t="s">
        <v>1742</v>
      </c>
      <c r="G1676" s="22" t="s">
        <v>29</v>
      </c>
      <c r="H1676" s="23">
        <v>344.6438</v>
      </c>
      <c r="I1676" s="24">
        <v>5</v>
      </c>
      <c r="J1676" s="24">
        <v>0</v>
      </c>
      <c r="K1676" s="24">
        <v>0</v>
      </c>
      <c r="L1676" s="41">
        <f>Table2[[#This Row],[Column1]]+Table2[[#This Row],[Column2]]</f>
        <v>0</v>
      </c>
      <c r="M1676" s="42">
        <f>Table2[[#This Row],[OnHandQty]]-Table2[[#This Row],[Projection Nov/Dec]]</f>
        <v>5</v>
      </c>
      <c r="N1676" s="35">
        <f>Table2[[#This Row],[OverStock]]*Table2[[#This Row],[RepCost]]</f>
        <v>1723.2190000000001</v>
      </c>
      <c r="O1676" s="25">
        <v>46128.310416666667</v>
      </c>
      <c r="P1676" s="26" t="s">
        <v>178</v>
      </c>
    </row>
    <row r="1677" spans="1:16" x14ac:dyDescent="0.25">
      <c r="A1677" s="20" t="s">
        <v>5211</v>
      </c>
      <c r="B1677" s="21">
        <v>636</v>
      </c>
      <c r="C1677" s="22" t="s">
        <v>323</v>
      </c>
      <c r="D1677" s="22" t="s">
        <v>1230</v>
      </c>
      <c r="E1677" s="22" t="str">
        <f>CONCATENATE(B1677,D1677)</f>
        <v>63670728-103</v>
      </c>
      <c r="F1677" s="22" t="s">
        <v>1231</v>
      </c>
      <c r="G1677" s="22" t="s">
        <v>29</v>
      </c>
      <c r="H1677" s="23">
        <v>28.344200000000001</v>
      </c>
      <c r="I1677" s="24">
        <v>8</v>
      </c>
      <c r="J1677" s="24">
        <v>0</v>
      </c>
      <c r="K1677" s="24">
        <v>0</v>
      </c>
      <c r="L1677" s="41">
        <f>Table2[[#This Row],[Column1]]+Table2[[#This Row],[Column2]]</f>
        <v>0</v>
      </c>
      <c r="M1677" s="42">
        <f>Table2[[#This Row],[OnHandQty]]-Table2[[#This Row],[Projection Nov/Dec]]</f>
        <v>8</v>
      </c>
      <c r="N1677" s="35">
        <f>Table2[[#This Row],[OverStock]]*Table2[[#This Row],[RepCost]]</f>
        <v>226.75360000000001</v>
      </c>
      <c r="O1677" s="25">
        <v>46120.310416666667</v>
      </c>
      <c r="P1677" s="26" t="s">
        <v>137</v>
      </c>
    </row>
    <row r="1678" spans="1:16" x14ac:dyDescent="0.25">
      <c r="A1678" s="20" t="s">
        <v>5211</v>
      </c>
      <c r="B1678" s="21">
        <v>636</v>
      </c>
      <c r="C1678" s="22" t="s">
        <v>323</v>
      </c>
      <c r="D1678" s="22" t="s">
        <v>348</v>
      </c>
      <c r="E1678" s="22" t="str">
        <f>CONCATENATE(B1678,D1678)</f>
        <v>63679591-305</v>
      </c>
      <c r="F1678" s="22" t="s">
        <v>349</v>
      </c>
      <c r="G1678" s="22" t="s">
        <v>23</v>
      </c>
      <c r="H1678" s="23">
        <v>229.8329</v>
      </c>
      <c r="I1678" s="24">
        <v>11</v>
      </c>
      <c r="J1678" s="24">
        <v>0</v>
      </c>
      <c r="K1678" s="24">
        <v>0</v>
      </c>
      <c r="L1678" s="41">
        <f>Table2[[#This Row],[Column1]]+Table2[[#This Row],[Column2]]</f>
        <v>0</v>
      </c>
      <c r="M1678" s="42">
        <f>Table2[[#This Row],[OnHandQty]]-Table2[[#This Row],[Projection Nov/Dec]]</f>
        <v>11</v>
      </c>
      <c r="N1678" s="35">
        <f>Table2[[#This Row],[OverStock]]*Table2[[#This Row],[RepCost]]</f>
        <v>2528.1619000000001</v>
      </c>
      <c r="O1678" s="25">
        <v>46142.609027777777</v>
      </c>
      <c r="P1678" s="26" t="s">
        <v>137</v>
      </c>
    </row>
    <row r="1679" spans="1:16" x14ac:dyDescent="0.25">
      <c r="A1679" s="20" t="s">
        <v>5211</v>
      </c>
      <c r="B1679" s="21">
        <v>634</v>
      </c>
      <c r="C1679" s="22" t="s">
        <v>323</v>
      </c>
      <c r="D1679" s="22" t="s">
        <v>348</v>
      </c>
      <c r="E1679" s="22" t="str">
        <f>CONCATENATE(B1679,D1679)</f>
        <v>63479591-305</v>
      </c>
      <c r="F1679" s="22" t="s">
        <v>349</v>
      </c>
      <c r="G1679" s="22" t="s">
        <v>29</v>
      </c>
      <c r="H1679" s="23">
        <v>233.87799999999999</v>
      </c>
      <c r="I1679" s="24">
        <v>6</v>
      </c>
      <c r="J1679" s="24">
        <v>0</v>
      </c>
      <c r="K1679" s="24">
        <v>0</v>
      </c>
      <c r="L1679" s="41">
        <f>Table2[[#This Row],[Column1]]+Table2[[#This Row],[Column2]]</f>
        <v>0</v>
      </c>
      <c r="M1679" s="42">
        <f>Table2[[#This Row],[OnHandQty]]-Table2[[#This Row],[Projection Nov/Dec]]</f>
        <v>6</v>
      </c>
      <c r="N1679" s="35">
        <f>Table2[[#This Row],[OverStock]]*Table2[[#This Row],[RepCost]]</f>
        <v>1403.268</v>
      </c>
      <c r="O1679" s="25">
        <v>46154.572222222225</v>
      </c>
      <c r="P1679" s="26" t="s">
        <v>137</v>
      </c>
    </row>
    <row r="1680" spans="1:16" x14ac:dyDescent="0.25">
      <c r="A1680" s="20" t="s">
        <v>5211</v>
      </c>
      <c r="B1680" s="21">
        <v>714</v>
      </c>
      <c r="C1680" s="22" t="s">
        <v>323</v>
      </c>
      <c r="D1680" s="22" t="s">
        <v>3075</v>
      </c>
      <c r="E1680" s="22" t="str">
        <f>CONCATENATE(B1680,D1680)</f>
        <v>71482481-305</v>
      </c>
      <c r="F1680" s="27" t="s">
        <v>3076</v>
      </c>
      <c r="G1680" s="27" t="s">
        <v>58</v>
      </c>
      <c r="H1680" s="23">
        <v>136.11250000000001</v>
      </c>
      <c r="I1680" s="24">
        <v>2</v>
      </c>
      <c r="J1680" s="24">
        <v>0</v>
      </c>
      <c r="K1680" s="24">
        <v>0</v>
      </c>
      <c r="L1680" s="41">
        <f>Table2[[#This Row],[Column1]]+Table2[[#This Row],[Column2]]</f>
        <v>0</v>
      </c>
      <c r="M1680" s="42">
        <f>Table2[[#This Row],[OnHandQty]]-Table2[[#This Row],[Projection Nov/Dec]]</f>
        <v>2</v>
      </c>
      <c r="N1680" s="35">
        <f>Table2[[#This Row],[OverStock]]*Table2[[#This Row],[RepCost]]</f>
        <v>272.22500000000002</v>
      </c>
      <c r="O1680" s="25">
        <v>45013.480555555558</v>
      </c>
      <c r="P1680" s="26" t="s">
        <v>137</v>
      </c>
    </row>
    <row r="1681" spans="1:16" x14ac:dyDescent="0.25">
      <c r="A1681" s="20" t="s">
        <v>5211</v>
      </c>
      <c r="B1681" s="21">
        <v>636</v>
      </c>
      <c r="C1681" s="22" t="s">
        <v>323</v>
      </c>
      <c r="D1681" s="22" t="s">
        <v>1419</v>
      </c>
      <c r="E1681" s="22" t="str">
        <f>CONCATENATE(B1681,D1681)</f>
        <v>63676578-307</v>
      </c>
      <c r="F1681" s="22" t="s">
        <v>1420</v>
      </c>
      <c r="G1681" s="22" t="s">
        <v>19</v>
      </c>
      <c r="H1681" s="23">
        <v>260.00670000000002</v>
      </c>
      <c r="I1681" s="24">
        <v>2</v>
      </c>
      <c r="J1681" s="24">
        <v>0</v>
      </c>
      <c r="K1681" s="24">
        <v>0</v>
      </c>
      <c r="L1681" s="41">
        <f>Table2[[#This Row],[Column1]]+Table2[[#This Row],[Column2]]</f>
        <v>0</v>
      </c>
      <c r="M1681" s="42">
        <f>Table2[[#This Row],[OnHandQty]]-Table2[[#This Row],[Projection Nov/Dec]]</f>
        <v>2</v>
      </c>
      <c r="N1681" s="35">
        <f>Table2[[#This Row],[OverStock]]*Table2[[#This Row],[RepCost]]</f>
        <v>520.01340000000005</v>
      </c>
      <c r="O1681" s="25">
        <v>46120.310416666667</v>
      </c>
      <c r="P1681" s="26" t="s">
        <v>137</v>
      </c>
    </row>
    <row r="1682" spans="1:16" x14ac:dyDescent="0.25">
      <c r="A1682" s="20" t="s">
        <v>5211</v>
      </c>
      <c r="B1682" s="21">
        <v>636</v>
      </c>
      <c r="C1682" s="22" t="s">
        <v>323</v>
      </c>
      <c r="D1682" s="22" t="s">
        <v>1745</v>
      </c>
      <c r="E1682" s="22" t="str">
        <f>CONCATENATE(B1682,D1682)</f>
        <v>63676578-PM248</v>
      </c>
      <c r="F1682" s="22" t="s">
        <v>1746</v>
      </c>
      <c r="G1682" s="22" t="s">
        <v>29</v>
      </c>
      <c r="H1682" s="23">
        <v>295.88830000000002</v>
      </c>
      <c r="I1682" s="24">
        <v>1</v>
      </c>
      <c r="J1682" s="24">
        <v>0</v>
      </c>
      <c r="K1682" s="24">
        <v>0</v>
      </c>
      <c r="L1682" s="41">
        <f>Table2[[#This Row],[Column1]]+Table2[[#This Row],[Column2]]</f>
        <v>0</v>
      </c>
      <c r="M1682" s="42">
        <f>Table2[[#This Row],[OnHandQty]]-Table2[[#This Row],[Projection Nov/Dec]]</f>
        <v>1</v>
      </c>
      <c r="N1682" s="35">
        <f>Table2[[#This Row],[OverStock]]*Table2[[#This Row],[RepCost]]</f>
        <v>295.88830000000002</v>
      </c>
      <c r="O1682" s="25">
        <v>46142.609027777777</v>
      </c>
      <c r="P1682" s="26" t="s">
        <v>137</v>
      </c>
    </row>
    <row r="1683" spans="1:16" x14ac:dyDescent="0.25">
      <c r="A1683" s="20" t="s">
        <v>5211</v>
      </c>
      <c r="B1683" s="21">
        <v>636</v>
      </c>
      <c r="C1683" s="22" t="s">
        <v>323</v>
      </c>
      <c r="D1683" s="22" t="s">
        <v>1566</v>
      </c>
      <c r="E1683" s="22" t="str">
        <f>CONCATENATE(B1683,D1683)</f>
        <v>63679443-115</v>
      </c>
      <c r="F1683" s="22" t="s">
        <v>1567</v>
      </c>
      <c r="G1683" s="22" t="s">
        <v>19</v>
      </c>
      <c r="H1683" s="23">
        <v>241.18469999999999</v>
      </c>
      <c r="I1683" s="24">
        <v>1</v>
      </c>
      <c r="J1683" s="24">
        <v>0</v>
      </c>
      <c r="K1683" s="24">
        <v>0</v>
      </c>
      <c r="L1683" s="41">
        <f>Table2[[#This Row],[Column1]]+Table2[[#This Row],[Column2]]</f>
        <v>0</v>
      </c>
      <c r="M1683" s="42">
        <f>Table2[[#This Row],[OnHandQty]]-Table2[[#This Row],[Projection Nov/Dec]]</f>
        <v>1</v>
      </c>
      <c r="N1683" s="35">
        <f>Table2[[#This Row],[OverStock]]*Table2[[#This Row],[RepCost]]</f>
        <v>241.18469999999999</v>
      </c>
      <c r="O1683" s="25">
        <v>46140.29583333333</v>
      </c>
      <c r="P1683" s="26" t="s">
        <v>501</v>
      </c>
    </row>
    <row r="1684" spans="1:16" x14ac:dyDescent="0.25">
      <c r="A1684" s="20" t="s">
        <v>5211</v>
      </c>
      <c r="B1684" s="21">
        <v>714</v>
      </c>
      <c r="C1684" s="22" t="s">
        <v>323</v>
      </c>
      <c r="D1684" s="22" t="s">
        <v>3105</v>
      </c>
      <c r="E1684" s="22" t="str">
        <f>CONCATENATE(B1684,D1684)</f>
        <v>71483424-STK103</v>
      </c>
      <c r="F1684" s="22" t="s">
        <v>3106</v>
      </c>
      <c r="G1684" s="22" t="s">
        <v>29</v>
      </c>
      <c r="H1684" s="23">
        <v>68.260199999999998</v>
      </c>
      <c r="I1684" s="24">
        <v>2</v>
      </c>
      <c r="J1684" s="24">
        <v>0</v>
      </c>
      <c r="K1684" s="24">
        <v>0</v>
      </c>
      <c r="L1684" s="41">
        <f>Table2[[#This Row],[Column1]]+Table2[[#This Row],[Column2]]</f>
        <v>0</v>
      </c>
      <c r="M1684" s="42">
        <f>Table2[[#This Row],[OnHandQty]]-Table2[[#This Row],[Projection Nov/Dec]]</f>
        <v>2</v>
      </c>
      <c r="N1684" s="35">
        <f>Table2[[#This Row],[OverStock]]*Table2[[#This Row],[RepCost]]</f>
        <v>136.5204</v>
      </c>
      <c r="O1684" s="25">
        <v>46111.46597222222</v>
      </c>
      <c r="P1684" s="26" t="s">
        <v>2358</v>
      </c>
    </row>
    <row r="1685" spans="1:16" x14ac:dyDescent="0.25">
      <c r="A1685" s="20" t="s">
        <v>5211</v>
      </c>
      <c r="B1685" s="21">
        <v>636</v>
      </c>
      <c r="C1685" s="22" t="s">
        <v>143</v>
      </c>
      <c r="D1685" s="22" t="s">
        <v>910</v>
      </c>
      <c r="E1685" s="22" t="str">
        <f>CONCATENATE(B1685,D1685)</f>
        <v>63678578-103</v>
      </c>
      <c r="F1685" s="22" t="s">
        <v>911</v>
      </c>
      <c r="G1685" s="22" t="s">
        <v>29</v>
      </c>
      <c r="H1685" s="23">
        <v>64.883899999999997</v>
      </c>
      <c r="I1685" s="24">
        <v>4</v>
      </c>
      <c r="J1685" s="24">
        <v>0</v>
      </c>
      <c r="K1685" s="24">
        <v>0</v>
      </c>
      <c r="L1685" s="41">
        <f>Table2[[#This Row],[Column1]]+Table2[[#This Row],[Column2]]</f>
        <v>0</v>
      </c>
      <c r="M1685" s="42">
        <f>Table2[[#This Row],[OnHandQty]]-Table2[[#This Row],[Projection Nov/Dec]]</f>
        <v>4</v>
      </c>
      <c r="N1685" s="35">
        <f>Table2[[#This Row],[OverStock]]*Table2[[#This Row],[RepCost]]</f>
        <v>259.53559999999999</v>
      </c>
      <c r="O1685" s="25">
        <v>46140.29583333333</v>
      </c>
      <c r="P1685" s="26" t="s">
        <v>501</v>
      </c>
    </row>
    <row r="1686" spans="1:16" x14ac:dyDescent="0.25">
      <c r="A1686" s="20" t="s">
        <v>5211</v>
      </c>
      <c r="B1686" s="21">
        <v>714</v>
      </c>
      <c r="C1686" s="22" t="s">
        <v>143</v>
      </c>
      <c r="D1686" s="22" t="s">
        <v>2258</v>
      </c>
      <c r="E1686" s="22" t="str">
        <f>CONCATENATE(B1686,D1686)</f>
        <v>71478578-105</v>
      </c>
      <c r="F1686" s="22" t="s">
        <v>2259</v>
      </c>
      <c r="G1686" s="22" t="s">
        <v>23</v>
      </c>
      <c r="H1686" s="23">
        <v>70.371200000000002</v>
      </c>
      <c r="I1686" s="24">
        <v>8</v>
      </c>
      <c r="J1686" s="24">
        <v>0</v>
      </c>
      <c r="K1686" s="24">
        <v>0</v>
      </c>
      <c r="L1686" s="41">
        <f>Table2[[#This Row],[Column1]]+Table2[[#This Row],[Column2]]</f>
        <v>0</v>
      </c>
      <c r="M1686" s="42">
        <f>Table2[[#This Row],[OnHandQty]]-Table2[[#This Row],[Projection Nov/Dec]]</f>
        <v>8</v>
      </c>
      <c r="N1686" s="35">
        <f>Table2[[#This Row],[OverStock]]*Table2[[#This Row],[RepCost]]</f>
        <v>562.96960000000001</v>
      </c>
      <c r="O1686" s="25">
        <v>46112.315972222219</v>
      </c>
      <c r="P1686" s="26" t="s">
        <v>36</v>
      </c>
    </row>
    <row r="1687" spans="1:16" x14ac:dyDescent="0.25">
      <c r="A1687" s="20" t="s">
        <v>5211</v>
      </c>
      <c r="B1687" s="21">
        <v>714</v>
      </c>
      <c r="C1687" s="22" t="s">
        <v>323</v>
      </c>
      <c r="D1687" s="22" t="s">
        <v>453</v>
      </c>
      <c r="E1687" s="22" t="str">
        <f>CONCATENATE(B1687,D1687)</f>
        <v>71470765-310</v>
      </c>
      <c r="F1687" s="22" t="s">
        <v>454</v>
      </c>
      <c r="G1687" s="22" t="s">
        <v>23</v>
      </c>
      <c r="H1687" s="23">
        <v>231.2439</v>
      </c>
      <c r="I1687" s="24">
        <v>8</v>
      </c>
      <c r="J1687" s="24">
        <v>0</v>
      </c>
      <c r="K1687" s="24">
        <v>0</v>
      </c>
      <c r="L1687" s="41">
        <f>Table2[[#This Row],[Column1]]+Table2[[#This Row],[Column2]]</f>
        <v>0</v>
      </c>
      <c r="M1687" s="42">
        <f>Table2[[#This Row],[OnHandQty]]-Table2[[#This Row],[Projection Nov/Dec]]</f>
        <v>8</v>
      </c>
      <c r="N1687" s="35">
        <f>Table2[[#This Row],[OverStock]]*Table2[[#This Row],[RepCost]]</f>
        <v>1849.9512</v>
      </c>
      <c r="O1687" s="25">
        <v>46112.363194444442</v>
      </c>
      <c r="P1687" s="26" t="s">
        <v>1500</v>
      </c>
    </row>
    <row r="1688" spans="1:16" x14ac:dyDescent="0.25">
      <c r="A1688" s="20" t="s">
        <v>5211</v>
      </c>
      <c r="B1688" s="21">
        <v>634</v>
      </c>
      <c r="C1688" s="22" t="s">
        <v>323</v>
      </c>
      <c r="D1688" s="22" t="s">
        <v>453</v>
      </c>
      <c r="E1688" s="22" t="str">
        <f>CONCATENATE(B1688,D1688)</f>
        <v>63470765-310</v>
      </c>
      <c r="F1688" s="22" t="s">
        <v>454</v>
      </c>
      <c r="G1688" s="22" t="s">
        <v>455</v>
      </c>
      <c r="H1688" s="23">
        <v>331.53379999999999</v>
      </c>
      <c r="I1688" s="24">
        <v>4</v>
      </c>
      <c r="J1688" s="24">
        <v>0</v>
      </c>
      <c r="K1688" s="24">
        <v>0</v>
      </c>
      <c r="L1688" s="41">
        <f>Table2[[#This Row],[Column1]]+Table2[[#This Row],[Column2]]</f>
        <v>0</v>
      </c>
      <c r="M1688" s="42">
        <f>Table2[[#This Row],[OnHandQty]]-Table2[[#This Row],[Projection Nov/Dec]]</f>
        <v>4</v>
      </c>
      <c r="N1688" s="35">
        <f>Table2[[#This Row],[OverStock]]*Table2[[#This Row],[RepCost]]</f>
        <v>1326.1351999999999</v>
      </c>
      <c r="O1688" s="25">
        <v>46132.624305555553</v>
      </c>
      <c r="P1688" s="26" t="s">
        <v>357</v>
      </c>
    </row>
    <row r="1689" spans="1:16" x14ac:dyDescent="0.25">
      <c r="A1689" s="20" t="s">
        <v>5211</v>
      </c>
      <c r="B1689" s="21">
        <v>636</v>
      </c>
      <c r="C1689" s="22" t="s">
        <v>323</v>
      </c>
      <c r="D1689" s="22" t="s">
        <v>453</v>
      </c>
      <c r="E1689" s="22" t="str">
        <f>CONCATENATE(B1689,D1689)</f>
        <v>63670765-310</v>
      </c>
      <c r="F1689" s="22" t="s">
        <v>454</v>
      </c>
      <c r="G1689" s="22" t="s">
        <v>29</v>
      </c>
      <c r="H1689" s="23">
        <v>232.32149999999999</v>
      </c>
      <c r="I1689" s="24">
        <v>6</v>
      </c>
      <c r="J1689" s="24">
        <v>0</v>
      </c>
      <c r="K1689" s="24">
        <v>0</v>
      </c>
      <c r="L1689" s="41">
        <f>Table2[[#This Row],[Column1]]+Table2[[#This Row],[Column2]]</f>
        <v>0</v>
      </c>
      <c r="M1689" s="42">
        <f>Table2[[#This Row],[OnHandQty]]-Table2[[#This Row],[Projection Nov/Dec]]</f>
        <v>6</v>
      </c>
      <c r="N1689" s="35">
        <f>Table2[[#This Row],[OverStock]]*Table2[[#This Row],[RepCost]]</f>
        <v>1393.9289999999999</v>
      </c>
      <c r="O1689" s="25">
        <v>46136.538194444445</v>
      </c>
      <c r="P1689" s="26" t="s">
        <v>1500</v>
      </c>
    </row>
    <row r="1690" spans="1:16" x14ac:dyDescent="0.25">
      <c r="A1690" s="20" t="s">
        <v>5211</v>
      </c>
      <c r="B1690" s="21">
        <v>718</v>
      </c>
      <c r="C1690" s="22" t="s">
        <v>323</v>
      </c>
      <c r="D1690" s="22" t="s">
        <v>453</v>
      </c>
      <c r="E1690" s="22" t="str">
        <f>CONCATENATE(B1690,D1690)</f>
        <v>71870765-310</v>
      </c>
      <c r="F1690" s="22" t="s">
        <v>454</v>
      </c>
      <c r="G1690" s="22" t="s">
        <v>19</v>
      </c>
      <c r="H1690" s="23">
        <v>229.86060000000001</v>
      </c>
      <c r="I1690" s="24">
        <v>4</v>
      </c>
      <c r="J1690" s="24">
        <v>0</v>
      </c>
      <c r="K1690" s="24">
        <v>0</v>
      </c>
      <c r="L1690" s="41">
        <f>Table2[[#This Row],[Column1]]+Table2[[#This Row],[Column2]]</f>
        <v>0</v>
      </c>
      <c r="M1690" s="42">
        <f>Table2[[#This Row],[OnHandQty]]-Table2[[#This Row],[Projection Nov/Dec]]</f>
        <v>4</v>
      </c>
      <c r="N1690" s="35">
        <f>Table2[[#This Row],[OverStock]]*Table2[[#This Row],[RepCost]]</f>
        <v>919.44240000000002</v>
      </c>
      <c r="O1690" s="25">
        <v>46141.397916666669</v>
      </c>
      <c r="P1690" s="26" t="s">
        <v>1500</v>
      </c>
    </row>
    <row r="1691" spans="1:16" x14ac:dyDescent="0.25">
      <c r="A1691" s="20" t="s">
        <v>5211</v>
      </c>
      <c r="B1691" s="21">
        <v>636</v>
      </c>
      <c r="C1691" s="22" t="s">
        <v>323</v>
      </c>
      <c r="D1691" s="22" t="s">
        <v>1466</v>
      </c>
      <c r="E1691" s="22" t="str">
        <f>CONCATENATE(B1691,D1691)</f>
        <v>63684924-115</v>
      </c>
      <c r="F1691" s="22" t="s">
        <v>1467</v>
      </c>
      <c r="G1691" s="22" t="s">
        <v>29</v>
      </c>
      <c r="H1691" s="23">
        <v>268.71129999999999</v>
      </c>
      <c r="I1691" s="24">
        <v>1</v>
      </c>
      <c r="J1691" s="24">
        <v>0</v>
      </c>
      <c r="K1691" s="24">
        <v>0</v>
      </c>
      <c r="L1691" s="41">
        <f>Table2[[#This Row],[Column1]]+Table2[[#This Row],[Column2]]</f>
        <v>0</v>
      </c>
      <c r="M1691" s="42">
        <f>Table2[[#This Row],[OnHandQty]]-Table2[[#This Row],[Projection Nov/Dec]]</f>
        <v>1</v>
      </c>
      <c r="N1691" s="35">
        <f>Table2[[#This Row],[OverStock]]*Table2[[#This Row],[RepCost]]</f>
        <v>268.71129999999999</v>
      </c>
      <c r="O1691" s="25">
        <v>46140.29583333333</v>
      </c>
      <c r="P1691" s="26" t="s">
        <v>501</v>
      </c>
    </row>
    <row r="1692" spans="1:16" x14ac:dyDescent="0.25">
      <c r="A1692" s="20" t="s">
        <v>5211</v>
      </c>
      <c r="B1692" s="21">
        <v>636</v>
      </c>
      <c r="C1692" s="22" t="s">
        <v>323</v>
      </c>
      <c r="D1692" s="22" t="s">
        <v>1267</v>
      </c>
      <c r="E1692" s="22" t="str">
        <f>CONCATENATE(B1692,D1692)</f>
        <v>63684924-106</v>
      </c>
      <c r="F1692" s="22" t="s">
        <v>1268</v>
      </c>
      <c r="G1692" s="22" t="s">
        <v>29</v>
      </c>
      <c r="H1692" s="23">
        <v>132.3895</v>
      </c>
      <c r="I1692" s="24">
        <v>4</v>
      </c>
      <c r="J1692" s="24">
        <v>0</v>
      </c>
      <c r="K1692" s="24">
        <v>0</v>
      </c>
      <c r="L1692" s="41">
        <f>Table2[[#This Row],[Column1]]+Table2[[#This Row],[Column2]]</f>
        <v>0</v>
      </c>
      <c r="M1692" s="42">
        <f>Table2[[#This Row],[OnHandQty]]-Table2[[#This Row],[Projection Nov/Dec]]</f>
        <v>4</v>
      </c>
      <c r="N1692" s="35">
        <f>Table2[[#This Row],[OverStock]]*Table2[[#This Row],[RepCost]]</f>
        <v>529.55799999999999</v>
      </c>
      <c r="O1692" s="25">
        <v>46140.29583333333</v>
      </c>
      <c r="P1692" s="26" t="s">
        <v>501</v>
      </c>
    </row>
    <row r="1693" spans="1:16" x14ac:dyDescent="0.25">
      <c r="A1693" s="20" t="s">
        <v>5211</v>
      </c>
      <c r="B1693" s="21">
        <v>714</v>
      </c>
      <c r="C1693" s="22" t="s">
        <v>323</v>
      </c>
      <c r="D1693" s="22" t="s">
        <v>3087</v>
      </c>
      <c r="E1693" s="22" t="str">
        <f>CONCATENATE(B1693,D1693)</f>
        <v>71470760-248</v>
      </c>
      <c r="F1693" s="22" t="s">
        <v>3088</v>
      </c>
      <c r="G1693" s="22" t="s">
        <v>29</v>
      </c>
      <c r="H1693" s="23">
        <v>85.047700000000006</v>
      </c>
      <c r="I1693" s="24">
        <v>2</v>
      </c>
      <c r="J1693" s="24">
        <v>0</v>
      </c>
      <c r="K1693" s="24">
        <v>0</v>
      </c>
      <c r="L1693" s="41">
        <f>Table2[[#This Row],[Column1]]+Table2[[#This Row],[Column2]]</f>
        <v>0</v>
      </c>
      <c r="M1693" s="42">
        <f>Table2[[#This Row],[OnHandQty]]-Table2[[#This Row],[Projection Nov/Dec]]</f>
        <v>2</v>
      </c>
      <c r="N1693" s="35">
        <f>Table2[[#This Row],[OverStock]]*Table2[[#This Row],[RepCost]]</f>
        <v>170.09540000000001</v>
      </c>
      <c r="O1693" s="25">
        <v>45776.32708333333</v>
      </c>
      <c r="P1693" s="26" t="s">
        <v>2898</v>
      </c>
    </row>
    <row r="1694" spans="1:16" x14ac:dyDescent="0.25">
      <c r="A1694" s="20" t="s">
        <v>5211</v>
      </c>
      <c r="B1694" s="21">
        <v>636</v>
      </c>
      <c r="C1694" s="22" t="s">
        <v>323</v>
      </c>
      <c r="D1694" s="22" t="s">
        <v>1630</v>
      </c>
      <c r="E1694" s="22" t="str">
        <f>CONCATENATE(B1694,D1694)</f>
        <v>63670760-308</v>
      </c>
      <c r="F1694" s="22" t="s">
        <v>1631</v>
      </c>
      <c r="G1694" s="22" t="s">
        <v>29</v>
      </c>
      <c r="H1694" s="23">
        <v>336.32650000000001</v>
      </c>
      <c r="I1694" s="24">
        <v>2</v>
      </c>
      <c r="J1694" s="24">
        <v>0</v>
      </c>
      <c r="K1694" s="24">
        <v>0</v>
      </c>
      <c r="L1694" s="41">
        <f>Table2[[#This Row],[Column1]]+Table2[[#This Row],[Column2]]</f>
        <v>0</v>
      </c>
      <c r="M1694" s="42">
        <f>Table2[[#This Row],[OnHandQty]]-Table2[[#This Row],[Projection Nov/Dec]]</f>
        <v>2</v>
      </c>
      <c r="N1694" s="35">
        <f>Table2[[#This Row],[OverStock]]*Table2[[#This Row],[RepCost]]</f>
        <v>672.65300000000002</v>
      </c>
      <c r="O1694" s="25">
        <v>46169.423611111109</v>
      </c>
      <c r="P1694" s="26" t="s">
        <v>890</v>
      </c>
    </row>
    <row r="1695" spans="1:16" x14ac:dyDescent="0.25">
      <c r="A1695" s="20" t="s">
        <v>5211</v>
      </c>
      <c r="B1695" s="21">
        <v>714</v>
      </c>
      <c r="C1695" s="22" t="s">
        <v>323</v>
      </c>
      <c r="D1695" s="22" t="s">
        <v>3057</v>
      </c>
      <c r="E1695" s="22" t="str">
        <f>CONCATENATE(B1695,D1695)</f>
        <v>71470773-PM115-48IN</v>
      </c>
      <c r="F1695" s="22" t="s">
        <v>3058</v>
      </c>
      <c r="G1695" s="22" t="s">
        <v>29</v>
      </c>
      <c r="H1695" s="23">
        <v>263.4144</v>
      </c>
      <c r="I1695" s="24">
        <v>2</v>
      </c>
      <c r="J1695" s="24">
        <v>0</v>
      </c>
      <c r="K1695" s="24">
        <v>0</v>
      </c>
      <c r="L1695" s="41">
        <f>Table2[[#This Row],[Column1]]+Table2[[#This Row],[Column2]]</f>
        <v>0</v>
      </c>
      <c r="M1695" s="42">
        <f>Table2[[#This Row],[OnHandQty]]-Table2[[#This Row],[Projection Nov/Dec]]</f>
        <v>2</v>
      </c>
      <c r="N1695" s="35">
        <f>Table2[[#This Row],[OverStock]]*Table2[[#This Row],[RepCost]]</f>
        <v>526.8288</v>
      </c>
      <c r="O1695" s="25">
        <v>46119.573611111111</v>
      </c>
      <c r="P1695" s="26" t="s">
        <v>137</v>
      </c>
    </row>
    <row r="1696" spans="1:16" x14ac:dyDescent="0.25">
      <c r="A1696" s="20" t="s">
        <v>5211</v>
      </c>
      <c r="B1696" s="21">
        <v>636</v>
      </c>
      <c r="C1696" s="22" t="s">
        <v>323</v>
      </c>
      <c r="D1696" s="22" t="s">
        <v>1290</v>
      </c>
      <c r="E1696" s="22" t="str">
        <f>CONCATENATE(B1696,D1696)</f>
        <v>63670773-TP125</v>
      </c>
      <c r="F1696" s="22" t="s">
        <v>1291</v>
      </c>
      <c r="G1696" s="22" t="s">
        <v>29</v>
      </c>
      <c r="H1696" s="23">
        <v>237.3169</v>
      </c>
      <c r="I1696" s="24">
        <v>2</v>
      </c>
      <c r="J1696" s="24">
        <v>0</v>
      </c>
      <c r="K1696" s="24">
        <v>0</v>
      </c>
      <c r="L1696" s="41">
        <f>Table2[[#This Row],[Column1]]+Table2[[#This Row],[Column2]]</f>
        <v>0</v>
      </c>
      <c r="M1696" s="42">
        <f>Table2[[#This Row],[OnHandQty]]-Table2[[#This Row],[Projection Nov/Dec]]</f>
        <v>2</v>
      </c>
      <c r="N1696" s="35">
        <f>Table2[[#This Row],[OverStock]]*Table2[[#This Row],[RepCost]]</f>
        <v>474.63380000000001</v>
      </c>
      <c r="O1696" s="25">
        <v>46140.540972222225</v>
      </c>
      <c r="P1696" s="26" t="s">
        <v>885</v>
      </c>
    </row>
    <row r="1697" spans="1:16" x14ac:dyDescent="0.25">
      <c r="A1697" s="20" t="s">
        <v>5211</v>
      </c>
      <c r="B1697" s="21">
        <v>714</v>
      </c>
      <c r="C1697" s="22" t="s">
        <v>323</v>
      </c>
      <c r="D1697" s="22" t="s">
        <v>3351</v>
      </c>
      <c r="E1697" s="22" t="str">
        <f>CONCATENATE(B1697,D1697)</f>
        <v>71470779-307</v>
      </c>
      <c r="F1697" s="22" t="s">
        <v>3352</v>
      </c>
      <c r="G1697" s="22" t="s">
        <v>158</v>
      </c>
      <c r="H1697" s="23">
        <v>207.79249999999999</v>
      </c>
      <c r="I1697" s="24">
        <v>2</v>
      </c>
      <c r="J1697" s="24">
        <v>0</v>
      </c>
      <c r="K1697" s="24">
        <v>0</v>
      </c>
      <c r="L1697" s="41">
        <f>Table2[[#This Row],[Column1]]+Table2[[#This Row],[Column2]]</f>
        <v>0</v>
      </c>
      <c r="M1697" s="42">
        <f>Table2[[#This Row],[OnHandQty]]-Table2[[#This Row],[Projection Nov/Dec]]</f>
        <v>2</v>
      </c>
      <c r="N1697" s="35">
        <f>Table2[[#This Row],[OverStock]]*Table2[[#This Row],[RepCost]]</f>
        <v>415.58499999999998</v>
      </c>
      <c r="O1697" s="25">
        <v>46137.425000000003</v>
      </c>
      <c r="P1697" s="26" t="s">
        <v>903</v>
      </c>
    </row>
    <row r="1698" spans="1:16" x14ac:dyDescent="0.25">
      <c r="A1698" s="20" t="s">
        <v>5211</v>
      </c>
      <c r="B1698" s="21">
        <v>636</v>
      </c>
      <c r="C1698" s="22" t="s">
        <v>323</v>
      </c>
      <c r="D1698" s="22" t="s">
        <v>1351</v>
      </c>
      <c r="E1698" s="22" t="str">
        <f>CONCATENATE(B1698,D1698)</f>
        <v>63670779-308</v>
      </c>
      <c r="F1698" s="22" t="s">
        <v>1352</v>
      </c>
      <c r="G1698" s="22" t="s">
        <v>29</v>
      </c>
      <c r="H1698" s="23">
        <v>293.5444</v>
      </c>
      <c r="I1698" s="24">
        <v>2</v>
      </c>
      <c r="J1698" s="24">
        <v>0</v>
      </c>
      <c r="K1698" s="24">
        <v>0</v>
      </c>
      <c r="L1698" s="41">
        <f>Table2[[#This Row],[Column1]]+Table2[[#This Row],[Column2]]</f>
        <v>0</v>
      </c>
      <c r="M1698" s="42">
        <f>Table2[[#This Row],[OnHandQty]]-Table2[[#This Row],[Projection Nov/Dec]]</f>
        <v>2</v>
      </c>
      <c r="N1698" s="35">
        <f>Table2[[#This Row],[OverStock]]*Table2[[#This Row],[RepCost]]</f>
        <v>587.08879999999999</v>
      </c>
      <c r="O1698" s="25">
        <v>46113.468055555553</v>
      </c>
      <c r="P1698" s="26" t="s">
        <v>486</v>
      </c>
    </row>
    <row r="1699" spans="1:16" x14ac:dyDescent="0.25">
      <c r="A1699" s="20" t="s">
        <v>5211</v>
      </c>
      <c r="B1699" s="21">
        <v>636</v>
      </c>
      <c r="C1699" s="22" t="s">
        <v>323</v>
      </c>
      <c r="D1699" s="22" t="s">
        <v>1415</v>
      </c>
      <c r="E1699" s="22" t="str">
        <f>CONCATENATE(B1699,D1699)</f>
        <v>63670778-106</v>
      </c>
      <c r="F1699" s="22" t="s">
        <v>1416</v>
      </c>
      <c r="G1699" s="22" t="s">
        <v>19</v>
      </c>
      <c r="H1699" s="23">
        <v>132.3895</v>
      </c>
      <c r="I1699" s="24">
        <v>2</v>
      </c>
      <c r="J1699" s="24">
        <v>0</v>
      </c>
      <c r="K1699" s="24">
        <v>0</v>
      </c>
      <c r="L1699" s="41">
        <f>Table2[[#This Row],[Column1]]+Table2[[#This Row],[Column2]]</f>
        <v>0</v>
      </c>
      <c r="M1699" s="42">
        <f>Table2[[#This Row],[OnHandQty]]-Table2[[#This Row],[Projection Nov/Dec]]</f>
        <v>2</v>
      </c>
      <c r="N1699" s="35">
        <f>Table2[[#This Row],[OverStock]]*Table2[[#This Row],[RepCost]]</f>
        <v>264.779</v>
      </c>
      <c r="O1699" s="25">
        <v>46140.29583333333</v>
      </c>
      <c r="P1699" s="26" t="s">
        <v>501</v>
      </c>
    </row>
    <row r="1700" spans="1:16" x14ac:dyDescent="0.25">
      <c r="A1700" s="20" t="s">
        <v>5211</v>
      </c>
      <c r="B1700" s="21">
        <v>714</v>
      </c>
      <c r="C1700" s="22" t="s">
        <v>143</v>
      </c>
      <c r="D1700" s="22" t="s">
        <v>2730</v>
      </c>
      <c r="E1700" s="22" t="str">
        <f>CONCATENATE(B1700,D1700)</f>
        <v>71484406-105</v>
      </c>
      <c r="F1700" s="22" t="s">
        <v>2731</v>
      </c>
      <c r="G1700" s="22" t="s">
        <v>29</v>
      </c>
      <c r="H1700" s="23">
        <v>40.1629</v>
      </c>
      <c r="I1700" s="24">
        <v>9</v>
      </c>
      <c r="J1700" s="24">
        <v>0</v>
      </c>
      <c r="K1700" s="24">
        <v>0</v>
      </c>
      <c r="L1700" s="41">
        <f>Table2[[#This Row],[Column1]]+Table2[[#This Row],[Column2]]</f>
        <v>0</v>
      </c>
      <c r="M1700" s="42">
        <f>Table2[[#This Row],[OnHandQty]]-Table2[[#This Row],[Projection Nov/Dec]]</f>
        <v>9</v>
      </c>
      <c r="N1700" s="35">
        <f>Table2[[#This Row],[OverStock]]*Table2[[#This Row],[RepCost]]</f>
        <v>361.46609999999998</v>
      </c>
      <c r="O1700" s="25">
        <v>46143.318749999999</v>
      </c>
      <c r="P1700" s="26" t="s">
        <v>36</v>
      </c>
    </row>
    <row r="1701" spans="1:16" x14ac:dyDescent="0.25">
      <c r="A1701" s="20" t="s">
        <v>5211</v>
      </c>
      <c r="B1701" s="21">
        <v>636</v>
      </c>
      <c r="C1701" s="22" t="s">
        <v>143</v>
      </c>
      <c r="D1701" s="22" t="s">
        <v>1041</v>
      </c>
      <c r="E1701" s="22" t="str">
        <f>CONCATENATE(B1701,D1701)</f>
        <v>63670891-102</v>
      </c>
      <c r="F1701" s="22" t="s">
        <v>1042</v>
      </c>
      <c r="G1701" s="22" t="s">
        <v>39</v>
      </c>
      <c r="H1701" s="23">
        <v>11.224399999999999</v>
      </c>
      <c r="I1701" s="24">
        <v>9</v>
      </c>
      <c r="J1701" s="24">
        <v>0</v>
      </c>
      <c r="K1701" s="24">
        <v>0</v>
      </c>
      <c r="L1701" s="41">
        <f>Table2[[#This Row],[Column1]]+Table2[[#This Row],[Column2]]</f>
        <v>0</v>
      </c>
      <c r="M1701" s="42">
        <f>Table2[[#This Row],[OnHandQty]]-Table2[[#This Row],[Projection Nov/Dec]]</f>
        <v>9</v>
      </c>
      <c r="N1701" s="35">
        <f>Table2[[#This Row],[OverStock]]*Table2[[#This Row],[RepCost]]</f>
        <v>101.0196</v>
      </c>
      <c r="O1701" s="25">
        <v>46135.595833333333</v>
      </c>
      <c r="P1701" s="26" t="s">
        <v>599</v>
      </c>
    </row>
    <row r="1702" spans="1:16" x14ac:dyDescent="0.25">
      <c r="A1702" s="20" t="s">
        <v>5211</v>
      </c>
      <c r="B1702" s="21">
        <v>636</v>
      </c>
      <c r="C1702" s="22" t="s">
        <v>143</v>
      </c>
      <c r="D1702" s="22" t="s">
        <v>1007</v>
      </c>
      <c r="E1702" s="22" t="str">
        <f>CONCATENATE(B1702,D1702)</f>
        <v>63670890-105</v>
      </c>
      <c r="F1702" s="22" t="s">
        <v>1008</v>
      </c>
      <c r="G1702" s="22" t="s">
        <v>43</v>
      </c>
      <c r="H1702" s="23">
        <v>34.739400000000003</v>
      </c>
      <c r="I1702" s="24">
        <v>6</v>
      </c>
      <c r="J1702" s="24">
        <v>0</v>
      </c>
      <c r="K1702" s="24">
        <v>0</v>
      </c>
      <c r="L1702" s="41">
        <f>Table2[[#This Row],[Column1]]+Table2[[#This Row],[Column2]]</f>
        <v>0</v>
      </c>
      <c r="M1702" s="42">
        <f>Table2[[#This Row],[OnHandQty]]-Table2[[#This Row],[Projection Nov/Dec]]</f>
        <v>6</v>
      </c>
      <c r="N1702" s="35">
        <f>Table2[[#This Row],[OverStock]]*Table2[[#This Row],[RepCost]]</f>
        <v>208.43640000000002</v>
      </c>
      <c r="O1702" s="25">
        <v>46146.459722222222</v>
      </c>
      <c r="P1702" s="26" t="s">
        <v>67</v>
      </c>
    </row>
    <row r="1703" spans="1:16" x14ac:dyDescent="0.25">
      <c r="A1703" s="20" t="s">
        <v>5211</v>
      </c>
      <c r="B1703" s="21">
        <v>636</v>
      </c>
      <c r="C1703" s="22" t="s">
        <v>143</v>
      </c>
      <c r="D1703" s="22" t="s">
        <v>1198</v>
      </c>
      <c r="E1703" s="22" t="str">
        <f>CONCATENATE(B1703,D1703)</f>
        <v>63670890-STK105</v>
      </c>
      <c r="F1703" s="22" t="s">
        <v>1199</v>
      </c>
      <c r="G1703" s="22" t="s">
        <v>39</v>
      </c>
      <c r="H1703" s="23">
        <v>52.647500000000001</v>
      </c>
      <c r="I1703" s="24">
        <v>4</v>
      </c>
      <c r="J1703" s="24">
        <v>0</v>
      </c>
      <c r="K1703" s="24">
        <v>0</v>
      </c>
      <c r="L1703" s="41">
        <f>Table2[[#This Row],[Column1]]+Table2[[#This Row],[Column2]]</f>
        <v>0</v>
      </c>
      <c r="M1703" s="42">
        <f>Table2[[#This Row],[OnHandQty]]-Table2[[#This Row],[Projection Nov/Dec]]</f>
        <v>4</v>
      </c>
      <c r="N1703" s="35">
        <f>Table2[[#This Row],[OverStock]]*Table2[[#This Row],[RepCost]]</f>
        <v>210.59</v>
      </c>
      <c r="O1703" s="25">
        <v>46146.459722222222</v>
      </c>
      <c r="P1703" s="26" t="s">
        <v>67</v>
      </c>
    </row>
    <row r="1704" spans="1:16" x14ac:dyDescent="0.25">
      <c r="A1704" s="20" t="s">
        <v>5211</v>
      </c>
      <c r="B1704" s="21">
        <v>636</v>
      </c>
      <c r="C1704" s="22" t="s">
        <v>143</v>
      </c>
      <c r="D1704" s="22" t="s">
        <v>1198</v>
      </c>
      <c r="E1704" s="22" t="str">
        <f>CONCATENATE(B1704,D1704)</f>
        <v>63670890-STK105</v>
      </c>
      <c r="F1704" s="22" t="s">
        <v>1199</v>
      </c>
      <c r="G1704" s="22" t="s">
        <v>39</v>
      </c>
      <c r="H1704" s="23">
        <v>52.647500000000001</v>
      </c>
      <c r="I1704" s="24">
        <v>4</v>
      </c>
      <c r="J1704" s="24">
        <v>0</v>
      </c>
      <c r="K1704" s="24">
        <v>0</v>
      </c>
      <c r="L1704" s="41">
        <f>Table2[[#This Row],[Column1]]+Table2[[#This Row],[Column2]]</f>
        <v>0</v>
      </c>
      <c r="M1704" s="42">
        <f>Table2[[#This Row],[OnHandQty]]-Table2[[#This Row],[Projection Nov/Dec]]</f>
        <v>4</v>
      </c>
      <c r="N1704" s="35">
        <f>Table2[[#This Row],[OverStock]]*Table2[[#This Row],[RepCost]]</f>
        <v>210.59</v>
      </c>
      <c r="O1704" s="25">
        <v>46146.459722222222</v>
      </c>
      <c r="P1704" s="26" t="s">
        <v>67</v>
      </c>
    </row>
    <row r="1705" spans="1:16" x14ac:dyDescent="0.25">
      <c r="A1705" s="20" t="s">
        <v>5211</v>
      </c>
      <c r="B1705" s="21">
        <v>714</v>
      </c>
      <c r="C1705" s="22" t="s">
        <v>143</v>
      </c>
      <c r="D1705" s="22" t="s">
        <v>1198</v>
      </c>
      <c r="E1705" s="22" t="str">
        <f>CONCATENATE(B1705,D1705)</f>
        <v>71470890-STK105</v>
      </c>
      <c r="F1705" s="22" t="s">
        <v>1199</v>
      </c>
      <c r="G1705" s="22" t="s">
        <v>29</v>
      </c>
      <c r="H1705" s="23">
        <v>48.232500000000002</v>
      </c>
      <c r="I1705" s="24">
        <v>4</v>
      </c>
      <c r="J1705" s="24">
        <v>0</v>
      </c>
      <c r="K1705" s="24">
        <v>0</v>
      </c>
      <c r="L1705" s="41">
        <f>Table2[[#This Row],[Column1]]+Table2[[#This Row],[Column2]]</f>
        <v>0</v>
      </c>
      <c r="M1705" s="42">
        <f>Table2[[#This Row],[OnHandQty]]-Table2[[#This Row],[Projection Nov/Dec]]</f>
        <v>4</v>
      </c>
      <c r="N1705" s="35">
        <f>Table2[[#This Row],[OverStock]]*Table2[[#This Row],[RepCost]]</f>
        <v>192.93</v>
      </c>
      <c r="O1705" s="25">
        <v>46157.474999999999</v>
      </c>
      <c r="P1705" s="26" t="s">
        <v>67</v>
      </c>
    </row>
    <row r="1706" spans="1:16" x14ac:dyDescent="0.25">
      <c r="A1706" s="20" t="s">
        <v>5211</v>
      </c>
      <c r="B1706" s="21">
        <v>636</v>
      </c>
      <c r="C1706" s="22" t="s">
        <v>143</v>
      </c>
      <c r="D1706" s="22" t="s">
        <v>922</v>
      </c>
      <c r="E1706" s="22" t="str">
        <f>CONCATENATE(B1706,D1706)</f>
        <v>63670890-PF4</v>
      </c>
      <c r="F1706" s="22" t="s">
        <v>923</v>
      </c>
      <c r="G1706" s="22" t="s">
        <v>39</v>
      </c>
      <c r="H1706" s="23">
        <v>12.1243</v>
      </c>
      <c r="I1706" s="24">
        <v>1</v>
      </c>
      <c r="J1706" s="24">
        <v>0</v>
      </c>
      <c r="K1706" s="24">
        <v>0</v>
      </c>
      <c r="L1706" s="41">
        <f>Table2[[#This Row],[Column1]]+Table2[[#This Row],[Column2]]</f>
        <v>0</v>
      </c>
      <c r="M1706" s="42">
        <f>Table2[[#This Row],[OnHandQty]]-Table2[[#This Row],[Projection Nov/Dec]]</f>
        <v>1</v>
      </c>
      <c r="N1706" s="35">
        <f>Table2[[#This Row],[OverStock]]*Table2[[#This Row],[RepCost]]</f>
        <v>12.1243</v>
      </c>
      <c r="O1706" s="25">
        <v>46146.459722222222</v>
      </c>
      <c r="P1706" s="26" t="s">
        <v>67</v>
      </c>
    </row>
    <row r="1707" spans="1:16" x14ac:dyDescent="0.25">
      <c r="A1707" s="20" t="s">
        <v>5211</v>
      </c>
      <c r="B1707" s="21">
        <v>636</v>
      </c>
      <c r="C1707" s="22" t="s">
        <v>70</v>
      </c>
      <c r="D1707" s="22" t="s">
        <v>579</v>
      </c>
      <c r="E1707" s="22" t="str">
        <f>CONCATENATE(B1707,D1707)</f>
        <v>63694028-101</v>
      </c>
      <c r="F1707" s="22" t="s">
        <v>580</v>
      </c>
      <c r="G1707" s="22" t="s">
        <v>23</v>
      </c>
      <c r="H1707" s="23">
        <v>10.9862</v>
      </c>
      <c r="I1707" s="24">
        <v>1</v>
      </c>
      <c r="J1707" s="24">
        <v>0</v>
      </c>
      <c r="K1707" s="24">
        <v>0</v>
      </c>
      <c r="L1707" s="41">
        <f>Table2[[#This Row],[Column1]]+Table2[[#This Row],[Column2]]</f>
        <v>0</v>
      </c>
      <c r="M1707" s="42">
        <f>Table2[[#This Row],[OnHandQty]]-Table2[[#This Row],[Projection Nov/Dec]]</f>
        <v>1</v>
      </c>
      <c r="N1707" s="35">
        <f>Table2[[#This Row],[OverStock]]*Table2[[#This Row],[RepCost]]</f>
        <v>10.9862</v>
      </c>
      <c r="O1707" s="25">
        <v>46122.463194444441</v>
      </c>
      <c r="P1707" s="26" t="s">
        <v>16</v>
      </c>
    </row>
    <row r="1708" spans="1:16" x14ac:dyDescent="0.25">
      <c r="A1708" s="20" t="s">
        <v>5211</v>
      </c>
      <c r="B1708" s="21">
        <v>636</v>
      </c>
      <c r="C1708" s="22" t="s">
        <v>70</v>
      </c>
      <c r="D1708" s="22" t="s">
        <v>831</v>
      </c>
      <c r="E1708" s="22" t="str">
        <f>CONCATENATE(B1708,D1708)</f>
        <v>63670920-101</v>
      </c>
      <c r="F1708" s="22" t="s">
        <v>832</v>
      </c>
      <c r="G1708" s="22" t="s">
        <v>39</v>
      </c>
      <c r="H1708" s="23">
        <v>7.2522000000000002</v>
      </c>
      <c r="I1708" s="24">
        <v>1</v>
      </c>
      <c r="J1708" s="24">
        <v>0</v>
      </c>
      <c r="K1708" s="24">
        <v>0</v>
      </c>
      <c r="L1708" s="41">
        <f>Table2[[#This Row],[Column1]]+Table2[[#This Row],[Column2]]</f>
        <v>0</v>
      </c>
      <c r="M1708" s="42">
        <f>Table2[[#This Row],[OnHandQty]]-Table2[[#This Row],[Projection Nov/Dec]]</f>
        <v>1</v>
      </c>
      <c r="N1708" s="35">
        <f>Table2[[#This Row],[OverStock]]*Table2[[#This Row],[RepCost]]</f>
        <v>7.2522000000000002</v>
      </c>
      <c r="O1708" s="25">
        <v>46115.417361111111</v>
      </c>
      <c r="P1708" s="26" t="s">
        <v>573</v>
      </c>
    </row>
    <row r="1709" spans="1:16" x14ac:dyDescent="0.25">
      <c r="A1709" s="20" t="s">
        <v>5211</v>
      </c>
      <c r="B1709" s="21">
        <v>714</v>
      </c>
      <c r="C1709" s="22" t="s">
        <v>70</v>
      </c>
      <c r="D1709" s="22" t="s">
        <v>739</v>
      </c>
      <c r="E1709" s="22" t="str">
        <f>CONCATENATE(B1709,D1709)</f>
        <v>71476688-101</v>
      </c>
      <c r="F1709" s="22" t="s">
        <v>740</v>
      </c>
      <c r="G1709" s="22" t="s">
        <v>39</v>
      </c>
      <c r="H1709" s="23">
        <v>6.9756</v>
      </c>
      <c r="I1709" s="24">
        <v>9</v>
      </c>
      <c r="J1709" s="24">
        <v>0</v>
      </c>
      <c r="K1709" s="24">
        <v>0</v>
      </c>
      <c r="L1709" s="41">
        <f>Table2[[#This Row],[Column1]]+Table2[[#This Row],[Column2]]</f>
        <v>0</v>
      </c>
      <c r="M1709" s="42">
        <f>Table2[[#This Row],[OnHandQty]]-Table2[[#This Row],[Projection Nov/Dec]]</f>
        <v>9</v>
      </c>
      <c r="N1709" s="35">
        <f>Table2[[#This Row],[OverStock]]*Table2[[#This Row],[RepCost]]</f>
        <v>62.7804</v>
      </c>
      <c r="O1709" s="25">
        <v>46118.575694444444</v>
      </c>
      <c r="P1709" s="26" t="s">
        <v>573</v>
      </c>
    </row>
    <row r="1710" spans="1:16" x14ac:dyDescent="0.25">
      <c r="A1710" s="20" t="s">
        <v>5211</v>
      </c>
      <c r="B1710" s="21">
        <v>718</v>
      </c>
      <c r="C1710" s="22" t="s">
        <v>70</v>
      </c>
      <c r="D1710" s="22" t="s">
        <v>739</v>
      </c>
      <c r="E1710" s="22" t="str">
        <f>CONCATENATE(B1710,D1710)</f>
        <v>71876688-101</v>
      </c>
      <c r="F1710" s="22" t="s">
        <v>740</v>
      </c>
      <c r="G1710" s="22" t="s">
        <v>81</v>
      </c>
      <c r="H1710" s="23">
        <v>7.2781000000000002</v>
      </c>
      <c r="I1710" s="24">
        <v>15</v>
      </c>
      <c r="J1710" s="24">
        <v>0</v>
      </c>
      <c r="K1710" s="24">
        <v>0</v>
      </c>
      <c r="L1710" s="41">
        <f>Table2[[#This Row],[Column1]]+Table2[[#This Row],[Column2]]</f>
        <v>0</v>
      </c>
      <c r="M1710" s="42">
        <f>Table2[[#This Row],[OnHandQty]]-Table2[[#This Row],[Projection Nov/Dec]]</f>
        <v>15</v>
      </c>
      <c r="N1710" s="35">
        <f>Table2[[#This Row],[OverStock]]*Table2[[#This Row],[RepCost]]</f>
        <v>109.17150000000001</v>
      </c>
      <c r="O1710" s="25">
        <v>46119.636111111111</v>
      </c>
      <c r="P1710" s="26" t="s">
        <v>573</v>
      </c>
    </row>
    <row r="1711" spans="1:16" x14ac:dyDescent="0.25">
      <c r="A1711" s="20" t="s">
        <v>5211</v>
      </c>
      <c r="B1711" s="21">
        <v>714</v>
      </c>
      <c r="C1711" s="22" t="s">
        <v>323</v>
      </c>
      <c r="D1711" s="22" t="s">
        <v>3490</v>
      </c>
      <c r="E1711" s="22" t="str">
        <f>CONCATENATE(B1711,D1711)</f>
        <v>71471012-115</v>
      </c>
      <c r="F1711" s="22" t="s">
        <v>3491</v>
      </c>
      <c r="G1711" s="22" t="s">
        <v>29</v>
      </c>
      <c r="H1711" s="23">
        <v>16.879000000000001</v>
      </c>
      <c r="I1711" s="24">
        <v>115</v>
      </c>
      <c r="J1711" s="24">
        <v>0</v>
      </c>
      <c r="K1711" s="24">
        <v>0</v>
      </c>
      <c r="L1711" s="41">
        <f>Table2[[#This Row],[Column1]]+Table2[[#This Row],[Column2]]</f>
        <v>0</v>
      </c>
      <c r="M1711" s="42">
        <f>Table2[[#This Row],[OnHandQty]]-Table2[[#This Row],[Projection Nov/Dec]]</f>
        <v>115</v>
      </c>
      <c r="N1711" s="35">
        <f>Table2[[#This Row],[OverStock]]*Table2[[#This Row],[RepCost]]</f>
        <v>1941.0850000000003</v>
      </c>
      <c r="O1711" s="25">
        <v>46149.570138888892</v>
      </c>
      <c r="P1711" s="26" t="s">
        <v>2930</v>
      </c>
    </row>
    <row r="1712" spans="1:16" x14ac:dyDescent="0.25">
      <c r="A1712" s="20" t="s">
        <v>5211</v>
      </c>
      <c r="B1712" s="21">
        <v>718</v>
      </c>
      <c r="C1712" s="22" t="s">
        <v>323</v>
      </c>
      <c r="D1712" s="22" t="s">
        <v>3919</v>
      </c>
      <c r="E1712" s="22" t="str">
        <f>CONCATENATE(B1712,D1712)</f>
        <v>71871012-125</v>
      </c>
      <c r="F1712" s="22" t="s">
        <v>3920</v>
      </c>
      <c r="G1712" s="22" t="s">
        <v>29</v>
      </c>
      <c r="H1712" s="23">
        <v>197.3698</v>
      </c>
      <c r="I1712" s="24">
        <v>2</v>
      </c>
      <c r="J1712" s="24">
        <v>0</v>
      </c>
      <c r="K1712" s="24">
        <v>0</v>
      </c>
      <c r="L1712" s="41">
        <f>Table2[[#This Row],[Column1]]+Table2[[#This Row],[Column2]]</f>
        <v>0</v>
      </c>
      <c r="M1712" s="42">
        <f>Table2[[#This Row],[OnHandQty]]-Table2[[#This Row],[Projection Nov/Dec]]</f>
        <v>2</v>
      </c>
      <c r="N1712" s="35">
        <f>Table2[[#This Row],[OverStock]]*Table2[[#This Row],[RepCost]]</f>
        <v>394.7396</v>
      </c>
      <c r="O1712" s="25">
        <v>46147.688194444447</v>
      </c>
      <c r="P1712" s="26" t="s">
        <v>2066</v>
      </c>
    </row>
    <row r="1713" spans="1:16" x14ac:dyDescent="0.25">
      <c r="A1713" s="20" t="s">
        <v>5211</v>
      </c>
      <c r="B1713" s="21">
        <v>714</v>
      </c>
      <c r="C1713" s="22" t="s">
        <v>323</v>
      </c>
      <c r="D1713" s="22" t="s">
        <v>2828</v>
      </c>
      <c r="E1713" s="22" t="str">
        <f>CONCATENATE(B1713,D1713)</f>
        <v>71471174-115</v>
      </c>
      <c r="F1713" s="22" t="s">
        <v>2829</v>
      </c>
      <c r="G1713" s="22" t="s">
        <v>23</v>
      </c>
      <c r="H1713" s="23">
        <v>80.918400000000005</v>
      </c>
      <c r="I1713" s="24">
        <v>10</v>
      </c>
      <c r="J1713" s="24">
        <v>2</v>
      </c>
      <c r="K1713" s="24">
        <v>0</v>
      </c>
      <c r="L1713" s="41">
        <f>Table2[[#This Row],[Column1]]+Table2[[#This Row],[Column2]]</f>
        <v>2</v>
      </c>
      <c r="M1713" s="42">
        <f>Table2[[#This Row],[OnHandQty]]-Table2[[#This Row],[Projection Nov/Dec]]</f>
        <v>8</v>
      </c>
      <c r="N1713" s="35">
        <f>Table2[[#This Row],[OverStock]]*Table2[[#This Row],[RepCost]]</f>
        <v>647.34720000000004</v>
      </c>
      <c r="O1713" s="25">
        <v>46123.461805555555</v>
      </c>
      <c r="P1713" s="26" t="s">
        <v>40</v>
      </c>
    </row>
    <row r="1714" spans="1:16" x14ac:dyDescent="0.25">
      <c r="A1714" s="20" t="s">
        <v>5211</v>
      </c>
      <c r="B1714" s="21">
        <v>714</v>
      </c>
      <c r="C1714" s="22" t="s">
        <v>323</v>
      </c>
      <c r="D1714" s="22" t="s">
        <v>2875</v>
      </c>
      <c r="E1714" s="22" t="str">
        <f>CONCATENATE(B1714,D1714)</f>
        <v>71471174-025</v>
      </c>
      <c r="F1714" s="22" t="s">
        <v>2876</v>
      </c>
      <c r="G1714" s="22" t="s">
        <v>158</v>
      </c>
      <c r="H1714" s="23">
        <v>183.261</v>
      </c>
      <c r="I1714" s="24">
        <v>31</v>
      </c>
      <c r="J1714" s="24">
        <v>2</v>
      </c>
      <c r="K1714" s="24">
        <v>0</v>
      </c>
      <c r="L1714" s="41">
        <f>Table2[[#This Row],[Column1]]+Table2[[#This Row],[Column2]]</f>
        <v>2</v>
      </c>
      <c r="M1714" s="42">
        <f>Table2[[#This Row],[OnHandQty]]-Table2[[#This Row],[Projection Nov/Dec]]</f>
        <v>29</v>
      </c>
      <c r="N1714" s="35">
        <f>Table2[[#This Row],[OverStock]]*Table2[[#This Row],[RepCost]]</f>
        <v>5314.5689999999995</v>
      </c>
      <c r="O1714" s="25">
        <v>46073.629861111112</v>
      </c>
      <c r="P1714" s="26" t="s">
        <v>159</v>
      </c>
    </row>
    <row r="1715" spans="1:16" x14ac:dyDescent="0.25">
      <c r="A1715" s="20" t="s">
        <v>5211</v>
      </c>
      <c r="B1715" s="21">
        <v>714</v>
      </c>
      <c r="C1715" s="22" t="s">
        <v>323</v>
      </c>
      <c r="D1715" s="22" t="s">
        <v>2979</v>
      </c>
      <c r="E1715" s="22" t="str">
        <f>CONCATENATE(B1715,D1715)</f>
        <v>71471174-120</v>
      </c>
      <c r="F1715" s="22" t="s">
        <v>2980</v>
      </c>
      <c r="G1715" s="22" t="s">
        <v>23</v>
      </c>
      <c r="H1715" s="23">
        <v>69.049700000000001</v>
      </c>
      <c r="I1715" s="24">
        <v>20</v>
      </c>
      <c r="J1715" s="24">
        <v>0</v>
      </c>
      <c r="K1715" s="24">
        <v>0</v>
      </c>
      <c r="L1715" s="41">
        <f>Table2[[#This Row],[Column1]]+Table2[[#This Row],[Column2]]</f>
        <v>0</v>
      </c>
      <c r="M1715" s="42">
        <f>Table2[[#This Row],[OnHandQty]]-Table2[[#This Row],[Projection Nov/Dec]]</f>
        <v>20</v>
      </c>
      <c r="N1715" s="35">
        <f>Table2[[#This Row],[OverStock]]*Table2[[#This Row],[RepCost]]</f>
        <v>1380.9940000000001</v>
      </c>
      <c r="O1715" s="25">
        <v>46146.463888888888</v>
      </c>
      <c r="P1715" s="26" t="s">
        <v>2225</v>
      </c>
    </row>
    <row r="1716" spans="1:16" x14ac:dyDescent="0.25">
      <c r="A1716" s="20" t="s">
        <v>5211</v>
      </c>
      <c r="B1716" s="21">
        <v>718</v>
      </c>
      <c r="C1716" s="22" t="s">
        <v>323</v>
      </c>
      <c r="D1716" s="22" t="s">
        <v>3962</v>
      </c>
      <c r="E1716" s="22" t="str">
        <f>CONCATENATE(B1716,D1716)</f>
        <v>71871220-115</v>
      </c>
      <c r="F1716" s="22" t="s">
        <v>3963</v>
      </c>
      <c r="G1716" s="22" t="s">
        <v>43</v>
      </c>
      <c r="H1716" s="23">
        <v>119.6187</v>
      </c>
      <c r="I1716" s="24">
        <v>8</v>
      </c>
      <c r="J1716" s="24">
        <v>1</v>
      </c>
      <c r="K1716" s="24">
        <v>1</v>
      </c>
      <c r="L1716" s="41">
        <f>Table2[[#This Row],[Column1]]+Table2[[#This Row],[Column2]]</f>
        <v>2</v>
      </c>
      <c r="M1716" s="42">
        <f>Table2[[#This Row],[OnHandQty]]-Table2[[#This Row],[Projection Nov/Dec]]</f>
        <v>6</v>
      </c>
      <c r="N1716" s="35">
        <f>Table2[[#This Row],[OverStock]]*Table2[[#This Row],[RepCost]]</f>
        <v>717.71220000000005</v>
      </c>
      <c r="O1716" s="25">
        <v>46209.553472222222</v>
      </c>
      <c r="P1716" s="26" t="s">
        <v>345</v>
      </c>
    </row>
    <row r="1717" spans="1:16" x14ac:dyDescent="0.25">
      <c r="A1717" s="20" t="s">
        <v>5211</v>
      </c>
      <c r="B1717" s="21">
        <v>634</v>
      </c>
      <c r="C1717" s="22" t="s">
        <v>323</v>
      </c>
      <c r="D1717" s="22" t="s">
        <v>484</v>
      </c>
      <c r="E1717" s="22" t="str">
        <f>CONCATENATE(B1717,D1717)</f>
        <v>63471220-035</v>
      </c>
      <c r="F1717" s="22" t="s">
        <v>485</v>
      </c>
      <c r="G1717" s="22" t="s">
        <v>23</v>
      </c>
      <c r="H1717" s="23">
        <v>469.70069999999998</v>
      </c>
      <c r="I1717" s="24">
        <v>1</v>
      </c>
      <c r="J1717" s="24">
        <v>0</v>
      </c>
      <c r="K1717" s="24">
        <v>0</v>
      </c>
      <c r="L1717" s="41">
        <f>Table2[[#This Row],[Column1]]+Table2[[#This Row],[Column2]]</f>
        <v>0</v>
      </c>
      <c r="M1717" s="42">
        <f>Table2[[#This Row],[OnHandQty]]-Table2[[#This Row],[Projection Nov/Dec]]</f>
        <v>1</v>
      </c>
      <c r="N1717" s="35">
        <f>Table2[[#This Row],[OverStock]]*Table2[[#This Row],[RepCost]]</f>
        <v>469.70069999999998</v>
      </c>
      <c r="O1717" s="25">
        <v>46119.536111111112</v>
      </c>
      <c r="P1717" s="26" t="s">
        <v>486</v>
      </c>
    </row>
    <row r="1718" spans="1:16" x14ac:dyDescent="0.25">
      <c r="A1718" s="20" t="s">
        <v>5211</v>
      </c>
      <c r="B1718" s="21">
        <v>636</v>
      </c>
      <c r="C1718" s="22" t="s">
        <v>323</v>
      </c>
      <c r="D1718" s="22" t="s">
        <v>484</v>
      </c>
      <c r="E1718" s="22" t="str">
        <f>CONCATENATE(B1718,D1718)</f>
        <v>63671220-035</v>
      </c>
      <c r="F1718" s="22" t="s">
        <v>485</v>
      </c>
      <c r="G1718" s="22" t="s">
        <v>23</v>
      </c>
      <c r="H1718" s="23">
        <v>383.5582</v>
      </c>
      <c r="I1718" s="24">
        <v>3</v>
      </c>
      <c r="J1718" s="24">
        <v>0</v>
      </c>
      <c r="K1718" s="24">
        <v>0</v>
      </c>
      <c r="L1718" s="41">
        <f>Table2[[#This Row],[Column1]]+Table2[[#This Row],[Column2]]</f>
        <v>0</v>
      </c>
      <c r="M1718" s="42">
        <f>Table2[[#This Row],[OnHandQty]]-Table2[[#This Row],[Projection Nov/Dec]]</f>
        <v>3</v>
      </c>
      <c r="N1718" s="35">
        <f>Table2[[#This Row],[OverStock]]*Table2[[#This Row],[RepCost]]</f>
        <v>1150.6746000000001</v>
      </c>
      <c r="O1718" s="25">
        <v>46120.481944444444</v>
      </c>
      <c r="P1718" s="26" t="s">
        <v>159</v>
      </c>
    </row>
    <row r="1719" spans="1:16" x14ac:dyDescent="0.25">
      <c r="A1719" s="20" t="s">
        <v>5211</v>
      </c>
      <c r="B1719" s="21">
        <v>636</v>
      </c>
      <c r="C1719" s="22" t="s">
        <v>323</v>
      </c>
      <c r="D1719" s="22" t="s">
        <v>1684</v>
      </c>
      <c r="E1719" s="22" t="str">
        <f>CONCATENATE(B1719,D1719)</f>
        <v>63671220-050</v>
      </c>
      <c r="F1719" s="22" t="s">
        <v>1685</v>
      </c>
      <c r="G1719" s="22" t="s">
        <v>19</v>
      </c>
      <c r="H1719" s="23">
        <v>987.41409999999996</v>
      </c>
      <c r="I1719" s="24">
        <v>3</v>
      </c>
      <c r="J1719" s="24">
        <v>0</v>
      </c>
      <c r="K1719" s="24">
        <v>0</v>
      </c>
      <c r="L1719" s="41">
        <f>Table2[[#This Row],[Column1]]+Table2[[#This Row],[Column2]]</f>
        <v>0</v>
      </c>
      <c r="M1719" s="42">
        <f>Table2[[#This Row],[OnHandQty]]-Table2[[#This Row],[Projection Nov/Dec]]</f>
        <v>3</v>
      </c>
      <c r="N1719" s="35">
        <f>Table2[[#This Row],[OverStock]]*Table2[[#This Row],[RepCost]]</f>
        <v>2962.2422999999999</v>
      </c>
      <c r="O1719" s="25">
        <v>46120.481944444444</v>
      </c>
      <c r="P1719" s="26" t="s">
        <v>159</v>
      </c>
    </row>
    <row r="1720" spans="1:16" x14ac:dyDescent="0.25">
      <c r="A1720" s="20" t="s">
        <v>5211</v>
      </c>
      <c r="B1720" s="21">
        <v>718</v>
      </c>
      <c r="C1720" s="22" t="s">
        <v>143</v>
      </c>
      <c r="D1720" s="22" t="s">
        <v>2266</v>
      </c>
      <c r="E1720" s="22" t="str">
        <f>CONCATENATE(B1720,D1720)</f>
        <v>71895537-107</v>
      </c>
      <c r="F1720" s="22" t="s">
        <v>2267</v>
      </c>
      <c r="G1720" s="22" t="s">
        <v>23</v>
      </c>
      <c r="H1720" s="23">
        <v>52.221600000000002</v>
      </c>
      <c r="I1720" s="24">
        <v>12</v>
      </c>
      <c r="J1720" s="24">
        <v>0</v>
      </c>
      <c r="K1720" s="24">
        <v>0</v>
      </c>
      <c r="L1720" s="41">
        <f>Table2[[#This Row],[Column1]]+Table2[[#This Row],[Column2]]</f>
        <v>0</v>
      </c>
      <c r="M1720" s="42">
        <f>Table2[[#This Row],[OnHandQty]]-Table2[[#This Row],[Projection Nov/Dec]]</f>
        <v>12</v>
      </c>
      <c r="N1720" s="35">
        <f>Table2[[#This Row],[OverStock]]*Table2[[#This Row],[RepCost]]</f>
        <v>626.65920000000006</v>
      </c>
      <c r="O1720" s="25">
        <v>46140.665277777778</v>
      </c>
      <c r="P1720" s="26" t="s">
        <v>2268</v>
      </c>
    </row>
    <row r="1721" spans="1:16" x14ac:dyDescent="0.25">
      <c r="A1721" s="20" t="s">
        <v>5211</v>
      </c>
      <c r="B1721" s="21">
        <v>714</v>
      </c>
      <c r="C1721" s="22" t="s">
        <v>143</v>
      </c>
      <c r="D1721" s="22" t="s">
        <v>2266</v>
      </c>
      <c r="E1721" s="22" t="str">
        <f>CONCATENATE(B1721,D1721)</f>
        <v>71495537-107</v>
      </c>
      <c r="F1721" s="22" t="s">
        <v>2267</v>
      </c>
      <c r="G1721" s="22" t="s">
        <v>158</v>
      </c>
      <c r="H1721" s="23">
        <v>45.125500000000002</v>
      </c>
      <c r="I1721" s="24">
        <v>25</v>
      </c>
      <c r="J1721" s="24">
        <v>0</v>
      </c>
      <c r="K1721" s="24">
        <v>0</v>
      </c>
      <c r="L1721" s="41">
        <f>Table2[[#This Row],[Column1]]+Table2[[#This Row],[Column2]]</f>
        <v>0</v>
      </c>
      <c r="M1721" s="42">
        <f>Table2[[#This Row],[OnHandQty]]-Table2[[#This Row],[Projection Nov/Dec]]</f>
        <v>25</v>
      </c>
      <c r="N1721" s="35">
        <f>Table2[[#This Row],[OverStock]]*Table2[[#This Row],[RepCost]]</f>
        <v>1128.1375</v>
      </c>
      <c r="O1721" s="25">
        <v>46183.601388888892</v>
      </c>
      <c r="P1721" s="26" t="s">
        <v>2268</v>
      </c>
    </row>
    <row r="1722" spans="1:16" x14ac:dyDescent="0.25">
      <c r="A1722" s="20" t="s">
        <v>5211</v>
      </c>
      <c r="B1722" s="21">
        <v>714</v>
      </c>
      <c r="C1722" s="22" t="s">
        <v>143</v>
      </c>
      <c r="D1722" s="22" t="s">
        <v>2241</v>
      </c>
      <c r="E1722" s="22" t="str">
        <f>CONCATENATE(B1722,D1722)</f>
        <v>71471192-115</v>
      </c>
      <c r="F1722" s="22" t="s">
        <v>2242</v>
      </c>
      <c r="G1722" s="22" t="s">
        <v>158</v>
      </c>
      <c r="H1722" s="23">
        <v>72.335800000000006</v>
      </c>
      <c r="I1722" s="24">
        <v>1</v>
      </c>
      <c r="J1722" s="24">
        <v>0</v>
      </c>
      <c r="K1722" s="24">
        <v>0</v>
      </c>
      <c r="L1722" s="41">
        <f>Table2[[#This Row],[Column1]]+Table2[[#This Row],[Column2]]</f>
        <v>0</v>
      </c>
      <c r="M1722" s="42">
        <f>Table2[[#This Row],[OnHandQty]]-Table2[[#This Row],[Projection Nov/Dec]]</f>
        <v>1</v>
      </c>
      <c r="N1722" s="35">
        <f>Table2[[#This Row],[OverStock]]*Table2[[#This Row],[RepCost]]</f>
        <v>72.335800000000006</v>
      </c>
      <c r="O1722" s="25">
        <v>46176.343055555553</v>
      </c>
      <c r="P1722" s="26" t="s">
        <v>2066</v>
      </c>
    </row>
    <row r="1723" spans="1:16" x14ac:dyDescent="0.25">
      <c r="A1723" s="20" t="s">
        <v>5211</v>
      </c>
      <c r="B1723" s="21">
        <v>718</v>
      </c>
      <c r="C1723" s="22" t="s">
        <v>143</v>
      </c>
      <c r="D1723" s="22" t="s">
        <v>2241</v>
      </c>
      <c r="E1723" s="22" t="str">
        <f>CONCATENATE(B1723,D1723)</f>
        <v>71871192-115</v>
      </c>
      <c r="F1723" s="22" t="s">
        <v>2242</v>
      </c>
      <c r="G1723" s="22" t="s">
        <v>158</v>
      </c>
      <c r="H1723" s="23">
        <v>68.386399999999995</v>
      </c>
      <c r="I1723" s="24">
        <v>5</v>
      </c>
      <c r="J1723" s="24">
        <v>0</v>
      </c>
      <c r="K1723" s="24">
        <v>0</v>
      </c>
      <c r="L1723" s="41">
        <f>Table2[[#This Row],[Column1]]+Table2[[#This Row],[Column2]]</f>
        <v>0</v>
      </c>
      <c r="M1723" s="42">
        <f>Table2[[#This Row],[OnHandQty]]-Table2[[#This Row],[Projection Nov/Dec]]</f>
        <v>5</v>
      </c>
      <c r="N1723" s="35">
        <f>Table2[[#This Row],[OverStock]]*Table2[[#This Row],[RepCost]]</f>
        <v>341.93199999999996</v>
      </c>
      <c r="O1723" s="25">
        <v>46182.537499999999</v>
      </c>
      <c r="P1723" s="26" t="s">
        <v>2066</v>
      </c>
    </row>
    <row r="1724" spans="1:16" x14ac:dyDescent="0.25">
      <c r="A1724" s="20" t="s">
        <v>5211</v>
      </c>
      <c r="B1724" s="21">
        <v>714</v>
      </c>
      <c r="C1724" s="22" t="s">
        <v>143</v>
      </c>
      <c r="D1724" s="22" t="s">
        <v>2591</v>
      </c>
      <c r="E1724" s="22" t="str">
        <f>CONCATENATE(B1724,D1724)</f>
        <v>71471192-224</v>
      </c>
      <c r="F1724" s="22" t="s">
        <v>2592</v>
      </c>
      <c r="G1724" s="22" t="s">
        <v>29</v>
      </c>
      <c r="H1724" s="23">
        <v>35.742199999999997</v>
      </c>
      <c r="I1724" s="24">
        <v>1</v>
      </c>
      <c r="J1724" s="24">
        <v>0</v>
      </c>
      <c r="K1724" s="24">
        <v>0</v>
      </c>
      <c r="L1724" s="41">
        <f>Table2[[#This Row],[Column1]]+Table2[[#This Row],[Column2]]</f>
        <v>0</v>
      </c>
      <c r="M1724" s="42">
        <f>Table2[[#This Row],[OnHandQty]]-Table2[[#This Row],[Projection Nov/Dec]]</f>
        <v>1</v>
      </c>
      <c r="N1724" s="35">
        <f>Table2[[#This Row],[OverStock]]*Table2[[#This Row],[RepCost]]</f>
        <v>35.742199999999997</v>
      </c>
      <c r="O1724" s="25">
        <v>45594.630555555559</v>
      </c>
      <c r="P1724" s="26" t="s">
        <v>2593</v>
      </c>
    </row>
    <row r="1725" spans="1:16" x14ac:dyDescent="0.25">
      <c r="A1725" s="20" t="s">
        <v>5211</v>
      </c>
      <c r="B1725" s="21">
        <v>714</v>
      </c>
      <c r="C1725" s="22" t="s">
        <v>143</v>
      </c>
      <c r="D1725" s="22" t="s">
        <v>2541</v>
      </c>
      <c r="E1725" s="22" t="str">
        <f>CONCATENATE(B1725,D1725)</f>
        <v>71471192-248</v>
      </c>
      <c r="F1725" s="22" t="s">
        <v>2542</v>
      </c>
      <c r="G1725" s="22" t="s">
        <v>29</v>
      </c>
      <c r="H1725" s="23">
        <v>173.92859999999999</v>
      </c>
      <c r="I1725" s="24">
        <v>2</v>
      </c>
      <c r="J1725" s="24">
        <v>0</v>
      </c>
      <c r="K1725" s="24">
        <v>0</v>
      </c>
      <c r="L1725" s="41">
        <f>Table2[[#This Row],[Column1]]+Table2[[#This Row],[Column2]]</f>
        <v>0</v>
      </c>
      <c r="M1725" s="42">
        <f>Table2[[#This Row],[OnHandQty]]-Table2[[#This Row],[Projection Nov/Dec]]</f>
        <v>2</v>
      </c>
      <c r="N1725" s="35">
        <f>Table2[[#This Row],[OverStock]]*Table2[[#This Row],[RepCost]]</f>
        <v>347.85719999999998</v>
      </c>
      <c r="O1725" s="25">
        <v>46183.614583333336</v>
      </c>
      <c r="P1725" s="26" t="s">
        <v>402</v>
      </c>
    </row>
    <row r="1726" spans="1:16" x14ac:dyDescent="0.25">
      <c r="A1726" s="20" t="s">
        <v>5211</v>
      </c>
      <c r="B1726" s="21">
        <v>636</v>
      </c>
      <c r="C1726" s="22" t="s">
        <v>143</v>
      </c>
      <c r="D1726" s="22" t="s">
        <v>970</v>
      </c>
      <c r="E1726" s="22" t="str">
        <f>CONCATENATE(B1726,D1726)</f>
        <v>63671193-306</v>
      </c>
      <c r="F1726" s="22" t="s">
        <v>971</v>
      </c>
      <c r="G1726" s="22" t="s">
        <v>43</v>
      </c>
      <c r="H1726" s="23">
        <v>99.915700000000001</v>
      </c>
      <c r="I1726" s="24">
        <v>8</v>
      </c>
      <c r="J1726" s="24">
        <v>3</v>
      </c>
      <c r="K1726" s="24">
        <v>0</v>
      </c>
      <c r="L1726" s="41">
        <f>Table2[[#This Row],[Column1]]+Table2[[#This Row],[Column2]]</f>
        <v>3</v>
      </c>
      <c r="M1726" s="42">
        <f>Table2[[#This Row],[OnHandQty]]-Table2[[#This Row],[Projection Nov/Dec]]</f>
        <v>5</v>
      </c>
      <c r="N1726" s="35">
        <f>Table2[[#This Row],[OverStock]]*Table2[[#This Row],[RepCost]]</f>
        <v>499.57850000000002</v>
      </c>
      <c r="O1726" s="25">
        <v>46183.53402777778</v>
      </c>
      <c r="P1726" s="26" t="s">
        <v>137</v>
      </c>
    </row>
    <row r="1727" spans="1:16" x14ac:dyDescent="0.25">
      <c r="A1727" s="20" t="s">
        <v>5211</v>
      </c>
      <c r="B1727" s="21">
        <v>636</v>
      </c>
      <c r="C1727" s="22" t="s">
        <v>143</v>
      </c>
      <c r="D1727" s="22" t="s">
        <v>908</v>
      </c>
      <c r="E1727" s="22" t="str">
        <f>CONCATENATE(B1727,D1727)</f>
        <v>63671193-307</v>
      </c>
      <c r="F1727" s="22" t="s">
        <v>909</v>
      </c>
      <c r="G1727" s="22" t="s">
        <v>43</v>
      </c>
      <c r="H1727" s="23">
        <v>159.10740000000001</v>
      </c>
      <c r="I1727" s="24">
        <v>7</v>
      </c>
      <c r="J1727" s="24">
        <v>0</v>
      </c>
      <c r="K1727" s="24">
        <v>0</v>
      </c>
      <c r="L1727" s="41">
        <f>Table2[[#This Row],[Column1]]+Table2[[#This Row],[Column2]]</f>
        <v>0</v>
      </c>
      <c r="M1727" s="42">
        <f>Table2[[#This Row],[OnHandQty]]-Table2[[#This Row],[Projection Nov/Dec]]</f>
        <v>7</v>
      </c>
      <c r="N1727" s="35">
        <f>Table2[[#This Row],[OverStock]]*Table2[[#This Row],[RepCost]]</f>
        <v>1113.7518</v>
      </c>
      <c r="O1727" s="25">
        <v>46142.609027777777</v>
      </c>
      <c r="P1727" s="26" t="s">
        <v>137</v>
      </c>
    </row>
    <row r="1728" spans="1:16" x14ac:dyDescent="0.25">
      <c r="A1728" s="20" t="s">
        <v>5211</v>
      </c>
      <c r="B1728" s="21">
        <v>714</v>
      </c>
      <c r="C1728" s="22" t="s">
        <v>143</v>
      </c>
      <c r="D1728" s="22" t="s">
        <v>908</v>
      </c>
      <c r="E1728" s="22" t="str">
        <f>CONCATENATE(B1728,D1728)</f>
        <v>71471193-307</v>
      </c>
      <c r="F1728" s="22" t="s">
        <v>909</v>
      </c>
      <c r="G1728" s="22" t="s">
        <v>158</v>
      </c>
      <c r="H1728" s="23">
        <v>163.08449999999999</v>
      </c>
      <c r="I1728" s="24">
        <v>3</v>
      </c>
      <c r="J1728" s="24">
        <v>0</v>
      </c>
      <c r="K1728" s="24">
        <v>0</v>
      </c>
      <c r="L1728" s="41">
        <f>Table2[[#This Row],[Column1]]+Table2[[#This Row],[Column2]]</f>
        <v>0</v>
      </c>
      <c r="M1728" s="42">
        <f>Table2[[#This Row],[OnHandQty]]-Table2[[#This Row],[Projection Nov/Dec]]</f>
        <v>3</v>
      </c>
      <c r="N1728" s="35">
        <f>Table2[[#This Row],[OverStock]]*Table2[[#This Row],[RepCost]]</f>
        <v>489.25349999999997</v>
      </c>
      <c r="O1728" s="25">
        <v>46154.438194444447</v>
      </c>
      <c r="P1728" s="26" t="s">
        <v>1535</v>
      </c>
    </row>
    <row r="1729" spans="1:16" x14ac:dyDescent="0.25">
      <c r="A1729" s="20" t="s">
        <v>5211</v>
      </c>
      <c r="B1729" s="21">
        <v>718</v>
      </c>
      <c r="C1729" s="22" t="s">
        <v>143</v>
      </c>
      <c r="D1729" s="22" t="s">
        <v>3770</v>
      </c>
      <c r="E1729" s="22" t="str">
        <f>CONCATENATE(B1729,D1729)</f>
        <v>71895352-110</v>
      </c>
      <c r="F1729" s="22" t="s">
        <v>3771</v>
      </c>
      <c r="G1729" s="22" t="s">
        <v>29</v>
      </c>
      <c r="H1729" s="23">
        <v>100.774</v>
      </c>
      <c r="I1729" s="24">
        <v>2</v>
      </c>
      <c r="J1729" s="24">
        <v>0</v>
      </c>
      <c r="K1729" s="24">
        <v>0</v>
      </c>
      <c r="L1729" s="41">
        <f>Table2[[#This Row],[Column1]]+Table2[[#This Row],[Column2]]</f>
        <v>0</v>
      </c>
      <c r="M1729" s="42">
        <f>Table2[[#This Row],[OnHandQty]]-Table2[[#This Row],[Projection Nov/Dec]]</f>
        <v>2</v>
      </c>
      <c r="N1729" s="35">
        <f>Table2[[#This Row],[OverStock]]*Table2[[#This Row],[RepCost]]</f>
        <v>201.548</v>
      </c>
      <c r="O1729" s="25">
        <v>46195.657638888886</v>
      </c>
      <c r="P1729" s="26" t="s">
        <v>1535</v>
      </c>
    </row>
    <row r="1730" spans="1:16" x14ac:dyDescent="0.25">
      <c r="A1730" s="20" t="s">
        <v>5211</v>
      </c>
      <c r="B1730" s="21">
        <v>636</v>
      </c>
      <c r="C1730" s="22" t="s">
        <v>143</v>
      </c>
      <c r="D1730" s="22" t="s">
        <v>932</v>
      </c>
      <c r="E1730" s="22" t="str">
        <f>CONCATENATE(B1730,D1730)</f>
        <v>63691894-106</v>
      </c>
      <c r="F1730" s="22" t="s">
        <v>933</v>
      </c>
      <c r="G1730" s="22" t="s">
        <v>23</v>
      </c>
      <c r="H1730" s="23">
        <v>23.826499999999999</v>
      </c>
      <c r="I1730" s="24">
        <v>11</v>
      </c>
      <c r="J1730" s="24">
        <v>0</v>
      </c>
      <c r="K1730" s="24">
        <v>0</v>
      </c>
      <c r="L1730" s="41">
        <f>Table2[[#This Row],[Column1]]+Table2[[#This Row],[Column2]]</f>
        <v>0</v>
      </c>
      <c r="M1730" s="42">
        <f>Table2[[#This Row],[OnHandQty]]-Table2[[#This Row],[Projection Nov/Dec]]</f>
        <v>11</v>
      </c>
      <c r="N1730" s="35">
        <f>Table2[[#This Row],[OverStock]]*Table2[[#This Row],[RepCost]]</f>
        <v>262.0915</v>
      </c>
      <c r="O1730" s="25">
        <v>46188.603472222225</v>
      </c>
      <c r="P1730" s="26" t="s">
        <v>261</v>
      </c>
    </row>
    <row r="1731" spans="1:16" x14ac:dyDescent="0.25">
      <c r="A1731" s="20" t="s">
        <v>5211</v>
      </c>
      <c r="B1731" s="21">
        <v>714</v>
      </c>
      <c r="C1731" s="22" t="s">
        <v>143</v>
      </c>
      <c r="D1731" s="22" t="s">
        <v>2328</v>
      </c>
      <c r="E1731" s="22" t="str">
        <f>CONCATENATE(B1731,D1731)</f>
        <v>71476048-103</v>
      </c>
      <c r="F1731" s="22" t="s">
        <v>2329</v>
      </c>
      <c r="G1731" s="22" t="s">
        <v>29</v>
      </c>
      <c r="H1731" s="23">
        <v>15.7888</v>
      </c>
      <c r="I1731" s="24">
        <v>44</v>
      </c>
      <c r="J1731" s="24">
        <v>0</v>
      </c>
      <c r="K1731" s="24">
        <v>0</v>
      </c>
      <c r="L1731" s="41">
        <f>Table2[[#This Row],[Column1]]+Table2[[#This Row],[Column2]]</f>
        <v>0</v>
      </c>
      <c r="M1731" s="42">
        <f>Table2[[#This Row],[OnHandQty]]-Table2[[#This Row],[Projection Nov/Dec]]</f>
        <v>44</v>
      </c>
      <c r="N1731" s="35">
        <f>Table2[[#This Row],[OverStock]]*Table2[[#This Row],[RepCost]]</f>
        <v>694.70720000000006</v>
      </c>
      <c r="O1731" s="25">
        <v>46188.356249999997</v>
      </c>
      <c r="P1731" s="26" t="s">
        <v>509</v>
      </c>
    </row>
    <row r="1732" spans="1:16" x14ac:dyDescent="0.25">
      <c r="A1732" s="20" t="s">
        <v>5211</v>
      </c>
      <c r="B1732" s="21">
        <v>636</v>
      </c>
      <c r="C1732" s="22" t="s">
        <v>323</v>
      </c>
      <c r="D1732" s="22" t="s">
        <v>1442</v>
      </c>
      <c r="E1732" s="22" t="str">
        <f>CONCATENATE(B1732,D1732)</f>
        <v>63678982-125</v>
      </c>
      <c r="F1732" s="22" t="s">
        <v>1443</v>
      </c>
      <c r="G1732" s="22" t="s">
        <v>29</v>
      </c>
      <c r="H1732" s="23">
        <v>98.202200000000005</v>
      </c>
      <c r="I1732" s="24">
        <v>3</v>
      </c>
      <c r="J1732" s="24">
        <v>0</v>
      </c>
      <c r="K1732" s="24">
        <v>0</v>
      </c>
      <c r="L1732" s="41">
        <f>Table2[[#This Row],[Column1]]+Table2[[#This Row],[Column2]]</f>
        <v>0</v>
      </c>
      <c r="M1732" s="42">
        <f>Table2[[#This Row],[OnHandQty]]-Table2[[#This Row],[Projection Nov/Dec]]</f>
        <v>3</v>
      </c>
      <c r="N1732" s="35">
        <f>Table2[[#This Row],[OverStock]]*Table2[[#This Row],[RepCost]]</f>
        <v>294.60660000000001</v>
      </c>
      <c r="O1732" s="25">
        <v>46094.407638888886</v>
      </c>
      <c r="P1732" s="26" t="s">
        <v>354</v>
      </c>
    </row>
    <row r="1733" spans="1:16" x14ac:dyDescent="0.25">
      <c r="A1733" s="20" t="s">
        <v>5211</v>
      </c>
      <c r="B1733" s="21">
        <v>718</v>
      </c>
      <c r="C1733" s="22" t="s">
        <v>323</v>
      </c>
      <c r="D1733" s="22" t="s">
        <v>3897</v>
      </c>
      <c r="E1733" s="22" t="str">
        <f>CONCATENATE(B1733,D1733)</f>
        <v>71871215-115</v>
      </c>
      <c r="F1733" s="22" t="s">
        <v>3898</v>
      </c>
      <c r="G1733" s="22" t="s">
        <v>19</v>
      </c>
      <c r="H1733" s="23">
        <v>107.1</v>
      </c>
      <c r="I1733" s="24">
        <v>12</v>
      </c>
      <c r="J1733" s="24">
        <v>0</v>
      </c>
      <c r="K1733" s="24">
        <v>0</v>
      </c>
      <c r="L1733" s="41">
        <f>Table2[[#This Row],[Column1]]+Table2[[#This Row],[Column2]]</f>
        <v>0</v>
      </c>
      <c r="M1733" s="42">
        <f>Table2[[#This Row],[OnHandQty]]-Table2[[#This Row],[Projection Nov/Dec]]</f>
        <v>12</v>
      </c>
      <c r="N1733" s="35">
        <f>Table2[[#This Row],[OverStock]]*Table2[[#This Row],[RepCost]]</f>
        <v>1285.1999999999998</v>
      </c>
      <c r="O1733" s="25">
        <v>45897.445138888892</v>
      </c>
      <c r="P1733" s="26" t="s">
        <v>345</v>
      </c>
    </row>
    <row r="1734" spans="1:16" x14ac:dyDescent="0.25">
      <c r="A1734" s="20" t="s">
        <v>5211</v>
      </c>
      <c r="B1734" s="21">
        <v>714</v>
      </c>
      <c r="C1734" s="22" t="s">
        <v>323</v>
      </c>
      <c r="D1734" s="22" t="s">
        <v>3069</v>
      </c>
      <c r="E1734" s="22" t="str">
        <f>CONCATENATE(B1734,D1734)</f>
        <v>71484688-025</v>
      </c>
      <c r="F1734" s="22" t="s">
        <v>3070</v>
      </c>
      <c r="G1734" s="22" t="s">
        <v>29</v>
      </c>
      <c r="H1734" s="23">
        <v>258.33210000000003</v>
      </c>
      <c r="I1734" s="24">
        <v>1</v>
      </c>
      <c r="J1734" s="24">
        <v>0</v>
      </c>
      <c r="K1734" s="24">
        <v>0</v>
      </c>
      <c r="L1734" s="41">
        <f>Table2[[#This Row],[Column1]]+Table2[[#This Row],[Column2]]</f>
        <v>0</v>
      </c>
      <c r="M1734" s="42">
        <f>Table2[[#This Row],[OnHandQty]]-Table2[[#This Row],[Projection Nov/Dec]]</f>
        <v>1</v>
      </c>
      <c r="N1734" s="35">
        <f>Table2[[#This Row],[OverStock]]*Table2[[#This Row],[RepCost]]</f>
        <v>258.33210000000003</v>
      </c>
      <c r="O1734" s="25">
        <v>46126.29791666667</v>
      </c>
      <c r="P1734" s="26" t="s">
        <v>2379</v>
      </c>
    </row>
    <row r="1735" spans="1:16" x14ac:dyDescent="0.25">
      <c r="A1735" s="20" t="s">
        <v>5211</v>
      </c>
      <c r="B1735" s="21">
        <v>714</v>
      </c>
      <c r="C1735" s="22" t="s">
        <v>323</v>
      </c>
      <c r="D1735" s="22" t="s">
        <v>3065</v>
      </c>
      <c r="E1735" s="22" t="str">
        <f>CONCATENATE(B1735,D1735)</f>
        <v>71484688-030</v>
      </c>
      <c r="F1735" s="22" t="s">
        <v>3066</v>
      </c>
      <c r="G1735" s="22" t="s">
        <v>29</v>
      </c>
      <c r="H1735" s="23">
        <v>270</v>
      </c>
      <c r="I1735" s="24">
        <v>1</v>
      </c>
      <c r="J1735" s="24">
        <v>0</v>
      </c>
      <c r="K1735" s="24">
        <v>0</v>
      </c>
      <c r="L1735" s="41">
        <f>Table2[[#This Row],[Column1]]+Table2[[#This Row],[Column2]]</f>
        <v>0</v>
      </c>
      <c r="M1735" s="42">
        <f>Table2[[#This Row],[OnHandQty]]-Table2[[#This Row],[Projection Nov/Dec]]</f>
        <v>1</v>
      </c>
      <c r="N1735" s="35">
        <f>Table2[[#This Row],[OverStock]]*Table2[[#This Row],[RepCost]]</f>
        <v>270</v>
      </c>
      <c r="O1735" s="25">
        <v>45727.413888888892</v>
      </c>
      <c r="P1735" s="26" t="s">
        <v>1350</v>
      </c>
    </row>
    <row r="1736" spans="1:16" x14ac:dyDescent="0.25">
      <c r="A1736" s="20" t="s">
        <v>5211</v>
      </c>
      <c r="B1736" s="21">
        <v>636</v>
      </c>
      <c r="C1736" s="22" t="s">
        <v>323</v>
      </c>
      <c r="D1736" s="22" t="s">
        <v>1322</v>
      </c>
      <c r="E1736" s="22" t="str">
        <f>CONCATENATE(B1736,D1736)</f>
        <v>63684833-020</v>
      </c>
      <c r="F1736" s="22" t="s">
        <v>1323</v>
      </c>
      <c r="G1736" s="22" t="s">
        <v>19</v>
      </c>
      <c r="H1736" s="23">
        <v>296.57339999999999</v>
      </c>
      <c r="I1736" s="24">
        <v>2</v>
      </c>
      <c r="J1736" s="24">
        <v>1</v>
      </c>
      <c r="K1736" s="24">
        <v>0</v>
      </c>
      <c r="L1736" s="41">
        <f>Table2[[#This Row],[Column1]]+Table2[[#This Row],[Column2]]</f>
        <v>1</v>
      </c>
      <c r="M1736" s="42">
        <f>Table2[[#This Row],[OnHandQty]]-Table2[[#This Row],[Projection Nov/Dec]]</f>
        <v>1</v>
      </c>
      <c r="N1736" s="35">
        <f>Table2[[#This Row],[OverStock]]*Table2[[#This Row],[RepCost]]</f>
        <v>296.57339999999999</v>
      </c>
      <c r="O1736" s="25">
        <v>45957.623611111114</v>
      </c>
      <c r="P1736" s="26" t="s">
        <v>486</v>
      </c>
    </row>
    <row r="1737" spans="1:16" x14ac:dyDescent="0.25">
      <c r="A1737" s="20" t="s">
        <v>5211</v>
      </c>
      <c r="B1737" s="21">
        <v>714</v>
      </c>
      <c r="C1737" s="22" t="s">
        <v>323</v>
      </c>
      <c r="D1737" s="22" t="s">
        <v>2931</v>
      </c>
      <c r="E1737" s="22" t="str">
        <f>CONCATENATE(B1737,D1737)</f>
        <v>71471217-102</v>
      </c>
      <c r="F1737" s="22" t="s">
        <v>2932</v>
      </c>
      <c r="G1737" s="22" t="s">
        <v>29</v>
      </c>
      <c r="H1737" s="23">
        <v>16.152699999999999</v>
      </c>
      <c r="I1737" s="24">
        <v>304</v>
      </c>
      <c r="J1737" s="24">
        <v>0</v>
      </c>
      <c r="K1737" s="24">
        <v>0</v>
      </c>
      <c r="L1737" s="41">
        <f>Table2[[#This Row],[Column1]]+Table2[[#This Row],[Column2]]</f>
        <v>0</v>
      </c>
      <c r="M1737" s="42">
        <f>Table2[[#This Row],[OnHandQty]]-Table2[[#This Row],[Projection Nov/Dec]]</f>
        <v>304</v>
      </c>
      <c r="N1737" s="35">
        <f>Table2[[#This Row],[OverStock]]*Table2[[#This Row],[RepCost]]</f>
        <v>4910.4207999999999</v>
      </c>
      <c r="O1737" s="25">
        <v>46149.571527777778</v>
      </c>
      <c r="P1737" s="26" t="s">
        <v>2930</v>
      </c>
    </row>
    <row r="1738" spans="1:16" x14ac:dyDescent="0.25">
      <c r="A1738" s="20" t="s">
        <v>5211</v>
      </c>
      <c r="B1738" s="21">
        <v>636</v>
      </c>
      <c r="C1738" s="22" t="s">
        <v>323</v>
      </c>
      <c r="D1738" s="22" t="s">
        <v>1572</v>
      </c>
      <c r="E1738" s="22" t="str">
        <f>CONCATENATE(B1738,D1738)</f>
        <v>63671222-045</v>
      </c>
      <c r="F1738" s="22" t="s">
        <v>1573</v>
      </c>
      <c r="G1738" s="22" t="s">
        <v>1400</v>
      </c>
      <c r="H1738" s="23">
        <v>999.03989999999999</v>
      </c>
      <c r="I1738" s="24">
        <v>3</v>
      </c>
      <c r="J1738" s="24">
        <v>0</v>
      </c>
      <c r="K1738" s="24">
        <v>0</v>
      </c>
      <c r="L1738" s="41">
        <f>Table2[[#This Row],[Column1]]+Table2[[#This Row],[Column2]]</f>
        <v>0</v>
      </c>
      <c r="M1738" s="42">
        <f>Table2[[#This Row],[OnHandQty]]-Table2[[#This Row],[Projection Nov/Dec]]</f>
        <v>3</v>
      </c>
      <c r="N1738" s="35">
        <f>Table2[[#This Row],[OverStock]]*Table2[[#This Row],[RepCost]]</f>
        <v>2997.1197000000002</v>
      </c>
      <c r="O1738" s="25">
        <v>45778.335416666669</v>
      </c>
      <c r="P1738" s="26" t="s">
        <v>1437</v>
      </c>
    </row>
    <row r="1739" spans="1:16" x14ac:dyDescent="0.25">
      <c r="A1739" s="20" t="s">
        <v>5211</v>
      </c>
      <c r="B1739" s="21">
        <v>634</v>
      </c>
      <c r="C1739" s="22" t="s">
        <v>323</v>
      </c>
      <c r="D1739" s="22" t="s">
        <v>420</v>
      </c>
      <c r="E1739" s="22" t="str">
        <f>CONCATENATE(B1739,D1739)</f>
        <v>63471229-020</v>
      </c>
      <c r="F1739" s="22" t="s">
        <v>421</v>
      </c>
      <c r="G1739" s="22" t="s">
        <v>29</v>
      </c>
      <c r="H1739" s="23">
        <v>122.7698</v>
      </c>
      <c r="I1739" s="24">
        <v>7</v>
      </c>
      <c r="J1739" s="24">
        <v>0</v>
      </c>
      <c r="K1739" s="24">
        <v>0</v>
      </c>
      <c r="L1739" s="41">
        <f>Table2[[#This Row],[Column1]]+Table2[[#This Row],[Column2]]</f>
        <v>0</v>
      </c>
      <c r="M1739" s="42">
        <f>Table2[[#This Row],[OnHandQty]]-Table2[[#This Row],[Projection Nov/Dec]]</f>
        <v>7</v>
      </c>
      <c r="N1739" s="35">
        <f>Table2[[#This Row],[OverStock]]*Table2[[#This Row],[RepCost]]</f>
        <v>859.3886</v>
      </c>
      <c r="O1739" s="25">
        <v>46094.541666666664</v>
      </c>
      <c r="P1739" s="26" t="s">
        <v>354</v>
      </c>
    </row>
    <row r="1740" spans="1:16" x14ac:dyDescent="0.25">
      <c r="A1740" s="20" t="s">
        <v>5211</v>
      </c>
      <c r="B1740" s="21">
        <v>714</v>
      </c>
      <c r="C1740" s="22" t="s">
        <v>323</v>
      </c>
      <c r="D1740" s="22" t="s">
        <v>3233</v>
      </c>
      <c r="E1740" s="22" t="str">
        <f>CONCATENATE(B1740,D1740)</f>
        <v>71476404-025</v>
      </c>
      <c r="F1740" s="22" t="s">
        <v>3234</v>
      </c>
      <c r="G1740" s="22" t="s">
        <v>19</v>
      </c>
      <c r="H1740" s="23">
        <v>201.2799</v>
      </c>
      <c r="I1740" s="24">
        <v>6</v>
      </c>
      <c r="J1740" s="24">
        <v>0</v>
      </c>
      <c r="K1740" s="24">
        <v>0</v>
      </c>
      <c r="L1740" s="41">
        <f>Table2[[#This Row],[Column1]]+Table2[[#This Row],[Column2]]</f>
        <v>0</v>
      </c>
      <c r="M1740" s="42">
        <f>Table2[[#This Row],[OnHandQty]]-Table2[[#This Row],[Projection Nov/Dec]]</f>
        <v>6</v>
      </c>
      <c r="N1740" s="35">
        <f>Table2[[#This Row],[OverStock]]*Table2[[#This Row],[RepCost]]</f>
        <v>1207.6794</v>
      </c>
      <c r="O1740" s="25">
        <v>46087.429861111108</v>
      </c>
      <c r="P1740" s="26" t="s">
        <v>159</v>
      </c>
    </row>
    <row r="1741" spans="1:16" x14ac:dyDescent="0.25">
      <c r="A1741" s="20" t="s">
        <v>5211</v>
      </c>
      <c r="B1741" s="21">
        <v>718</v>
      </c>
      <c r="C1741" s="22" t="s">
        <v>323</v>
      </c>
      <c r="D1741" s="22" t="s">
        <v>3233</v>
      </c>
      <c r="E1741" s="22" t="str">
        <f>CONCATENATE(B1741,D1741)</f>
        <v>71876404-025</v>
      </c>
      <c r="F1741" s="22" t="s">
        <v>3234</v>
      </c>
      <c r="G1741" s="22" t="s">
        <v>23</v>
      </c>
      <c r="H1741" s="23">
        <v>203.64580000000001</v>
      </c>
      <c r="I1741" s="24">
        <v>2</v>
      </c>
      <c r="J1741" s="24">
        <v>0</v>
      </c>
      <c r="K1741" s="24">
        <v>0</v>
      </c>
      <c r="L1741" s="41">
        <f>Table2[[#This Row],[Column1]]+Table2[[#This Row],[Column2]]</f>
        <v>0</v>
      </c>
      <c r="M1741" s="42">
        <f>Table2[[#This Row],[OnHandQty]]-Table2[[#This Row],[Projection Nov/Dec]]</f>
        <v>2</v>
      </c>
      <c r="N1741" s="35">
        <f>Table2[[#This Row],[OverStock]]*Table2[[#This Row],[RepCost]]</f>
        <v>407.29160000000002</v>
      </c>
      <c r="O1741" s="25">
        <v>46091.34652777778</v>
      </c>
      <c r="P1741" s="26" t="s">
        <v>159</v>
      </c>
    </row>
    <row r="1742" spans="1:16" x14ac:dyDescent="0.25">
      <c r="A1742" s="20" t="s">
        <v>5211</v>
      </c>
      <c r="B1742" s="21">
        <v>714</v>
      </c>
      <c r="C1742" s="22" t="s">
        <v>323</v>
      </c>
      <c r="D1742" s="22" t="s">
        <v>1618</v>
      </c>
      <c r="E1742" s="22" t="str">
        <f>CONCATENATE(B1742,D1742)</f>
        <v>71476404-125</v>
      </c>
      <c r="F1742" s="22" t="s">
        <v>1619</v>
      </c>
      <c r="G1742" s="22" t="s">
        <v>23</v>
      </c>
      <c r="H1742" s="23">
        <v>146.8278</v>
      </c>
      <c r="I1742" s="24">
        <v>19</v>
      </c>
      <c r="J1742" s="24">
        <v>0</v>
      </c>
      <c r="K1742" s="24">
        <v>0</v>
      </c>
      <c r="L1742" s="41">
        <f>Table2[[#This Row],[Column1]]+Table2[[#This Row],[Column2]]</f>
        <v>0</v>
      </c>
      <c r="M1742" s="42">
        <f>Table2[[#This Row],[OnHandQty]]-Table2[[#This Row],[Projection Nov/Dec]]</f>
        <v>19</v>
      </c>
      <c r="N1742" s="35">
        <f>Table2[[#This Row],[OverStock]]*Table2[[#This Row],[RepCost]]</f>
        <v>2789.7282</v>
      </c>
      <c r="O1742" s="25">
        <v>46087.493055555555</v>
      </c>
      <c r="P1742" s="26" t="s">
        <v>354</v>
      </c>
    </row>
    <row r="1743" spans="1:16" x14ac:dyDescent="0.25">
      <c r="A1743" s="20" t="s">
        <v>5211</v>
      </c>
      <c r="B1743" s="21">
        <v>636</v>
      </c>
      <c r="C1743" s="22" t="s">
        <v>323</v>
      </c>
      <c r="D1743" s="22" t="s">
        <v>1618</v>
      </c>
      <c r="E1743" s="22" t="str">
        <f>CONCATENATE(B1743,D1743)</f>
        <v>63676404-125</v>
      </c>
      <c r="F1743" s="22" t="s">
        <v>1619</v>
      </c>
      <c r="G1743" s="22" t="s">
        <v>158</v>
      </c>
      <c r="H1743" s="23">
        <v>171</v>
      </c>
      <c r="I1743" s="24">
        <v>6</v>
      </c>
      <c r="J1743" s="24">
        <v>0</v>
      </c>
      <c r="K1743" s="24">
        <v>0</v>
      </c>
      <c r="L1743" s="41">
        <f>Table2[[#This Row],[Column1]]+Table2[[#This Row],[Column2]]</f>
        <v>0</v>
      </c>
      <c r="M1743" s="42">
        <f>Table2[[#This Row],[OnHandQty]]-Table2[[#This Row],[Projection Nov/Dec]]</f>
        <v>6</v>
      </c>
      <c r="N1743" s="35">
        <f>Table2[[#This Row],[OverStock]]*Table2[[#This Row],[RepCost]]</f>
        <v>1026</v>
      </c>
      <c r="O1743" s="25">
        <v>46114.613888888889</v>
      </c>
      <c r="P1743" s="26" t="s">
        <v>1067</v>
      </c>
    </row>
    <row r="1744" spans="1:16" x14ac:dyDescent="0.25">
      <c r="A1744" s="20" t="s">
        <v>5211</v>
      </c>
      <c r="B1744" s="21">
        <v>714</v>
      </c>
      <c r="C1744" s="22" t="s">
        <v>323</v>
      </c>
      <c r="D1744" s="22" t="s">
        <v>3235</v>
      </c>
      <c r="E1744" s="22" t="str">
        <f>CONCATENATE(B1744,D1744)</f>
        <v>71476404-030</v>
      </c>
      <c r="F1744" s="22" t="s">
        <v>3236</v>
      </c>
      <c r="G1744" s="22" t="s">
        <v>29</v>
      </c>
      <c r="H1744" s="23">
        <v>241.53579999999999</v>
      </c>
      <c r="I1744" s="24">
        <v>3</v>
      </c>
      <c r="J1744" s="24">
        <v>0</v>
      </c>
      <c r="K1744" s="24">
        <v>0</v>
      </c>
      <c r="L1744" s="41">
        <f>Table2[[#This Row],[Column1]]+Table2[[#This Row],[Column2]]</f>
        <v>0</v>
      </c>
      <c r="M1744" s="42">
        <f>Table2[[#This Row],[OnHandQty]]-Table2[[#This Row],[Projection Nov/Dec]]</f>
        <v>3</v>
      </c>
      <c r="N1744" s="35">
        <f>Table2[[#This Row],[OverStock]]*Table2[[#This Row],[RepCost]]</f>
        <v>724.60739999999998</v>
      </c>
      <c r="O1744" s="25">
        <v>46087.429861111108</v>
      </c>
      <c r="P1744" s="26" t="s">
        <v>159</v>
      </c>
    </row>
    <row r="1745" spans="1:16" x14ac:dyDescent="0.25">
      <c r="A1745" s="20" t="s">
        <v>5211</v>
      </c>
      <c r="B1745" s="21">
        <v>714</v>
      </c>
      <c r="C1745" s="22" t="s">
        <v>323</v>
      </c>
      <c r="D1745" s="22" t="s">
        <v>3328</v>
      </c>
      <c r="E1745" s="22" t="str">
        <f>CONCATENATE(B1745,D1745)</f>
        <v>71471230-115</v>
      </c>
      <c r="F1745" s="22" t="s">
        <v>3329</v>
      </c>
      <c r="G1745" s="22" t="s">
        <v>23</v>
      </c>
      <c r="H1745" s="23">
        <v>97.685199999999995</v>
      </c>
      <c r="I1745" s="24">
        <v>3</v>
      </c>
      <c r="J1745" s="24">
        <v>2</v>
      </c>
      <c r="K1745" s="24">
        <v>0</v>
      </c>
      <c r="L1745" s="41">
        <f>Table2[[#This Row],[Column1]]+Table2[[#This Row],[Column2]]</f>
        <v>2</v>
      </c>
      <c r="M1745" s="42">
        <f>Table2[[#This Row],[OnHandQty]]-Table2[[#This Row],[Projection Nov/Dec]]</f>
        <v>1</v>
      </c>
      <c r="N1745" s="35">
        <f>Table2[[#This Row],[OverStock]]*Table2[[#This Row],[RepCost]]</f>
        <v>97.685199999999995</v>
      </c>
      <c r="O1745" s="25">
        <v>46123.461805555555</v>
      </c>
      <c r="P1745" s="26" t="s">
        <v>40</v>
      </c>
    </row>
    <row r="1746" spans="1:16" x14ac:dyDescent="0.25">
      <c r="A1746" s="20" t="s">
        <v>5211</v>
      </c>
      <c r="B1746" s="21">
        <v>636</v>
      </c>
      <c r="C1746" s="22" t="s">
        <v>323</v>
      </c>
      <c r="D1746" s="22" t="s">
        <v>1302</v>
      </c>
      <c r="E1746" s="22" t="str">
        <f>CONCATENATE(B1746,D1746)</f>
        <v>63679996-115</v>
      </c>
      <c r="F1746" s="22" t="s">
        <v>1303</v>
      </c>
      <c r="G1746" s="22" t="s">
        <v>23</v>
      </c>
      <c r="H1746" s="23">
        <v>98.812299999999993</v>
      </c>
      <c r="I1746" s="24">
        <v>8</v>
      </c>
      <c r="J1746" s="24">
        <v>0</v>
      </c>
      <c r="K1746" s="24">
        <v>0</v>
      </c>
      <c r="L1746" s="41">
        <f>Table2[[#This Row],[Column1]]+Table2[[#This Row],[Column2]]</f>
        <v>0</v>
      </c>
      <c r="M1746" s="42">
        <f>Table2[[#This Row],[OnHandQty]]-Table2[[#This Row],[Projection Nov/Dec]]</f>
        <v>8</v>
      </c>
      <c r="N1746" s="35">
        <f>Table2[[#This Row],[OverStock]]*Table2[[#This Row],[RepCost]]</f>
        <v>790.49839999999995</v>
      </c>
      <c r="O1746" s="25">
        <v>46121.68472222222</v>
      </c>
      <c r="P1746" s="26" t="s">
        <v>47</v>
      </c>
    </row>
    <row r="1747" spans="1:16" x14ac:dyDescent="0.25">
      <c r="A1747" s="20" t="s">
        <v>5211</v>
      </c>
      <c r="B1747" s="21">
        <v>714</v>
      </c>
      <c r="C1747" s="22" t="s">
        <v>323</v>
      </c>
      <c r="D1747" s="22" t="s">
        <v>2873</v>
      </c>
      <c r="E1747" s="22" t="str">
        <f>CONCATENATE(B1747,D1747)</f>
        <v>71476408-115</v>
      </c>
      <c r="F1747" s="27" t="s">
        <v>2874</v>
      </c>
      <c r="G1747" s="27" t="s">
        <v>58</v>
      </c>
      <c r="H1747" s="23">
        <v>130.54050000000001</v>
      </c>
      <c r="I1747" s="24">
        <v>2</v>
      </c>
      <c r="J1747" s="24">
        <v>0</v>
      </c>
      <c r="K1747" s="24">
        <v>0</v>
      </c>
      <c r="L1747" s="41">
        <f>Table2[[#This Row],[Column1]]+Table2[[#This Row],[Column2]]</f>
        <v>0</v>
      </c>
      <c r="M1747" s="42">
        <f>Table2[[#This Row],[OnHandQty]]-Table2[[#This Row],[Projection Nov/Dec]]</f>
        <v>2</v>
      </c>
      <c r="N1747" s="35">
        <f>Table2[[#This Row],[OverStock]]*Table2[[#This Row],[RepCost]]</f>
        <v>261.08100000000002</v>
      </c>
      <c r="O1747" s="25">
        <v>45062.636111111111</v>
      </c>
      <c r="P1747" s="26" t="s">
        <v>159</v>
      </c>
    </row>
    <row r="1748" spans="1:16" x14ac:dyDescent="0.25">
      <c r="A1748" s="20" t="s">
        <v>5211</v>
      </c>
      <c r="B1748" s="21">
        <v>636</v>
      </c>
      <c r="C1748" s="22" t="s">
        <v>143</v>
      </c>
      <c r="D1748" s="22" t="s">
        <v>1161</v>
      </c>
      <c r="E1748" s="22" t="str">
        <f>CONCATENATE(B1748,D1748)</f>
        <v>63671176-103</v>
      </c>
      <c r="F1748" s="22" t="s">
        <v>1162</v>
      </c>
      <c r="G1748" s="22" t="s">
        <v>29</v>
      </c>
      <c r="H1748" s="23">
        <v>21.224799999999998</v>
      </c>
      <c r="I1748" s="24">
        <v>14</v>
      </c>
      <c r="J1748" s="24">
        <v>0</v>
      </c>
      <c r="K1748" s="24">
        <v>0</v>
      </c>
      <c r="L1748" s="41">
        <f>Table2[[#This Row],[Column1]]+Table2[[#This Row],[Column2]]</f>
        <v>0</v>
      </c>
      <c r="M1748" s="42">
        <f>Table2[[#This Row],[OnHandQty]]-Table2[[#This Row],[Projection Nov/Dec]]</f>
        <v>14</v>
      </c>
      <c r="N1748" s="35">
        <f>Table2[[#This Row],[OverStock]]*Table2[[#This Row],[RepCost]]</f>
        <v>297.1472</v>
      </c>
      <c r="O1748" s="25">
        <v>46162.611805555556</v>
      </c>
      <c r="P1748" s="26" t="s">
        <v>562</v>
      </c>
    </row>
    <row r="1749" spans="1:16" x14ac:dyDescent="0.25">
      <c r="A1749" s="20" t="s">
        <v>5211</v>
      </c>
      <c r="B1749" s="21">
        <v>718</v>
      </c>
      <c r="C1749" s="22" t="s">
        <v>323</v>
      </c>
      <c r="D1749" s="22" t="s">
        <v>2832</v>
      </c>
      <c r="E1749" s="22" t="str">
        <f>CONCATENATE(B1749,D1749)</f>
        <v>71871150-020</v>
      </c>
      <c r="F1749" s="22" t="s">
        <v>2833</v>
      </c>
      <c r="G1749" s="22" t="s">
        <v>29</v>
      </c>
      <c r="H1749" s="23">
        <v>146.69999999999999</v>
      </c>
      <c r="I1749" s="24">
        <v>7</v>
      </c>
      <c r="J1749" s="24">
        <v>1</v>
      </c>
      <c r="K1749" s="24">
        <v>0</v>
      </c>
      <c r="L1749" s="41">
        <f>Table2[[#This Row],[Column1]]+Table2[[#This Row],[Column2]]</f>
        <v>1</v>
      </c>
      <c r="M1749" s="42">
        <f>Table2[[#This Row],[OnHandQty]]-Table2[[#This Row],[Projection Nov/Dec]]</f>
        <v>6</v>
      </c>
      <c r="N1749" s="35">
        <f>Table2[[#This Row],[OverStock]]*Table2[[#This Row],[RepCost]]</f>
        <v>880.19999999999993</v>
      </c>
      <c r="O1749" s="25">
        <v>46136.458333333336</v>
      </c>
      <c r="P1749" s="26" t="s">
        <v>1234</v>
      </c>
    </row>
    <row r="1750" spans="1:16" x14ac:dyDescent="0.25">
      <c r="A1750" s="20" t="s">
        <v>5211</v>
      </c>
      <c r="B1750" s="21">
        <v>714</v>
      </c>
      <c r="C1750" s="22" t="s">
        <v>323</v>
      </c>
      <c r="D1750" s="22" t="s">
        <v>2832</v>
      </c>
      <c r="E1750" s="22" t="str">
        <f>CONCATENATE(B1750,D1750)</f>
        <v>71471150-020</v>
      </c>
      <c r="F1750" s="22" t="s">
        <v>2833</v>
      </c>
      <c r="G1750" s="22" t="s">
        <v>29</v>
      </c>
      <c r="H1750" s="23">
        <v>146.69999999999999</v>
      </c>
      <c r="I1750" s="24">
        <v>12</v>
      </c>
      <c r="J1750" s="24">
        <v>1</v>
      </c>
      <c r="K1750" s="24">
        <v>0</v>
      </c>
      <c r="L1750" s="41">
        <f>Table2[[#This Row],[Column1]]+Table2[[#This Row],[Column2]]</f>
        <v>1</v>
      </c>
      <c r="M1750" s="42">
        <f>Table2[[#This Row],[OnHandQty]]-Table2[[#This Row],[Projection Nov/Dec]]</f>
        <v>11</v>
      </c>
      <c r="N1750" s="35">
        <f>Table2[[#This Row],[OverStock]]*Table2[[#This Row],[RepCost]]</f>
        <v>1613.6999999999998</v>
      </c>
      <c r="O1750" s="25">
        <v>46162.505555555559</v>
      </c>
      <c r="P1750" s="26" t="s">
        <v>1234</v>
      </c>
    </row>
    <row r="1751" spans="1:16" x14ac:dyDescent="0.25">
      <c r="A1751" s="20" t="s">
        <v>5211</v>
      </c>
      <c r="B1751" s="21">
        <v>714</v>
      </c>
      <c r="C1751" s="22" t="s">
        <v>323</v>
      </c>
      <c r="D1751" s="22" t="s">
        <v>3324</v>
      </c>
      <c r="E1751" s="22" t="str">
        <f>CONCATENATE(B1751,D1751)</f>
        <v>71471150-025</v>
      </c>
      <c r="F1751" s="22" t="s">
        <v>3325</v>
      </c>
      <c r="G1751" s="22" t="s">
        <v>158</v>
      </c>
      <c r="H1751" s="23">
        <v>169.28139999999999</v>
      </c>
      <c r="I1751" s="24">
        <v>3</v>
      </c>
      <c r="J1751" s="24">
        <v>0</v>
      </c>
      <c r="K1751" s="24">
        <v>0</v>
      </c>
      <c r="L1751" s="41">
        <f>Table2[[#This Row],[Column1]]+Table2[[#This Row],[Column2]]</f>
        <v>0</v>
      </c>
      <c r="M1751" s="42">
        <f>Table2[[#This Row],[OnHandQty]]-Table2[[#This Row],[Projection Nov/Dec]]</f>
        <v>3</v>
      </c>
      <c r="N1751" s="35">
        <f>Table2[[#This Row],[OverStock]]*Table2[[#This Row],[RepCost]]</f>
        <v>507.8442</v>
      </c>
      <c r="O1751" s="25">
        <v>46101.384722222225</v>
      </c>
      <c r="P1751" s="26" t="s">
        <v>2257</v>
      </c>
    </row>
    <row r="1752" spans="1:16" x14ac:dyDescent="0.25">
      <c r="A1752" s="20" t="s">
        <v>5211</v>
      </c>
      <c r="B1752" s="21">
        <v>636</v>
      </c>
      <c r="C1752" s="22" t="s">
        <v>323</v>
      </c>
      <c r="D1752" s="22" t="s">
        <v>1245</v>
      </c>
      <c r="E1752" s="22" t="str">
        <f>CONCATENATE(B1752,D1752)</f>
        <v>63671150-030</v>
      </c>
      <c r="F1752" s="27" t="s">
        <v>1246</v>
      </c>
      <c r="G1752" s="27" t="s">
        <v>58</v>
      </c>
      <c r="H1752" s="23">
        <v>216.6053</v>
      </c>
      <c r="I1752" s="24">
        <v>1</v>
      </c>
      <c r="J1752" s="24">
        <v>0</v>
      </c>
      <c r="K1752" s="24">
        <v>0</v>
      </c>
      <c r="L1752" s="41">
        <f>Table2[[#This Row],[Column1]]+Table2[[#This Row],[Column2]]</f>
        <v>0</v>
      </c>
      <c r="M1752" s="42">
        <f>Table2[[#This Row],[OnHandQty]]-Table2[[#This Row],[Projection Nov/Dec]]</f>
        <v>1</v>
      </c>
      <c r="N1752" s="35">
        <f>Table2[[#This Row],[OverStock]]*Table2[[#This Row],[RepCost]]</f>
        <v>216.6053</v>
      </c>
      <c r="O1752" s="25">
        <v>45707.509722222225</v>
      </c>
      <c r="P1752" s="26" t="s">
        <v>151</v>
      </c>
    </row>
    <row r="1753" spans="1:16" x14ac:dyDescent="0.25">
      <c r="A1753" s="20" t="s">
        <v>5211</v>
      </c>
      <c r="B1753" s="21">
        <v>714</v>
      </c>
      <c r="C1753" s="22" t="s">
        <v>323</v>
      </c>
      <c r="D1753" s="22" t="s">
        <v>2885</v>
      </c>
      <c r="E1753" s="22" t="str">
        <f>CONCATENATE(B1753,D1753)</f>
        <v>71476405-110</v>
      </c>
      <c r="F1753" s="22" t="s">
        <v>2886</v>
      </c>
      <c r="G1753" s="22" t="s">
        <v>23</v>
      </c>
      <c r="H1753" s="23">
        <v>90.452500000000001</v>
      </c>
      <c r="I1753" s="24">
        <v>3</v>
      </c>
      <c r="J1753" s="24">
        <v>1</v>
      </c>
      <c r="K1753" s="24">
        <v>0</v>
      </c>
      <c r="L1753" s="41">
        <f>Table2[[#This Row],[Column1]]+Table2[[#This Row],[Column2]]</f>
        <v>1</v>
      </c>
      <c r="M1753" s="42">
        <f>Table2[[#This Row],[OnHandQty]]-Table2[[#This Row],[Projection Nov/Dec]]</f>
        <v>2</v>
      </c>
      <c r="N1753" s="35">
        <f>Table2[[#This Row],[OverStock]]*Table2[[#This Row],[RepCost]]</f>
        <v>180.905</v>
      </c>
      <c r="O1753" s="25">
        <v>45759.426388888889</v>
      </c>
      <c r="P1753" s="26" t="s">
        <v>2887</v>
      </c>
    </row>
    <row r="1754" spans="1:16" x14ac:dyDescent="0.25">
      <c r="A1754" s="20" t="s">
        <v>5211</v>
      </c>
      <c r="B1754" s="21">
        <v>714</v>
      </c>
      <c r="C1754" s="22" t="s">
        <v>323</v>
      </c>
      <c r="D1754" s="22" t="s">
        <v>2888</v>
      </c>
      <c r="E1754" s="22" t="str">
        <f>CONCATENATE(B1754,D1754)</f>
        <v>71476405-020</v>
      </c>
      <c r="F1754" s="22" t="s">
        <v>2889</v>
      </c>
      <c r="G1754" s="22" t="s">
        <v>43</v>
      </c>
      <c r="H1754" s="23">
        <v>144.9007</v>
      </c>
      <c r="I1754" s="24">
        <v>19</v>
      </c>
      <c r="J1754" s="24">
        <v>2</v>
      </c>
      <c r="K1754" s="24">
        <v>0</v>
      </c>
      <c r="L1754" s="41">
        <f>Table2[[#This Row],[Column1]]+Table2[[#This Row],[Column2]]</f>
        <v>2</v>
      </c>
      <c r="M1754" s="42">
        <f>Table2[[#This Row],[OnHandQty]]-Table2[[#This Row],[Projection Nov/Dec]]</f>
        <v>17</v>
      </c>
      <c r="N1754" s="35">
        <f>Table2[[#This Row],[OverStock]]*Table2[[#This Row],[RepCost]]</f>
        <v>2463.3119000000002</v>
      </c>
      <c r="O1754" s="25">
        <v>46079.423611111109</v>
      </c>
      <c r="P1754" s="26" t="s">
        <v>159</v>
      </c>
    </row>
    <row r="1755" spans="1:16" x14ac:dyDescent="0.25">
      <c r="A1755" s="20" t="s">
        <v>5211</v>
      </c>
      <c r="B1755" s="21">
        <v>714</v>
      </c>
      <c r="C1755" s="22" t="s">
        <v>323</v>
      </c>
      <c r="D1755" s="22" t="s">
        <v>3249</v>
      </c>
      <c r="E1755" s="22" t="str">
        <f>CONCATENATE(B1755,D1755)</f>
        <v>71476405-025</v>
      </c>
      <c r="F1755" s="22" t="s">
        <v>3250</v>
      </c>
      <c r="G1755" s="22" t="s">
        <v>23</v>
      </c>
      <c r="H1755" s="23">
        <v>201.2799</v>
      </c>
      <c r="I1755" s="24">
        <v>4</v>
      </c>
      <c r="J1755" s="24">
        <v>0</v>
      </c>
      <c r="K1755" s="24">
        <v>0</v>
      </c>
      <c r="L1755" s="41">
        <f>Table2[[#This Row],[Column1]]+Table2[[#This Row],[Column2]]</f>
        <v>0</v>
      </c>
      <c r="M1755" s="42">
        <f>Table2[[#This Row],[OnHandQty]]-Table2[[#This Row],[Projection Nov/Dec]]</f>
        <v>4</v>
      </c>
      <c r="N1755" s="35">
        <f>Table2[[#This Row],[OverStock]]*Table2[[#This Row],[RepCost]]</f>
        <v>805.11959999999999</v>
      </c>
      <c r="O1755" s="25">
        <v>46087.429861111108</v>
      </c>
      <c r="P1755" s="26" t="s">
        <v>159</v>
      </c>
    </row>
    <row r="1756" spans="1:16" x14ac:dyDescent="0.25">
      <c r="A1756" s="20" t="s">
        <v>5211</v>
      </c>
      <c r="B1756" s="21">
        <v>714</v>
      </c>
      <c r="C1756" s="22" t="s">
        <v>323</v>
      </c>
      <c r="D1756" s="22" t="s">
        <v>434</v>
      </c>
      <c r="E1756" s="22" t="str">
        <f>CONCATENATE(B1756,D1756)</f>
        <v>71476405-125</v>
      </c>
      <c r="F1756" s="22" t="s">
        <v>435</v>
      </c>
      <c r="G1756" s="22" t="s">
        <v>23</v>
      </c>
      <c r="H1756" s="23">
        <v>147.98560000000001</v>
      </c>
      <c r="I1756" s="24">
        <v>6</v>
      </c>
      <c r="J1756" s="24">
        <v>0</v>
      </c>
      <c r="K1756" s="24">
        <v>0</v>
      </c>
      <c r="L1756" s="41">
        <f>Table2[[#This Row],[Column1]]+Table2[[#This Row],[Column2]]</f>
        <v>0</v>
      </c>
      <c r="M1756" s="42">
        <f>Table2[[#This Row],[OnHandQty]]-Table2[[#This Row],[Projection Nov/Dec]]</f>
        <v>6</v>
      </c>
      <c r="N1756" s="35">
        <f>Table2[[#This Row],[OverStock]]*Table2[[#This Row],[RepCost]]</f>
        <v>887.91360000000009</v>
      </c>
      <c r="O1756" s="25">
        <v>46087.493055555555</v>
      </c>
      <c r="P1756" s="26" t="s">
        <v>354</v>
      </c>
    </row>
    <row r="1757" spans="1:16" x14ac:dyDescent="0.25">
      <c r="A1757" s="20" t="s">
        <v>5211</v>
      </c>
      <c r="B1757" s="21">
        <v>634</v>
      </c>
      <c r="C1757" s="22" t="s">
        <v>323</v>
      </c>
      <c r="D1757" s="22" t="s">
        <v>434</v>
      </c>
      <c r="E1757" s="22" t="str">
        <f>CONCATENATE(B1757,D1757)</f>
        <v>63476405-125</v>
      </c>
      <c r="F1757" s="22" t="s">
        <v>435</v>
      </c>
      <c r="G1757" s="22" t="s">
        <v>23</v>
      </c>
      <c r="H1757" s="23">
        <v>139.1885</v>
      </c>
      <c r="I1757" s="24">
        <v>5</v>
      </c>
      <c r="J1757" s="24">
        <v>0</v>
      </c>
      <c r="K1757" s="24">
        <v>0</v>
      </c>
      <c r="L1757" s="41">
        <f>Table2[[#This Row],[Column1]]+Table2[[#This Row],[Column2]]</f>
        <v>0</v>
      </c>
      <c r="M1757" s="42">
        <f>Table2[[#This Row],[OnHandQty]]-Table2[[#This Row],[Projection Nov/Dec]]</f>
        <v>5</v>
      </c>
      <c r="N1757" s="35">
        <f>Table2[[#This Row],[OverStock]]*Table2[[#This Row],[RepCost]]</f>
        <v>695.9425</v>
      </c>
      <c r="O1757" s="25">
        <v>46094.541666666664</v>
      </c>
      <c r="P1757" s="26" t="s">
        <v>354</v>
      </c>
    </row>
    <row r="1758" spans="1:16" x14ac:dyDescent="0.25">
      <c r="A1758" s="20" t="s">
        <v>5211</v>
      </c>
      <c r="B1758" s="21">
        <v>636</v>
      </c>
      <c r="C1758" s="22" t="s">
        <v>323</v>
      </c>
      <c r="D1758" s="22" t="s">
        <v>434</v>
      </c>
      <c r="E1758" s="22" t="str">
        <f>CONCATENATE(B1758,D1758)</f>
        <v>63676405-125</v>
      </c>
      <c r="F1758" s="22" t="s">
        <v>435</v>
      </c>
      <c r="G1758" s="22" t="s">
        <v>23</v>
      </c>
      <c r="H1758" s="23">
        <v>156.45490000000001</v>
      </c>
      <c r="I1758" s="24">
        <v>12</v>
      </c>
      <c r="J1758" s="24">
        <v>0</v>
      </c>
      <c r="K1758" s="24">
        <v>0</v>
      </c>
      <c r="L1758" s="41">
        <f>Table2[[#This Row],[Column1]]+Table2[[#This Row],[Column2]]</f>
        <v>0</v>
      </c>
      <c r="M1758" s="42">
        <f>Table2[[#This Row],[OnHandQty]]-Table2[[#This Row],[Projection Nov/Dec]]</f>
        <v>12</v>
      </c>
      <c r="N1758" s="35">
        <f>Table2[[#This Row],[OverStock]]*Table2[[#This Row],[RepCost]]</f>
        <v>1877.4588000000001</v>
      </c>
      <c r="O1758" s="25">
        <v>46121.533333333333</v>
      </c>
      <c r="P1758" s="26" t="s">
        <v>371</v>
      </c>
    </row>
    <row r="1759" spans="1:16" x14ac:dyDescent="0.25">
      <c r="A1759" s="20" t="s">
        <v>5211</v>
      </c>
      <c r="B1759" s="21">
        <v>714</v>
      </c>
      <c r="C1759" s="22" t="s">
        <v>323</v>
      </c>
      <c r="D1759" s="22" t="s">
        <v>2916</v>
      </c>
      <c r="E1759" s="22" t="str">
        <f>CONCATENATE(B1759,D1759)</f>
        <v>71476405-030</v>
      </c>
      <c r="F1759" s="22" t="s">
        <v>2917</v>
      </c>
      <c r="G1759" s="22" t="s">
        <v>29</v>
      </c>
      <c r="H1759" s="23">
        <v>241.53579999999999</v>
      </c>
      <c r="I1759" s="24">
        <v>4</v>
      </c>
      <c r="J1759" s="24">
        <v>0</v>
      </c>
      <c r="K1759" s="24">
        <v>0</v>
      </c>
      <c r="L1759" s="41">
        <f>Table2[[#This Row],[Column1]]+Table2[[#This Row],[Column2]]</f>
        <v>0</v>
      </c>
      <c r="M1759" s="42">
        <f>Table2[[#This Row],[OnHandQty]]-Table2[[#This Row],[Projection Nov/Dec]]</f>
        <v>4</v>
      </c>
      <c r="N1759" s="35">
        <f>Table2[[#This Row],[OverStock]]*Table2[[#This Row],[RepCost]]</f>
        <v>966.14319999999998</v>
      </c>
      <c r="O1759" s="25">
        <v>46087.429861111108</v>
      </c>
      <c r="P1759" s="26" t="s">
        <v>159</v>
      </c>
    </row>
    <row r="1760" spans="1:16" x14ac:dyDescent="0.25">
      <c r="A1760" s="20" t="s">
        <v>5211</v>
      </c>
      <c r="B1760" s="21">
        <v>634</v>
      </c>
      <c r="C1760" s="22" t="s">
        <v>323</v>
      </c>
      <c r="D1760" s="22" t="s">
        <v>394</v>
      </c>
      <c r="E1760" s="22" t="str">
        <f>CONCATENATE(B1760,D1760)</f>
        <v>63482450-025</v>
      </c>
      <c r="F1760" s="22" t="s">
        <v>395</v>
      </c>
      <c r="G1760" s="22" t="s">
        <v>29</v>
      </c>
      <c r="H1760" s="23">
        <v>257.09460000000001</v>
      </c>
      <c r="I1760" s="24">
        <v>2</v>
      </c>
      <c r="J1760" s="24">
        <v>0</v>
      </c>
      <c r="K1760" s="24">
        <v>0</v>
      </c>
      <c r="L1760" s="41">
        <f>Table2[[#This Row],[Column1]]+Table2[[#This Row],[Column2]]</f>
        <v>0</v>
      </c>
      <c r="M1760" s="42">
        <f>Table2[[#This Row],[OnHandQty]]-Table2[[#This Row],[Projection Nov/Dec]]</f>
        <v>2</v>
      </c>
      <c r="N1760" s="35">
        <f>Table2[[#This Row],[OverStock]]*Table2[[#This Row],[RepCost]]</f>
        <v>514.18920000000003</v>
      </c>
      <c r="O1760" s="25">
        <v>46115.618055555555</v>
      </c>
      <c r="P1760" s="26" t="s">
        <v>295</v>
      </c>
    </row>
    <row r="1761" spans="1:16" x14ac:dyDescent="0.25">
      <c r="A1761" s="20" t="s">
        <v>5211</v>
      </c>
      <c r="B1761" s="21">
        <v>636</v>
      </c>
      <c r="C1761" s="22" t="s">
        <v>323</v>
      </c>
      <c r="D1761" s="22" t="s">
        <v>1396</v>
      </c>
      <c r="E1761" s="22" t="str">
        <f>CONCATENATE(B1761,D1761)</f>
        <v>63671240-025</v>
      </c>
      <c r="F1761" s="22" t="s">
        <v>1397</v>
      </c>
      <c r="G1761" s="22" t="s">
        <v>29</v>
      </c>
      <c r="H1761" s="23">
        <v>198.31649999999999</v>
      </c>
      <c r="I1761" s="24">
        <v>3</v>
      </c>
      <c r="J1761" s="24">
        <v>2</v>
      </c>
      <c r="K1761" s="24">
        <v>0</v>
      </c>
      <c r="L1761" s="41">
        <f>Table2[[#This Row],[Column1]]+Table2[[#This Row],[Column2]]</f>
        <v>2</v>
      </c>
      <c r="M1761" s="42">
        <f>Table2[[#This Row],[OnHandQty]]-Table2[[#This Row],[Projection Nov/Dec]]</f>
        <v>1</v>
      </c>
      <c r="N1761" s="35">
        <f>Table2[[#This Row],[OverStock]]*Table2[[#This Row],[RepCost]]</f>
        <v>198.31649999999999</v>
      </c>
      <c r="O1761" s="25">
        <v>46112.467361111114</v>
      </c>
      <c r="P1761" s="26" t="s">
        <v>151</v>
      </c>
    </row>
    <row r="1762" spans="1:16" x14ac:dyDescent="0.25">
      <c r="A1762" s="20" t="s">
        <v>5211</v>
      </c>
      <c r="B1762" s="21">
        <v>636</v>
      </c>
      <c r="C1762" s="22" t="s">
        <v>323</v>
      </c>
      <c r="D1762" s="22" t="s">
        <v>1540</v>
      </c>
      <c r="E1762" s="22" t="str">
        <f>CONCATENATE(B1762,D1762)</f>
        <v>63671240-035</v>
      </c>
      <c r="F1762" s="22" t="s">
        <v>1541</v>
      </c>
      <c r="G1762" s="22" t="s">
        <v>29</v>
      </c>
      <c r="H1762" s="23">
        <v>328.97329999999999</v>
      </c>
      <c r="I1762" s="24">
        <v>11</v>
      </c>
      <c r="J1762" s="24">
        <v>0</v>
      </c>
      <c r="K1762" s="24">
        <v>3</v>
      </c>
      <c r="L1762" s="41">
        <f>Table2[[#This Row],[Column1]]+Table2[[#This Row],[Column2]]</f>
        <v>3</v>
      </c>
      <c r="M1762" s="42">
        <f>Table2[[#This Row],[OnHandQty]]-Table2[[#This Row],[Projection Nov/Dec]]</f>
        <v>8</v>
      </c>
      <c r="N1762" s="35">
        <f>Table2[[#This Row],[OverStock]]*Table2[[#This Row],[RepCost]]</f>
        <v>2631.7864</v>
      </c>
      <c r="O1762" s="25">
        <v>46114.394444444442</v>
      </c>
      <c r="P1762" s="26" t="s">
        <v>486</v>
      </c>
    </row>
    <row r="1763" spans="1:16" x14ac:dyDescent="0.25">
      <c r="A1763" s="20" t="s">
        <v>5211</v>
      </c>
      <c r="B1763" s="21">
        <v>636</v>
      </c>
      <c r="C1763" s="22" t="s">
        <v>323</v>
      </c>
      <c r="D1763" s="22" t="s">
        <v>1636</v>
      </c>
      <c r="E1763" s="22" t="str">
        <f>CONCATENATE(B1763,D1763)</f>
        <v>63671240-040</v>
      </c>
      <c r="F1763" s="22" t="s">
        <v>1637</v>
      </c>
      <c r="G1763" s="22" t="s">
        <v>29</v>
      </c>
      <c r="H1763" s="23">
        <v>556.62950000000001</v>
      </c>
      <c r="I1763" s="24">
        <v>3</v>
      </c>
      <c r="J1763" s="24">
        <v>0</v>
      </c>
      <c r="K1763" s="24">
        <v>0</v>
      </c>
      <c r="L1763" s="41">
        <f>Table2[[#This Row],[Column1]]+Table2[[#This Row],[Column2]]</f>
        <v>0</v>
      </c>
      <c r="M1763" s="42">
        <f>Table2[[#This Row],[OnHandQty]]-Table2[[#This Row],[Projection Nov/Dec]]</f>
        <v>3</v>
      </c>
      <c r="N1763" s="35">
        <f>Table2[[#This Row],[OverStock]]*Table2[[#This Row],[RepCost]]</f>
        <v>1669.8885</v>
      </c>
      <c r="O1763" s="25">
        <v>46114.394444444442</v>
      </c>
      <c r="P1763" s="26" t="s">
        <v>486</v>
      </c>
    </row>
    <row r="1764" spans="1:16" x14ac:dyDescent="0.25">
      <c r="A1764" s="20" t="s">
        <v>5211</v>
      </c>
      <c r="B1764" s="21">
        <v>636</v>
      </c>
      <c r="C1764" s="22" t="s">
        <v>323</v>
      </c>
      <c r="D1764" s="22" t="s">
        <v>1284</v>
      </c>
      <c r="E1764" s="22" t="str">
        <f>CONCATENATE(B1764,D1764)</f>
        <v>63671242-115</v>
      </c>
      <c r="F1764" s="27" t="s">
        <v>1285</v>
      </c>
      <c r="G1764" s="27" t="s">
        <v>58</v>
      </c>
      <c r="H1764" s="23">
        <v>78.906099999999995</v>
      </c>
      <c r="I1764" s="24">
        <v>5</v>
      </c>
      <c r="J1764" s="24">
        <v>3</v>
      </c>
      <c r="K1764" s="24">
        <v>0</v>
      </c>
      <c r="L1764" s="41">
        <f>Table2[[#This Row],[Column1]]+Table2[[#This Row],[Column2]]</f>
        <v>3</v>
      </c>
      <c r="M1764" s="42">
        <f>Table2[[#This Row],[OnHandQty]]-Table2[[#This Row],[Projection Nov/Dec]]</f>
        <v>2</v>
      </c>
      <c r="N1764" s="35">
        <f>Table2[[#This Row],[OverStock]]*Table2[[#This Row],[RepCost]]</f>
        <v>157.81219999999999</v>
      </c>
      <c r="O1764" s="25">
        <v>45358.370833333334</v>
      </c>
      <c r="P1764" s="26" t="s">
        <v>40</v>
      </c>
    </row>
    <row r="1765" spans="1:16" x14ac:dyDescent="0.25">
      <c r="A1765" s="20" t="s">
        <v>5211</v>
      </c>
      <c r="B1765" s="21">
        <v>718</v>
      </c>
      <c r="C1765" s="22" t="s">
        <v>323</v>
      </c>
      <c r="D1765" s="22" t="s">
        <v>1431</v>
      </c>
      <c r="E1765" s="22" t="str">
        <f>CONCATENATE(B1765,D1765)</f>
        <v>71871242-020</v>
      </c>
      <c r="F1765" s="22" t="s">
        <v>1432</v>
      </c>
      <c r="G1765" s="22" t="s">
        <v>23</v>
      </c>
      <c r="H1765" s="23">
        <v>138.2098</v>
      </c>
      <c r="I1765" s="24">
        <v>3</v>
      </c>
      <c r="J1765" s="24">
        <v>0</v>
      </c>
      <c r="K1765" s="24">
        <v>0</v>
      </c>
      <c r="L1765" s="41">
        <f>Table2[[#This Row],[Column1]]+Table2[[#This Row],[Column2]]</f>
        <v>0</v>
      </c>
      <c r="M1765" s="42">
        <f>Table2[[#This Row],[OnHandQty]]-Table2[[#This Row],[Projection Nov/Dec]]</f>
        <v>3</v>
      </c>
      <c r="N1765" s="35">
        <f>Table2[[#This Row],[OverStock]]*Table2[[#This Row],[RepCost]]</f>
        <v>414.62940000000003</v>
      </c>
      <c r="O1765" s="25">
        <v>46077.418055555558</v>
      </c>
      <c r="P1765" s="26" t="s">
        <v>151</v>
      </c>
    </row>
    <row r="1766" spans="1:16" x14ac:dyDescent="0.25">
      <c r="A1766" s="20" t="s">
        <v>5211</v>
      </c>
      <c r="B1766" s="21">
        <v>636</v>
      </c>
      <c r="C1766" s="22" t="s">
        <v>323</v>
      </c>
      <c r="D1766" s="22" t="s">
        <v>1431</v>
      </c>
      <c r="E1766" s="22" t="str">
        <f>CONCATENATE(B1766,D1766)</f>
        <v>63671242-020</v>
      </c>
      <c r="F1766" s="22" t="s">
        <v>1432</v>
      </c>
      <c r="G1766" s="22" t="s">
        <v>158</v>
      </c>
      <c r="H1766" s="23">
        <v>136.7071</v>
      </c>
      <c r="I1766" s="24">
        <v>2</v>
      </c>
      <c r="J1766" s="24">
        <v>0</v>
      </c>
      <c r="K1766" s="24">
        <v>0</v>
      </c>
      <c r="L1766" s="41">
        <f>Table2[[#This Row],[Column1]]+Table2[[#This Row],[Column2]]</f>
        <v>0</v>
      </c>
      <c r="M1766" s="42">
        <f>Table2[[#This Row],[OnHandQty]]-Table2[[#This Row],[Projection Nov/Dec]]</f>
        <v>2</v>
      </c>
      <c r="N1766" s="35">
        <f>Table2[[#This Row],[OverStock]]*Table2[[#This Row],[RepCost]]</f>
        <v>273.41419999999999</v>
      </c>
      <c r="O1766" s="25">
        <v>46164.390972222223</v>
      </c>
      <c r="P1766" s="26" t="s">
        <v>151</v>
      </c>
    </row>
    <row r="1767" spans="1:16" x14ac:dyDescent="0.25">
      <c r="A1767" s="20" t="s">
        <v>5211</v>
      </c>
      <c r="B1767" s="21">
        <v>634</v>
      </c>
      <c r="C1767" s="22" t="s">
        <v>323</v>
      </c>
      <c r="D1767" s="22" t="s">
        <v>432</v>
      </c>
      <c r="E1767" s="22" t="str">
        <f>CONCATENATE(B1767,D1767)</f>
        <v>63471242-025</v>
      </c>
      <c r="F1767" s="22" t="s">
        <v>433</v>
      </c>
      <c r="G1767" s="22" t="s">
        <v>43</v>
      </c>
      <c r="H1767" s="23">
        <v>189.82140000000001</v>
      </c>
      <c r="I1767" s="24">
        <v>3</v>
      </c>
      <c r="J1767" s="24">
        <v>0</v>
      </c>
      <c r="K1767" s="24">
        <v>0</v>
      </c>
      <c r="L1767" s="41">
        <f>Table2[[#This Row],[Column1]]+Table2[[#This Row],[Column2]]</f>
        <v>0</v>
      </c>
      <c r="M1767" s="42">
        <f>Table2[[#This Row],[OnHandQty]]-Table2[[#This Row],[Projection Nov/Dec]]</f>
        <v>3</v>
      </c>
      <c r="N1767" s="35">
        <f>Table2[[#This Row],[OverStock]]*Table2[[#This Row],[RepCost]]</f>
        <v>569.46420000000001</v>
      </c>
      <c r="O1767" s="25">
        <v>46080.506249999999</v>
      </c>
      <c r="P1767" s="26" t="s">
        <v>159</v>
      </c>
    </row>
    <row r="1768" spans="1:16" x14ac:dyDescent="0.25">
      <c r="A1768" s="20" t="s">
        <v>5211</v>
      </c>
      <c r="B1768" s="21">
        <v>718</v>
      </c>
      <c r="C1768" s="22" t="s">
        <v>323</v>
      </c>
      <c r="D1768" s="22" t="s">
        <v>432</v>
      </c>
      <c r="E1768" s="22" t="str">
        <f>CONCATENATE(B1768,D1768)</f>
        <v>71871242-025</v>
      </c>
      <c r="F1768" s="22" t="s">
        <v>433</v>
      </c>
      <c r="G1768" s="22" t="s">
        <v>158</v>
      </c>
      <c r="H1768" s="23">
        <v>181.3922</v>
      </c>
      <c r="I1768" s="24">
        <v>4</v>
      </c>
      <c r="J1768" s="24">
        <v>0</v>
      </c>
      <c r="K1768" s="24">
        <v>0</v>
      </c>
      <c r="L1768" s="41">
        <f>Table2[[#This Row],[Column1]]+Table2[[#This Row],[Column2]]</f>
        <v>0</v>
      </c>
      <c r="M1768" s="42">
        <f>Table2[[#This Row],[OnHandQty]]-Table2[[#This Row],[Projection Nov/Dec]]</f>
        <v>4</v>
      </c>
      <c r="N1768" s="35">
        <f>Table2[[#This Row],[OverStock]]*Table2[[#This Row],[RepCost]]</f>
        <v>725.56880000000001</v>
      </c>
      <c r="O1768" s="25">
        <v>46093.595833333333</v>
      </c>
      <c r="P1768" s="26" t="s">
        <v>2257</v>
      </c>
    </row>
    <row r="1769" spans="1:16" x14ac:dyDescent="0.25">
      <c r="A1769" s="20" t="s">
        <v>5211</v>
      </c>
      <c r="B1769" s="21">
        <v>714</v>
      </c>
      <c r="C1769" s="22" t="s">
        <v>323</v>
      </c>
      <c r="D1769" s="22" t="s">
        <v>432</v>
      </c>
      <c r="E1769" s="22" t="str">
        <f>CONCATENATE(B1769,D1769)</f>
        <v>71471242-025</v>
      </c>
      <c r="F1769" s="22" t="s">
        <v>433</v>
      </c>
      <c r="G1769" s="22" t="s">
        <v>23</v>
      </c>
      <c r="H1769" s="23">
        <v>190.3357</v>
      </c>
      <c r="I1769" s="24">
        <v>14</v>
      </c>
      <c r="J1769" s="24">
        <v>0</v>
      </c>
      <c r="K1769" s="24">
        <v>0</v>
      </c>
      <c r="L1769" s="41">
        <f>Table2[[#This Row],[Column1]]+Table2[[#This Row],[Column2]]</f>
        <v>0</v>
      </c>
      <c r="M1769" s="42">
        <f>Table2[[#This Row],[OnHandQty]]-Table2[[#This Row],[Projection Nov/Dec]]</f>
        <v>14</v>
      </c>
      <c r="N1769" s="35">
        <f>Table2[[#This Row],[OverStock]]*Table2[[#This Row],[RepCost]]</f>
        <v>2664.6997999999999</v>
      </c>
      <c r="O1769" s="25">
        <v>46093.634722222225</v>
      </c>
      <c r="P1769" s="26" t="s">
        <v>2257</v>
      </c>
    </row>
    <row r="1770" spans="1:16" x14ac:dyDescent="0.25">
      <c r="A1770" s="20" t="s">
        <v>5211</v>
      </c>
      <c r="B1770" s="21">
        <v>718</v>
      </c>
      <c r="C1770" s="22" t="s">
        <v>323</v>
      </c>
      <c r="D1770" s="22" t="s">
        <v>3935</v>
      </c>
      <c r="E1770" s="22" t="str">
        <f>CONCATENATE(B1770,D1770)</f>
        <v>71871242-125</v>
      </c>
      <c r="F1770" s="22" t="s">
        <v>3936</v>
      </c>
      <c r="G1770" s="22" t="s">
        <v>1047</v>
      </c>
      <c r="H1770" s="23">
        <v>130.6885</v>
      </c>
      <c r="I1770" s="24">
        <v>9</v>
      </c>
      <c r="J1770" s="24">
        <v>0</v>
      </c>
      <c r="K1770" s="24">
        <v>0</v>
      </c>
      <c r="L1770" s="41">
        <f>Table2[[#This Row],[Column1]]+Table2[[#This Row],[Column2]]</f>
        <v>0</v>
      </c>
      <c r="M1770" s="42">
        <f>Table2[[#This Row],[OnHandQty]]-Table2[[#This Row],[Projection Nov/Dec]]</f>
        <v>9</v>
      </c>
      <c r="N1770" s="35">
        <f>Table2[[#This Row],[OverStock]]*Table2[[#This Row],[RepCost]]</f>
        <v>1176.1965</v>
      </c>
      <c r="O1770" s="25">
        <v>45926.795138888891</v>
      </c>
      <c r="P1770" s="26" t="s">
        <v>1870</v>
      </c>
    </row>
    <row r="1771" spans="1:16" x14ac:dyDescent="0.25">
      <c r="A1771" s="20" t="s">
        <v>5211</v>
      </c>
      <c r="B1771" s="21">
        <v>636</v>
      </c>
      <c r="C1771" s="22" t="s">
        <v>323</v>
      </c>
      <c r="D1771" s="22" t="s">
        <v>1501</v>
      </c>
      <c r="E1771" s="22" t="str">
        <f>CONCATENATE(B1771,D1771)</f>
        <v>63671242-030</v>
      </c>
      <c r="F1771" s="22" t="s">
        <v>1502</v>
      </c>
      <c r="G1771" s="22" t="s">
        <v>158</v>
      </c>
      <c r="H1771" s="23">
        <v>236.78870000000001</v>
      </c>
      <c r="I1771" s="24">
        <v>2</v>
      </c>
      <c r="J1771" s="24">
        <v>0</v>
      </c>
      <c r="K1771" s="24">
        <v>0</v>
      </c>
      <c r="L1771" s="41">
        <f>Table2[[#This Row],[Column1]]+Table2[[#This Row],[Column2]]</f>
        <v>0</v>
      </c>
      <c r="M1771" s="42">
        <f>Table2[[#This Row],[OnHandQty]]-Table2[[#This Row],[Projection Nov/Dec]]</f>
        <v>2</v>
      </c>
      <c r="N1771" s="35">
        <f>Table2[[#This Row],[OverStock]]*Table2[[#This Row],[RepCost]]</f>
        <v>473.57740000000001</v>
      </c>
      <c r="O1771" s="25">
        <v>46086.521527777775</v>
      </c>
      <c r="P1771" s="26" t="s">
        <v>151</v>
      </c>
    </row>
    <row r="1772" spans="1:16" x14ac:dyDescent="0.25">
      <c r="A1772" s="20" t="s">
        <v>5211</v>
      </c>
      <c r="B1772" s="21">
        <v>636</v>
      </c>
      <c r="C1772" s="22" t="s">
        <v>323</v>
      </c>
      <c r="D1772" s="22" t="s">
        <v>428</v>
      </c>
      <c r="E1772" s="22" t="str">
        <f>CONCATENATE(B1772,D1772)</f>
        <v>63671242-040</v>
      </c>
      <c r="F1772" s="22" t="s">
        <v>429</v>
      </c>
      <c r="G1772" s="22" t="s">
        <v>29</v>
      </c>
      <c r="H1772" s="23">
        <v>395.61970000000002</v>
      </c>
      <c r="I1772" s="24">
        <v>1</v>
      </c>
      <c r="J1772" s="24">
        <v>0</v>
      </c>
      <c r="K1772" s="24">
        <v>0</v>
      </c>
      <c r="L1772" s="41">
        <f>Table2[[#This Row],[Column1]]+Table2[[#This Row],[Column2]]</f>
        <v>0</v>
      </c>
      <c r="M1772" s="42">
        <f>Table2[[#This Row],[OnHandQty]]-Table2[[#This Row],[Projection Nov/Dec]]</f>
        <v>1</v>
      </c>
      <c r="N1772" s="35">
        <f>Table2[[#This Row],[OverStock]]*Table2[[#This Row],[RepCost]]</f>
        <v>395.61970000000002</v>
      </c>
      <c r="O1772" s="25">
        <v>45712.381249999999</v>
      </c>
      <c r="P1772" s="26" t="s">
        <v>159</v>
      </c>
    </row>
    <row r="1773" spans="1:16" x14ac:dyDescent="0.25">
      <c r="A1773" s="20" t="s">
        <v>5211</v>
      </c>
      <c r="B1773" s="21">
        <v>634</v>
      </c>
      <c r="C1773" s="22" t="s">
        <v>323</v>
      </c>
      <c r="D1773" s="22" t="s">
        <v>428</v>
      </c>
      <c r="E1773" s="22" t="str">
        <f>CONCATENATE(B1773,D1773)</f>
        <v>63471242-040</v>
      </c>
      <c r="F1773" s="27" t="s">
        <v>429</v>
      </c>
      <c r="G1773" s="27" t="s">
        <v>58</v>
      </c>
      <c r="H1773" s="23">
        <v>394.37580000000003</v>
      </c>
      <c r="I1773" s="24">
        <v>1</v>
      </c>
      <c r="J1773" s="24">
        <v>0</v>
      </c>
      <c r="K1773" s="24">
        <v>0</v>
      </c>
      <c r="L1773" s="41">
        <f>Table2[[#This Row],[Column1]]+Table2[[#This Row],[Column2]]</f>
        <v>0</v>
      </c>
      <c r="M1773" s="42">
        <f>Table2[[#This Row],[OnHandQty]]-Table2[[#This Row],[Projection Nov/Dec]]</f>
        <v>1</v>
      </c>
      <c r="N1773" s="35">
        <f>Table2[[#This Row],[OverStock]]*Table2[[#This Row],[RepCost]]</f>
        <v>394.37580000000003</v>
      </c>
      <c r="O1773" s="25">
        <v>45712.435416666667</v>
      </c>
      <c r="P1773" s="26" t="s">
        <v>159</v>
      </c>
    </row>
    <row r="1774" spans="1:16" x14ac:dyDescent="0.25">
      <c r="A1774" s="20" t="s">
        <v>5211</v>
      </c>
      <c r="B1774" s="21">
        <v>714</v>
      </c>
      <c r="C1774" s="22" t="s">
        <v>323</v>
      </c>
      <c r="D1774" s="22" t="s">
        <v>3039</v>
      </c>
      <c r="E1774" s="22" t="str">
        <f>CONCATENATE(B1774,D1774)</f>
        <v>71471242-145</v>
      </c>
      <c r="F1774" s="27" t="s">
        <v>3040</v>
      </c>
      <c r="G1774" s="27" t="s">
        <v>58</v>
      </c>
      <c r="H1774" s="23">
        <v>157.8047</v>
      </c>
      <c r="I1774" s="24">
        <v>2</v>
      </c>
      <c r="J1774" s="24">
        <v>0</v>
      </c>
      <c r="K1774" s="24">
        <v>0</v>
      </c>
      <c r="L1774" s="41">
        <f>Table2[[#This Row],[Column1]]+Table2[[#This Row],[Column2]]</f>
        <v>0</v>
      </c>
      <c r="M1774" s="42">
        <f>Table2[[#This Row],[OnHandQty]]-Table2[[#This Row],[Projection Nov/Dec]]</f>
        <v>2</v>
      </c>
      <c r="N1774" s="35">
        <f>Table2[[#This Row],[OverStock]]*Table2[[#This Row],[RepCost]]</f>
        <v>315.60939999999999</v>
      </c>
      <c r="O1774" s="25">
        <v>45769.462500000001</v>
      </c>
      <c r="P1774" s="26" t="s">
        <v>1870</v>
      </c>
    </row>
    <row r="1775" spans="1:16" x14ac:dyDescent="0.25">
      <c r="A1775" s="20" t="s">
        <v>5211</v>
      </c>
      <c r="B1775" s="21">
        <v>636</v>
      </c>
      <c r="C1775" s="22" t="s">
        <v>323</v>
      </c>
      <c r="D1775" s="22" t="s">
        <v>1642</v>
      </c>
      <c r="E1775" s="22" t="str">
        <f>CONCATENATE(B1775,D1775)</f>
        <v>63671242-050</v>
      </c>
      <c r="F1775" s="27" t="s">
        <v>1643</v>
      </c>
      <c r="G1775" s="27" t="s">
        <v>58</v>
      </c>
      <c r="H1775" s="23">
        <v>582.20500000000004</v>
      </c>
      <c r="I1775" s="24">
        <v>1</v>
      </c>
      <c r="J1775" s="24">
        <v>0</v>
      </c>
      <c r="K1775" s="24">
        <v>0</v>
      </c>
      <c r="L1775" s="41">
        <f>Table2[[#This Row],[Column1]]+Table2[[#This Row],[Column2]]</f>
        <v>0</v>
      </c>
      <c r="M1775" s="42">
        <f>Table2[[#This Row],[OnHandQty]]-Table2[[#This Row],[Projection Nov/Dec]]</f>
        <v>1</v>
      </c>
      <c r="N1775" s="35">
        <f>Table2[[#This Row],[OverStock]]*Table2[[#This Row],[RepCost]]</f>
        <v>582.20500000000004</v>
      </c>
      <c r="O1775" s="25">
        <v>45712.381249999999</v>
      </c>
      <c r="P1775" s="26" t="s">
        <v>159</v>
      </c>
    </row>
    <row r="1776" spans="1:16" x14ac:dyDescent="0.25">
      <c r="A1776" s="20" t="s">
        <v>5211</v>
      </c>
      <c r="B1776" s="21">
        <v>718</v>
      </c>
      <c r="C1776" s="22" t="s">
        <v>143</v>
      </c>
      <c r="D1776" s="22" t="s">
        <v>2720</v>
      </c>
      <c r="E1776" s="22" t="str">
        <f>CONCATENATE(B1776,D1776)</f>
        <v>71878605-105</v>
      </c>
      <c r="F1776" s="27" t="s">
        <v>2721</v>
      </c>
      <c r="G1776" s="27" t="s">
        <v>58</v>
      </c>
      <c r="H1776" s="23">
        <v>39.218699999999998</v>
      </c>
      <c r="I1776" s="24">
        <v>7</v>
      </c>
      <c r="J1776" s="24">
        <v>0</v>
      </c>
      <c r="K1776" s="24">
        <v>0</v>
      </c>
      <c r="L1776" s="41">
        <f>Table2[[#This Row],[Column1]]+Table2[[#This Row],[Column2]]</f>
        <v>0</v>
      </c>
      <c r="M1776" s="42">
        <f>Table2[[#This Row],[OnHandQty]]-Table2[[#This Row],[Projection Nov/Dec]]</f>
        <v>7</v>
      </c>
      <c r="N1776" s="35">
        <f>Table2[[#This Row],[OverStock]]*Table2[[#This Row],[RepCost]]</f>
        <v>274.53089999999997</v>
      </c>
      <c r="O1776" s="25">
        <v>45832.509027777778</v>
      </c>
      <c r="P1776" s="26" t="s">
        <v>67</v>
      </c>
    </row>
    <row r="1777" spans="1:16" x14ac:dyDescent="0.25">
      <c r="A1777" s="20" t="s">
        <v>5211</v>
      </c>
      <c r="B1777" s="21">
        <v>714</v>
      </c>
      <c r="C1777" s="22" t="s">
        <v>143</v>
      </c>
      <c r="D1777" s="22" t="s">
        <v>2720</v>
      </c>
      <c r="E1777" s="22" t="str">
        <f>CONCATENATE(B1777,D1777)</f>
        <v>71478605-105</v>
      </c>
      <c r="F1777" s="27" t="s">
        <v>2721</v>
      </c>
      <c r="G1777" s="27" t="s">
        <v>58</v>
      </c>
      <c r="H1777" s="23">
        <v>39.3187</v>
      </c>
      <c r="I1777" s="24">
        <v>7</v>
      </c>
      <c r="J1777" s="24">
        <v>0</v>
      </c>
      <c r="K1777" s="24">
        <v>0</v>
      </c>
      <c r="L1777" s="41">
        <f>Table2[[#This Row],[Column1]]+Table2[[#This Row],[Column2]]</f>
        <v>0</v>
      </c>
      <c r="M1777" s="42">
        <f>Table2[[#This Row],[OnHandQty]]-Table2[[#This Row],[Projection Nov/Dec]]</f>
        <v>7</v>
      </c>
      <c r="N1777" s="35">
        <f>Table2[[#This Row],[OverStock]]*Table2[[#This Row],[RepCost]]</f>
        <v>275.23090000000002</v>
      </c>
      <c r="O1777" s="25">
        <v>45832.625</v>
      </c>
      <c r="P1777" s="26" t="s">
        <v>67</v>
      </c>
    </row>
    <row r="1778" spans="1:16" x14ac:dyDescent="0.25">
      <c r="A1778" s="20" t="s">
        <v>5211</v>
      </c>
      <c r="B1778" s="21">
        <v>718</v>
      </c>
      <c r="C1778" s="22" t="s">
        <v>143</v>
      </c>
      <c r="D1778" s="22" t="s">
        <v>3726</v>
      </c>
      <c r="E1778" s="22" t="str">
        <f>CONCATENATE(B1778,D1778)</f>
        <v>71878605-ESP105</v>
      </c>
      <c r="F1778" s="22" t="s">
        <v>3727</v>
      </c>
      <c r="G1778" s="22" t="s">
        <v>29</v>
      </c>
      <c r="H1778" s="23">
        <v>91.587900000000005</v>
      </c>
      <c r="I1778" s="24">
        <v>2</v>
      </c>
      <c r="J1778" s="24">
        <v>0</v>
      </c>
      <c r="K1778" s="24">
        <v>0</v>
      </c>
      <c r="L1778" s="41">
        <f>Table2[[#This Row],[Column1]]+Table2[[#This Row],[Column2]]</f>
        <v>0</v>
      </c>
      <c r="M1778" s="42">
        <f>Table2[[#This Row],[OnHandQty]]-Table2[[#This Row],[Projection Nov/Dec]]</f>
        <v>2</v>
      </c>
      <c r="N1778" s="35">
        <f>Table2[[#This Row],[OverStock]]*Table2[[#This Row],[RepCost]]</f>
        <v>183.17580000000001</v>
      </c>
      <c r="O1778" s="25">
        <v>46181.580555555556</v>
      </c>
      <c r="P1778" s="26" t="s">
        <v>67</v>
      </c>
    </row>
    <row r="1779" spans="1:16" x14ac:dyDescent="0.25">
      <c r="A1779" s="20" t="s">
        <v>5211</v>
      </c>
      <c r="B1779" s="21">
        <v>714</v>
      </c>
      <c r="C1779" s="22" t="s">
        <v>143</v>
      </c>
      <c r="D1779" s="22" t="s">
        <v>2247</v>
      </c>
      <c r="E1779" s="22" t="str">
        <f>CONCATENATE(B1779,D1779)</f>
        <v>71478606-105</v>
      </c>
      <c r="F1779" s="22" t="s">
        <v>2248</v>
      </c>
      <c r="G1779" s="22" t="s">
        <v>29</v>
      </c>
      <c r="H1779" s="23">
        <v>40.197299999999998</v>
      </c>
      <c r="I1779" s="24">
        <v>4</v>
      </c>
      <c r="J1779" s="24">
        <v>0</v>
      </c>
      <c r="K1779" s="24">
        <v>0</v>
      </c>
      <c r="L1779" s="41">
        <f>Table2[[#This Row],[Column1]]+Table2[[#This Row],[Column2]]</f>
        <v>0</v>
      </c>
      <c r="M1779" s="42">
        <f>Table2[[#This Row],[OnHandQty]]-Table2[[#This Row],[Projection Nov/Dec]]</f>
        <v>4</v>
      </c>
      <c r="N1779" s="35">
        <f>Table2[[#This Row],[OverStock]]*Table2[[#This Row],[RepCost]]</f>
        <v>160.78919999999999</v>
      </c>
      <c r="O1779" s="25">
        <v>46126.649305555555</v>
      </c>
      <c r="P1779" s="26" t="s">
        <v>67</v>
      </c>
    </row>
    <row r="1780" spans="1:16" x14ac:dyDescent="0.25">
      <c r="A1780" s="20" t="s">
        <v>5211</v>
      </c>
      <c r="B1780" s="21">
        <v>714</v>
      </c>
      <c r="C1780" s="22" t="s">
        <v>323</v>
      </c>
      <c r="D1780" s="22" t="s">
        <v>3530</v>
      </c>
      <c r="E1780" s="22" t="str">
        <f>CONCATENATE(B1780,D1780)</f>
        <v>71471360-035</v>
      </c>
      <c r="F1780" s="22" t="s">
        <v>3531</v>
      </c>
      <c r="G1780" s="22" t="s">
        <v>455</v>
      </c>
      <c r="H1780" s="23">
        <v>299.25</v>
      </c>
      <c r="I1780" s="24">
        <v>2</v>
      </c>
      <c r="J1780" s="24">
        <v>0</v>
      </c>
      <c r="K1780" s="24">
        <v>0</v>
      </c>
      <c r="L1780" s="41">
        <f>Table2[[#This Row],[Column1]]+Table2[[#This Row],[Column2]]</f>
        <v>0</v>
      </c>
      <c r="M1780" s="42">
        <f>Table2[[#This Row],[OnHandQty]]-Table2[[#This Row],[Projection Nov/Dec]]</f>
        <v>2</v>
      </c>
      <c r="N1780" s="35">
        <f>Table2[[#This Row],[OverStock]]*Table2[[#This Row],[RepCost]]</f>
        <v>598.5</v>
      </c>
      <c r="O1780" s="25">
        <v>46143.36041666667</v>
      </c>
      <c r="P1780" s="26" t="s">
        <v>2719</v>
      </c>
    </row>
    <row r="1781" spans="1:16" x14ac:dyDescent="0.25">
      <c r="A1781" s="20" t="s">
        <v>5211</v>
      </c>
      <c r="B1781" s="21">
        <v>636</v>
      </c>
      <c r="C1781" s="22" t="s">
        <v>323</v>
      </c>
      <c r="D1781" s="22" t="s">
        <v>1330</v>
      </c>
      <c r="E1781" s="22" t="str">
        <f>CONCATENATE(B1781,D1781)</f>
        <v>63678257-020</v>
      </c>
      <c r="F1781" s="22" t="s">
        <v>1331</v>
      </c>
      <c r="G1781" s="22" t="s">
        <v>19</v>
      </c>
      <c r="H1781" s="23">
        <v>116.6152</v>
      </c>
      <c r="I1781" s="24">
        <v>3</v>
      </c>
      <c r="J1781" s="24">
        <v>0</v>
      </c>
      <c r="K1781" s="24">
        <v>0</v>
      </c>
      <c r="L1781" s="41">
        <f>Table2[[#This Row],[Column1]]+Table2[[#This Row],[Column2]]</f>
        <v>0</v>
      </c>
      <c r="M1781" s="42">
        <f>Table2[[#This Row],[OnHandQty]]-Table2[[#This Row],[Projection Nov/Dec]]</f>
        <v>3</v>
      </c>
      <c r="N1781" s="35">
        <f>Table2[[#This Row],[OverStock]]*Table2[[#This Row],[RepCost]]</f>
        <v>349.84559999999999</v>
      </c>
      <c r="O1781" s="25">
        <v>46094.407638888886</v>
      </c>
      <c r="P1781" s="26" t="s">
        <v>354</v>
      </c>
    </row>
    <row r="1782" spans="1:16" x14ac:dyDescent="0.25">
      <c r="A1782" s="20" t="s">
        <v>5211</v>
      </c>
      <c r="B1782" s="21">
        <v>718</v>
      </c>
      <c r="C1782" s="22" t="s">
        <v>323</v>
      </c>
      <c r="D1782" s="22" t="s">
        <v>1330</v>
      </c>
      <c r="E1782" s="22" t="str">
        <f>CONCATENATE(B1782,D1782)</f>
        <v>71878257-020</v>
      </c>
      <c r="F1782" s="22" t="s">
        <v>1331</v>
      </c>
      <c r="G1782" s="22" t="s">
        <v>23</v>
      </c>
      <c r="H1782" s="23">
        <v>161.27799999999999</v>
      </c>
      <c r="I1782" s="24">
        <v>1</v>
      </c>
      <c r="J1782" s="24">
        <v>0</v>
      </c>
      <c r="K1782" s="24">
        <v>0</v>
      </c>
      <c r="L1782" s="41">
        <f>Table2[[#This Row],[Column1]]+Table2[[#This Row],[Column2]]</f>
        <v>0</v>
      </c>
      <c r="M1782" s="42">
        <f>Table2[[#This Row],[OnHandQty]]-Table2[[#This Row],[Projection Nov/Dec]]</f>
        <v>1</v>
      </c>
      <c r="N1782" s="35">
        <f>Table2[[#This Row],[OverStock]]*Table2[[#This Row],[RepCost]]</f>
        <v>161.27799999999999</v>
      </c>
      <c r="O1782" s="25">
        <v>46134.54791666667</v>
      </c>
      <c r="P1782" s="26" t="s">
        <v>2423</v>
      </c>
    </row>
    <row r="1783" spans="1:16" x14ac:dyDescent="0.25">
      <c r="A1783" s="20" t="s">
        <v>5211</v>
      </c>
      <c r="B1783" s="21">
        <v>714</v>
      </c>
      <c r="C1783" s="22" t="s">
        <v>323</v>
      </c>
      <c r="D1783" s="22" t="s">
        <v>3221</v>
      </c>
      <c r="E1783" s="22" t="str">
        <f>CONCATENATE(B1783,D1783)</f>
        <v>71477560-ESP020</v>
      </c>
      <c r="F1783" s="22" t="s">
        <v>3222</v>
      </c>
      <c r="G1783" s="22" t="s">
        <v>29</v>
      </c>
      <c r="H1783" s="23">
        <v>193.2679</v>
      </c>
      <c r="I1783" s="24">
        <v>1</v>
      </c>
      <c r="J1783" s="24">
        <v>0</v>
      </c>
      <c r="K1783" s="24">
        <v>0</v>
      </c>
      <c r="L1783" s="41">
        <f>Table2[[#This Row],[Column1]]+Table2[[#This Row],[Column2]]</f>
        <v>0</v>
      </c>
      <c r="M1783" s="42">
        <f>Table2[[#This Row],[OnHandQty]]-Table2[[#This Row],[Projection Nov/Dec]]</f>
        <v>1</v>
      </c>
      <c r="N1783" s="35">
        <f>Table2[[#This Row],[OverStock]]*Table2[[#This Row],[RepCost]]</f>
        <v>193.2679</v>
      </c>
      <c r="O1783" s="25">
        <v>45797.421527777777</v>
      </c>
      <c r="P1783" s="26" t="s">
        <v>885</v>
      </c>
    </row>
    <row r="1784" spans="1:16" x14ac:dyDescent="0.25">
      <c r="A1784" s="20" t="s">
        <v>5211</v>
      </c>
      <c r="B1784" s="21">
        <v>636</v>
      </c>
      <c r="C1784" s="22" t="s">
        <v>323</v>
      </c>
      <c r="D1784" s="22" t="s">
        <v>1582</v>
      </c>
      <c r="E1784" s="22" t="str">
        <f>CONCATENATE(B1784,D1784)</f>
        <v>63676789-110</v>
      </c>
      <c r="F1784" s="27" t="s">
        <v>1583</v>
      </c>
      <c r="G1784" s="27" t="s">
        <v>58</v>
      </c>
      <c r="H1784" s="23">
        <v>55.504600000000003</v>
      </c>
      <c r="I1784" s="24">
        <v>3</v>
      </c>
      <c r="J1784" s="24">
        <v>0</v>
      </c>
      <c r="K1784" s="24">
        <v>0</v>
      </c>
      <c r="L1784" s="41">
        <f>Table2[[#This Row],[Column1]]+Table2[[#This Row],[Column2]]</f>
        <v>0</v>
      </c>
      <c r="M1784" s="42">
        <f>Table2[[#This Row],[OnHandQty]]-Table2[[#This Row],[Projection Nov/Dec]]</f>
        <v>3</v>
      </c>
      <c r="N1784" s="35">
        <f>Table2[[#This Row],[OverStock]]*Table2[[#This Row],[RepCost]]</f>
        <v>166.5138</v>
      </c>
      <c r="O1784" s="25">
        <v>45575.42291666667</v>
      </c>
      <c r="P1784" s="26" t="s">
        <v>40</v>
      </c>
    </row>
    <row r="1785" spans="1:16" x14ac:dyDescent="0.25">
      <c r="A1785" s="20" t="s">
        <v>5211</v>
      </c>
      <c r="B1785" s="21">
        <v>714</v>
      </c>
      <c r="C1785" s="22" t="s">
        <v>323</v>
      </c>
      <c r="D1785" s="22" t="s">
        <v>3319</v>
      </c>
      <c r="E1785" s="22" t="str">
        <f>CONCATENATE(B1785,D1785)</f>
        <v>71471376-020</v>
      </c>
      <c r="F1785" s="22" t="s">
        <v>3320</v>
      </c>
      <c r="G1785" s="22" t="s">
        <v>1047</v>
      </c>
      <c r="H1785" s="23">
        <v>132.0256</v>
      </c>
      <c r="I1785" s="24">
        <v>10</v>
      </c>
      <c r="J1785" s="24">
        <v>0</v>
      </c>
      <c r="K1785" s="24">
        <v>0</v>
      </c>
      <c r="L1785" s="41">
        <f>Table2[[#This Row],[Column1]]+Table2[[#This Row],[Column2]]</f>
        <v>0</v>
      </c>
      <c r="M1785" s="42">
        <f>Table2[[#This Row],[OnHandQty]]-Table2[[#This Row],[Projection Nov/Dec]]</f>
        <v>10</v>
      </c>
      <c r="N1785" s="35">
        <f>Table2[[#This Row],[OverStock]]*Table2[[#This Row],[RepCost]]</f>
        <v>1320.2559999999999</v>
      </c>
      <c r="O1785" s="25">
        <v>45735.563888888886</v>
      </c>
      <c r="P1785" s="26" t="s">
        <v>1234</v>
      </c>
    </row>
    <row r="1786" spans="1:16" x14ac:dyDescent="0.25">
      <c r="A1786" s="20" t="s">
        <v>5211</v>
      </c>
      <c r="B1786" s="21">
        <v>714</v>
      </c>
      <c r="C1786" s="22" t="s">
        <v>323</v>
      </c>
      <c r="D1786" s="22" t="s">
        <v>3198</v>
      </c>
      <c r="E1786" s="22" t="str">
        <f>CONCATENATE(B1786,D1786)</f>
        <v>71471379-020</v>
      </c>
      <c r="F1786" s="22" t="s">
        <v>3199</v>
      </c>
      <c r="G1786" s="22" t="s">
        <v>23</v>
      </c>
      <c r="H1786" s="23">
        <v>193.1764</v>
      </c>
      <c r="I1786" s="24">
        <v>13</v>
      </c>
      <c r="J1786" s="24">
        <v>0</v>
      </c>
      <c r="K1786" s="24">
        <v>0</v>
      </c>
      <c r="L1786" s="41">
        <f>Table2[[#This Row],[Column1]]+Table2[[#This Row],[Column2]]</f>
        <v>0</v>
      </c>
      <c r="M1786" s="42">
        <f>Table2[[#This Row],[OnHandQty]]-Table2[[#This Row],[Projection Nov/Dec]]</f>
        <v>13</v>
      </c>
      <c r="N1786" s="35">
        <f>Table2[[#This Row],[OverStock]]*Table2[[#This Row],[RepCost]]</f>
        <v>2511.2932000000001</v>
      </c>
      <c r="O1786" s="25">
        <v>46130.412499999999</v>
      </c>
      <c r="P1786" s="26" t="s">
        <v>1224</v>
      </c>
    </row>
    <row r="1787" spans="1:16" x14ac:dyDescent="0.25">
      <c r="A1787" s="20" t="s">
        <v>5211</v>
      </c>
      <c r="B1787" s="21">
        <v>636</v>
      </c>
      <c r="C1787" s="22" t="s">
        <v>323</v>
      </c>
      <c r="D1787" s="22" t="s">
        <v>1278</v>
      </c>
      <c r="E1787" s="22" t="str">
        <f>CONCATENATE(B1787,D1787)</f>
        <v>63671379-045</v>
      </c>
      <c r="F1787" s="22" t="s">
        <v>1279</v>
      </c>
      <c r="G1787" s="22" t="s">
        <v>29</v>
      </c>
      <c r="H1787" s="23">
        <v>543.66160000000002</v>
      </c>
      <c r="I1787" s="24">
        <v>4</v>
      </c>
      <c r="J1787" s="24">
        <v>0</v>
      </c>
      <c r="K1787" s="24">
        <v>0</v>
      </c>
      <c r="L1787" s="41">
        <f>Table2[[#This Row],[Column1]]+Table2[[#This Row],[Column2]]</f>
        <v>0</v>
      </c>
      <c r="M1787" s="42">
        <f>Table2[[#This Row],[OnHandQty]]-Table2[[#This Row],[Projection Nov/Dec]]</f>
        <v>4</v>
      </c>
      <c r="N1787" s="35">
        <f>Table2[[#This Row],[OverStock]]*Table2[[#This Row],[RepCost]]</f>
        <v>2174.6464000000001</v>
      </c>
      <c r="O1787" s="25">
        <v>46086.3125</v>
      </c>
      <c r="P1787" s="26" t="s">
        <v>1229</v>
      </c>
    </row>
    <row r="1788" spans="1:16" x14ac:dyDescent="0.25">
      <c r="A1788" s="20" t="s">
        <v>5211</v>
      </c>
      <c r="B1788" s="21">
        <v>636</v>
      </c>
      <c r="C1788" s="22" t="s">
        <v>323</v>
      </c>
      <c r="D1788" s="22" t="s">
        <v>1232</v>
      </c>
      <c r="E1788" s="22" t="str">
        <f>CONCATENATE(B1788,D1788)</f>
        <v>63671383-020</v>
      </c>
      <c r="F1788" s="22" t="s">
        <v>1233</v>
      </c>
      <c r="G1788" s="22" t="s">
        <v>158</v>
      </c>
      <c r="H1788" s="23">
        <v>141.1327</v>
      </c>
      <c r="I1788" s="24">
        <v>4</v>
      </c>
      <c r="J1788" s="24">
        <v>1</v>
      </c>
      <c r="K1788" s="24">
        <v>1</v>
      </c>
      <c r="L1788" s="41">
        <f>Table2[[#This Row],[Column1]]+Table2[[#This Row],[Column2]]</f>
        <v>2</v>
      </c>
      <c r="M1788" s="42">
        <f>Table2[[#This Row],[OnHandQty]]-Table2[[#This Row],[Projection Nov/Dec]]</f>
        <v>2</v>
      </c>
      <c r="N1788" s="35">
        <f>Table2[[#This Row],[OverStock]]*Table2[[#This Row],[RepCost]]</f>
        <v>282.2654</v>
      </c>
      <c r="O1788" s="25">
        <v>46115.425694444442</v>
      </c>
      <c r="P1788" s="26" t="s">
        <v>1234</v>
      </c>
    </row>
    <row r="1789" spans="1:16" x14ac:dyDescent="0.25">
      <c r="A1789" s="20" t="s">
        <v>5211</v>
      </c>
      <c r="B1789" s="21">
        <v>636</v>
      </c>
      <c r="C1789" s="22" t="s">
        <v>323</v>
      </c>
      <c r="D1789" s="22" t="s">
        <v>1705</v>
      </c>
      <c r="E1789" s="22" t="str">
        <f>CONCATENATE(B1789,D1789)</f>
        <v>63671383-050</v>
      </c>
      <c r="F1789" s="22" t="s">
        <v>1706</v>
      </c>
      <c r="G1789" s="22" t="s">
        <v>19</v>
      </c>
      <c r="H1789" s="23">
        <v>633.14290000000005</v>
      </c>
      <c r="I1789" s="24">
        <v>3</v>
      </c>
      <c r="J1789" s="24">
        <v>0</v>
      </c>
      <c r="K1789" s="24">
        <v>0</v>
      </c>
      <c r="L1789" s="41">
        <f>Table2[[#This Row],[Column1]]+Table2[[#This Row],[Column2]]</f>
        <v>0</v>
      </c>
      <c r="M1789" s="42">
        <f>Table2[[#This Row],[OnHandQty]]-Table2[[#This Row],[Projection Nov/Dec]]</f>
        <v>3</v>
      </c>
      <c r="N1789" s="35">
        <f>Table2[[#This Row],[OverStock]]*Table2[[#This Row],[RepCost]]</f>
        <v>1899.4287000000002</v>
      </c>
      <c r="O1789" s="25">
        <v>46072.503472222219</v>
      </c>
      <c r="P1789" s="26" t="s">
        <v>1229</v>
      </c>
    </row>
    <row r="1790" spans="1:16" x14ac:dyDescent="0.25">
      <c r="A1790" s="20" t="s">
        <v>5211</v>
      </c>
      <c r="B1790" s="21">
        <v>636</v>
      </c>
      <c r="C1790" s="22" t="s">
        <v>323</v>
      </c>
      <c r="D1790" s="22" t="s">
        <v>1612</v>
      </c>
      <c r="E1790" s="22" t="str">
        <f>CONCATENATE(B1790,D1790)</f>
        <v>63681378-020</v>
      </c>
      <c r="F1790" s="22" t="s">
        <v>1613</v>
      </c>
      <c r="G1790" s="22" t="s">
        <v>29</v>
      </c>
      <c r="H1790" s="23">
        <v>297.91250000000002</v>
      </c>
      <c r="I1790" s="24">
        <v>2</v>
      </c>
      <c r="J1790" s="24">
        <v>0</v>
      </c>
      <c r="K1790" s="24">
        <v>0</v>
      </c>
      <c r="L1790" s="41">
        <f>Table2[[#This Row],[Column1]]+Table2[[#This Row],[Column2]]</f>
        <v>0</v>
      </c>
      <c r="M1790" s="42">
        <f>Table2[[#This Row],[OnHandQty]]-Table2[[#This Row],[Projection Nov/Dec]]</f>
        <v>2</v>
      </c>
      <c r="N1790" s="35">
        <f>Table2[[#This Row],[OverStock]]*Table2[[#This Row],[RepCost]]</f>
        <v>595.82500000000005</v>
      </c>
      <c r="O1790" s="25">
        <v>46128.310416666667</v>
      </c>
      <c r="P1790" s="26" t="s">
        <v>178</v>
      </c>
    </row>
    <row r="1791" spans="1:16" x14ac:dyDescent="0.25">
      <c r="A1791" s="20" t="s">
        <v>5211</v>
      </c>
      <c r="B1791" s="21">
        <v>718</v>
      </c>
      <c r="C1791" s="22" t="s">
        <v>323</v>
      </c>
      <c r="D1791" s="22" t="s">
        <v>1612</v>
      </c>
      <c r="E1791" s="22" t="str">
        <f>CONCATENATE(B1791,D1791)</f>
        <v>71881378-020</v>
      </c>
      <c r="F1791" s="22" t="s">
        <v>1613</v>
      </c>
      <c r="G1791" s="22" t="s">
        <v>29</v>
      </c>
      <c r="H1791" s="23">
        <v>111.0793</v>
      </c>
      <c r="I1791" s="24">
        <v>4</v>
      </c>
      <c r="J1791" s="24">
        <v>0</v>
      </c>
      <c r="K1791" s="24">
        <v>0</v>
      </c>
      <c r="L1791" s="41">
        <f>Table2[[#This Row],[Column1]]+Table2[[#This Row],[Column2]]</f>
        <v>0</v>
      </c>
      <c r="M1791" s="42">
        <f>Table2[[#This Row],[OnHandQty]]-Table2[[#This Row],[Projection Nov/Dec]]</f>
        <v>4</v>
      </c>
      <c r="N1791" s="35">
        <f>Table2[[#This Row],[OverStock]]*Table2[[#This Row],[RepCost]]</f>
        <v>444.31720000000001</v>
      </c>
      <c r="O1791" s="25">
        <v>46143.611805555556</v>
      </c>
      <c r="P1791" s="26" t="s">
        <v>354</v>
      </c>
    </row>
    <row r="1792" spans="1:16" x14ac:dyDescent="0.25">
      <c r="A1792" s="20" t="s">
        <v>5211</v>
      </c>
      <c r="B1792" s="21">
        <v>718</v>
      </c>
      <c r="C1792" s="22" t="s">
        <v>323</v>
      </c>
      <c r="D1792" s="22" t="s">
        <v>3901</v>
      </c>
      <c r="E1792" s="22" t="str">
        <f>CONCATENATE(B1792,D1792)</f>
        <v>71878615-115</v>
      </c>
      <c r="F1792" s="22" t="s">
        <v>3902</v>
      </c>
      <c r="G1792" s="22" t="s">
        <v>29</v>
      </c>
      <c r="H1792" s="23">
        <v>70.850700000000003</v>
      </c>
      <c r="I1792" s="24">
        <v>3</v>
      </c>
      <c r="J1792" s="24">
        <v>0</v>
      </c>
      <c r="K1792" s="24">
        <v>0</v>
      </c>
      <c r="L1792" s="41">
        <f>Table2[[#This Row],[Column1]]+Table2[[#This Row],[Column2]]</f>
        <v>0</v>
      </c>
      <c r="M1792" s="42">
        <f>Table2[[#This Row],[OnHandQty]]-Table2[[#This Row],[Projection Nov/Dec]]</f>
        <v>3</v>
      </c>
      <c r="N1792" s="35">
        <f>Table2[[#This Row],[OverStock]]*Table2[[#This Row],[RepCost]]</f>
        <v>212.5521</v>
      </c>
      <c r="O1792" s="25">
        <v>46147.688194444447</v>
      </c>
      <c r="P1792" s="26" t="s">
        <v>2066</v>
      </c>
    </row>
    <row r="1793" spans="1:16" x14ac:dyDescent="0.25">
      <c r="A1793" s="20" t="s">
        <v>5211</v>
      </c>
      <c r="B1793" s="21">
        <v>714</v>
      </c>
      <c r="C1793" s="22" t="s">
        <v>323</v>
      </c>
      <c r="D1793" s="22" t="s">
        <v>3494</v>
      </c>
      <c r="E1793" s="22" t="str">
        <f>CONCATENATE(B1793,D1793)</f>
        <v>71471439-125</v>
      </c>
      <c r="F1793" s="22" t="s">
        <v>3495</v>
      </c>
      <c r="G1793" s="22" t="s">
        <v>29</v>
      </c>
      <c r="H1793" s="23">
        <v>88.88</v>
      </c>
      <c r="I1793" s="24">
        <v>3</v>
      </c>
      <c r="J1793" s="24">
        <v>0</v>
      </c>
      <c r="K1793" s="24">
        <v>0</v>
      </c>
      <c r="L1793" s="41">
        <f>Table2[[#This Row],[Column1]]+Table2[[#This Row],[Column2]]</f>
        <v>0</v>
      </c>
      <c r="M1793" s="42">
        <f>Table2[[#This Row],[OnHandQty]]-Table2[[#This Row],[Projection Nov/Dec]]</f>
        <v>3</v>
      </c>
      <c r="N1793" s="35">
        <f>Table2[[#This Row],[OverStock]]*Table2[[#This Row],[RepCost]]</f>
        <v>266.64</v>
      </c>
      <c r="O1793" s="25">
        <v>43739.615972222222</v>
      </c>
      <c r="P1793" s="26" t="s">
        <v>1870</v>
      </c>
    </row>
    <row r="1794" spans="1:16" x14ac:dyDescent="0.25">
      <c r="A1794" s="20" t="s">
        <v>5211</v>
      </c>
      <c r="B1794" s="21">
        <v>636</v>
      </c>
      <c r="C1794" s="22" t="s">
        <v>323</v>
      </c>
      <c r="D1794" s="22" t="s">
        <v>1308</v>
      </c>
      <c r="E1794" s="22" t="str">
        <f>CONCATENATE(B1794,D1794)</f>
        <v>63671439-050</v>
      </c>
      <c r="F1794" s="22" t="s">
        <v>1309</v>
      </c>
      <c r="G1794" s="22" t="s">
        <v>29</v>
      </c>
      <c r="H1794" s="23">
        <v>441.08609999999999</v>
      </c>
      <c r="I1794" s="24">
        <v>5</v>
      </c>
      <c r="J1794" s="24">
        <v>0</v>
      </c>
      <c r="K1794" s="24">
        <v>0</v>
      </c>
      <c r="L1794" s="41">
        <f>Table2[[#This Row],[Column1]]+Table2[[#This Row],[Column2]]</f>
        <v>0</v>
      </c>
      <c r="M1794" s="42">
        <f>Table2[[#This Row],[OnHandQty]]-Table2[[#This Row],[Projection Nov/Dec]]</f>
        <v>5</v>
      </c>
      <c r="N1794" s="35">
        <f>Table2[[#This Row],[OverStock]]*Table2[[#This Row],[RepCost]]</f>
        <v>2205.4304999999999</v>
      </c>
      <c r="O1794" s="25">
        <v>46157.602083333331</v>
      </c>
      <c r="P1794" s="26" t="s">
        <v>1224</v>
      </c>
    </row>
    <row r="1795" spans="1:16" x14ac:dyDescent="0.25">
      <c r="A1795" s="20" t="s">
        <v>5211</v>
      </c>
      <c r="B1795" s="21">
        <v>714</v>
      </c>
      <c r="C1795" s="22" t="s">
        <v>323</v>
      </c>
      <c r="D1795" s="22" t="s">
        <v>3135</v>
      </c>
      <c r="E1795" s="22" t="str">
        <f>CONCATENATE(B1795,D1795)</f>
        <v>71471442-102</v>
      </c>
      <c r="F1795" s="22" t="s">
        <v>3136</v>
      </c>
      <c r="G1795" s="22" t="s">
        <v>29</v>
      </c>
      <c r="H1795" s="23">
        <v>16.879000000000001</v>
      </c>
      <c r="I1795" s="24">
        <v>15</v>
      </c>
      <c r="J1795" s="24">
        <v>0</v>
      </c>
      <c r="K1795" s="24">
        <v>0</v>
      </c>
      <c r="L1795" s="41">
        <f>Table2[[#This Row],[Column1]]+Table2[[#This Row],[Column2]]</f>
        <v>0</v>
      </c>
      <c r="M1795" s="42">
        <f>Table2[[#This Row],[OnHandQty]]-Table2[[#This Row],[Projection Nov/Dec]]</f>
        <v>15</v>
      </c>
      <c r="N1795" s="35">
        <f>Table2[[#This Row],[OverStock]]*Table2[[#This Row],[RepCost]]</f>
        <v>253.18500000000003</v>
      </c>
      <c r="O1795" s="25">
        <v>46149.570138888892</v>
      </c>
      <c r="P1795" s="26" t="s">
        <v>2930</v>
      </c>
    </row>
    <row r="1796" spans="1:16" x14ac:dyDescent="0.25">
      <c r="A1796" s="20" t="s">
        <v>5211</v>
      </c>
      <c r="B1796" s="21">
        <v>634</v>
      </c>
      <c r="C1796" s="22" t="s">
        <v>323</v>
      </c>
      <c r="D1796" s="22" t="s">
        <v>456</v>
      </c>
      <c r="E1796" s="22" t="str">
        <f>CONCATENATE(B1796,D1796)</f>
        <v>63471442-020</v>
      </c>
      <c r="F1796" s="27" t="s">
        <v>457</v>
      </c>
      <c r="G1796" s="27" t="s">
        <v>58</v>
      </c>
      <c r="H1796" s="23">
        <v>184.916</v>
      </c>
      <c r="I1796" s="24">
        <v>1</v>
      </c>
      <c r="J1796" s="24">
        <v>0</v>
      </c>
      <c r="K1796" s="24">
        <v>0</v>
      </c>
      <c r="L1796" s="41">
        <f>Table2[[#This Row],[Column1]]+Table2[[#This Row],[Column2]]</f>
        <v>0</v>
      </c>
      <c r="M1796" s="42">
        <f>Table2[[#This Row],[OnHandQty]]-Table2[[#This Row],[Projection Nov/Dec]]</f>
        <v>1</v>
      </c>
      <c r="N1796" s="35">
        <f>Table2[[#This Row],[OverStock]]*Table2[[#This Row],[RepCost]]</f>
        <v>184.916</v>
      </c>
      <c r="O1796" s="25">
        <v>46083.431250000001</v>
      </c>
      <c r="P1796" s="26" t="s">
        <v>151</v>
      </c>
    </row>
    <row r="1797" spans="1:16" x14ac:dyDescent="0.25">
      <c r="A1797" s="20" t="s">
        <v>5211</v>
      </c>
      <c r="B1797" s="21">
        <v>714</v>
      </c>
      <c r="C1797" s="22" t="s">
        <v>323</v>
      </c>
      <c r="D1797" s="22" t="s">
        <v>3268</v>
      </c>
      <c r="E1797" s="22" t="str">
        <f>CONCATENATE(B1797,D1797)</f>
        <v>71479979-025</v>
      </c>
      <c r="F1797" s="22" t="s">
        <v>3269</v>
      </c>
      <c r="G1797" s="22" t="s">
        <v>29</v>
      </c>
      <c r="H1797" s="23">
        <v>187.67240000000001</v>
      </c>
      <c r="I1797" s="24">
        <v>10</v>
      </c>
      <c r="J1797" s="24">
        <v>2</v>
      </c>
      <c r="K1797" s="24">
        <v>0</v>
      </c>
      <c r="L1797" s="41">
        <f>Table2[[#This Row],[Column1]]+Table2[[#This Row],[Column2]]</f>
        <v>2</v>
      </c>
      <c r="M1797" s="42">
        <f>Table2[[#This Row],[OnHandQty]]-Table2[[#This Row],[Projection Nov/Dec]]</f>
        <v>8</v>
      </c>
      <c r="N1797" s="35">
        <f>Table2[[#This Row],[OverStock]]*Table2[[#This Row],[RepCost]]</f>
        <v>1501.3792000000001</v>
      </c>
      <c r="O1797" s="25">
        <v>46127.478472222225</v>
      </c>
      <c r="P1797" s="26" t="s">
        <v>1224</v>
      </c>
    </row>
    <row r="1798" spans="1:16" x14ac:dyDescent="0.25">
      <c r="A1798" s="20" t="s">
        <v>5211</v>
      </c>
      <c r="B1798" s="21">
        <v>714</v>
      </c>
      <c r="C1798" s="22" t="s">
        <v>323</v>
      </c>
      <c r="D1798" s="22" t="s">
        <v>2834</v>
      </c>
      <c r="E1798" s="22" t="str">
        <f>CONCATENATE(B1798,D1798)</f>
        <v>71471454-0175</v>
      </c>
      <c r="F1798" s="22" t="s">
        <v>2835</v>
      </c>
      <c r="G1798" s="22" t="s">
        <v>29</v>
      </c>
      <c r="H1798" s="23">
        <v>131.85589999999999</v>
      </c>
      <c r="I1798" s="24">
        <v>5</v>
      </c>
      <c r="J1798" s="24">
        <v>0</v>
      </c>
      <c r="K1798" s="24">
        <v>0</v>
      </c>
      <c r="L1798" s="41">
        <f>Table2[[#This Row],[Column1]]+Table2[[#This Row],[Column2]]</f>
        <v>0</v>
      </c>
      <c r="M1798" s="42">
        <f>Table2[[#This Row],[OnHandQty]]-Table2[[#This Row],[Projection Nov/Dec]]</f>
        <v>5</v>
      </c>
      <c r="N1798" s="35">
        <f>Table2[[#This Row],[OverStock]]*Table2[[#This Row],[RepCost]]</f>
        <v>659.27949999999998</v>
      </c>
      <c r="O1798" s="25">
        <v>46161.380555555559</v>
      </c>
      <c r="P1798" s="26" t="s">
        <v>151</v>
      </c>
    </row>
    <row r="1799" spans="1:16" x14ac:dyDescent="0.25">
      <c r="A1799" s="20" t="s">
        <v>5211</v>
      </c>
      <c r="B1799" s="21">
        <v>636</v>
      </c>
      <c r="C1799" s="22" t="s">
        <v>323</v>
      </c>
      <c r="D1799" s="22" t="s">
        <v>1721</v>
      </c>
      <c r="E1799" s="22" t="str">
        <f>CONCATENATE(B1799,D1799)</f>
        <v>63671454-030</v>
      </c>
      <c r="F1799" s="22" t="s">
        <v>1722</v>
      </c>
      <c r="G1799" s="22" t="s">
        <v>29</v>
      </c>
      <c r="H1799" s="23">
        <v>227.21860000000001</v>
      </c>
      <c r="I1799" s="24">
        <v>1</v>
      </c>
      <c r="J1799" s="24">
        <v>0</v>
      </c>
      <c r="K1799" s="24">
        <v>0</v>
      </c>
      <c r="L1799" s="41">
        <f>Table2[[#This Row],[Column1]]+Table2[[#This Row],[Column2]]</f>
        <v>0</v>
      </c>
      <c r="M1799" s="42">
        <f>Table2[[#This Row],[OnHandQty]]-Table2[[#This Row],[Projection Nov/Dec]]</f>
        <v>1</v>
      </c>
      <c r="N1799" s="35">
        <f>Table2[[#This Row],[OverStock]]*Table2[[#This Row],[RepCost]]</f>
        <v>227.21860000000001</v>
      </c>
      <c r="O1799" s="25">
        <v>46143.609722222223</v>
      </c>
      <c r="P1799" s="26" t="s">
        <v>151</v>
      </c>
    </row>
    <row r="1800" spans="1:16" x14ac:dyDescent="0.25">
      <c r="A1800" s="20" t="s">
        <v>5211</v>
      </c>
      <c r="B1800" s="21">
        <v>636</v>
      </c>
      <c r="C1800" s="22" t="s">
        <v>323</v>
      </c>
      <c r="D1800" s="22" t="s">
        <v>1429</v>
      </c>
      <c r="E1800" s="22" t="str">
        <f>CONCATENATE(B1800,D1800)</f>
        <v>63671454-050</v>
      </c>
      <c r="F1800" s="22" t="s">
        <v>1430</v>
      </c>
      <c r="G1800" s="22" t="s">
        <v>29</v>
      </c>
      <c r="H1800" s="23">
        <v>596.28150000000005</v>
      </c>
      <c r="I1800" s="24">
        <v>4</v>
      </c>
      <c r="J1800" s="24">
        <v>0</v>
      </c>
      <c r="K1800" s="24">
        <v>0</v>
      </c>
      <c r="L1800" s="41">
        <f>Table2[[#This Row],[Column1]]+Table2[[#This Row],[Column2]]</f>
        <v>0</v>
      </c>
      <c r="M1800" s="42">
        <f>Table2[[#This Row],[OnHandQty]]-Table2[[#This Row],[Projection Nov/Dec]]</f>
        <v>4</v>
      </c>
      <c r="N1800" s="35">
        <f>Table2[[#This Row],[OverStock]]*Table2[[#This Row],[RepCost]]</f>
        <v>2385.1260000000002</v>
      </c>
      <c r="O1800" s="25">
        <v>46098.375694444447</v>
      </c>
      <c r="P1800" s="26" t="s">
        <v>1229</v>
      </c>
    </row>
    <row r="1801" spans="1:16" x14ac:dyDescent="0.25">
      <c r="A1801" s="20" t="s">
        <v>5211</v>
      </c>
      <c r="B1801" s="21">
        <v>714</v>
      </c>
      <c r="C1801" s="22" t="s">
        <v>70</v>
      </c>
      <c r="D1801" s="22" t="s">
        <v>2044</v>
      </c>
      <c r="E1801" s="22" t="str">
        <f>CONCATENATE(B1801,D1801)</f>
        <v>71471480-SP4</v>
      </c>
      <c r="F1801" s="22" t="s">
        <v>2045</v>
      </c>
      <c r="G1801" s="22" t="s">
        <v>81</v>
      </c>
      <c r="H1801" s="23">
        <v>2.5983000000000001</v>
      </c>
      <c r="I1801" s="24">
        <v>7</v>
      </c>
      <c r="J1801" s="24">
        <v>0</v>
      </c>
      <c r="K1801" s="24">
        <v>0</v>
      </c>
      <c r="L1801" s="41">
        <f>Table2[[#This Row],[Column1]]+Table2[[#This Row],[Column2]]</f>
        <v>0</v>
      </c>
      <c r="M1801" s="42">
        <f>Table2[[#This Row],[OnHandQty]]-Table2[[#This Row],[Projection Nov/Dec]]</f>
        <v>7</v>
      </c>
      <c r="N1801" s="35">
        <f>Table2[[#This Row],[OverStock]]*Table2[[#This Row],[RepCost]]</f>
        <v>18.188099999999999</v>
      </c>
      <c r="O1801" s="25">
        <v>46106.665277777778</v>
      </c>
      <c r="P1801" s="26" t="s">
        <v>1951</v>
      </c>
    </row>
    <row r="1802" spans="1:16" x14ac:dyDescent="0.25">
      <c r="A1802" s="20" t="s">
        <v>5211</v>
      </c>
      <c r="B1802" s="21">
        <v>636</v>
      </c>
      <c r="C1802" s="22" t="s">
        <v>323</v>
      </c>
      <c r="D1802" s="22" t="s">
        <v>1660</v>
      </c>
      <c r="E1802" s="22" t="str">
        <f>CONCATENATE(B1802,D1802)</f>
        <v>63671496-0010</v>
      </c>
      <c r="F1802" s="22" t="s">
        <v>1661</v>
      </c>
      <c r="G1802" s="22" t="s">
        <v>39</v>
      </c>
      <c r="H1802" s="23">
        <v>25.2822</v>
      </c>
      <c r="I1802" s="24">
        <v>4</v>
      </c>
      <c r="J1802" s="24">
        <v>0</v>
      </c>
      <c r="K1802" s="24">
        <v>0</v>
      </c>
      <c r="L1802" s="41">
        <f>Table2[[#This Row],[Column1]]+Table2[[#This Row],[Column2]]</f>
        <v>0</v>
      </c>
      <c r="M1802" s="42">
        <f>Table2[[#This Row],[OnHandQty]]-Table2[[#This Row],[Projection Nov/Dec]]</f>
        <v>4</v>
      </c>
      <c r="N1802" s="35">
        <f>Table2[[#This Row],[OverStock]]*Table2[[#This Row],[RepCost]]</f>
        <v>101.1288</v>
      </c>
      <c r="O1802" s="25">
        <v>46181.511111111111</v>
      </c>
      <c r="P1802" s="26" t="s">
        <v>599</v>
      </c>
    </row>
    <row r="1803" spans="1:16" x14ac:dyDescent="0.25">
      <c r="A1803" s="20" t="s">
        <v>5211</v>
      </c>
      <c r="B1803" s="21">
        <v>714</v>
      </c>
      <c r="C1803" s="22" t="s">
        <v>323</v>
      </c>
      <c r="D1803" s="22" t="s">
        <v>1660</v>
      </c>
      <c r="E1803" s="22" t="str">
        <f>CONCATENATE(B1803,D1803)</f>
        <v>71471496-0010</v>
      </c>
      <c r="F1803" s="22" t="s">
        <v>1661</v>
      </c>
      <c r="G1803" s="22" t="s">
        <v>112</v>
      </c>
      <c r="H1803" s="23">
        <v>20.07</v>
      </c>
      <c r="I1803" s="24">
        <v>18</v>
      </c>
      <c r="J1803" s="24">
        <v>0</v>
      </c>
      <c r="K1803" s="24">
        <v>0</v>
      </c>
      <c r="L1803" s="41">
        <f>Table2[[#This Row],[Column1]]+Table2[[#This Row],[Column2]]</f>
        <v>0</v>
      </c>
      <c r="M1803" s="42">
        <f>Table2[[#This Row],[OnHandQty]]-Table2[[#This Row],[Projection Nov/Dec]]</f>
        <v>18</v>
      </c>
      <c r="N1803" s="35">
        <f>Table2[[#This Row],[OverStock]]*Table2[[#This Row],[RepCost]]</f>
        <v>361.26</v>
      </c>
      <c r="O1803" s="25">
        <v>46185.630555555559</v>
      </c>
      <c r="P1803" s="26" t="s">
        <v>1825</v>
      </c>
    </row>
    <row r="1804" spans="1:16" x14ac:dyDescent="0.25">
      <c r="A1804" s="20" t="s">
        <v>5211</v>
      </c>
      <c r="B1804" s="21">
        <v>714</v>
      </c>
      <c r="C1804" s="22" t="s">
        <v>323</v>
      </c>
      <c r="D1804" s="22" t="s">
        <v>1660</v>
      </c>
      <c r="E1804" s="22" t="str">
        <f>CONCATENATE(B1804,D1804)</f>
        <v>71471496-0010</v>
      </c>
      <c r="F1804" s="22" t="s">
        <v>1661</v>
      </c>
      <c r="G1804" s="22" t="s">
        <v>112</v>
      </c>
      <c r="H1804" s="23">
        <v>20.07</v>
      </c>
      <c r="I1804" s="24">
        <v>18</v>
      </c>
      <c r="J1804" s="24">
        <v>0</v>
      </c>
      <c r="K1804" s="24">
        <v>0</v>
      </c>
      <c r="L1804" s="41">
        <f>Table2[[#This Row],[Column1]]+Table2[[#This Row],[Column2]]</f>
        <v>0</v>
      </c>
      <c r="M1804" s="42">
        <f>Table2[[#This Row],[OnHandQty]]-Table2[[#This Row],[Projection Nov/Dec]]</f>
        <v>18</v>
      </c>
      <c r="N1804" s="35">
        <f>Table2[[#This Row],[OverStock]]*Table2[[#This Row],[RepCost]]</f>
        <v>361.26</v>
      </c>
      <c r="O1804" s="25">
        <v>46185.630555555559</v>
      </c>
      <c r="P1804" s="26" t="s">
        <v>1825</v>
      </c>
    </row>
    <row r="1805" spans="1:16" x14ac:dyDescent="0.25">
      <c r="A1805" s="20" t="s">
        <v>5211</v>
      </c>
      <c r="B1805" s="21">
        <v>718</v>
      </c>
      <c r="C1805" s="22" t="s">
        <v>323</v>
      </c>
      <c r="D1805" s="22" t="s">
        <v>3863</v>
      </c>
      <c r="E1805" s="22" t="str">
        <f>CONCATENATE(B1805,D1805)</f>
        <v>71871496-0012</v>
      </c>
      <c r="F1805" s="22" t="s">
        <v>3864</v>
      </c>
      <c r="G1805" s="22" t="s">
        <v>29</v>
      </c>
      <c r="H1805" s="23">
        <v>42.147799999999997</v>
      </c>
      <c r="I1805" s="24">
        <v>4</v>
      </c>
      <c r="J1805" s="24">
        <v>1</v>
      </c>
      <c r="K1805" s="24">
        <v>0</v>
      </c>
      <c r="L1805" s="41">
        <f>Table2[[#This Row],[Column1]]+Table2[[#This Row],[Column2]]</f>
        <v>1</v>
      </c>
      <c r="M1805" s="42">
        <f>Table2[[#This Row],[OnHandQty]]-Table2[[#This Row],[Projection Nov/Dec]]</f>
        <v>3</v>
      </c>
      <c r="N1805" s="35">
        <f>Table2[[#This Row],[OverStock]]*Table2[[#This Row],[RepCost]]</f>
        <v>126.4434</v>
      </c>
      <c r="O1805" s="25">
        <v>46189.361805555556</v>
      </c>
      <c r="P1805" s="26" t="s">
        <v>1825</v>
      </c>
    </row>
    <row r="1806" spans="1:16" x14ac:dyDescent="0.25">
      <c r="A1806" s="20" t="s">
        <v>5211</v>
      </c>
      <c r="B1806" s="21">
        <v>634</v>
      </c>
      <c r="C1806" s="22" t="s">
        <v>143</v>
      </c>
      <c r="D1806" s="22" t="s">
        <v>206</v>
      </c>
      <c r="E1806" s="22" t="str">
        <f>CONCATENATE(B1806,D1806)</f>
        <v>63481344-115</v>
      </c>
      <c r="F1806" s="22" t="s">
        <v>207</v>
      </c>
      <c r="G1806" s="22" t="s">
        <v>23</v>
      </c>
      <c r="H1806" s="23">
        <v>105.3261</v>
      </c>
      <c r="I1806" s="24">
        <v>5</v>
      </c>
      <c r="J1806" s="24">
        <v>0</v>
      </c>
      <c r="K1806" s="24">
        <v>0</v>
      </c>
      <c r="L1806" s="41">
        <f>Table2[[#This Row],[Column1]]+Table2[[#This Row],[Column2]]</f>
        <v>0</v>
      </c>
      <c r="M1806" s="42">
        <f>Table2[[#This Row],[OnHandQty]]-Table2[[#This Row],[Projection Nov/Dec]]</f>
        <v>5</v>
      </c>
      <c r="N1806" s="35">
        <f>Table2[[#This Row],[OverStock]]*Table2[[#This Row],[RepCost]]</f>
        <v>526.63049999999998</v>
      </c>
      <c r="O1806" s="25">
        <v>46119.382638888892</v>
      </c>
      <c r="P1806" s="26" t="s">
        <v>170</v>
      </c>
    </row>
    <row r="1807" spans="1:16" x14ac:dyDescent="0.25">
      <c r="A1807" s="20" t="s">
        <v>5211</v>
      </c>
      <c r="B1807" s="21">
        <v>636</v>
      </c>
      <c r="C1807" s="22" t="s">
        <v>143</v>
      </c>
      <c r="D1807" s="22" t="s">
        <v>206</v>
      </c>
      <c r="E1807" s="22" t="str">
        <f>CONCATENATE(B1807,D1807)</f>
        <v>63681344-115</v>
      </c>
      <c r="F1807" s="22" t="s">
        <v>207</v>
      </c>
      <c r="G1807" s="22" t="s">
        <v>23</v>
      </c>
      <c r="H1807" s="23">
        <v>98.947400000000002</v>
      </c>
      <c r="I1807" s="24">
        <v>4</v>
      </c>
      <c r="J1807" s="24">
        <v>0</v>
      </c>
      <c r="K1807" s="24">
        <v>0</v>
      </c>
      <c r="L1807" s="41">
        <f>Table2[[#This Row],[Column1]]+Table2[[#This Row],[Column2]]</f>
        <v>0</v>
      </c>
      <c r="M1807" s="42">
        <f>Table2[[#This Row],[OnHandQty]]-Table2[[#This Row],[Projection Nov/Dec]]</f>
        <v>4</v>
      </c>
      <c r="N1807" s="35">
        <f>Table2[[#This Row],[OverStock]]*Table2[[#This Row],[RepCost]]</f>
        <v>395.78960000000001</v>
      </c>
      <c r="O1807" s="25">
        <v>46164.288194444445</v>
      </c>
      <c r="P1807" s="26" t="s">
        <v>170</v>
      </c>
    </row>
    <row r="1808" spans="1:16" x14ac:dyDescent="0.25">
      <c r="A1808" s="20" t="s">
        <v>5211</v>
      </c>
      <c r="B1808" s="21">
        <v>714</v>
      </c>
      <c r="C1808" s="22" t="s">
        <v>143</v>
      </c>
      <c r="D1808" s="22" t="s">
        <v>2458</v>
      </c>
      <c r="E1808" s="22" t="str">
        <f>CONCATENATE(B1808,D1808)</f>
        <v>71481344-103</v>
      </c>
      <c r="F1808" s="22" t="s">
        <v>2459</v>
      </c>
      <c r="G1808" s="22" t="s">
        <v>39</v>
      </c>
      <c r="H1808" s="23">
        <v>24.0959</v>
      </c>
      <c r="I1808" s="24">
        <v>5</v>
      </c>
      <c r="J1808" s="24">
        <v>0</v>
      </c>
      <c r="K1808" s="24">
        <v>0</v>
      </c>
      <c r="L1808" s="41">
        <f>Table2[[#This Row],[Column1]]+Table2[[#This Row],[Column2]]</f>
        <v>0</v>
      </c>
      <c r="M1808" s="42">
        <f>Table2[[#This Row],[OnHandQty]]-Table2[[#This Row],[Projection Nov/Dec]]</f>
        <v>5</v>
      </c>
      <c r="N1808" s="35">
        <f>Table2[[#This Row],[OverStock]]*Table2[[#This Row],[RepCost]]</f>
        <v>120.4795</v>
      </c>
      <c r="O1808" s="25">
        <v>46214.343055555553</v>
      </c>
      <c r="P1808" s="26" t="s">
        <v>40</v>
      </c>
    </row>
    <row r="1809" spans="1:16" x14ac:dyDescent="0.25">
      <c r="A1809" s="20" t="s">
        <v>5211</v>
      </c>
      <c r="B1809" s="21">
        <v>634</v>
      </c>
      <c r="C1809" s="22" t="s">
        <v>143</v>
      </c>
      <c r="D1809" s="22" t="s">
        <v>243</v>
      </c>
      <c r="E1809" s="22" t="str">
        <f>CONCATENATE(B1809,D1809)</f>
        <v>63481344-105</v>
      </c>
      <c r="F1809" s="22" t="s">
        <v>244</v>
      </c>
      <c r="G1809" s="22" t="s">
        <v>23</v>
      </c>
      <c r="H1809" s="23">
        <v>28.978899999999999</v>
      </c>
      <c r="I1809" s="24">
        <v>7</v>
      </c>
      <c r="J1809" s="24">
        <v>3</v>
      </c>
      <c r="K1809" s="24">
        <v>0</v>
      </c>
      <c r="L1809" s="41">
        <f>Table2[[#This Row],[Column1]]+Table2[[#This Row],[Column2]]</f>
        <v>3</v>
      </c>
      <c r="M1809" s="42">
        <f>Table2[[#This Row],[OnHandQty]]-Table2[[#This Row],[Projection Nov/Dec]]</f>
        <v>4</v>
      </c>
      <c r="N1809" s="35">
        <f>Table2[[#This Row],[OverStock]]*Table2[[#This Row],[RepCost]]</f>
        <v>115.9156</v>
      </c>
      <c r="O1809" s="25">
        <v>46126.546527777777</v>
      </c>
      <c r="P1809" s="26" t="s">
        <v>162</v>
      </c>
    </row>
    <row r="1810" spans="1:16" x14ac:dyDescent="0.25">
      <c r="A1810" s="20" t="s">
        <v>5211</v>
      </c>
      <c r="B1810" s="21">
        <v>636</v>
      </c>
      <c r="C1810" s="22" t="s">
        <v>143</v>
      </c>
      <c r="D1810" s="22" t="s">
        <v>241</v>
      </c>
      <c r="E1810" s="22" t="str">
        <f>CONCATENATE(B1810,D1810)</f>
        <v>63671751-115</v>
      </c>
      <c r="F1810" s="22" t="s">
        <v>242</v>
      </c>
      <c r="G1810" s="22" t="s">
        <v>158</v>
      </c>
      <c r="H1810" s="23">
        <v>98.506900000000002</v>
      </c>
      <c r="I1810" s="24">
        <v>3</v>
      </c>
      <c r="J1810" s="24">
        <v>0</v>
      </c>
      <c r="K1810" s="24">
        <v>0</v>
      </c>
      <c r="L1810" s="41">
        <f>Table2[[#This Row],[Column1]]+Table2[[#This Row],[Column2]]</f>
        <v>0</v>
      </c>
      <c r="M1810" s="42">
        <f>Table2[[#This Row],[OnHandQty]]-Table2[[#This Row],[Projection Nov/Dec]]</f>
        <v>3</v>
      </c>
      <c r="N1810" s="35">
        <f>Table2[[#This Row],[OverStock]]*Table2[[#This Row],[RepCost]]</f>
        <v>295.52070000000003</v>
      </c>
      <c r="O1810" s="25">
        <v>46114.436111111114</v>
      </c>
      <c r="P1810" s="26" t="s">
        <v>170</v>
      </c>
    </row>
    <row r="1811" spans="1:16" x14ac:dyDescent="0.25">
      <c r="A1811" s="20" t="s">
        <v>5211</v>
      </c>
      <c r="B1811" s="21">
        <v>634</v>
      </c>
      <c r="C1811" s="22" t="s">
        <v>143</v>
      </c>
      <c r="D1811" s="22" t="s">
        <v>241</v>
      </c>
      <c r="E1811" s="22" t="str">
        <f>CONCATENATE(B1811,D1811)</f>
        <v>63471751-115</v>
      </c>
      <c r="F1811" s="22" t="s">
        <v>242</v>
      </c>
      <c r="G1811" s="22" t="s">
        <v>158</v>
      </c>
      <c r="H1811" s="23">
        <v>105.3261</v>
      </c>
      <c r="I1811" s="24">
        <v>3</v>
      </c>
      <c r="J1811" s="24">
        <v>0</v>
      </c>
      <c r="K1811" s="24">
        <v>0</v>
      </c>
      <c r="L1811" s="41">
        <f>Table2[[#This Row],[Column1]]+Table2[[#This Row],[Column2]]</f>
        <v>0</v>
      </c>
      <c r="M1811" s="42">
        <f>Table2[[#This Row],[OnHandQty]]-Table2[[#This Row],[Projection Nov/Dec]]</f>
        <v>3</v>
      </c>
      <c r="N1811" s="35">
        <f>Table2[[#This Row],[OverStock]]*Table2[[#This Row],[RepCost]]</f>
        <v>315.97829999999999</v>
      </c>
      <c r="O1811" s="25">
        <v>46119.382638888892</v>
      </c>
      <c r="P1811" s="26" t="s">
        <v>170</v>
      </c>
    </row>
    <row r="1812" spans="1:16" x14ac:dyDescent="0.25">
      <c r="A1812" s="20" t="s">
        <v>5211</v>
      </c>
      <c r="B1812" s="21">
        <v>636</v>
      </c>
      <c r="C1812" s="22" t="s">
        <v>143</v>
      </c>
      <c r="D1812" s="22" t="s">
        <v>1039</v>
      </c>
      <c r="E1812" s="22" t="str">
        <f>CONCATENATE(B1812,D1812)</f>
        <v>63671751-236</v>
      </c>
      <c r="F1812" s="22" t="s">
        <v>1040</v>
      </c>
      <c r="G1812" s="22" t="s">
        <v>29</v>
      </c>
      <c r="H1812" s="23">
        <v>91.812299999999993</v>
      </c>
      <c r="I1812" s="24">
        <v>13</v>
      </c>
      <c r="J1812" s="24">
        <v>3</v>
      </c>
      <c r="K1812" s="24">
        <v>0</v>
      </c>
      <c r="L1812" s="41">
        <f>Table2[[#This Row],[Column1]]+Table2[[#This Row],[Column2]]</f>
        <v>3</v>
      </c>
      <c r="M1812" s="42">
        <f>Table2[[#This Row],[OnHandQty]]-Table2[[#This Row],[Projection Nov/Dec]]</f>
        <v>10</v>
      </c>
      <c r="N1812" s="35">
        <f>Table2[[#This Row],[OverStock]]*Table2[[#This Row],[RepCost]]</f>
        <v>918.12299999999993</v>
      </c>
      <c r="O1812" s="25">
        <v>46184.431250000001</v>
      </c>
      <c r="P1812" s="26" t="s">
        <v>151</v>
      </c>
    </row>
    <row r="1813" spans="1:16" x14ac:dyDescent="0.25">
      <c r="A1813" s="20" t="s">
        <v>5211</v>
      </c>
      <c r="B1813" s="21">
        <v>636</v>
      </c>
      <c r="C1813" s="22" t="s">
        <v>143</v>
      </c>
      <c r="D1813" s="22" t="s">
        <v>1144</v>
      </c>
      <c r="E1813" s="22" t="str">
        <f>CONCATENATE(B1813,D1813)</f>
        <v>63671751-242</v>
      </c>
      <c r="F1813" s="22" t="s">
        <v>1145</v>
      </c>
      <c r="G1813" s="22" t="s">
        <v>29</v>
      </c>
      <c r="H1813" s="23">
        <v>119.4607</v>
      </c>
      <c r="I1813" s="24">
        <v>13</v>
      </c>
      <c r="J1813" s="24">
        <v>4</v>
      </c>
      <c r="K1813" s="24">
        <v>0</v>
      </c>
      <c r="L1813" s="41">
        <f>Table2[[#This Row],[Column1]]+Table2[[#This Row],[Column2]]</f>
        <v>4</v>
      </c>
      <c r="M1813" s="42">
        <f>Table2[[#This Row],[OnHandQty]]-Table2[[#This Row],[Projection Nov/Dec]]</f>
        <v>9</v>
      </c>
      <c r="N1813" s="35">
        <f>Table2[[#This Row],[OverStock]]*Table2[[#This Row],[RepCost]]</f>
        <v>1075.1463000000001</v>
      </c>
      <c r="O1813" s="25">
        <v>46119.593055555553</v>
      </c>
      <c r="P1813" s="26" t="s">
        <v>236</v>
      </c>
    </row>
    <row r="1814" spans="1:16" x14ac:dyDescent="0.25">
      <c r="A1814" s="20" t="s">
        <v>5211</v>
      </c>
      <c r="B1814" s="21">
        <v>636</v>
      </c>
      <c r="C1814" s="22" t="s">
        <v>143</v>
      </c>
      <c r="D1814" s="22" t="s">
        <v>234</v>
      </c>
      <c r="E1814" s="22" t="str">
        <f>CONCATENATE(B1814,D1814)</f>
        <v>63671751-305</v>
      </c>
      <c r="F1814" s="22" t="s">
        <v>235</v>
      </c>
      <c r="G1814" s="22" t="s">
        <v>158</v>
      </c>
      <c r="H1814" s="23">
        <v>259.04759999999999</v>
      </c>
      <c r="I1814" s="24">
        <v>3</v>
      </c>
      <c r="J1814" s="24">
        <v>0</v>
      </c>
      <c r="K1814" s="24">
        <v>0</v>
      </c>
      <c r="L1814" s="41">
        <f>Table2[[#This Row],[Column1]]+Table2[[#This Row],[Column2]]</f>
        <v>0</v>
      </c>
      <c r="M1814" s="42">
        <f>Table2[[#This Row],[OnHandQty]]-Table2[[#This Row],[Projection Nov/Dec]]</f>
        <v>3</v>
      </c>
      <c r="N1814" s="35">
        <f>Table2[[#This Row],[OverStock]]*Table2[[#This Row],[RepCost]]</f>
        <v>777.14279999999997</v>
      </c>
      <c r="O1814" s="25">
        <v>46119.593055555553</v>
      </c>
      <c r="P1814" s="26" t="s">
        <v>236</v>
      </c>
    </row>
    <row r="1815" spans="1:16" x14ac:dyDescent="0.25">
      <c r="A1815" s="20" t="s">
        <v>5211</v>
      </c>
      <c r="B1815" s="21">
        <v>634</v>
      </c>
      <c r="C1815" s="22" t="s">
        <v>143</v>
      </c>
      <c r="D1815" s="22" t="s">
        <v>234</v>
      </c>
      <c r="E1815" s="22" t="str">
        <f>CONCATENATE(B1815,D1815)</f>
        <v>63471751-305</v>
      </c>
      <c r="F1815" s="22" t="s">
        <v>235</v>
      </c>
      <c r="G1815" s="22" t="s">
        <v>29</v>
      </c>
      <c r="H1815" s="23">
        <v>261.06529999999998</v>
      </c>
      <c r="I1815" s="24">
        <v>3</v>
      </c>
      <c r="J1815" s="24">
        <v>0</v>
      </c>
      <c r="K1815" s="24">
        <v>0</v>
      </c>
      <c r="L1815" s="41">
        <f>Table2[[#This Row],[Column1]]+Table2[[#This Row],[Column2]]</f>
        <v>0</v>
      </c>
      <c r="M1815" s="42">
        <f>Table2[[#This Row],[OnHandQty]]-Table2[[#This Row],[Projection Nov/Dec]]</f>
        <v>3</v>
      </c>
      <c r="N1815" s="35">
        <f>Table2[[#This Row],[OverStock]]*Table2[[#This Row],[RepCost]]</f>
        <v>783.19589999999994</v>
      </c>
      <c r="O1815" s="25">
        <v>46119.597222222219</v>
      </c>
      <c r="P1815" s="26" t="s">
        <v>236</v>
      </c>
    </row>
    <row r="1816" spans="1:16" x14ac:dyDescent="0.25">
      <c r="A1816" s="20" t="s">
        <v>5211</v>
      </c>
      <c r="B1816" s="21">
        <v>718</v>
      </c>
      <c r="C1816" s="22" t="s">
        <v>143</v>
      </c>
      <c r="D1816" s="22" t="s">
        <v>234</v>
      </c>
      <c r="E1816" s="22" t="str">
        <f>CONCATENATE(B1816,D1816)</f>
        <v>71871751-305</v>
      </c>
      <c r="F1816" s="22" t="s">
        <v>235</v>
      </c>
      <c r="G1816" s="22" t="s">
        <v>19</v>
      </c>
      <c r="H1816" s="23">
        <v>261.06529999999998</v>
      </c>
      <c r="I1816" s="24">
        <v>5</v>
      </c>
      <c r="J1816" s="24">
        <v>0</v>
      </c>
      <c r="K1816" s="24">
        <v>0</v>
      </c>
      <c r="L1816" s="41">
        <f>Table2[[#This Row],[Column1]]+Table2[[#This Row],[Column2]]</f>
        <v>0</v>
      </c>
      <c r="M1816" s="42">
        <f>Table2[[#This Row],[OnHandQty]]-Table2[[#This Row],[Projection Nov/Dec]]</f>
        <v>5</v>
      </c>
      <c r="N1816" s="35">
        <f>Table2[[#This Row],[OverStock]]*Table2[[#This Row],[RepCost]]</f>
        <v>1305.3264999999999</v>
      </c>
      <c r="O1816" s="25">
        <v>46127.539583333331</v>
      </c>
      <c r="P1816" s="26" t="s">
        <v>3769</v>
      </c>
    </row>
    <row r="1817" spans="1:16" x14ac:dyDescent="0.25">
      <c r="A1817" s="20" t="s">
        <v>5211</v>
      </c>
      <c r="B1817" s="21">
        <v>634</v>
      </c>
      <c r="C1817" s="22" t="s">
        <v>143</v>
      </c>
      <c r="D1817" s="22" t="s">
        <v>156</v>
      </c>
      <c r="E1817" s="22" t="str">
        <f>CONCATENATE(B1817,D1817)</f>
        <v>63471677-110</v>
      </c>
      <c r="F1817" s="22" t="s">
        <v>157</v>
      </c>
      <c r="G1817" s="22" t="s">
        <v>158</v>
      </c>
      <c r="H1817" s="23">
        <v>83.951800000000006</v>
      </c>
      <c r="I1817" s="24">
        <v>12</v>
      </c>
      <c r="J1817" s="24">
        <v>0</v>
      </c>
      <c r="K1817" s="24">
        <v>0</v>
      </c>
      <c r="L1817" s="41">
        <f>Table2[[#This Row],[Column1]]+Table2[[#This Row],[Column2]]</f>
        <v>0</v>
      </c>
      <c r="M1817" s="42">
        <f>Table2[[#This Row],[OnHandQty]]-Table2[[#This Row],[Projection Nov/Dec]]</f>
        <v>12</v>
      </c>
      <c r="N1817" s="35">
        <f>Table2[[#This Row],[OverStock]]*Table2[[#This Row],[RepCost]]</f>
        <v>1007.4216000000001</v>
      </c>
      <c r="O1817" s="25">
        <v>46231.362500000003</v>
      </c>
      <c r="P1817" s="26" t="s">
        <v>159</v>
      </c>
    </row>
    <row r="1818" spans="1:16" x14ac:dyDescent="0.25">
      <c r="A1818" s="20" t="s">
        <v>5211</v>
      </c>
      <c r="B1818" s="21">
        <v>636</v>
      </c>
      <c r="C1818" s="22" t="s">
        <v>143</v>
      </c>
      <c r="D1818" s="22" t="s">
        <v>1092</v>
      </c>
      <c r="E1818" s="22" t="str">
        <f>CONCATENATE(B1818,D1818)</f>
        <v>63671789-236</v>
      </c>
      <c r="F1818" s="22" t="s">
        <v>1093</v>
      </c>
      <c r="G1818" s="22" t="s">
        <v>23</v>
      </c>
      <c r="H1818" s="23">
        <v>69.425200000000004</v>
      </c>
      <c r="I1818" s="24">
        <v>1</v>
      </c>
      <c r="J1818" s="24">
        <v>0</v>
      </c>
      <c r="K1818" s="24">
        <v>0</v>
      </c>
      <c r="L1818" s="41">
        <f>Table2[[#This Row],[Column1]]+Table2[[#This Row],[Column2]]</f>
        <v>0</v>
      </c>
      <c r="M1818" s="42">
        <f>Table2[[#This Row],[OnHandQty]]-Table2[[#This Row],[Projection Nov/Dec]]</f>
        <v>1</v>
      </c>
      <c r="N1818" s="35">
        <f>Table2[[#This Row],[OverStock]]*Table2[[#This Row],[RepCost]]</f>
        <v>69.425200000000004</v>
      </c>
      <c r="O1818" s="25">
        <v>46135.450694444444</v>
      </c>
      <c r="P1818" s="26" t="s">
        <v>371</v>
      </c>
    </row>
    <row r="1819" spans="1:16" x14ac:dyDescent="0.25">
      <c r="A1819" s="20" t="s">
        <v>5211</v>
      </c>
      <c r="B1819" s="21">
        <v>634</v>
      </c>
      <c r="C1819" s="22" t="s">
        <v>143</v>
      </c>
      <c r="D1819" s="22" t="s">
        <v>298</v>
      </c>
      <c r="E1819" s="22" t="str">
        <f>CONCATENATE(B1819,D1819)</f>
        <v>63489907-110PREM</v>
      </c>
      <c r="F1819" s="22" t="s">
        <v>299</v>
      </c>
      <c r="G1819" s="22" t="s">
        <v>29</v>
      </c>
      <c r="H1819" s="23">
        <v>75.801599999999993</v>
      </c>
      <c r="I1819" s="24">
        <v>2</v>
      </c>
      <c r="J1819" s="24">
        <v>1</v>
      </c>
      <c r="K1819" s="24">
        <v>0</v>
      </c>
      <c r="L1819" s="41">
        <f>Table2[[#This Row],[Column1]]+Table2[[#This Row],[Column2]]</f>
        <v>1</v>
      </c>
      <c r="M1819" s="42">
        <f>Table2[[#This Row],[OnHandQty]]-Table2[[#This Row],[Projection Nov/Dec]]</f>
        <v>1</v>
      </c>
      <c r="N1819" s="35">
        <f>Table2[[#This Row],[OverStock]]*Table2[[#This Row],[RepCost]]</f>
        <v>75.801599999999993</v>
      </c>
      <c r="O1819" s="25">
        <v>45776.305555555555</v>
      </c>
      <c r="P1819" s="26" t="s">
        <v>159</v>
      </c>
    </row>
    <row r="1820" spans="1:16" x14ac:dyDescent="0.25">
      <c r="A1820" s="20" t="s">
        <v>5211</v>
      </c>
      <c r="B1820" s="21">
        <v>634</v>
      </c>
      <c r="C1820" s="22" t="s">
        <v>143</v>
      </c>
      <c r="D1820" s="22" t="s">
        <v>204</v>
      </c>
      <c r="E1820" s="22" t="str">
        <f>CONCATENATE(B1820,D1820)</f>
        <v>63479624-103</v>
      </c>
      <c r="F1820" s="22" t="s">
        <v>205</v>
      </c>
      <c r="G1820" s="22" t="s">
        <v>29</v>
      </c>
      <c r="H1820" s="23">
        <v>25.265599999999999</v>
      </c>
      <c r="I1820" s="24">
        <v>2</v>
      </c>
      <c r="J1820" s="24">
        <v>0</v>
      </c>
      <c r="K1820" s="24">
        <v>0</v>
      </c>
      <c r="L1820" s="41">
        <f>Table2[[#This Row],[Column1]]+Table2[[#This Row],[Column2]]</f>
        <v>0</v>
      </c>
      <c r="M1820" s="42">
        <f>Table2[[#This Row],[OnHandQty]]-Table2[[#This Row],[Projection Nov/Dec]]</f>
        <v>2</v>
      </c>
      <c r="N1820" s="35">
        <f>Table2[[#This Row],[OverStock]]*Table2[[#This Row],[RepCost]]</f>
        <v>50.531199999999998</v>
      </c>
      <c r="O1820" s="25">
        <v>46134.53125</v>
      </c>
      <c r="P1820" s="26" t="s">
        <v>40</v>
      </c>
    </row>
    <row r="1821" spans="1:16" x14ac:dyDescent="0.25">
      <c r="A1821" s="20" t="s">
        <v>5211</v>
      </c>
      <c r="B1821" s="21">
        <v>714</v>
      </c>
      <c r="C1821" s="22" t="s">
        <v>143</v>
      </c>
      <c r="D1821" s="22" t="s">
        <v>2695</v>
      </c>
      <c r="E1821" s="22" t="str">
        <f>CONCATENATE(B1821,D1821)</f>
        <v>71478649-106-24IN</v>
      </c>
      <c r="F1821" s="22" t="s">
        <v>2696</v>
      </c>
      <c r="G1821" s="22" t="s">
        <v>23</v>
      </c>
      <c r="H1821" s="23">
        <v>59.497599999999998</v>
      </c>
      <c r="I1821" s="24">
        <v>1</v>
      </c>
      <c r="J1821" s="24">
        <v>0</v>
      </c>
      <c r="K1821" s="24">
        <v>0</v>
      </c>
      <c r="L1821" s="41">
        <f>Table2[[#This Row],[Column1]]+Table2[[#This Row],[Column2]]</f>
        <v>0</v>
      </c>
      <c r="M1821" s="42">
        <f>Table2[[#This Row],[OnHandQty]]-Table2[[#This Row],[Projection Nov/Dec]]</f>
        <v>1</v>
      </c>
      <c r="N1821" s="35">
        <f>Table2[[#This Row],[OverStock]]*Table2[[#This Row],[RepCost]]</f>
        <v>59.497599999999998</v>
      </c>
      <c r="O1821" s="25">
        <v>46118.304861111108</v>
      </c>
      <c r="P1821" s="26" t="s">
        <v>2423</v>
      </c>
    </row>
    <row r="1822" spans="1:16" x14ac:dyDescent="0.25">
      <c r="A1822" s="20" t="s">
        <v>5211</v>
      </c>
      <c r="B1822" s="21">
        <v>718</v>
      </c>
      <c r="C1822" s="22" t="s">
        <v>143</v>
      </c>
      <c r="D1822" s="22" t="s">
        <v>3808</v>
      </c>
      <c r="E1822" s="22" t="str">
        <f>CONCATENATE(B1822,D1822)</f>
        <v>71876358-103</v>
      </c>
      <c r="F1822" s="22" t="s">
        <v>3809</v>
      </c>
      <c r="G1822" s="22" t="s">
        <v>39</v>
      </c>
      <c r="H1822" s="23">
        <v>14.297700000000001</v>
      </c>
      <c r="I1822" s="24">
        <v>1</v>
      </c>
      <c r="J1822" s="24">
        <v>0</v>
      </c>
      <c r="K1822" s="24">
        <v>0</v>
      </c>
      <c r="L1822" s="41">
        <f>Table2[[#This Row],[Column1]]+Table2[[#This Row],[Column2]]</f>
        <v>0</v>
      </c>
      <c r="M1822" s="42">
        <f>Table2[[#This Row],[OnHandQty]]-Table2[[#This Row],[Projection Nov/Dec]]</f>
        <v>1</v>
      </c>
      <c r="N1822" s="35">
        <f>Table2[[#This Row],[OverStock]]*Table2[[#This Row],[RepCost]]</f>
        <v>14.297700000000001</v>
      </c>
      <c r="O1822" s="25">
        <v>46185.38958333333</v>
      </c>
      <c r="P1822" s="26" t="s">
        <v>140</v>
      </c>
    </row>
    <row r="1823" spans="1:16" x14ac:dyDescent="0.25">
      <c r="A1823" s="20" t="s">
        <v>5211</v>
      </c>
      <c r="B1823" s="21">
        <v>634</v>
      </c>
      <c r="C1823" s="22" t="s">
        <v>143</v>
      </c>
      <c r="D1823" s="22" t="s">
        <v>230</v>
      </c>
      <c r="E1823" s="22" t="str">
        <f>CONCATENATE(B1823,D1823)</f>
        <v>63476308-103</v>
      </c>
      <c r="F1823" s="22" t="s">
        <v>231</v>
      </c>
      <c r="G1823" s="22" t="s">
        <v>29</v>
      </c>
      <c r="H1823" s="23">
        <v>14.473100000000001</v>
      </c>
      <c r="I1823" s="24">
        <v>5</v>
      </c>
      <c r="J1823" s="24">
        <v>0</v>
      </c>
      <c r="K1823" s="24">
        <v>0</v>
      </c>
      <c r="L1823" s="41">
        <f>Table2[[#This Row],[Column1]]+Table2[[#This Row],[Column2]]</f>
        <v>0</v>
      </c>
      <c r="M1823" s="42">
        <f>Table2[[#This Row],[OnHandQty]]-Table2[[#This Row],[Projection Nov/Dec]]</f>
        <v>5</v>
      </c>
      <c r="N1823" s="35">
        <f>Table2[[#This Row],[OverStock]]*Table2[[#This Row],[RepCost]]</f>
        <v>72.365499999999997</v>
      </c>
      <c r="O1823" s="25">
        <v>45420.447916666664</v>
      </c>
      <c r="P1823" s="26" t="s">
        <v>140</v>
      </c>
    </row>
    <row r="1824" spans="1:16" x14ac:dyDescent="0.25">
      <c r="A1824" s="20" t="s">
        <v>5211</v>
      </c>
      <c r="B1824" s="21">
        <v>718</v>
      </c>
      <c r="C1824" s="22" t="s">
        <v>143</v>
      </c>
      <c r="D1824" s="22" t="s">
        <v>230</v>
      </c>
      <c r="E1824" s="22" t="str">
        <f>CONCATENATE(B1824,D1824)</f>
        <v>71876308-103</v>
      </c>
      <c r="F1824" s="22" t="s">
        <v>231</v>
      </c>
      <c r="G1824" s="22" t="s">
        <v>39</v>
      </c>
      <c r="H1824" s="23">
        <v>14.297700000000001</v>
      </c>
      <c r="I1824" s="24">
        <v>4</v>
      </c>
      <c r="J1824" s="24">
        <v>0</v>
      </c>
      <c r="K1824" s="24">
        <v>0</v>
      </c>
      <c r="L1824" s="41">
        <f>Table2[[#This Row],[Column1]]+Table2[[#This Row],[Column2]]</f>
        <v>0</v>
      </c>
      <c r="M1824" s="42">
        <f>Table2[[#This Row],[OnHandQty]]-Table2[[#This Row],[Projection Nov/Dec]]</f>
        <v>4</v>
      </c>
      <c r="N1824" s="35">
        <f>Table2[[#This Row],[OverStock]]*Table2[[#This Row],[RepCost]]</f>
        <v>57.190800000000003</v>
      </c>
      <c r="O1824" s="25">
        <v>46185.38958333333</v>
      </c>
      <c r="P1824" s="26" t="s">
        <v>140</v>
      </c>
    </row>
    <row r="1825" spans="1:16" x14ac:dyDescent="0.25">
      <c r="A1825" s="20" t="s">
        <v>5211</v>
      </c>
      <c r="B1825" s="21">
        <v>718</v>
      </c>
      <c r="C1825" s="22" t="s">
        <v>126</v>
      </c>
      <c r="D1825" s="22" t="s">
        <v>3703</v>
      </c>
      <c r="E1825" s="22" t="str">
        <f>CONCATENATE(B1825,D1825)</f>
        <v>71881297-STD102PFO</v>
      </c>
      <c r="F1825" s="22" t="s">
        <v>3704</v>
      </c>
      <c r="G1825" s="22" t="s">
        <v>29</v>
      </c>
      <c r="H1825" s="23">
        <v>15.4468</v>
      </c>
      <c r="I1825" s="24">
        <v>1</v>
      </c>
      <c r="J1825" s="24">
        <v>0</v>
      </c>
      <c r="K1825" s="24">
        <v>0</v>
      </c>
      <c r="L1825" s="41">
        <f>Table2[[#This Row],[Column1]]+Table2[[#This Row],[Column2]]</f>
        <v>0</v>
      </c>
      <c r="M1825" s="42">
        <f>Table2[[#This Row],[OnHandQty]]-Table2[[#This Row],[Projection Nov/Dec]]</f>
        <v>1</v>
      </c>
      <c r="N1825" s="35">
        <f>Table2[[#This Row],[OverStock]]*Table2[[#This Row],[RepCost]]</f>
        <v>15.4468</v>
      </c>
      <c r="O1825" s="25">
        <v>46127.664583333331</v>
      </c>
      <c r="P1825" s="26" t="s">
        <v>140</v>
      </c>
    </row>
    <row r="1826" spans="1:16" x14ac:dyDescent="0.25">
      <c r="A1826" s="20" t="s">
        <v>5211</v>
      </c>
      <c r="B1826" s="21">
        <v>636</v>
      </c>
      <c r="C1826" s="22" t="s">
        <v>143</v>
      </c>
      <c r="D1826" s="22" t="s">
        <v>152</v>
      </c>
      <c r="E1826" s="22" t="str">
        <f>CONCATENATE(B1826,D1826)</f>
        <v>63671628-110</v>
      </c>
      <c r="F1826" s="22" t="s">
        <v>153</v>
      </c>
      <c r="G1826" s="22" t="s">
        <v>23</v>
      </c>
      <c r="H1826" s="23">
        <v>86.209199999999996</v>
      </c>
      <c r="I1826" s="24">
        <v>2</v>
      </c>
      <c r="J1826" s="24">
        <v>0</v>
      </c>
      <c r="K1826" s="24">
        <v>0</v>
      </c>
      <c r="L1826" s="41">
        <f>Table2[[#This Row],[Column1]]+Table2[[#This Row],[Column2]]</f>
        <v>0</v>
      </c>
      <c r="M1826" s="42">
        <f>Table2[[#This Row],[OnHandQty]]-Table2[[#This Row],[Projection Nov/Dec]]</f>
        <v>2</v>
      </c>
      <c r="N1826" s="35">
        <f>Table2[[#This Row],[OverStock]]*Table2[[#This Row],[RepCost]]</f>
        <v>172.41839999999999</v>
      </c>
      <c r="O1826" s="25">
        <v>46104.520833333336</v>
      </c>
      <c r="P1826" s="26" t="s">
        <v>137</v>
      </c>
    </row>
    <row r="1827" spans="1:16" x14ac:dyDescent="0.25">
      <c r="A1827" s="20" t="s">
        <v>5211</v>
      </c>
      <c r="B1827" s="21">
        <v>634</v>
      </c>
      <c r="C1827" s="22" t="s">
        <v>143</v>
      </c>
      <c r="D1827" s="22" t="s">
        <v>152</v>
      </c>
      <c r="E1827" s="22" t="str">
        <f>CONCATENATE(B1827,D1827)</f>
        <v>63471628-110</v>
      </c>
      <c r="F1827" s="22" t="s">
        <v>153</v>
      </c>
      <c r="G1827" s="22" t="s">
        <v>19</v>
      </c>
      <c r="H1827" s="23">
        <v>87.831999999999994</v>
      </c>
      <c r="I1827" s="24">
        <v>2</v>
      </c>
      <c r="J1827" s="24">
        <v>0</v>
      </c>
      <c r="K1827" s="24">
        <v>0</v>
      </c>
      <c r="L1827" s="41">
        <f>Table2[[#This Row],[Column1]]+Table2[[#This Row],[Column2]]</f>
        <v>0</v>
      </c>
      <c r="M1827" s="42">
        <f>Table2[[#This Row],[OnHandQty]]-Table2[[#This Row],[Projection Nov/Dec]]</f>
        <v>2</v>
      </c>
      <c r="N1827" s="35">
        <f>Table2[[#This Row],[OverStock]]*Table2[[#This Row],[RepCost]]</f>
        <v>175.66399999999999</v>
      </c>
      <c r="O1827" s="25">
        <v>46113.665277777778</v>
      </c>
      <c r="P1827" s="26" t="s">
        <v>137</v>
      </c>
    </row>
    <row r="1828" spans="1:16" x14ac:dyDescent="0.25">
      <c r="A1828" s="20" t="s">
        <v>5211</v>
      </c>
      <c r="B1828" s="21">
        <v>714</v>
      </c>
      <c r="C1828" s="22" t="s">
        <v>143</v>
      </c>
      <c r="D1828" s="22" t="s">
        <v>951</v>
      </c>
      <c r="E1828" s="22" t="str">
        <f>CONCATENATE(B1828,D1828)</f>
        <v>71478658-110</v>
      </c>
      <c r="F1828" s="22" t="s">
        <v>952</v>
      </c>
      <c r="G1828" s="22" t="s">
        <v>29</v>
      </c>
      <c r="H1828" s="23">
        <v>79.826599999999999</v>
      </c>
      <c r="I1828" s="24">
        <v>6</v>
      </c>
      <c r="J1828" s="24">
        <v>0</v>
      </c>
      <c r="K1828" s="24">
        <v>0</v>
      </c>
      <c r="L1828" s="41">
        <f>Table2[[#This Row],[Column1]]+Table2[[#This Row],[Column2]]</f>
        <v>0</v>
      </c>
      <c r="M1828" s="42">
        <f>Table2[[#This Row],[OnHandQty]]-Table2[[#This Row],[Projection Nov/Dec]]</f>
        <v>6</v>
      </c>
      <c r="N1828" s="35">
        <f>Table2[[#This Row],[OverStock]]*Table2[[#This Row],[RepCost]]</f>
        <v>478.95960000000002</v>
      </c>
      <c r="O1828" s="25">
        <v>46183.672222222223</v>
      </c>
      <c r="P1828" s="26" t="s">
        <v>159</v>
      </c>
    </row>
    <row r="1829" spans="1:16" x14ac:dyDescent="0.25">
      <c r="A1829" s="20" t="s">
        <v>5211</v>
      </c>
      <c r="B1829" s="21">
        <v>636</v>
      </c>
      <c r="C1829" s="22" t="s">
        <v>143</v>
      </c>
      <c r="D1829" s="22" t="s">
        <v>999</v>
      </c>
      <c r="E1829" s="22" t="str">
        <f>CONCATENATE(B1829,D1829)</f>
        <v>63678658-115</v>
      </c>
      <c r="F1829" s="22" t="s">
        <v>1000</v>
      </c>
      <c r="G1829" s="22" t="s">
        <v>39</v>
      </c>
      <c r="H1829" s="23">
        <v>98.947400000000002</v>
      </c>
      <c r="I1829" s="24">
        <v>33</v>
      </c>
      <c r="J1829" s="24">
        <v>0</v>
      </c>
      <c r="K1829" s="24">
        <v>0</v>
      </c>
      <c r="L1829" s="41">
        <f>Table2[[#This Row],[Column1]]+Table2[[#This Row],[Column2]]</f>
        <v>0</v>
      </c>
      <c r="M1829" s="42">
        <f>Table2[[#This Row],[OnHandQty]]-Table2[[#This Row],[Projection Nov/Dec]]</f>
        <v>33</v>
      </c>
      <c r="N1829" s="35">
        <f>Table2[[#This Row],[OverStock]]*Table2[[#This Row],[RepCost]]</f>
        <v>3265.2642000000001</v>
      </c>
      <c r="O1829" s="25">
        <v>46164.288194444445</v>
      </c>
      <c r="P1829" s="26" t="s">
        <v>170</v>
      </c>
    </row>
    <row r="1830" spans="1:16" x14ac:dyDescent="0.25">
      <c r="A1830" s="20" t="s">
        <v>5211</v>
      </c>
      <c r="B1830" s="21">
        <v>636</v>
      </c>
      <c r="C1830" s="22" t="s">
        <v>143</v>
      </c>
      <c r="D1830" s="22" t="s">
        <v>202</v>
      </c>
      <c r="E1830" s="22" t="str">
        <f>CONCATENATE(B1830,D1830)</f>
        <v>63671741-115</v>
      </c>
      <c r="F1830" s="22" t="s">
        <v>203</v>
      </c>
      <c r="G1830" s="22" t="s">
        <v>158</v>
      </c>
      <c r="H1830" s="23">
        <v>98.506900000000002</v>
      </c>
      <c r="I1830" s="24">
        <v>7</v>
      </c>
      <c r="J1830" s="24">
        <v>0</v>
      </c>
      <c r="K1830" s="24">
        <v>0</v>
      </c>
      <c r="L1830" s="41">
        <f>Table2[[#This Row],[Column1]]+Table2[[#This Row],[Column2]]</f>
        <v>0</v>
      </c>
      <c r="M1830" s="42">
        <f>Table2[[#This Row],[OnHandQty]]-Table2[[#This Row],[Projection Nov/Dec]]</f>
        <v>7</v>
      </c>
      <c r="N1830" s="35">
        <f>Table2[[#This Row],[OverStock]]*Table2[[#This Row],[RepCost]]</f>
        <v>689.54830000000004</v>
      </c>
      <c r="O1830" s="25">
        <v>46114.436111111114</v>
      </c>
      <c r="P1830" s="26" t="s">
        <v>170</v>
      </c>
    </row>
    <row r="1831" spans="1:16" x14ac:dyDescent="0.25">
      <c r="A1831" s="20" t="s">
        <v>5211</v>
      </c>
      <c r="B1831" s="21">
        <v>634</v>
      </c>
      <c r="C1831" s="22" t="s">
        <v>143</v>
      </c>
      <c r="D1831" s="22" t="s">
        <v>202</v>
      </c>
      <c r="E1831" s="22" t="str">
        <f>CONCATENATE(B1831,D1831)</f>
        <v>63471741-115</v>
      </c>
      <c r="F1831" s="22" t="s">
        <v>203</v>
      </c>
      <c r="G1831" s="22" t="s">
        <v>19</v>
      </c>
      <c r="H1831" s="23">
        <v>105.3261</v>
      </c>
      <c r="I1831" s="24">
        <v>7</v>
      </c>
      <c r="J1831" s="24">
        <v>0</v>
      </c>
      <c r="K1831" s="24">
        <v>0</v>
      </c>
      <c r="L1831" s="41">
        <f>Table2[[#This Row],[Column1]]+Table2[[#This Row],[Column2]]</f>
        <v>0</v>
      </c>
      <c r="M1831" s="42">
        <f>Table2[[#This Row],[OnHandQty]]-Table2[[#This Row],[Projection Nov/Dec]]</f>
        <v>7</v>
      </c>
      <c r="N1831" s="35">
        <f>Table2[[#This Row],[OverStock]]*Table2[[#This Row],[RepCost]]</f>
        <v>737.28269999999998</v>
      </c>
      <c r="O1831" s="25">
        <v>46119.382638888892</v>
      </c>
      <c r="P1831" s="26" t="s">
        <v>170</v>
      </c>
    </row>
    <row r="1832" spans="1:16" x14ac:dyDescent="0.25">
      <c r="A1832" s="20" t="s">
        <v>5211</v>
      </c>
      <c r="B1832" s="21">
        <v>714</v>
      </c>
      <c r="C1832" s="22" t="s">
        <v>143</v>
      </c>
      <c r="D1832" s="22" t="s">
        <v>2624</v>
      </c>
      <c r="E1832" s="22" t="str">
        <f>CONCATENATE(B1832,D1832)</f>
        <v>71471741-236</v>
      </c>
      <c r="F1832" s="22" t="s">
        <v>2625</v>
      </c>
      <c r="G1832" s="22" t="s">
        <v>158</v>
      </c>
      <c r="H1832" s="23">
        <v>90.943899999999999</v>
      </c>
      <c r="I1832" s="24">
        <v>5</v>
      </c>
      <c r="J1832" s="24">
        <v>0</v>
      </c>
      <c r="K1832" s="24">
        <v>0</v>
      </c>
      <c r="L1832" s="41">
        <f>Table2[[#This Row],[Column1]]+Table2[[#This Row],[Column2]]</f>
        <v>0</v>
      </c>
      <c r="M1832" s="42">
        <f>Table2[[#This Row],[OnHandQty]]-Table2[[#This Row],[Projection Nov/Dec]]</f>
        <v>5</v>
      </c>
      <c r="N1832" s="35">
        <f>Table2[[#This Row],[OverStock]]*Table2[[#This Row],[RepCost]]</f>
        <v>454.71949999999998</v>
      </c>
      <c r="O1832" s="25">
        <v>46226.429166666669</v>
      </c>
      <c r="P1832" s="26" t="s">
        <v>371</v>
      </c>
    </row>
    <row r="1833" spans="1:16" x14ac:dyDescent="0.25">
      <c r="A1833" s="20" t="s">
        <v>5211</v>
      </c>
      <c r="B1833" s="21">
        <v>636</v>
      </c>
      <c r="C1833" s="22" t="s">
        <v>143</v>
      </c>
      <c r="D1833" s="22" t="s">
        <v>1146</v>
      </c>
      <c r="E1833" s="22" t="str">
        <f>CONCATENATE(B1833,D1833)</f>
        <v>63671741-242</v>
      </c>
      <c r="F1833" s="22" t="s">
        <v>1147</v>
      </c>
      <c r="G1833" s="22" t="s">
        <v>19</v>
      </c>
      <c r="H1833" s="23">
        <v>119.4607</v>
      </c>
      <c r="I1833" s="24">
        <v>16</v>
      </c>
      <c r="J1833" s="24">
        <v>10</v>
      </c>
      <c r="K1833" s="24">
        <v>0</v>
      </c>
      <c r="L1833" s="41">
        <f>Table2[[#This Row],[Column1]]+Table2[[#This Row],[Column2]]</f>
        <v>10</v>
      </c>
      <c r="M1833" s="42">
        <f>Table2[[#This Row],[OnHandQty]]-Table2[[#This Row],[Projection Nov/Dec]]</f>
        <v>6</v>
      </c>
      <c r="N1833" s="35">
        <f>Table2[[#This Row],[OverStock]]*Table2[[#This Row],[RepCost]]</f>
        <v>716.76420000000007</v>
      </c>
      <c r="O1833" s="25">
        <v>46119.593055555553</v>
      </c>
      <c r="P1833" s="26" t="s">
        <v>236</v>
      </c>
    </row>
    <row r="1834" spans="1:16" x14ac:dyDescent="0.25">
      <c r="A1834" s="20" t="s">
        <v>5211</v>
      </c>
      <c r="B1834" s="21">
        <v>636</v>
      </c>
      <c r="C1834" s="22" t="s">
        <v>143</v>
      </c>
      <c r="D1834" s="22" t="s">
        <v>980</v>
      </c>
      <c r="E1834" s="22" t="str">
        <f>CONCATENATE(B1834,D1834)</f>
        <v>63671741-248</v>
      </c>
      <c r="F1834" s="22" t="s">
        <v>981</v>
      </c>
      <c r="G1834" s="22" t="s">
        <v>158</v>
      </c>
      <c r="H1834" s="23">
        <v>185.21879999999999</v>
      </c>
      <c r="I1834" s="24">
        <v>11</v>
      </c>
      <c r="J1834" s="24">
        <v>2</v>
      </c>
      <c r="K1834" s="24">
        <v>0</v>
      </c>
      <c r="L1834" s="41">
        <f>Table2[[#This Row],[Column1]]+Table2[[#This Row],[Column2]]</f>
        <v>2</v>
      </c>
      <c r="M1834" s="42">
        <f>Table2[[#This Row],[OnHandQty]]-Table2[[#This Row],[Projection Nov/Dec]]</f>
        <v>9</v>
      </c>
      <c r="N1834" s="35">
        <f>Table2[[#This Row],[OverStock]]*Table2[[#This Row],[RepCost]]</f>
        <v>1666.9692</v>
      </c>
      <c r="O1834" s="25">
        <v>46119.593055555553</v>
      </c>
      <c r="P1834" s="26" t="s">
        <v>236</v>
      </c>
    </row>
    <row r="1835" spans="1:16" x14ac:dyDescent="0.25">
      <c r="A1835" s="20" t="s">
        <v>5211</v>
      </c>
      <c r="B1835" s="21">
        <v>714</v>
      </c>
      <c r="C1835" s="22" t="s">
        <v>143</v>
      </c>
      <c r="D1835" s="22" t="s">
        <v>980</v>
      </c>
      <c r="E1835" s="22" t="str">
        <f>CONCATENATE(B1835,D1835)</f>
        <v>71471741-248</v>
      </c>
      <c r="F1835" s="22" t="s">
        <v>981</v>
      </c>
      <c r="G1835" s="22" t="s">
        <v>29</v>
      </c>
      <c r="H1835" s="23">
        <v>151.57320000000001</v>
      </c>
      <c r="I1835" s="24">
        <v>7</v>
      </c>
      <c r="J1835" s="24">
        <v>2</v>
      </c>
      <c r="K1835" s="24">
        <v>0</v>
      </c>
      <c r="L1835" s="41">
        <f>Table2[[#This Row],[Column1]]+Table2[[#This Row],[Column2]]</f>
        <v>2</v>
      </c>
      <c r="M1835" s="42">
        <f>Table2[[#This Row],[OnHandQty]]-Table2[[#This Row],[Projection Nov/Dec]]</f>
        <v>5</v>
      </c>
      <c r="N1835" s="35">
        <f>Table2[[#This Row],[OverStock]]*Table2[[#This Row],[RepCost]]</f>
        <v>757.8660000000001</v>
      </c>
      <c r="O1835" s="25">
        <v>46226.429166666669</v>
      </c>
      <c r="P1835" s="26" t="s">
        <v>371</v>
      </c>
    </row>
    <row r="1836" spans="1:16" x14ac:dyDescent="0.25">
      <c r="A1836" s="20" t="s">
        <v>5211</v>
      </c>
      <c r="B1836" s="21">
        <v>636</v>
      </c>
      <c r="C1836" s="22" t="s">
        <v>143</v>
      </c>
      <c r="D1836" s="22" t="s">
        <v>1184</v>
      </c>
      <c r="E1836" s="22" t="str">
        <f>CONCATENATE(B1836,D1836)</f>
        <v>63671741-105</v>
      </c>
      <c r="F1836" s="22" t="s">
        <v>1185</v>
      </c>
      <c r="G1836" s="22" t="s">
        <v>43</v>
      </c>
      <c r="H1836" s="23">
        <v>32.654200000000003</v>
      </c>
      <c r="I1836" s="24">
        <v>24</v>
      </c>
      <c r="J1836" s="24">
        <v>4</v>
      </c>
      <c r="K1836" s="24">
        <v>0</v>
      </c>
      <c r="L1836" s="41">
        <f>Table2[[#This Row],[Column1]]+Table2[[#This Row],[Column2]]</f>
        <v>4</v>
      </c>
      <c r="M1836" s="42">
        <f>Table2[[#This Row],[OnHandQty]]-Table2[[#This Row],[Projection Nov/Dec]]</f>
        <v>20</v>
      </c>
      <c r="N1836" s="35">
        <f>Table2[[#This Row],[OverStock]]*Table2[[#This Row],[RepCost]]</f>
        <v>653.08400000000006</v>
      </c>
      <c r="O1836" s="25">
        <v>46192.487500000003</v>
      </c>
      <c r="P1836" s="26" t="s">
        <v>162</v>
      </c>
    </row>
    <row r="1837" spans="1:16" x14ac:dyDescent="0.25">
      <c r="A1837" s="20" t="s">
        <v>5211</v>
      </c>
      <c r="B1837" s="21">
        <v>634</v>
      </c>
      <c r="C1837" s="22" t="s">
        <v>143</v>
      </c>
      <c r="D1837" s="22" t="s">
        <v>227</v>
      </c>
      <c r="E1837" s="22" t="str">
        <f>CONCATENATE(B1837,D1837)</f>
        <v>63471741-107</v>
      </c>
      <c r="F1837" s="27" t="s">
        <v>228</v>
      </c>
      <c r="G1837" s="27" t="s">
        <v>58</v>
      </c>
      <c r="H1837" s="23">
        <v>79.198300000000003</v>
      </c>
      <c r="I1837" s="24">
        <v>3</v>
      </c>
      <c r="J1837" s="24">
        <v>0</v>
      </c>
      <c r="K1837" s="24">
        <v>0</v>
      </c>
      <c r="L1837" s="41">
        <f>Table2[[#This Row],[Column1]]+Table2[[#This Row],[Column2]]</f>
        <v>0</v>
      </c>
      <c r="M1837" s="42">
        <f>Table2[[#This Row],[OnHandQty]]-Table2[[#This Row],[Projection Nov/Dec]]</f>
        <v>3</v>
      </c>
      <c r="N1837" s="35">
        <f>Table2[[#This Row],[OverStock]]*Table2[[#This Row],[RepCost]]</f>
        <v>237.5949</v>
      </c>
      <c r="O1837" s="25">
        <v>45455.600694444445</v>
      </c>
      <c r="P1837" s="26" t="s">
        <v>229</v>
      </c>
    </row>
    <row r="1838" spans="1:16" x14ac:dyDescent="0.25">
      <c r="A1838" s="20" t="s">
        <v>5211</v>
      </c>
      <c r="B1838" s="21">
        <v>636</v>
      </c>
      <c r="C1838" s="22" t="s">
        <v>143</v>
      </c>
      <c r="D1838" s="22" t="s">
        <v>1188</v>
      </c>
      <c r="E1838" s="22" t="str">
        <f>CONCATENATE(B1838,D1838)</f>
        <v>63671568-102</v>
      </c>
      <c r="F1838" s="22" t="s">
        <v>1189</v>
      </c>
      <c r="G1838" s="22" t="s">
        <v>123</v>
      </c>
      <c r="H1838" s="23">
        <v>15.746499999999999</v>
      </c>
      <c r="I1838" s="24">
        <v>1</v>
      </c>
      <c r="J1838" s="24">
        <v>0</v>
      </c>
      <c r="K1838" s="24">
        <v>0</v>
      </c>
      <c r="L1838" s="41">
        <f>Table2[[#This Row],[Column1]]+Table2[[#This Row],[Column2]]</f>
        <v>0</v>
      </c>
      <c r="M1838" s="42">
        <f>Table2[[#This Row],[OnHandQty]]-Table2[[#This Row],[Projection Nov/Dec]]</f>
        <v>1</v>
      </c>
      <c r="N1838" s="35">
        <f>Table2[[#This Row],[OverStock]]*Table2[[#This Row],[RepCost]]</f>
        <v>15.746499999999999</v>
      </c>
      <c r="O1838" s="25">
        <v>45729.422222222223</v>
      </c>
      <c r="P1838" s="26" t="s">
        <v>40</v>
      </c>
    </row>
    <row r="1839" spans="1:16" x14ac:dyDescent="0.25">
      <c r="A1839" s="20" t="s">
        <v>5211</v>
      </c>
      <c r="B1839" s="21">
        <v>718</v>
      </c>
      <c r="C1839" s="22" t="s">
        <v>143</v>
      </c>
      <c r="D1839" s="22" t="s">
        <v>3774</v>
      </c>
      <c r="E1839" s="22" t="str">
        <f>CONCATENATE(B1839,D1839)</f>
        <v>71876317-103</v>
      </c>
      <c r="F1839" s="22" t="s">
        <v>3775</v>
      </c>
      <c r="G1839" s="22" t="s">
        <v>112</v>
      </c>
      <c r="H1839" s="23">
        <v>15.545500000000001</v>
      </c>
      <c r="I1839" s="24">
        <v>6</v>
      </c>
      <c r="J1839" s="24">
        <v>0</v>
      </c>
      <c r="K1839" s="24">
        <v>0</v>
      </c>
      <c r="L1839" s="41">
        <f>Table2[[#This Row],[Column1]]+Table2[[#This Row],[Column2]]</f>
        <v>0</v>
      </c>
      <c r="M1839" s="42">
        <f>Table2[[#This Row],[OnHandQty]]-Table2[[#This Row],[Projection Nov/Dec]]</f>
        <v>6</v>
      </c>
      <c r="N1839" s="35">
        <f>Table2[[#This Row],[OverStock]]*Table2[[#This Row],[RepCost]]</f>
        <v>93.272999999999996</v>
      </c>
      <c r="O1839" s="25">
        <v>46240.421527777777</v>
      </c>
      <c r="P1839" s="26" t="s">
        <v>175</v>
      </c>
    </row>
    <row r="1840" spans="1:16" x14ac:dyDescent="0.25">
      <c r="A1840" s="20" t="s">
        <v>5211</v>
      </c>
      <c r="B1840" s="21">
        <v>634</v>
      </c>
      <c r="C1840" s="22" t="s">
        <v>143</v>
      </c>
      <c r="D1840" s="22" t="s">
        <v>257</v>
      </c>
      <c r="E1840" s="22" t="str">
        <f>CONCATENATE(B1840,D1840)</f>
        <v>63476314-103</v>
      </c>
      <c r="F1840" s="22" t="s">
        <v>258</v>
      </c>
      <c r="G1840" s="22" t="s">
        <v>39</v>
      </c>
      <c r="H1840" s="23">
        <v>17.583600000000001</v>
      </c>
      <c r="I1840" s="24">
        <v>2</v>
      </c>
      <c r="J1840" s="24">
        <v>0</v>
      </c>
      <c r="K1840" s="24">
        <v>0</v>
      </c>
      <c r="L1840" s="41">
        <f>Table2[[#This Row],[Column1]]+Table2[[#This Row],[Column2]]</f>
        <v>0</v>
      </c>
      <c r="M1840" s="42">
        <f>Table2[[#This Row],[OnHandQty]]-Table2[[#This Row],[Projection Nov/Dec]]</f>
        <v>2</v>
      </c>
      <c r="N1840" s="35">
        <f>Table2[[#This Row],[OverStock]]*Table2[[#This Row],[RepCost]]</f>
        <v>35.167200000000001</v>
      </c>
      <c r="O1840" s="25">
        <v>46120.659722222219</v>
      </c>
      <c r="P1840" s="26" t="s">
        <v>30</v>
      </c>
    </row>
    <row r="1841" spans="1:16" x14ac:dyDescent="0.25">
      <c r="A1841" s="20" t="s">
        <v>5211</v>
      </c>
      <c r="B1841" s="21">
        <v>636</v>
      </c>
      <c r="C1841" s="22" t="s">
        <v>143</v>
      </c>
      <c r="D1841" s="22" t="s">
        <v>953</v>
      </c>
      <c r="E1841" s="22" t="str">
        <f>CONCATENATE(B1841,D1841)</f>
        <v>63676351-103</v>
      </c>
      <c r="F1841" s="22" t="s">
        <v>954</v>
      </c>
      <c r="G1841" s="22" t="s">
        <v>23</v>
      </c>
      <c r="H1841" s="23">
        <v>13.6601</v>
      </c>
      <c r="I1841" s="24">
        <v>96</v>
      </c>
      <c r="J1841" s="24">
        <v>5</v>
      </c>
      <c r="K1841" s="24">
        <v>6</v>
      </c>
      <c r="L1841" s="41">
        <f>Table2[[#This Row],[Column1]]+Table2[[#This Row],[Column2]]</f>
        <v>11</v>
      </c>
      <c r="M1841" s="42">
        <f>Table2[[#This Row],[OnHandQty]]-Table2[[#This Row],[Projection Nov/Dec]]</f>
        <v>85</v>
      </c>
      <c r="N1841" s="35">
        <f>Table2[[#This Row],[OverStock]]*Table2[[#This Row],[RepCost]]</f>
        <v>1161.1085</v>
      </c>
      <c r="O1841" s="25">
        <v>46127.302777777775</v>
      </c>
      <c r="P1841" s="26" t="s">
        <v>162</v>
      </c>
    </row>
    <row r="1842" spans="1:16" x14ac:dyDescent="0.25">
      <c r="A1842" s="20" t="s">
        <v>5211</v>
      </c>
      <c r="B1842" s="21">
        <v>714</v>
      </c>
      <c r="C1842" s="22" t="s">
        <v>143</v>
      </c>
      <c r="D1842" s="22" t="s">
        <v>2736</v>
      </c>
      <c r="E1842" s="22" t="str">
        <f>CONCATENATE(B1842,D1842)</f>
        <v>71471576-107</v>
      </c>
      <c r="F1842" s="22" t="s">
        <v>2737</v>
      </c>
      <c r="G1842" s="22" t="s">
        <v>29</v>
      </c>
      <c r="H1842" s="23">
        <v>28.2927</v>
      </c>
      <c r="I1842" s="24">
        <v>22</v>
      </c>
      <c r="J1842" s="24">
        <v>0</v>
      </c>
      <c r="K1842" s="24">
        <v>0</v>
      </c>
      <c r="L1842" s="41">
        <f>Table2[[#This Row],[Column1]]+Table2[[#This Row],[Column2]]</f>
        <v>0</v>
      </c>
      <c r="M1842" s="42">
        <f>Table2[[#This Row],[OnHandQty]]-Table2[[#This Row],[Projection Nov/Dec]]</f>
        <v>22</v>
      </c>
      <c r="N1842" s="35">
        <f>Table2[[#This Row],[OverStock]]*Table2[[#This Row],[RepCost]]</f>
        <v>622.43939999999998</v>
      </c>
      <c r="O1842" s="25">
        <v>46188.35</v>
      </c>
      <c r="P1842" s="26" t="s">
        <v>26</v>
      </c>
    </row>
    <row r="1843" spans="1:16" x14ac:dyDescent="0.25">
      <c r="A1843" s="20" t="s">
        <v>5211</v>
      </c>
      <c r="B1843" s="21">
        <v>636</v>
      </c>
      <c r="C1843" s="22" t="s">
        <v>143</v>
      </c>
      <c r="D1843" s="22" t="s">
        <v>947</v>
      </c>
      <c r="E1843" s="22" t="str">
        <f>CONCATENATE(B1843,D1843)</f>
        <v>63676304-103</v>
      </c>
      <c r="F1843" s="22" t="s">
        <v>948</v>
      </c>
      <c r="G1843" s="22" t="s">
        <v>112</v>
      </c>
      <c r="H1843" s="23">
        <v>16.033200000000001</v>
      </c>
      <c r="I1843" s="24">
        <v>23</v>
      </c>
      <c r="J1843" s="24">
        <v>3</v>
      </c>
      <c r="K1843" s="24">
        <v>0</v>
      </c>
      <c r="L1843" s="41">
        <f>Table2[[#This Row],[Column1]]+Table2[[#This Row],[Column2]]</f>
        <v>3</v>
      </c>
      <c r="M1843" s="42">
        <f>Table2[[#This Row],[OnHandQty]]-Table2[[#This Row],[Projection Nov/Dec]]</f>
        <v>20</v>
      </c>
      <c r="N1843" s="35">
        <f>Table2[[#This Row],[OverStock]]*Table2[[#This Row],[RepCost]]</f>
        <v>320.66399999999999</v>
      </c>
      <c r="O1843" s="25">
        <v>46127.302777777775</v>
      </c>
      <c r="P1843" s="26" t="s">
        <v>162</v>
      </c>
    </row>
    <row r="1844" spans="1:16" x14ac:dyDescent="0.25">
      <c r="A1844" s="20" t="s">
        <v>5211</v>
      </c>
      <c r="B1844" s="21">
        <v>634</v>
      </c>
      <c r="C1844" s="22" t="s">
        <v>143</v>
      </c>
      <c r="D1844" s="22" t="s">
        <v>300</v>
      </c>
      <c r="E1844" s="22" t="str">
        <f>CONCATENATE(B1844,D1844)</f>
        <v>63471749-110</v>
      </c>
      <c r="F1844" s="22" t="s">
        <v>301</v>
      </c>
      <c r="G1844" s="22" t="s">
        <v>43</v>
      </c>
      <c r="H1844" s="23">
        <v>79.993200000000002</v>
      </c>
      <c r="I1844" s="24">
        <v>10</v>
      </c>
      <c r="J1844" s="24">
        <v>5</v>
      </c>
      <c r="K1844" s="24">
        <v>0</v>
      </c>
      <c r="L1844" s="41">
        <f>Table2[[#This Row],[Column1]]+Table2[[#This Row],[Column2]]</f>
        <v>5</v>
      </c>
      <c r="M1844" s="42">
        <f>Table2[[#This Row],[OnHandQty]]-Table2[[#This Row],[Projection Nov/Dec]]</f>
        <v>5</v>
      </c>
      <c r="N1844" s="35">
        <f>Table2[[#This Row],[OverStock]]*Table2[[#This Row],[RepCost]]</f>
        <v>399.96600000000001</v>
      </c>
      <c r="O1844" s="25">
        <v>46171.646527777775</v>
      </c>
      <c r="P1844" s="26" t="s">
        <v>40</v>
      </c>
    </row>
    <row r="1845" spans="1:16" x14ac:dyDescent="0.25">
      <c r="A1845" s="20" t="s">
        <v>5211</v>
      </c>
      <c r="B1845" s="21">
        <v>718</v>
      </c>
      <c r="C1845" s="22" t="s">
        <v>143</v>
      </c>
      <c r="D1845" s="22" t="s">
        <v>3798</v>
      </c>
      <c r="E1845" s="22" t="str">
        <f>CONCATENATE(B1845,D1845)</f>
        <v>71893473-103</v>
      </c>
      <c r="F1845" s="22" t="s">
        <v>3799</v>
      </c>
      <c r="G1845" s="22" t="s">
        <v>15</v>
      </c>
      <c r="H1845" s="23">
        <v>19.918199999999999</v>
      </c>
      <c r="I1845" s="24">
        <v>2</v>
      </c>
      <c r="J1845" s="24">
        <v>0</v>
      </c>
      <c r="K1845" s="24">
        <v>0</v>
      </c>
      <c r="L1845" s="41">
        <f>Table2[[#This Row],[Column1]]+Table2[[#This Row],[Column2]]</f>
        <v>0</v>
      </c>
      <c r="M1845" s="42">
        <f>Table2[[#This Row],[OnHandQty]]-Table2[[#This Row],[Projection Nov/Dec]]</f>
        <v>2</v>
      </c>
      <c r="N1845" s="35">
        <f>Table2[[#This Row],[OverStock]]*Table2[[#This Row],[RepCost]]</f>
        <v>39.836399999999998</v>
      </c>
      <c r="O1845" s="25">
        <v>45735.504861111112</v>
      </c>
      <c r="P1845" s="26" t="s">
        <v>30</v>
      </c>
    </row>
    <row r="1846" spans="1:16" x14ac:dyDescent="0.25">
      <c r="A1846" s="20" t="s">
        <v>5211</v>
      </c>
      <c r="B1846" s="21">
        <v>714</v>
      </c>
      <c r="C1846" s="22" t="s">
        <v>143</v>
      </c>
      <c r="D1846" s="22" t="s">
        <v>2417</v>
      </c>
      <c r="E1846" s="22" t="str">
        <f>CONCATENATE(B1846,D1846)</f>
        <v>71495091-103</v>
      </c>
      <c r="F1846" s="22" t="s">
        <v>2418</v>
      </c>
      <c r="G1846" s="22" t="s">
        <v>39</v>
      </c>
      <c r="H1846" s="23">
        <v>20.362400000000001</v>
      </c>
      <c r="I1846" s="24">
        <v>2</v>
      </c>
      <c r="J1846" s="24">
        <v>0</v>
      </c>
      <c r="K1846" s="24">
        <v>0</v>
      </c>
      <c r="L1846" s="41">
        <f>Table2[[#This Row],[Column1]]+Table2[[#This Row],[Column2]]</f>
        <v>0</v>
      </c>
      <c r="M1846" s="42">
        <f>Table2[[#This Row],[OnHandQty]]-Table2[[#This Row],[Projection Nov/Dec]]</f>
        <v>2</v>
      </c>
      <c r="N1846" s="35">
        <f>Table2[[#This Row],[OverStock]]*Table2[[#This Row],[RepCost]]</f>
        <v>40.724800000000002</v>
      </c>
      <c r="O1846" s="25">
        <v>46109.364583333336</v>
      </c>
      <c r="P1846" s="26" t="s">
        <v>30</v>
      </c>
    </row>
    <row r="1847" spans="1:16" x14ac:dyDescent="0.25">
      <c r="A1847" s="20" t="s">
        <v>5211</v>
      </c>
      <c r="B1847" s="21">
        <v>636</v>
      </c>
      <c r="C1847" s="22" t="s">
        <v>143</v>
      </c>
      <c r="D1847" s="22" t="s">
        <v>1186</v>
      </c>
      <c r="E1847" s="22" t="str">
        <f>CONCATENATE(B1847,D1847)</f>
        <v>63676339-105</v>
      </c>
      <c r="F1847" s="22" t="s">
        <v>1187</v>
      </c>
      <c r="G1847" s="22" t="s">
        <v>112</v>
      </c>
      <c r="H1847" s="23">
        <v>26.533100000000001</v>
      </c>
      <c r="I1847" s="24">
        <v>1</v>
      </c>
      <c r="J1847" s="24">
        <v>0</v>
      </c>
      <c r="K1847" s="24">
        <v>0</v>
      </c>
      <c r="L1847" s="41">
        <f>Table2[[#This Row],[Column1]]+Table2[[#This Row],[Column2]]</f>
        <v>0</v>
      </c>
      <c r="M1847" s="42">
        <f>Table2[[#This Row],[OnHandQty]]-Table2[[#This Row],[Projection Nov/Dec]]</f>
        <v>1</v>
      </c>
      <c r="N1847" s="35">
        <f>Table2[[#This Row],[OverStock]]*Table2[[#This Row],[RepCost]]</f>
        <v>26.533100000000001</v>
      </c>
      <c r="O1847" s="25">
        <v>46127.302777777775</v>
      </c>
      <c r="P1847" s="26" t="s">
        <v>162</v>
      </c>
    </row>
    <row r="1848" spans="1:16" x14ac:dyDescent="0.25">
      <c r="A1848" s="20" t="s">
        <v>5211</v>
      </c>
      <c r="B1848" s="21">
        <v>634</v>
      </c>
      <c r="C1848" s="22" t="s">
        <v>143</v>
      </c>
      <c r="D1848" s="22" t="s">
        <v>225</v>
      </c>
      <c r="E1848" s="22" t="str">
        <f>CONCATENATE(B1848,D1848)</f>
        <v>63476339-107</v>
      </c>
      <c r="F1848" s="22" t="s">
        <v>226</v>
      </c>
      <c r="G1848" s="22" t="s">
        <v>29</v>
      </c>
      <c r="H1848" s="23">
        <v>27.988299999999999</v>
      </c>
      <c r="I1848" s="24">
        <v>2</v>
      </c>
      <c r="J1848" s="24">
        <v>0</v>
      </c>
      <c r="K1848" s="24">
        <v>0</v>
      </c>
      <c r="L1848" s="41">
        <f>Table2[[#This Row],[Column1]]+Table2[[#This Row],[Column2]]</f>
        <v>0</v>
      </c>
      <c r="M1848" s="42">
        <f>Table2[[#This Row],[OnHandQty]]-Table2[[#This Row],[Projection Nov/Dec]]</f>
        <v>2</v>
      </c>
      <c r="N1848" s="35">
        <f>Table2[[#This Row],[OverStock]]*Table2[[#This Row],[RepCost]]</f>
        <v>55.976599999999998</v>
      </c>
      <c r="O1848" s="25">
        <v>45776.305555555555</v>
      </c>
      <c r="P1848" s="26" t="s">
        <v>159</v>
      </c>
    </row>
    <row r="1849" spans="1:16" x14ac:dyDescent="0.25">
      <c r="A1849" s="20" t="s">
        <v>5211</v>
      </c>
      <c r="B1849" s="21">
        <v>718</v>
      </c>
      <c r="C1849" s="22" t="s">
        <v>143</v>
      </c>
      <c r="D1849" s="22" t="s">
        <v>2481</v>
      </c>
      <c r="E1849" s="22" t="str">
        <f>CONCATENATE(B1849,D1849)</f>
        <v>71878528-110</v>
      </c>
      <c r="F1849" s="22" t="s">
        <v>2482</v>
      </c>
      <c r="G1849" s="22" t="s">
        <v>23</v>
      </c>
      <c r="H1849" s="23">
        <v>48.097900000000003</v>
      </c>
      <c r="I1849" s="24">
        <v>20</v>
      </c>
      <c r="J1849" s="24">
        <v>0</v>
      </c>
      <c r="K1849" s="24">
        <v>0</v>
      </c>
      <c r="L1849" s="41">
        <f>Table2[[#This Row],[Column1]]+Table2[[#This Row],[Column2]]</f>
        <v>0</v>
      </c>
      <c r="M1849" s="42">
        <f>Table2[[#This Row],[OnHandQty]]-Table2[[#This Row],[Projection Nov/Dec]]</f>
        <v>20</v>
      </c>
      <c r="N1849" s="35">
        <f>Table2[[#This Row],[OverStock]]*Table2[[#This Row],[RepCost]]</f>
        <v>961.95800000000008</v>
      </c>
      <c r="O1849" s="25">
        <v>46154.724999999999</v>
      </c>
      <c r="P1849" s="26" t="s">
        <v>310</v>
      </c>
    </row>
    <row r="1850" spans="1:16" x14ac:dyDescent="0.25">
      <c r="A1850" s="20" t="s">
        <v>5211</v>
      </c>
      <c r="B1850" s="21">
        <v>714</v>
      </c>
      <c r="C1850" s="22" t="s">
        <v>143</v>
      </c>
      <c r="D1850" s="22" t="s">
        <v>2481</v>
      </c>
      <c r="E1850" s="22" t="str">
        <f>CONCATENATE(B1850,D1850)</f>
        <v>71478528-110</v>
      </c>
      <c r="F1850" s="22" t="s">
        <v>2482</v>
      </c>
      <c r="G1850" s="22" t="s">
        <v>158</v>
      </c>
      <c r="H1850" s="23">
        <v>46.780200000000001</v>
      </c>
      <c r="I1850" s="24">
        <v>5</v>
      </c>
      <c r="J1850" s="24">
        <v>0</v>
      </c>
      <c r="K1850" s="24">
        <v>0</v>
      </c>
      <c r="L1850" s="41">
        <f>Table2[[#This Row],[Column1]]+Table2[[#This Row],[Column2]]</f>
        <v>0</v>
      </c>
      <c r="M1850" s="42">
        <f>Table2[[#This Row],[OnHandQty]]-Table2[[#This Row],[Projection Nov/Dec]]</f>
        <v>5</v>
      </c>
      <c r="N1850" s="35">
        <f>Table2[[#This Row],[OverStock]]*Table2[[#This Row],[RepCost]]</f>
        <v>233.90100000000001</v>
      </c>
      <c r="O1850" s="25">
        <v>46174.37777777778</v>
      </c>
      <c r="P1850" s="26" t="s">
        <v>310</v>
      </c>
    </row>
    <row r="1851" spans="1:16" x14ac:dyDescent="0.25">
      <c r="A1851" s="20" t="s">
        <v>5211</v>
      </c>
      <c r="B1851" s="21">
        <v>714</v>
      </c>
      <c r="C1851" s="22" t="s">
        <v>143</v>
      </c>
      <c r="D1851" s="22" t="s">
        <v>2804</v>
      </c>
      <c r="E1851" s="22" t="str">
        <f>CONCATENATE(B1851,D1851)</f>
        <v>71471821-107</v>
      </c>
      <c r="F1851" s="22" t="s">
        <v>2805</v>
      </c>
      <c r="G1851" s="22" t="s">
        <v>29</v>
      </c>
      <c r="H1851" s="23">
        <v>28.2927</v>
      </c>
      <c r="I1851" s="24">
        <v>14</v>
      </c>
      <c r="J1851" s="24">
        <v>0</v>
      </c>
      <c r="K1851" s="24">
        <v>0</v>
      </c>
      <c r="L1851" s="41">
        <f>Table2[[#This Row],[Column1]]+Table2[[#This Row],[Column2]]</f>
        <v>0</v>
      </c>
      <c r="M1851" s="42">
        <f>Table2[[#This Row],[OnHandQty]]-Table2[[#This Row],[Projection Nov/Dec]]</f>
        <v>14</v>
      </c>
      <c r="N1851" s="35">
        <f>Table2[[#This Row],[OverStock]]*Table2[[#This Row],[RepCost]]</f>
        <v>396.09780000000001</v>
      </c>
      <c r="O1851" s="25">
        <v>46188.35</v>
      </c>
      <c r="P1851" s="26" t="s">
        <v>26</v>
      </c>
    </row>
    <row r="1852" spans="1:16" x14ac:dyDescent="0.25">
      <c r="A1852" s="20" t="s">
        <v>5211</v>
      </c>
      <c r="B1852" s="21">
        <v>718</v>
      </c>
      <c r="C1852" s="22" t="s">
        <v>143</v>
      </c>
      <c r="D1852" s="22" t="s">
        <v>2804</v>
      </c>
      <c r="E1852" s="22" t="str">
        <f>CONCATENATE(B1852,D1852)</f>
        <v>71871821-107</v>
      </c>
      <c r="F1852" s="22" t="s">
        <v>2805</v>
      </c>
      <c r="G1852" s="22" t="s">
        <v>39</v>
      </c>
      <c r="H1852" s="23">
        <v>25.061800000000002</v>
      </c>
      <c r="I1852" s="24">
        <v>10</v>
      </c>
      <c r="J1852" s="24">
        <v>0</v>
      </c>
      <c r="K1852" s="24">
        <v>0</v>
      </c>
      <c r="L1852" s="41">
        <f>Table2[[#This Row],[Column1]]+Table2[[#This Row],[Column2]]</f>
        <v>0</v>
      </c>
      <c r="M1852" s="42">
        <f>Table2[[#This Row],[OnHandQty]]-Table2[[#This Row],[Projection Nov/Dec]]</f>
        <v>10</v>
      </c>
      <c r="N1852" s="35">
        <f>Table2[[#This Row],[OverStock]]*Table2[[#This Row],[RepCost]]</f>
        <v>250.61800000000002</v>
      </c>
      <c r="O1852" s="25">
        <v>46224.686805555553</v>
      </c>
      <c r="P1852" s="26" t="s">
        <v>2225</v>
      </c>
    </row>
    <row r="1853" spans="1:16" x14ac:dyDescent="0.25">
      <c r="A1853" s="20" t="s">
        <v>5211</v>
      </c>
      <c r="B1853" s="21">
        <v>634</v>
      </c>
      <c r="C1853" s="22" t="s">
        <v>143</v>
      </c>
      <c r="D1853" s="22" t="s">
        <v>166</v>
      </c>
      <c r="E1853" s="22" t="str">
        <f>CONCATENATE(B1853,D1853)</f>
        <v>63478668-110</v>
      </c>
      <c r="F1853" s="27" t="s">
        <v>167</v>
      </c>
      <c r="G1853" s="27" t="s">
        <v>58</v>
      </c>
      <c r="H1853" s="23">
        <v>73.039900000000003</v>
      </c>
      <c r="I1853" s="24">
        <v>2</v>
      </c>
      <c r="J1853" s="24">
        <v>0</v>
      </c>
      <c r="K1853" s="24">
        <v>0</v>
      </c>
      <c r="L1853" s="41">
        <f>Table2[[#This Row],[Column1]]+Table2[[#This Row],[Column2]]</f>
        <v>0</v>
      </c>
      <c r="M1853" s="42">
        <f>Table2[[#This Row],[OnHandQty]]-Table2[[#This Row],[Projection Nov/Dec]]</f>
        <v>2</v>
      </c>
      <c r="N1853" s="35">
        <f>Table2[[#This Row],[OverStock]]*Table2[[#This Row],[RepCost]]</f>
        <v>146.07980000000001</v>
      </c>
      <c r="O1853" s="25">
        <v>45119.32708333333</v>
      </c>
      <c r="P1853" s="26" t="s">
        <v>40</v>
      </c>
    </row>
    <row r="1854" spans="1:16" x14ac:dyDescent="0.25">
      <c r="A1854" s="20" t="s">
        <v>5211</v>
      </c>
      <c r="B1854" s="21">
        <v>718</v>
      </c>
      <c r="C1854" s="22" t="s">
        <v>126</v>
      </c>
      <c r="D1854" s="22" t="s">
        <v>138</v>
      </c>
      <c r="E1854" s="22" t="str">
        <f>CONCATENATE(B1854,D1854)</f>
        <v>71891121-103PFO</v>
      </c>
      <c r="F1854" s="22" t="s">
        <v>139</v>
      </c>
      <c r="G1854" s="22" t="s">
        <v>39</v>
      </c>
      <c r="H1854" s="23">
        <v>15.768599999999999</v>
      </c>
      <c r="I1854" s="24">
        <v>3</v>
      </c>
      <c r="J1854" s="24">
        <v>0</v>
      </c>
      <c r="K1854" s="24">
        <v>0</v>
      </c>
      <c r="L1854" s="41">
        <f>Table2[[#This Row],[Column1]]+Table2[[#This Row],[Column2]]</f>
        <v>0</v>
      </c>
      <c r="M1854" s="42">
        <f>Table2[[#This Row],[OnHandQty]]-Table2[[#This Row],[Projection Nov/Dec]]</f>
        <v>3</v>
      </c>
      <c r="N1854" s="35">
        <f>Table2[[#This Row],[OverStock]]*Table2[[#This Row],[RepCost]]</f>
        <v>47.305799999999998</v>
      </c>
      <c r="O1854" s="25">
        <v>46127.664583333331</v>
      </c>
      <c r="P1854" s="26" t="s">
        <v>140</v>
      </c>
    </row>
    <row r="1855" spans="1:16" x14ac:dyDescent="0.25">
      <c r="A1855" s="20" t="s">
        <v>5211</v>
      </c>
      <c r="B1855" s="21">
        <v>634</v>
      </c>
      <c r="C1855" s="22" t="s">
        <v>126</v>
      </c>
      <c r="D1855" s="22" t="s">
        <v>138</v>
      </c>
      <c r="E1855" s="22" t="str">
        <f>CONCATENATE(B1855,D1855)</f>
        <v>63491121-103PFO</v>
      </c>
      <c r="F1855" s="22" t="s">
        <v>139</v>
      </c>
      <c r="G1855" s="22" t="s">
        <v>29</v>
      </c>
      <c r="H1855" s="23">
        <v>15.3476</v>
      </c>
      <c r="I1855" s="24">
        <v>5</v>
      </c>
      <c r="J1855" s="24">
        <v>0</v>
      </c>
      <c r="K1855" s="24">
        <v>0</v>
      </c>
      <c r="L1855" s="41">
        <f>Table2[[#This Row],[Column1]]+Table2[[#This Row],[Column2]]</f>
        <v>0</v>
      </c>
      <c r="M1855" s="42">
        <f>Table2[[#This Row],[OnHandQty]]-Table2[[#This Row],[Projection Nov/Dec]]</f>
        <v>5</v>
      </c>
      <c r="N1855" s="35">
        <f>Table2[[#This Row],[OverStock]]*Table2[[#This Row],[RepCost]]</f>
        <v>76.738</v>
      </c>
      <c r="O1855" s="25">
        <v>46143.52847222222</v>
      </c>
      <c r="P1855" s="26" t="s">
        <v>140</v>
      </c>
    </row>
    <row r="1856" spans="1:16" x14ac:dyDescent="0.25">
      <c r="A1856" s="20" t="s">
        <v>5211</v>
      </c>
      <c r="B1856" s="21">
        <v>636</v>
      </c>
      <c r="C1856" s="22" t="s">
        <v>126</v>
      </c>
      <c r="D1856" s="22" t="s">
        <v>138</v>
      </c>
      <c r="E1856" s="22" t="str">
        <f>CONCATENATE(B1856,D1856)</f>
        <v>63691121-103PFO</v>
      </c>
      <c r="F1856" s="22" t="s">
        <v>139</v>
      </c>
      <c r="G1856" s="22" t="s">
        <v>23</v>
      </c>
      <c r="H1856" s="23">
        <v>14.977399999999999</v>
      </c>
      <c r="I1856" s="24">
        <v>6</v>
      </c>
      <c r="J1856" s="24">
        <v>0</v>
      </c>
      <c r="K1856" s="24">
        <v>0</v>
      </c>
      <c r="L1856" s="41">
        <f>Table2[[#This Row],[Column1]]+Table2[[#This Row],[Column2]]</f>
        <v>0</v>
      </c>
      <c r="M1856" s="42">
        <f>Table2[[#This Row],[OnHandQty]]-Table2[[#This Row],[Projection Nov/Dec]]</f>
        <v>6</v>
      </c>
      <c r="N1856" s="35">
        <f>Table2[[#This Row],[OverStock]]*Table2[[#This Row],[RepCost]]</f>
        <v>89.864399999999989</v>
      </c>
      <c r="O1856" s="25">
        <v>46225.344444444447</v>
      </c>
      <c r="P1856" s="26" t="s">
        <v>140</v>
      </c>
    </row>
    <row r="1857" spans="1:16" x14ac:dyDescent="0.25">
      <c r="A1857" s="20" t="s">
        <v>5211</v>
      </c>
      <c r="B1857" s="21">
        <v>714</v>
      </c>
      <c r="C1857" s="22" t="s">
        <v>143</v>
      </c>
      <c r="D1857" s="22" t="s">
        <v>2618</v>
      </c>
      <c r="E1857" s="22" t="str">
        <f>CONCATENATE(B1857,D1857)</f>
        <v>71490912-102</v>
      </c>
      <c r="F1857" s="22" t="s">
        <v>2619</v>
      </c>
      <c r="G1857" s="22" t="s">
        <v>29</v>
      </c>
      <c r="H1857" s="23">
        <v>12.7197</v>
      </c>
      <c r="I1857" s="24">
        <v>1</v>
      </c>
      <c r="J1857" s="24">
        <v>0</v>
      </c>
      <c r="K1857" s="24">
        <v>0</v>
      </c>
      <c r="L1857" s="41">
        <f>Table2[[#This Row],[Column1]]+Table2[[#This Row],[Column2]]</f>
        <v>0</v>
      </c>
      <c r="M1857" s="42">
        <f>Table2[[#This Row],[OnHandQty]]-Table2[[#This Row],[Projection Nov/Dec]]</f>
        <v>1</v>
      </c>
      <c r="N1857" s="35">
        <f>Table2[[#This Row],[OverStock]]*Table2[[#This Row],[RepCost]]</f>
        <v>12.7197</v>
      </c>
      <c r="O1857" s="25">
        <v>45047.427083333336</v>
      </c>
      <c r="P1857" s="26" t="s">
        <v>40</v>
      </c>
    </row>
    <row r="1858" spans="1:16" x14ac:dyDescent="0.25">
      <c r="A1858" s="20" t="s">
        <v>5211</v>
      </c>
      <c r="B1858" s="21">
        <v>714</v>
      </c>
      <c r="C1858" s="22" t="s">
        <v>143</v>
      </c>
      <c r="D1858" s="22" t="s">
        <v>2245</v>
      </c>
      <c r="E1858" s="22" t="str">
        <f>CONCATENATE(B1858,D1858)</f>
        <v>71471997-102</v>
      </c>
      <c r="F1858" s="22" t="s">
        <v>2246</v>
      </c>
      <c r="G1858" s="22" t="s">
        <v>29</v>
      </c>
      <c r="H1858" s="23">
        <v>20.643999999999998</v>
      </c>
      <c r="I1858" s="24">
        <v>4</v>
      </c>
      <c r="J1858" s="24">
        <v>0</v>
      </c>
      <c r="K1858" s="24">
        <v>0</v>
      </c>
      <c r="L1858" s="41">
        <f>Table2[[#This Row],[Column1]]+Table2[[#This Row],[Column2]]</f>
        <v>0</v>
      </c>
      <c r="M1858" s="42">
        <f>Table2[[#This Row],[OnHandQty]]-Table2[[#This Row],[Projection Nov/Dec]]</f>
        <v>4</v>
      </c>
      <c r="N1858" s="35">
        <f>Table2[[#This Row],[OverStock]]*Table2[[#This Row],[RepCost]]</f>
        <v>82.575999999999993</v>
      </c>
      <c r="O1858" s="25">
        <v>46126.649305555555</v>
      </c>
      <c r="P1858" s="26" t="s">
        <v>67</v>
      </c>
    </row>
    <row r="1859" spans="1:16" x14ac:dyDescent="0.25">
      <c r="A1859" s="20" t="s">
        <v>5211</v>
      </c>
      <c r="B1859" s="21">
        <v>714</v>
      </c>
      <c r="C1859" s="22" t="s">
        <v>143</v>
      </c>
      <c r="D1859" s="22" t="s">
        <v>2776</v>
      </c>
      <c r="E1859" s="22" t="str">
        <f>CONCATENATE(B1859,D1859)</f>
        <v>71471997-103</v>
      </c>
      <c r="F1859" s="22" t="s">
        <v>2777</v>
      </c>
      <c r="G1859" s="22" t="s">
        <v>15</v>
      </c>
      <c r="H1859" s="23">
        <v>24.340900000000001</v>
      </c>
      <c r="I1859" s="24">
        <v>1</v>
      </c>
      <c r="J1859" s="24">
        <v>0</v>
      </c>
      <c r="K1859" s="24">
        <v>0</v>
      </c>
      <c r="L1859" s="41">
        <f>Table2[[#This Row],[Column1]]+Table2[[#This Row],[Column2]]</f>
        <v>0</v>
      </c>
      <c r="M1859" s="42">
        <f>Table2[[#This Row],[OnHandQty]]-Table2[[#This Row],[Projection Nov/Dec]]</f>
        <v>1</v>
      </c>
      <c r="N1859" s="35">
        <f>Table2[[#This Row],[OverStock]]*Table2[[#This Row],[RepCost]]</f>
        <v>24.340900000000001</v>
      </c>
      <c r="O1859" s="25">
        <v>46154.45416666667</v>
      </c>
      <c r="P1859" s="26" t="s">
        <v>2066</v>
      </c>
    </row>
    <row r="1860" spans="1:16" x14ac:dyDescent="0.25">
      <c r="A1860" s="20" t="s">
        <v>5211</v>
      </c>
      <c r="B1860" s="21">
        <v>714</v>
      </c>
      <c r="C1860" s="22" t="s">
        <v>143</v>
      </c>
      <c r="D1860" s="22" t="s">
        <v>2764</v>
      </c>
      <c r="E1860" s="22" t="str">
        <f>CONCATENATE(B1860,D1860)</f>
        <v>71471997-105</v>
      </c>
      <c r="F1860" s="22" t="s">
        <v>2765</v>
      </c>
      <c r="G1860" s="22" t="s">
        <v>29</v>
      </c>
      <c r="H1860" s="23">
        <v>14.7606</v>
      </c>
      <c r="I1860" s="24">
        <v>4</v>
      </c>
      <c r="J1860" s="24">
        <v>0</v>
      </c>
      <c r="K1860" s="24">
        <v>0</v>
      </c>
      <c r="L1860" s="41">
        <f>Table2[[#This Row],[Column1]]+Table2[[#This Row],[Column2]]</f>
        <v>0</v>
      </c>
      <c r="M1860" s="42">
        <f>Table2[[#This Row],[OnHandQty]]-Table2[[#This Row],[Projection Nov/Dec]]</f>
        <v>4</v>
      </c>
      <c r="N1860" s="35">
        <f>Table2[[#This Row],[OverStock]]*Table2[[#This Row],[RepCost]]</f>
        <v>59.042400000000001</v>
      </c>
      <c r="O1860" s="25">
        <v>46136.467361111114</v>
      </c>
      <c r="P1860" s="26" t="s">
        <v>40</v>
      </c>
    </row>
    <row r="1861" spans="1:16" x14ac:dyDescent="0.25">
      <c r="A1861" s="20" t="s">
        <v>5211</v>
      </c>
      <c r="B1861" s="21">
        <v>714</v>
      </c>
      <c r="C1861" s="22" t="s">
        <v>143</v>
      </c>
      <c r="D1861" s="22" t="s">
        <v>2573</v>
      </c>
      <c r="E1861" s="22" t="str">
        <f>CONCATENATE(B1861,D1861)</f>
        <v>71484378-102</v>
      </c>
      <c r="F1861" s="22" t="s">
        <v>2574</v>
      </c>
      <c r="G1861" s="22" t="s">
        <v>29</v>
      </c>
      <c r="H1861" s="23">
        <v>13.6805</v>
      </c>
      <c r="I1861" s="24">
        <v>102</v>
      </c>
      <c r="J1861" s="24">
        <v>16</v>
      </c>
      <c r="K1861" s="24">
        <v>0</v>
      </c>
      <c r="L1861" s="41">
        <f>Table2[[#This Row],[Column1]]+Table2[[#This Row],[Column2]]</f>
        <v>16</v>
      </c>
      <c r="M1861" s="42">
        <f>Table2[[#This Row],[OnHandQty]]-Table2[[#This Row],[Projection Nov/Dec]]</f>
        <v>86</v>
      </c>
      <c r="N1861" s="35">
        <f>Table2[[#This Row],[OverStock]]*Table2[[#This Row],[RepCost]]</f>
        <v>1176.5230000000001</v>
      </c>
      <c r="O1861" s="25">
        <v>45959.689583333333</v>
      </c>
      <c r="P1861" s="26" t="s">
        <v>40</v>
      </c>
    </row>
    <row r="1862" spans="1:16" x14ac:dyDescent="0.25">
      <c r="A1862" s="20" t="s">
        <v>5211</v>
      </c>
      <c r="B1862" s="21">
        <v>714</v>
      </c>
      <c r="C1862" s="22" t="s">
        <v>143</v>
      </c>
      <c r="D1862" s="22" t="s">
        <v>2332</v>
      </c>
      <c r="E1862" s="22" t="str">
        <f>CONCATENATE(B1862,D1862)</f>
        <v>71472166-102</v>
      </c>
      <c r="F1862" s="27" t="s">
        <v>2333</v>
      </c>
      <c r="G1862" s="27" t="s">
        <v>58</v>
      </c>
      <c r="H1862" s="23">
        <v>10.5566</v>
      </c>
      <c r="I1862" s="24">
        <v>10</v>
      </c>
      <c r="J1862" s="24">
        <v>0</v>
      </c>
      <c r="K1862" s="24">
        <v>0</v>
      </c>
      <c r="L1862" s="41">
        <f>Table2[[#This Row],[Column1]]+Table2[[#This Row],[Column2]]</f>
        <v>0</v>
      </c>
      <c r="M1862" s="42">
        <f>Table2[[#This Row],[OnHandQty]]-Table2[[#This Row],[Projection Nov/Dec]]</f>
        <v>10</v>
      </c>
      <c r="N1862" s="35">
        <f>Table2[[#This Row],[OverStock]]*Table2[[#This Row],[RepCost]]</f>
        <v>105.566</v>
      </c>
      <c r="O1862" s="25">
        <v>45821.42291666667</v>
      </c>
      <c r="P1862" s="26" t="s">
        <v>26</v>
      </c>
    </row>
    <row r="1863" spans="1:16" x14ac:dyDescent="0.25">
      <c r="A1863" s="20" t="s">
        <v>5211</v>
      </c>
      <c r="B1863" s="21">
        <v>636</v>
      </c>
      <c r="C1863" s="22" t="s">
        <v>143</v>
      </c>
      <c r="D1863" s="22" t="s">
        <v>1194</v>
      </c>
      <c r="E1863" s="22" t="str">
        <f>CONCATENATE(B1863,D1863)</f>
        <v>63672181-102</v>
      </c>
      <c r="F1863" s="22" t="s">
        <v>1195</v>
      </c>
      <c r="G1863" s="22" t="s">
        <v>29</v>
      </c>
      <c r="H1863" s="23">
        <v>13.385300000000001</v>
      </c>
      <c r="I1863" s="24">
        <v>30</v>
      </c>
      <c r="J1863" s="24">
        <v>0</v>
      </c>
      <c r="K1863" s="24">
        <v>0</v>
      </c>
      <c r="L1863" s="41">
        <f>Table2[[#This Row],[Column1]]+Table2[[#This Row],[Column2]]</f>
        <v>0</v>
      </c>
      <c r="M1863" s="42">
        <f>Table2[[#This Row],[OnHandQty]]-Table2[[#This Row],[Projection Nov/Dec]]</f>
        <v>30</v>
      </c>
      <c r="N1863" s="35">
        <f>Table2[[#This Row],[OverStock]]*Table2[[#This Row],[RepCost]]</f>
        <v>401.55900000000003</v>
      </c>
      <c r="O1863" s="25">
        <v>46216.52847222222</v>
      </c>
      <c r="P1863" s="26" t="s">
        <v>40</v>
      </c>
    </row>
    <row r="1864" spans="1:16" x14ac:dyDescent="0.25">
      <c r="A1864" s="20" t="s">
        <v>5211</v>
      </c>
      <c r="B1864" s="21">
        <v>714</v>
      </c>
      <c r="C1864" s="22" t="s">
        <v>143</v>
      </c>
      <c r="D1864" s="22" t="s">
        <v>2479</v>
      </c>
      <c r="E1864" s="22" t="str">
        <f>CONCATENATE(B1864,D1864)</f>
        <v>71480525-102</v>
      </c>
      <c r="F1864" s="22" t="s">
        <v>2480</v>
      </c>
      <c r="G1864" s="22" t="s">
        <v>39</v>
      </c>
      <c r="H1864" s="23">
        <v>13.8507</v>
      </c>
      <c r="I1864" s="24">
        <v>21</v>
      </c>
      <c r="J1864" s="24">
        <v>0</v>
      </c>
      <c r="K1864" s="24">
        <v>0</v>
      </c>
      <c r="L1864" s="41">
        <f>Table2[[#This Row],[Column1]]+Table2[[#This Row],[Column2]]</f>
        <v>0</v>
      </c>
      <c r="M1864" s="42">
        <f>Table2[[#This Row],[OnHandQty]]-Table2[[#This Row],[Projection Nov/Dec]]</f>
        <v>21</v>
      </c>
      <c r="N1864" s="35">
        <f>Table2[[#This Row],[OverStock]]*Table2[[#This Row],[RepCost]]</f>
        <v>290.86469999999997</v>
      </c>
      <c r="O1864" s="25">
        <v>46188.352083333331</v>
      </c>
      <c r="P1864" s="26" t="s">
        <v>26</v>
      </c>
    </row>
    <row r="1865" spans="1:16" x14ac:dyDescent="0.25">
      <c r="A1865" s="20" t="s">
        <v>5211</v>
      </c>
      <c r="B1865" s="21">
        <v>718</v>
      </c>
      <c r="C1865" s="22" t="s">
        <v>143</v>
      </c>
      <c r="D1865" s="22" t="s">
        <v>2479</v>
      </c>
      <c r="E1865" s="22" t="str">
        <f>CONCATENATE(B1865,D1865)</f>
        <v>71880525-102</v>
      </c>
      <c r="F1865" s="22" t="s">
        <v>2480</v>
      </c>
      <c r="G1865" s="22" t="s">
        <v>112</v>
      </c>
      <c r="H1865" s="23">
        <v>13.710800000000001</v>
      </c>
      <c r="I1865" s="24">
        <v>85</v>
      </c>
      <c r="J1865" s="24">
        <v>0</v>
      </c>
      <c r="K1865" s="24">
        <v>0</v>
      </c>
      <c r="L1865" s="41">
        <f>Table2[[#This Row],[Column1]]+Table2[[#This Row],[Column2]]</f>
        <v>0</v>
      </c>
      <c r="M1865" s="42">
        <f>Table2[[#This Row],[OnHandQty]]-Table2[[#This Row],[Projection Nov/Dec]]</f>
        <v>85</v>
      </c>
      <c r="N1865" s="35">
        <f>Table2[[#This Row],[OverStock]]*Table2[[#This Row],[RepCost]]</f>
        <v>1165.4180000000001</v>
      </c>
      <c r="O1865" s="25">
        <v>46199.635416666664</v>
      </c>
      <c r="P1865" s="26" t="s">
        <v>26</v>
      </c>
    </row>
    <row r="1866" spans="1:16" x14ac:dyDescent="0.25">
      <c r="A1866" s="20" t="s">
        <v>5211</v>
      </c>
      <c r="B1866" s="21">
        <v>714</v>
      </c>
      <c r="C1866" s="22" t="s">
        <v>143</v>
      </c>
      <c r="D1866" s="22" t="s">
        <v>2322</v>
      </c>
      <c r="E1866" s="22" t="str">
        <f>CONCATENATE(B1866,D1866)</f>
        <v>71486681-102</v>
      </c>
      <c r="F1866" s="22" t="s">
        <v>2323</v>
      </c>
      <c r="G1866" s="22" t="s">
        <v>29</v>
      </c>
      <c r="H1866" s="23">
        <v>13.3443</v>
      </c>
      <c r="I1866" s="24">
        <v>2</v>
      </c>
      <c r="J1866" s="24">
        <v>0</v>
      </c>
      <c r="K1866" s="24">
        <v>0</v>
      </c>
      <c r="L1866" s="41">
        <f>Table2[[#This Row],[Column1]]+Table2[[#This Row],[Column2]]</f>
        <v>0</v>
      </c>
      <c r="M1866" s="42">
        <f>Table2[[#This Row],[OnHandQty]]-Table2[[#This Row],[Projection Nov/Dec]]</f>
        <v>2</v>
      </c>
      <c r="N1866" s="35">
        <f>Table2[[#This Row],[OverStock]]*Table2[[#This Row],[RepCost]]</f>
        <v>26.688600000000001</v>
      </c>
      <c r="O1866" s="25">
        <v>45035.640972222223</v>
      </c>
      <c r="P1866" s="26" t="s">
        <v>40</v>
      </c>
    </row>
    <row r="1867" spans="1:16" x14ac:dyDescent="0.25">
      <c r="A1867" s="20" t="s">
        <v>5211</v>
      </c>
      <c r="B1867" s="21">
        <v>714</v>
      </c>
      <c r="C1867" s="22" t="s">
        <v>143</v>
      </c>
      <c r="D1867" s="22" t="s">
        <v>2497</v>
      </c>
      <c r="E1867" s="22" t="str">
        <f>CONCATENATE(B1867,D1867)</f>
        <v>71471918-103</v>
      </c>
      <c r="F1867" s="22" t="s">
        <v>2498</v>
      </c>
      <c r="G1867" s="22" t="s">
        <v>15</v>
      </c>
      <c r="H1867" s="23">
        <v>14.472799999999999</v>
      </c>
      <c r="I1867" s="24">
        <v>2</v>
      </c>
      <c r="J1867" s="24">
        <v>0</v>
      </c>
      <c r="K1867" s="24">
        <v>0</v>
      </c>
      <c r="L1867" s="41">
        <f>Table2[[#This Row],[Column1]]+Table2[[#This Row],[Column2]]</f>
        <v>0</v>
      </c>
      <c r="M1867" s="42">
        <f>Table2[[#This Row],[OnHandQty]]-Table2[[#This Row],[Projection Nov/Dec]]</f>
        <v>2</v>
      </c>
      <c r="N1867" s="35">
        <f>Table2[[#This Row],[OverStock]]*Table2[[#This Row],[RepCost]]</f>
        <v>28.945599999999999</v>
      </c>
      <c r="O1867" s="25">
        <v>45919.670138888891</v>
      </c>
      <c r="P1867" s="26" t="s">
        <v>40</v>
      </c>
    </row>
    <row r="1868" spans="1:16" x14ac:dyDescent="0.25">
      <c r="A1868" s="20" t="s">
        <v>5211</v>
      </c>
      <c r="B1868" s="21">
        <v>636</v>
      </c>
      <c r="C1868" s="22" t="s">
        <v>143</v>
      </c>
      <c r="D1868" s="22" t="s">
        <v>926</v>
      </c>
      <c r="E1868" s="22" t="str">
        <f>CONCATENATE(B1868,D1868)</f>
        <v>63671919-103</v>
      </c>
      <c r="F1868" s="22" t="s">
        <v>927</v>
      </c>
      <c r="G1868" s="22" t="s">
        <v>112</v>
      </c>
      <c r="H1868" s="23">
        <v>15.7615</v>
      </c>
      <c r="I1868" s="24">
        <v>35</v>
      </c>
      <c r="J1868" s="24">
        <v>7</v>
      </c>
      <c r="K1868" s="24">
        <v>0</v>
      </c>
      <c r="L1868" s="41">
        <f>Table2[[#This Row],[Column1]]+Table2[[#This Row],[Column2]]</f>
        <v>7</v>
      </c>
      <c r="M1868" s="42">
        <f>Table2[[#This Row],[OnHandQty]]-Table2[[#This Row],[Projection Nov/Dec]]</f>
        <v>28</v>
      </c>
      <c r="N1868" s="35">
        <f>Table2[[#This Row],[OverStock]]*Table2[[#This Row],[RepCost]]</f>
        <v>441.322</v>
      </c>
      <c r="O1868" s="25">
        <v>46192.487500000003</v>
      </c>
      <c r="P1868" s="26" t="s">
        <v>162</v>
      </c>
    </row>
    <row r="1869" spans="1:16" x14ac:dyDescent="0.25">
      <c r="A1869" s="20" t="s">
        <v>5211</v>
      </c>
      <c r="B1869" s="21">
        <v>636</v>
      </c>
      <c r="C1869" s="22" t="s">
        <v>143</v>
      </c>
      <c r="D1869" s="22" t="s">
        <v>1123</v>
      </c>
      <c r="E1869" s="22" t="str">
        <f>CONCATENATE(B1869,D1869)</f>
        <v>63684685-TRL109</v>
      </c>
      <c r="F1869" s="22" t="s">
        <v>1124</v>
      </c>
      <c r="G1869" s="22" t="s">
        <v>23</v>
      </c>
      <c r="H1869" s="23">
        <v>107.738</v>
      </c>
      <c r="I1869" s="24">
        <v>5</v>
      </c>
      <c r="J1869" s="24">
        <v>1</v>
      </c>
      <c r="K1869" s="24">
        <v>0</v>
      </c>
      <c r="L1869" s="41">
        <f>Table2[[#This Row],[Column1]]+Table2[[#This Row],[Column2]]</f>
        <v>1</v>
      </c>
      <c r="M1869" s="42">
        <f>Table2[[#This Row],[OnHandQty]]-Table2[[#This Row],[Projection Nov/Dec]]</f>
        <v>4</v>
      </c>
      <c r="N1869" s="35">
        <f>Table2[[#This Row],[OverStock]]*Table2[[#This Row],[RepCost]]</f>
        <v>430.952</v>
      </c>
      <c r="O1869" s="25">
        <v>46122.493750000001</v>
      </c>
      <c r="P1869" s="26" t="s">
        <v>195</v>
      </c>
    </row>
    <row r="1870" spans="1:16" x14ac:dyDescent="0.25">
      <c r="A1870" s="20" t="s">
        <v>5211</v>
      </c>
      <c r="B1870" s="21">
        <v>636</v>
      </c>
      <c r="C1870" s="22" t="s">
        <v>143</v>
      </c>
      <c r="D1870" s="22" t="s">
        <v>1065</v>
      </c>
      <c r="E1870" s="22" t="str">
        <f>CONCATENATE(B1870,D1870)</f>
        <v>63679391-102</v>
      </c>
      <c r="F1870" s="22" t="s">
        <v>1066</v>
      </c>
      <c r="G1870" s="22" t="s">
        <v>23</v>
      </c>
      <c r="H1870" s="23">
        <v>14.6873</v>
      </c>
      <c r="I1870" s="24">
        <v>48</v>
      </c>
      <c r="J1870" s="24">
        <v>0</v>
      </c>
      <c r="K1870" s="24">
        <v>0</v>
      </c>
      <c r="L1870" s="41">
        <f>Table2[[#This Row],[Column1]]+Table2[[#This Row],[Column2]]</f>
        <v>0</v>
      </c>
      <c r="M1870" s="42">
        <f>Table2[[#This Row],[OnHandQty]]-Table2[[#This Row],[Projection Nov/Dec]]</f>
        <v>48</v>
      </c>
      <c r="N1870" s="35">
        <f>Table2[[#This Row],[OverStock]]*Table2[[#This Row],[RepCost]]</f>
        <v>704.99040000000002</v>
      </c>
      <c r="O1870" s="25">
        <v>46122.341666666667</v>
      </c>
      <c r="P1870" s="26" t="s">
        <v>1067</v>
      </c>
    </row>
    <row r="1871" spans="1:16" x14ac:dyDescent="0.25">
      <c r="A1871" s="20" t="s">
        <v>5211</v>
      </c>
      <c r="B1871" s="21">
        <v>718</v>
      </c>
      <c r="C1871" s="22" t="s">
        <v>143</v>
      </c>
      <c r="D1871" s="22" t="s">
        <v>1065</v>
      </c>
      <c r="E1871" s="22" t="str">
        <f>CONCATENATE(B1871,D1871)</f>
        <v>71879391-102</v>
      </c>
      <c r="F1871" s="22" t="s">
        <v>1066</v>
      </c>
      <c r="G1871" s="22" t="s">
        <v>112</v>
      </c>
      <c r="H1871" s="23">
        <v>13.6152</v>
      </c>
      <c r="I1871" s="24">
        <v>40</v>
      </c>
      <c r="J1871" s="24">
        <v>0</v>
      </c>
      <c r="K1871" s="24">
        <v>0</v>
      </c>
      <c r="L1871" s="41">
        <f>Table2[[#This Row],[Column1]]+Table2[[#This Row],[Column2]]</f>
        <v>0</v>
      </c>
      <c r="M1871" s="42">
        <f>Table2[[#This Row],[OnHandQty]]-Table2[[#This Row],[Projection Nov/Dec]]</f>
        <v>40</v>
      </c>
      <c r="N1871" s="35">
        <f>Table2[[#This Row],[OverStock]]*Table2[[#This Row],[RepCost]]</f>
        <v>544.60799999999995</v>
      </c>
      <c r="O1871" s="25">
        <v>46193.592361111114</v>
      </c>
      <c r="P1871" s="26" t="s">
        <v>26</v>
      </c>
    </row>
    <row r="1872" spans="1:16" x14ac:dyDescent="0.25">
      <c r="A1872" s="20" t="s">
        <v>5211</v>
      </c>
      <c r="B1872" s="21">
        <v>714</v>
      </c>
      <c r="C1872" s="22" t="s">
        <v>143</v>
      </c>
      <c r="D1872" s="22" t="s">
        <v>2671</v>
      </c>
      <c r="E1872" s="22" t="str">
        <f>CONCATENATE(B1872,D1872)</f>
        <v>71486815-103</v>
      </c>
      <c r="F1872" s="22" t="s">
        <v>2672</v>
      </c>
      <c r="G1872" s="22" t="s">
        <v>23</v>
      </c>
      <c r="H1872" s="23">
        <v>15.9117</v>
      </c>
      <c r="I1872" s="24">
        <v>32</v>
      </c>
      <c r="J1872" s="24">
        <v>3</v>
      </c>
      <c r="K1872" s="24">
        <v>0</v>
      </c>
      <c r="L1872" s="41">
        <f>Table2[[#This Row],[Column1]]+Table2[[#This Row],[Column2]]</f>
        <v>3</v>
      </c>
      <c r="M1872" s="42">
        <f>Table2[[#This Row],[OnHandQty]]-Table2[[#This Row],[Projection Nov/Dec]]</f>
        <v>29</v>
      </c>
      <c r="N1872" s="35">
        <f>Table2[[#This Row],[OverStock]]*Table2[[#This Row],[RepCost]]</f>
        <v>461.4393</v>
      </c>
      <c r="O1872" s="25">
        <v>46193.431250000001</v>
      </c>
      <c r="P1872" s="26" t="s">
        <v>26</v>
      </c>
    </row>
    <row r="1873" spans="1:16" x14ac:dyDescent="0.25">
      <c r="A1873" s="20" t="s">
        <v>5211</v>
      </c>
      <c r="B1873" s="21">
        <v>718</v>
      </c>
      <c r="C1873" s="22" t="s">
        <v>143</v>
      </c>
      <c r="D1873" s="22" t="s">
        <v>2671</v>
      </c>
      <c r="E1873" s="22" t="str">
        <f>CONCATENATE(B1873,D1873)</f>
        <v>71886815-103</v>
      </c>
      <c r="F1873" s="22" t="s">
        <v>2672</v>
      </c>
      <c r="G1873" s="22" t="s">
        <v>39</v>
      </c>
      <c r="H1873" s="23">
        <v>15.2309</v>
      </c>
      <c r="I1873" s="24">
        <v>17</v>
      </c>
      <c r="J1873" s="24">
        <v>3</v>
      </c>
      <c r="K1873" s="24">
        <v>0</v>
      </c>
      <c r="L1873" s="41">
        <f>Table2[[#This Row],[Column1]]+Table2[[#This Row],[Column2]]</f>
        <v>3</v>
      </c>
      <c r="M1873" s="42">
        <f>Table2[[#This Row],[OnHandQty]]-Table2[[#This Row],[Projection Nov/Dec]]</f>
        <v>14</v>
      </c>
      <c r="N1873" s="35">
        <f>Table2[[#This Row],[OverStock]]*Table2[[#This Row],[RepCost]]</f>
        <v>213.23259999999999</v>
      </c>
      <c r="O1873" s="25">
        <v>46240.650694444441</v>
      </c>
      <c r="P1873" s="26" t="s">
        <v>140</v>
      </c>
    </row>
    <row r="1874" spans="1:16" x14ac:dyDescent="0.25">
      <c r="A1874" s="20" t="s">
        <v>5211</v>
      </c>
      <c r="B1874" s="21">
        <v>634</v>
      </c>
      <c r="C1874" s="22" t="s">
        <v>143</v>
      </c>
      <c r="D1874" s="22" t="s">
        <v>302</v>
      </c>
      <c r="E1874" s="22" t="str">
        <f>CONCATENATE(B1874,D1874)</f>
        <v>63478789-102</v>
      </c>
      <c r="F1874" s="22" t="s">
        <v>303</v>
      </c>
      <c r="G1874" s="22" t="s">
        <v>39</v>
      </c>
      <c r="H1874" s="23">
        <v>14.8581</v>
      </c>
      <c r="I1874" s="24">
        <v>17</v>
      </c>
      <c r="J1874" s="24">
        <v>0</v>
      </c>
      <c r="K1874" s="24">
        <v>0</v>
      </c>
      <c r="L1874" s="41">
        <f>Table2[[#This Row],[Column1]]+Table2[[#This Row],[Column2]]</f>
        <v>0</v>
      </c>
      <c r="M1874" s="42">
        <f>Table2[[#This Row],[OnHandQty]]-Table2[[#This Row],[Projection Nov/Dec]]</f>
        <v>17</v>
      </c>
      <c r="N1874" s="35">
        <f>Table2[[#This Row],[OverStock]]*Table2[[#This Row],[RepCost]]</f>
        <v>252.58770000000001</v>
      </c>
      <c r="O1874" s="25">
        <v>46128.40347222222</v>
      </c>
      <c r="P1874" s="26" t="s">
        <v>40</v>
      </c>
    </row>
    <row r="1875" spans="1:16" x14ac:dyDescent="0.25">
      <c r="A1875" s="20" t="s">
        <v>5211</v>
      </c>
      <c r="B1875" s="21">
        <v>636</v>
      </c>
      <c r="C1875" s="22" t="s">
        <v>143</v>
      </c>
      <c r="D1875" s="22" t="s">
        <v>1052</v>
      </c>
      <c r="E1875" s="22" t="str">
        <f>CONCATENATE(B1875,D1875)</f>
        <v>63678791-102</v>
      </c>
      <c r="F1875" s="22" t="s">
        <v>1053</v>
      </c>
      <c r="G1875" s="22" t="s">
        <v>39</v>
      </c>
      <c r="H1875" s="23">
        <v>14.084899999999999</v>
      </c>
      <c r="I1875" s="24">
        <v>41</v>
      </c>
      <c r="J1875" s="24">
        <v>0</v>
      </c>
      <c r="K1875" s="24">
        <v>0</v>
      </c>
      <c r="L1875" s="41">
        <f>Table2[[#This Row],[Column1]]+Table2[[#This Row],[Column2]]</f>
        <v>0</v>
      </c>
      <c r="M1875" s="42">
        <f>Table2[[#This Row],[OnHandQty]]-Table2[[#This Row],[Projection Nov/Dec]]</f>
        <v>41</v>
      </c>
      <c r="N1875" s="35">
        <f>Table2[[#This Row],[OverStock]]*Table2[[#This Row],[RepCost]]</f>
        <v>577.48090000000002</v>
      </c>
      <c r="O1875" s="25">
        <v>46125.395833333336</v>
      </c>
      <c r="P1875" s="26" t="s">
        <v>40</v>
      </c>
    </row>
    <row r="1876" spans="1:16" x14ac:dyDescent="0.25">
      <c r="A1876" s="20" t="s">
        <v>5211</v>
      </c>
      <c r="B1876" s="21">
        <v>718</v>
      </c>
      <c r="C1876" s="22" t="s">
        <v>143</v>
      </c>
      <c r="D1876" s="22" t="s">
        <v>1052</v>
      </c>
      <c r="E1876" s="22" t="str">
        <f>CONCATENATE(B1876,D1876)</f>
        <v>71878791-102</v>
      </c>
      <c r="F1876" s="22" t="s">
        <v>1053</v>
      </c>
      <c r="G1876" s="22" t="s">
        <v>23</v>
      </c>
      <c r="H1876" s="23">
        <v>14.888</v>
      </c>
      <c r="I1876" s="24">
        <v>21</v>
      </c>
      <c r="J1876" s="24">
        <v>0</v>
      </c>
      <c r="K1876" s="24">
        <v>0</v>
      </c>
      <c r="L1876" s="41">
        <f>Table2[[#This Row],[Column1]]+Table2[[#This Row],[Column2]]</f>
        <v>0</v>
      </c>
      <c r="M1876" s="42">
        <f>Table2[[#This Row],[OnHandQty]]-Table2[[#This Row],[Projection Nov/Dec]]</f>
        <v>21</v>
      </c>
      <c r="N1876" s="35">
        <f>Table2[[#This Row],[OverStock]]*Table2[[#This Row],[RepCost]]</f>
        <v>312.64800000000002</v>
      </c>
      <c r="O1876" s="25">
        <v>46212.438888888886</v>
      </c>
      <c r="P1876" s="26" t="s">
        <v>40</v>
      </c>
    </row>
    <row r="1877" spans="1:16" x14ac:dyDescent="0.25">
      <c r="A1877" s="20" t="s">
        <v>5211</v>
      </c>
      <c r="B1877" s="21">
        <v>636</v>
      </c>
      <c r="C1877" s="22" t="s">
        <v>143</v>
      </c>
      <c r="D1877" s="22" t="s">
        <v>1140</v>
      </c>
      <c r="E1877" s="22" t="str">
        <f>CONCATENATE(B1877,D1877)</f>
        <v>63678792-102</v>
      </c>
      <c r="F1877" s="22" t="s">
        <v>1141</v>
      </c>
      <c r="G1877" s="22" t="s">
        <v>29</v>
      </c>
      <c r="H1877" s="23">
        <v>14.084899999999999</v>
      </c>
      <c r="I1877" s="24">
        <v>29</v>
      </c>
      <c r="J1877" s="24">
        <v>0</v>
      </c>
      <c r="K1877" s="24">
        <v>0</v>
      </c>
      <c r="L1877" s="41">
        <f>Table2[[#This Row],[Column1]]+Table2[[#This Row],[Column2]]</f>
        <v>0</v>
      </c>
      <c r="M1877" s="42">
        <f>Table2[[#This Row],[OnHandQty]]-Table2[[#This Row],[Projection Nov/Dec]]</f>
        <v>29</v>
      </c>
      <c r="N1877" s="35">
        <f>Table2[[#This Row],[OverStock]]*Table2[[#This Row],[RepCost]]</f>
        <v>408.46209999999996</v>
      </c>
      <c r="O1877" s="25">
        <v>46125.395833333336</v>
      </c>
      <c r="P1877" s="26" t="s">
        <v>40</v>
      </c>
    </row>
    <row r="1878" spans="1:16" x14ac:dyDescent="0.25">
      <c r="A1878" s="20" t="s">
        <v>5211</v>
      </c>
      <c r="B1878" s="21">
        <v>714</v>
      </c>
      <c r="C1878" s="22" t="s">
        <v>143</v>
      </c>
      <c r="D1878" s="22" t="s">
        <v>2232</v>
      </c>
      <c r="E1878" s="22" t="str">
        <f>CONCATENATE(B1878,D1878)</f>
        <v>71478680-105</v>
      </c>
      <c r="F1878" s="22" t="s">
        <v>2233</v>
      </c>
      <c r="G1878" s="22" t="s">
        <v>29</v>
      </c>
      <c r="H1878" s="23">
        <v>29.097200000000001</v>
      </c>
      <c r="I1878" s="24">
        <v>3</v>
      </c>
      <c r="J1878" s="24">
        <v>0</v>
      </c>
      <c r="K1878" s="24">
        <v>0</v>
      </c>
      <c r="L1878" s="41">
        <f>Table2[[#This Row],[Column1]]+Table2[[#This Row],[Column2]]</f>
        <v>0</v>
      </c>
      <c r="M1878" s="42">
        <f>Table2[[#This Row],[OnHandQty]]-Table2[[#This Row],[Projection Nov/Dec]]</f>
        <v>3</v>
      </c>
      <c r="N1878" s="35">
        <f>Table2[[#This Row],[OverStock]]*Table2[[#This Row],[RepCost]]</f>
        <v>87.291600000000003</v>
      </c>
      <c r="O1878" s="25">
        <v>46154.45416666667</v>
      </c>
      <c r="P1878" s="26" t="s">
        <v>2066</v>
      </c>
    </row>
    <row r="1879" spans="1:16" x14ac:dyDescent="0.25">
      <c r="A1879" s="20" t="s">
        <v>5211</v>
      </c>
      <c r="B1879" s="21">
        <v>714</v>
      </c>
      <c r="C1879" s="22" t="s">
        <v>143</v>
      </c>
      <c r="D1879" s="22" t="s">
        <v>2249</v>
      </c>
      <c r="E1879" s="22" t="str">
        <f>CONCATENATE(B1879,D1879)</f>
        <v>71489640-STD105PREM</v>
      </c>
      <c r="F1879" s="22" t="s">
        <v>2250</v>
      </c>
      <c r="G1879" s="22" t="s">
        <v>35</v>
      </c>
      <c r="H1879" s="23">
        <v>59.564100000000003</v>
      </c>
      <c r="I1879" s="24">
        <v>1</v>
      </c>
      <c r="J1879" s="24">
        <v>0</v>
      </c>
      <c r="K1879" s="24">
        <v>0</v>
      </c>
      <c r="L1879" s="41">
        <f>Table2[[#This Row],[Column1]]+Table2[[#This Row],[Column2]]</f>
        <v>0</v>
      </c>
      <c r="M1879" s="42">
        <f>Table2[[#This Row],[OnHandQty]]-Table2[[#This Row],[Projection Nov/Dec]]</f>
        <v>1</v>
      </c>
      <c r="N1879" s="35">
        <f>Table2[[#This Row],[OverStock]]*Table2[[#This Row],[RepCost]]</f>
        <v>59.564100000000003</v>
      </c>
      <c r="O1879" s="25">
        <v>46115.573611111111</v>
      </c>
      <c r="P1879" s="26" t="s">
        <v>1062</v>
      </c>
    </row>
    <row r="1880" spans="1:16" x14ac:dyDescent="0.25">
      <c r="A1880" s="20" t="s">
        <v>5211</v>
      </c>
      <c r="B1880" s="21">
        <v>718</v>
      </c>
      <c r="C1880" s="22" t="s">
        <v>143</v>
      </c>
      <c r="D1880" s="22" t="s">
        <v>2784</v>
      </c>
      <c r="E1880" s="22" t="str">
        <f>CONCATENATE(B1880,D1880)</f>
        <v>71890558-STD105PREM</v>
      </c>
      <c r="F1880" s="22" t="s">
        <v>2785</v>
      </c>
      <c r="G1880" s="22" t="s">
        <v>29</v>
      </c>
      <c r="H1880" s="23">
        <v>58.783499999999997</v>
      </c>
      <c r="I1880" s="24">
        <v>1</v>
      </c>
      <c r="J1880" s="24">
        <v>0</v>
      </c>
      <c r="K1880" s="24">
        <v>0</v>
      </c>
      <c r="L1880" s="41">
        <f>Table2[[#This Row],[Column1]]+Table2[[#This Row],[Column2]]</f>
        <v>0</v>
      </c>
      <c r="M1880" s="42">
        <f>Table2[[#This Row],[OnHandQty]]-Table2[[#This Row],[Projection Nov/Dec]]</f>
        <v>1</v>
      </c>
      <c r="N1880" s="35">
        <f>Table2[[#This Row],[OverStock]]*Table2[[#This Row],[RepCost]]</f>
        <v>58.783499999999997</v>
      </c>
      <c r="O1880" s="25">
        <v>46115.507638888892</v>
      </c>
      <c r="P1880" s="26" t="s">
        <v>1062</v>
      </c>
    </row>
    <row r="1881" spans="1:16" x14ac:dyDescent="0.25">
      <c r="A1881" s="20" t="s">
        <v>5211</v>
      </c>
      <c r="B1881" s="21">
        <v>714</v>
      </c>
      <c r="C1881" s="22" t="s">
        <v>143</v>
      </c>
      <c r="D1881" s="22" t="s">
        <v>2784</v>
      </c>
      <c r="E1881" s="22" t="str">
        <f>CONCATENATE(B1881,D1881)</f>
        <v>71490558-STD105PREM</v>
      </c>
      <c r="F1881" s="22" t="s">
        <v>2785</v>
      </c>
      <c r="G1881" s="22" t="s">
        <v>29</v>
      </c>
      <c r="H1881" s="23">
        <v>56.714199999999998</v>
      </c>
      <c r="I1881" s="24">
        <v>1</v>
      </c>
      <c r="J1881" s="24">
        <v>0</v>
      </c>
      <c r="K1881" s="24">
        <v>0</v>
      </c>
      <c r="L1881" s="41">
        <f>Table2[[#This Row],[Column1]]+Table2[[#This Row],[Column2]]</f>
        <v>0</v>
      </c>
      <c r="M1881" s="42">
        <f>Table2[[#This Row],[OnHandQty]]-Table2[[#This Row],[Projection Nov/Dec]]</f>
        <v>1</v>
      </c>
      <c r="N1881" s="35">
        <f>Table2[[#This Row],[OverStock]]*Table2[[#This Row],[RepCost]]</f>
        <v>56.714199999999998</v>
      </c>
      <c r="O1881" s="25">
        <v>46151.379166666666</v>
      </c>
      <c r="P1881" s="26" t="s">
        <v>1062</v>
      </c>
    </row>
    <row r="1882" spans="1:16" x14ac:dyDescent="0.25">
      <c r="A1882" s="20" t="s">
        <v>5211</v>
      </c>
      <c r="B1882" s="21">
        <v>718</v>
      </c>
      <c r="C1882" s="22" t="s">
        <v>143</v>
      </c>
      <c r="D1882" s="22" t="s">
        <v>3824</v>
      </c>
      <c r="E1882" s="22" t="str">
        <f>CONCATENATE(B1882,D1882)</f>
        <v>71893722-TRL109</v>
      </c>
      <c r="F1882" s="22" t="s">
        <v>3825</v>
      </c>
      <c r="G1882" s="22" t="s">
        <v>35</v>
      </c>
      <c r="H1882" s="23">
        <v>103.0159</v>
      </c>
      <c r="I1882" s="24">
        <v>1</v>
      </c>
      <c r="J1882" s="24">
        <v>0</v>
      </c>
      <c r="K1882" s="24">
        <v>0</v>
      </c>
      <c r="L1882" s="41">
        <f>Table2[[#This Row],[Column1]]+Table2[[#This Row],[Column2]]</f>
        <v>0</v>
      </c>
      <c r="M1882" s="42">
        <f>Table2[[#This Row],[OnHandQty]]-Table2[[#This Row],[Projection Nov/Dec]]</f>
        <v>1</v>
      </c>
      <c r="N1882" s="35">
        <f>Table2[[#This Row],[OverStock]]*Table2[[#This Row],[RepCost]]</f>
        <v>103.0159</v>
      </c>
      <c r="O1882" s="25">
        <v>45777.463194444441</v>
      </c>
      <c r="P1882" s="26" t="s">
        <v>195</v>
      </c>
    </row>
    <row r="1883" spans="1:16" x14ac:dyDescent="0.25">
      <c r="A1883" s="20" t="s">
        <v>5211</v>
      </c>
      <c r="B1883" s="21">
        <v>636</v>
      </c>
      <c r="C1883" s="22" t="s">
        <v>143</v>
      </c>
      <c r="D1883" s="22" t="s">
        <v>1118</v>
      </c>
      <c r="E1883" s="22" t="str">
        <f>CONCATENATE(B1883,D1883)</f>
        <v>63672056-ESP109</v>
      </c>
      <c r="F1883" s="22" t="s">
        <v>1119</v>
      </c>
      <c r="G1883" s="22" t="s">
        <v>158</v>
      </c>
      <c r="H1883" s="23">
        <v>108.43940000000001</v>
      </c>
      <c r="I1883" s="24">
        <v>11</v>
      </c>
      <c r="J1883" s="24">
        <v>0</v>
      </c>
      <c r="K1883" s="24">
        <v>0</v>
      </c>
      <c r="L1883" s="41">
        <f>Table2[[#This Row],[Column1]]+Table2[[#This Row],[Column2]]</f>
        <v>0</v>
      </c>
      <c r="M1883" s="42">
        <f>Table2[[#This Row],[OnHandQty]]-Table2[[#This Row],[Projection Nov/Dec]]</f>
        <v>11</v>
      </c>
      <c r="N1883" s="35">
        <f>Table2[[#This Row],[OverStock]]*Table2[[#This Row],[RepCost]]</f>
        <v>1192.8334</v>
      </c>
      <c r="O1883" s="25">
        <v>46225.496527777781</v>
      </c>
      <c r="P1883" s="26" t="s">
        <v>195</v>
      </c>
    </row>
    <row r="1884" spans="1:16" x14ac:dyDescent="0.25">
      <c r="A1884" s="20" t="s">
        <v>5211</v>
      </c>
      <c r="B1884" s="21">
        <v>714</v>
      </c>
      <c r="C1884" s="22" t="s">
        <v>143</v>
      </c>
      <c r="D1884" s="22" t="s">
        <v>2594</v>
      </c>
      <c r="E1884" s="22" t="str">
        <f>CONCATENATE(B1884,D1884)</f>
        <v>71490560-STD105MON</v>
      </c>
      <c r="F1884" s="22" t="s">
        <v>2595</v>
      </c>
      <c r="G1884" s="22" t="s">
        <v>29</v>
      </c>
      <c r="H1884" s="23">
        <v>56.060200000000002</v>
      </c>
      <c r="I1884" s="24">
        <v>1</v>
      </c>
      <c r="J1884" s="24">
        <v>0</v>
      </c>
      <c r="K1884" s="24">
        <v>0</v>
      </c>
      <c r="L1884" s="41">
        <f>Table2[[#This Row],[Column1]]+Table2[[#This Row],[Column2]]</f>
        <v>0</v>
      </c>
      <c r="M1884" s="42">
        <f>Table2[[#This Row],[OnHandQty]]-Table2[[#This Row],[Projection Nov/Dec]]</f>
        <v>1</v>
      </c>
      <c r="N1884" s="35">
        <f>Table2[[#This Row],[OverStock]]*Table2[[#This Row],[RepCost]]</f>
        <v>56.060200000000002</v>
      </c>
      <c r="O1884" s="25">
        <v>45764.45416666667</v>
      </c>
      <c r="P1884" s="26" t="s">
        <v>1062</v>
      </c>
    </row>
    <row r="1885" spans="1:16" x14ac:dyDescent="0.25">
      <c r="A1885" s="20" t="s">
        <v>5211</v>
      </c>
      <c r="B1885" s="21">
        <v>718</v>
      </c>
      <c r="C1885" s="22" t="s">
        <v>143</v>
      </c>
      <c r="D1885" s="22" t="s">
        <v>2594</v>
      </c>
      <c r="E1885" s="22" t="str">
        <f>CONCATENATE(B1885,D1885)</f>
        <v>71890560-STD105MON</v>
      </c>
      <c r="F1885" s="22" t="s">
        <v>2595</v>
      </c>
      <c r="G1885" s="22" t="s">
        <v>29</v>
      </c>
      <c r="H1885" s="23">
        <v>58.552500000000002</v>
      </c>
      <c r="I1885" s="24">
        <v>1</v>
      </c>
      <c r="J1885" s="24">
        <v>0</v>
      </c>
      <c r="K1885" s="24">
        <v>0</v>
      </c>
      <c r="L1885" s="41">
        <f>Table2[[#This Row],[Column1]]+Table2[[#This Row],[Column2]]</f>
        <v>0</v>
      </c>
      <c r="M1885" s="42">
        <f>Table2[[#This Row],[OnHandQty]]-Table2[[#This Row],[Projection Nov/Dec]]</f>
        <v>1</v>
      </c>
      <c r="N1885" s="35">
        <f>Table2[[#This Row],[OverStock]]*Table2[[#This Row],[RepCost]]</f>
        <v>58.552500000000002</v>
      </c>
      <c r="O1885" s="25">
        <v>46115.507638888892</v>
      </c>
      <c r="P1885" s="26" t="s">
        <v>1062</v>
      </c>
    </row>
    <row r="1886" spans="1:16" x14ac:dyDescent="0.25">
      <c r="A1886" s="20" t="s">
        <v>5211</v>
      </c>
      <c r="B1886" s="21">
        <v>714</v>
      </c>
      <c r="C1886" s="22" t="s">
        <v>143</v>
      </c>
      <c r="D1886" s="22" t="s">
        <v>2798</v>
      </c>
      <c r="E1886" s="22" t="str">
        <f>CONCATENATE(B1886,D1886)</f>
        <v>71490746-102</v>
      </c>
      <c r="F1886" s="22" t="s">
        <v>2799</v>
      </c>
      <c r="G1886" s="22" t="s">
        <v>39</v>
      </c>
      <c r="H1886" s="23">
        <v>13.4621</v>
      </c>
      <c r="I1886" s="24">
        <v>2</v>
      </c>
      <c r="J1886" s="24">
        <v>0</v>
      </c>
      <c r="K1886" s="24">
        <v>0</v>
      </c>
      <c r="L1886" s="41">
        <f>Table2[[#This Row],[Column1]]+Table2[[#This Row],[Column2]]</f>
        <v>0</v>
      </c>
      <c r="M1886" s="42">
        <f>Table2[[#This Row],[OnHandQty]]-Table2[[#This Row],[Projection Nov/Dec]]</f>
        <v>2</v>
      </c>
      <c r="N1886" s="35">
        <f>Table2[[#This Row],[OverStock]]*Table2[[#This Row],[RepCost]]</f>
        <v>26.924199999999999</v>
      </c>
      <c r="O1886" s="25">
        <v>46188.35</v>
      </c>
      <c r="P1886" s="26" t="s">
        <v>26</v>
      </c>
    </row>
    <row r="1887" spans="1:16" x14ac:dyDescent="0.25">
      <c r="A1887" s="20" t="s">
        <v>5211</v>
      </c>
      <c r="B1887" s="21">
        <v>714</v>
      </c>
      <c r="C1887" s="22" t="s">
        <v>143</v>
      </c>
      <c r="D1887" s="22" t="s">
        <v>2559</v>
      </c>
      <c r="E1887" s="22" t="str">
        <f>CONCATENATE(B1887,D1887)</f>
        <v>71480095-PF4</v>
      </c>
      <c r="F1887" s="27" t="s">
        <v>2560</v>
      </c>
      <c r="G1887" s="27" t="s">
        <v>58</v>
      </c>
      <c r="H1887" s="23">
        <v>0</v>
      </c>
      <c r="I1887" s="24">
        <v>1</v>
      </c>
      <c r="J1887" s="24">
        <v>0</v>
      </c>
      <c r="K1887" s="24">
        <v>0</v>
      </c>
      <c r="L1887" s="41">
        <f>Table2[[#This Row],[Column1]]+Table2[[#This Row],[Column2]]</f>
        <v>0</v>
      </c>
      <c r="M1887" s="42">
        <f>Table2[[#This Row],[OnHandQty]]-Table2[[#This Row],[Projection Nov/Dec]]</f>
        <v>1</v>
      </c>
      <c r="N1887" s="35">
        <f>Table2[[#This Row],[OverStock]]*Table2[[#This Row],[RepCost]]</f>
        <v>0</v>
      </c>
      <c r="O1887" s="25">
        <v>45082.586805555555</v>
      </c>
      <c r="P1887" s="26" t="s">
        <v>140</v>
      </c>
    </row>
    <row r="1888" spans="1:16" x14ac:dyDescent="0.25">
      <c r="A1888" s="20" t="s">
        <v>5211</v>
      </c>
      <c r="B1888" s="21">
        <v>718</v>
      </c>
      <c r="C1888" s="22" t="s">
        <v>143</v>
      </c>
      <c r="D1888" s="22" t="s">
        <v>3806</v>
      </c>
      <c r="E1888" s="22" t="str">
        <f>CONCATENATE(B1888,D1888)</f>
        <v>71880095-103</v>
      </c>
      <c r="F1888" s="22" t="s">
        <v>3807</v>
      </c>
      <c r="G1888" s="22" t="s">
        <v>23</v>
      </c>
      <c r="H1888" s="23">
        <v>15.9947</v>
      </c>
      <c r="I1888" s="24">
        <v>2</v>
      </c>
      <c r="J1888" s="24">
        <v>0</v>
      </c>
      <c r="K1888" s="24">
        <v>0</v>
      </c>
      <c r="L1888" s="41">
        <f>Table2[[#This Row],[Column1]]+Table2[[#This Row],[Column2]]</f>
        <v>0</v>
      </c>
      <c r="M1888" s="42">
        <f>Table2[[#This Row],[OnHandQty]]-Table2[[#This Row],[Projection Nov/Dec]]</f>
        <v>2</v>
      </c>
      <c r="N1888" s="35">
        <f>Table2[[#This Row],[OverStock]]*Table2[[#This Row],[RepCost]]</f>
        <v>31.9894</v>
      </c>
      <c r="O1888" s="25">
        <v>46127.664583333331</v>
      </c>
      <c r="P1888" s="26" t="s">
        <v>140</v>
      </c>
    </row>
    <row r="1889" spans="1:16" x14ac:dyDescent="0.25">
      <c r="A1889" s="20" t="s">
        <v>5211</v>
      </c>
      <c r="B1889" s="21">
        <v>714</v>
      </c>
      <c r="C1889" s="22" t="s">
        <v>143</v>
      </c>
      <c r="D1889" s="22" t="s">
        <v>916</v>
      </c>
      <c r="E1889" s="22" t="str">
        <f>CONCATENATE(B1889,D1889)</f>
        <v>71472131-103</v>
      </c>
      <c r="F1889" s="22" t="s">
        <v>917</v>
      </c>
      <c r="G1889" s="22" t="s">
        <v>39</v>
      </c>
      <c r="H1889" s="23">
        <v>13.7636</v>
      </c>
      <c r="I1889" s="24">
        <v>12</v>
      </c>
      <c r="J1889" s="24">
        <v>0</v>
      </c>
      <c r="K1889" s="24">
        <v>0</v>
      </c>
      <c r="L1889" s="41">
        <f>Table2[[#This Row],[Column1]]+Table2[[#This Row],[Column2]]</f>
        <v>0</v>
      </c>
      <c r="M1889" s="42">
        <f>Table2[[#This Row],[OnHandQty]]-Table2[[#This Row],[Projection Nov/Dec]]</f>
        <v>12</v>
      </c>
      <c r="N1889" s="35">
        <f>Table2[[#This Row],[OverStock]]*Table2[[#This Row],[RepCost]]</f>
        <v>165.16320000000002</v>
      </c>
      <c r="O1889" s="25">
        <v>45822.546527777777</v>
      </c>
      <c r="P1889" s="26" t="s">
        <v>26</v>
      </c>
    </row>
    <row r="1890" spans="1:16" x14ac:dyDescent="0.25">
      <c r="A1890" s="20" t="s">
        <v>5211</v>
      </c>
      <c r="B1890" s="21">
        <v>714</v>
      </c>
      <c r="C1890" s="22" t="s">
        <v>143</v>
      </c>
      <c r="D1890" s="22" t="s">
        <v>2365</v>
      </c>
      <c r="E1890" s="22" t="str">
        <f>CONCATENATE(B1890,D1890)</f>
        <v>71479398-103</v>
      </c>
      <c r="F1890" s="22" t="s">
        <v>2366</v>
      </c>
      <c r="G1890" s="22" t="s">
        <v>39</v>
      </c>
      <c r="H1890" s="23">
        <v>15.523099999999999</v>
      </c>
      <c r="I1890" s="24">
        <v>23</v>
      </c>
      <c r="J1890" s="24">
        <v>0</v>
      </c>
      <c r="K1890" s="24">
        <v>0</v>
      </c>
      <c r="L1890" s="41">
        <f>Table2[[#This Row],[Column1]]+Table2[[#This Row],[Column2]]</f>
        <v>0</v>
      </c>
      <c r="M1890" s="42">
        <f>Table2[[#This Row],[OnHandQty]]-Table2[[#This Row],[Projection Nov/Dec]]</f>
        <v>23</v>
      </c>
      <c r="N1890" s="35">
        <f>Table2[[#This Row],[OverStock]]*Table2[[#This Row],[RepCost]]</f>
        <v>357.03129999999999</v>
      </c>
      <c r="O1890" s="25">
        <v>45759.422222222223</v>
      </c>
      <c r="P1890" s="26" t="s">
        <v>140</v>
      </c>
    </row>
    <row r="1891" spans="1:16" x14ac:dyDescent="0.25">
      <c r="A1891" s="20" t="s">
        <v>5211</v>
      </c>
      <c r="B1891" s="21">
        <v>718</v>
      </c>
      <c r="C1891" s="22" t="s">
        <v>143</v>
      </c>
      <c r="D1891" s="22" t="s">
        <v>3745</v>
      </c>
      <c r="E1891" s="22" t="str">
        <f>CONCATENATE(B1891,D1891)</f>
        <v>71880067-110</v>
      </c>
      <c r="F1891" s="22" t="s">
        <v>3746</v>
      </c>
      <c r="G1891" s="22" t="s">
        <v>23</v>
      </c>
      <c r="H1891" s="23">
        <v>103.0159</v>
      </c>
      <c r="I1891" s="24">
        <v>7</v>
      </c>
      <c r="J1891" s="24">
        <v>0</v>
      </c>
      <c r="K1891" s="24">
        <v>0</v>
      </c>
      <c r="L1891" s="41">
        <f>Table2[[#This Row],[Column1]]+Table2[[#This Row],[Column2]]</f>
        <v>0</v>
      </c>
      <c r="M1891" s="42">
        <f>Table2[[#This Row],[OnHandQty]]-Table2[[#This Row],[Projection Nov/Dec]]</f>
        <v>7</v>
      </c>
      <c r="N1891" s="35">
        <f>Table2[[#This Row],[OverStock]]*Table2[[#This Row],[RepCost]]</f>
        <v>721.11130000000003</v>
      </c>
      <c r="O1891" s="25">
        <v>45777.463194444441</v>
      </c>
      <c r="P1891" s="26" t="s">
        <v>195</v>
      </c>
    </row>
    <row r="1892" spans="1:16" x14ac:dyDescent="0.25">
      <c r="A1892" s="20" t="s">
        <v>5211</v>
      </c>
      <c r="B1892" s="21">
        <v>714</v>
      </c>
      <c r="C1892" s="22" t="s">
        <v>143</v>
      </c>
      <c r="D1892" s="22" t="s">
        <v>2642</v>
      </c>
      <c r="E1892" s="22" t="str">
        <f>CONCATENATE(B1892,D1892)</f>
        <v>71478833-103</v>
      </c>
      <c r="F1892" s="22" t="s">
        <v>2643</v>
      </c>
      <c r="G1892" s="22" t="s">
        <v>23</v>
      </c>
      <c r="H1892" s="23">
        <v>15.103</v>
      </c>
      <c r="I1892" s="24">
        <v>14</v>
      </c>
      <c r="J1892" s="24">
        <v>0</v>
      </c>
      <c r="K1892" s="24">
        <v>0</v>
      </c>
      <c r="L1892" s="41">
        <f>Table2[[#This Row],[Column1]]+Table2[[#This Row],[Column2]]</f>
        <v>0</v>
      </c>
      <c r="M1892" s="42">
        <f>Table2[[#This Row],[OnHandQty]]-Table2[[#This Row],[Projection Nov/Dec]]</f>
        <v>14</v>
      </c>
      <c r="N1892" s="35">
        <f>Table2[[#This Row],[OverStock]]*Table2[[#This Row],[RepCost]]</f>
        <v>211.44200000000001</v>
      </c>
      <c r="O1892" s="25">
        <v>46200.377083333333</v>
      </c>
      <c r="P1892" s="26" t="s">
        <v>40</v>
      </c>
    </row>
    <row r="1893" spans="1:16" x14ac:dyDescent="0.25">
      <c r="A1893" s="20" t="s">
        <v>5211</v>
      </c>
      <c r="B1893" s="21">
        <v>636</v>
      </c>
      <c r="C1893" s="22" t="s">
        <v>143</v>
      </c>
      <c r="D1893" s="22" t="s">
        <v>1100</v>
      </c>
      <c r="E1893" s="22" t="str">
        <f>CONCATENATE(B1893,D1893)</f>
        <v>63681407-101</v>
      </c>
      <c r="F1893" s="22" t="s">
        <v>1101</v>
      </c>
      <c r="G1893" s="22" t="s">
        <v>29</v>
      </c>
      <c r="H1893" s="23">
        <v>6.8643999999999998</v>
      </c>
      <c r="I1893" s="24">
        <v>3</v>
      </c>
      <c r="J1893" s="24">
        <v>0</v>
      </c>
      <c r="K1893" s="24">
        <v>0</v>
      </c>
      <c r="L1893" s="41">
        <f>Table2[[#This Row],[Column1]]+Table2[[#This Row],[Column2]]</f>
        <v>0</v>
      </c>
      <c r="M1893" s="42">
        <f>Table2[[#This Row],[OnHandQty]]-Table2[[#This Row],[Projection Nov/Dec]]</f>
        <v>3</v>
      </c>
      <c r="N1893" s="35">
        <f>Table2[[#This Row],[OverStock]]*Table2[[#This Row],[RepCost]]</f>
        <v>20.5932</v>
      </c>
      <c r="O1893" s="25">
        <v>46199.375</v>
      </c>
      <c r="P1893" s="26" t="s">
        <v>16</v>
      </c>
    </row>
    <row r="1894" spans="1:16" x14ac:dyDescent="0.25">
      <c r="A1894" s="20" t="s">
        <v>5211</v>
      </c>
      <c r="B1894" s="21">
        <v>714</v>
      </c>
      <c r="C1894" s="22" t="s">
        <v>143</v>
      </c>
      <c r="D1894" s="22" t="s">
        <v>2501</v>
      </c>
      <c r="E1894" s="22" t="str">
        <f>CONCATENATE(B1894,D1894)</f>
        <v>71477632-102</v>
      </c>
      <c r="F1894" s="27" t="s">
        <v>2502</v>
      </c>
      <c r="G1894" s="27" t="s">
        <v>58</v>
      </c>
      <c r="H1894" s="23">
        <v>12.8813</v>
      </c>
      <c r="I1894" s="24">
        <v>2</v>
      </c>
      <c r="J1894" s="24">
        <v>0</v>
      </c>
      <c r="K1894" s="24">
        <v>0</v>
      </c>
      <c r="L1894" s="41">
        <f>Table2[[#This Row],[Column1]]+Table2[[#This Row],[Column2]]</f>
        <v>0</v>
      </c>
      <c r="M1894" s="42">
        <f>Table2[[#This Row],[OnHandQty]]-Table2[[#This Row],[Projection Nov/Dec]]</f>
        <v>2</v>
      </c>
      <c r="N1894" s="35">
        <f>Table2[[#This Row],[OverStock]]*Table2[[#This Row],[RepCost]]</f>
        <v>25.762599999999999</v>
      </c>
      <c r="O1894" s="25">
        <v>45779.469444444447</v>
      </c>
      <c r="P1894" s="26" t="s">
        <v>162</v>
      </c>
    </row>
    <row r="1895" spans="1:16" x14ac:dyDescent="0.25">
      <c r="A1895" s="20" t="s">
        <v>5211</v>
      </c>
      <c r="B1895" s="21">
        <v>714</v>
      </c>
      <c r="C1895" s="22" t="s">
        <v>143</v>
      </c>
      <c r="D1895" s="22" t="s">
        <v>2663</v>
      </c>
      <c r="E1895" s="22" t="str">
        <f>CONCATENATE(B1895,D1895)</f>
        <v>71477632-103</v>
      </c>
      <c r="F1895" s="22" t="s">
        <v>2664</v>
      </c>
      <c r="G1895" s="22" t="s">
        <v>15</v>
      </c>
      <c r="H1895" s="23">
        <v>16.790700000000001</v>
      </c>
      <c r="I1895" s="24">
        <v>8</v>
      </c>
      <c r="J1895" s="24">
        <v>0</v>
      </c>
      <c r="K1895" s="24">
        <v>0</v>
      </c>
      <c r="L1895" s="41">
        <f>Table2[[#This Row],[Column1]]+Table2[[#This Row],[Column2]]</f>
        <v>0</v>
      </c>
      <c r="M1895" s="42">
        <f>Table2[[#This Row],[OnHandQty]]-Table2[[#This Row],[Projection Nov/Dec]]</f>
        <v>8</v>
      </c>
      <c r="N1895" s="35">
        <f>Table2[[#This Row],[OverStock]]*Table2[[#This Row],[RepCost]]</f>
        <v>134.32560000000001</v>
      </c>
      <c r="O1895" s="25">
        <v>45726.532638888886</v>
      </c>
      <c r="P1895" s="26" t="s">
        <v>2379</v>
      </c>
    </row>
    <row r="1896" spans="1:16" x14ac:dyDescent="0.25">
      <c r="A1896" s="20" t="s">
        <v>5211</v>
      </c>
      <c r="B1896" s="21">
        <v>714</v>
      </c>
      <c r="C1896" s="22" t="s">
        <v>143</v>
      </c>
      <c r="D1896" s="22" t="s">
        <v>2251</v>
      </c>
      <c r="E1896" s="22" t="str">
        <f>CONCATENATE(B1896,D1896)</f>
        <v>71485963-102</v>
      </c>
      <c r="F1896" s="22" t="s">
        <v>2252</v>
      </c>
      <c r="G1896" s="22" t="s">
        <v>15</v>
      </c>
      <c r="H1896" s="23">
        <v>14.5067</v>
      </c>
      <c r="I1896" s="24">
        <v>2</v>
      </c>
      <c r="J1896" s="24">
        <v>0</v>
      </c>
      <c r="K1896" s="24">
        <v>0</v>
      </c>
      <c r="L1896" s="41">
        <f>Table2[[#This Row],[Column1]]+Table2[[#This Row],[Column2]]</f>
        <v>0</v>
      </c>
      <c r="M1896" s="42">
        <f>Table2[[#This Row],[OnHandQty]]-Table2[[#This Row],[Projection Nov/Dec]]</f>
        <v>2</v>
      </c>
      <c r="N1896" s="35">
        <f>Table2[[#This Row],[OverStock]]*Table2[[#This Row],[RepCost]]</f>
        <v>29.013400000000001</v>
      </c>
      <c r="O1896" s="25">
        <v>45775.64166666667</v>
      </c>
      <c r="P1896" s="26" t="s">
        <v>40</v>
      </c>
    </row>
    <row r="1897" spans="1:16" x14ac:dyDescent="0.25">
      <c r="A1897" s="20" t="s">
        <v>5211</v>
      </c>
      <c r="B1897" s="21">
        <v>634</v>
      </c>
      <c r="C1897" s="22" t="s">
        <v>143</v>
      </c>
      <c r="D1897" s="22" t="s">
        <v>219</v>
      </c>
      <c r="E1897" s="22" t="str">
        <f>CONCATENATE(B1897,D1897)</f>
        <v>63472213-101</v>
      </c>
      <c r="F1897" s="22" t="s">
        <v>220</v>
      </c>
      <c r="G1897" s="22" t="s">
        <v>29</v>
      </c>
      <c r="H1897" s="23">
        <v>16.0351</v>
      </c>
      <c r="I1897" s="24">
        <v>3</v>
      </c>
      <c r="J1897" s="24">
        <v>0</v>
      </c>
      <c r="K1897" s="24">
        <v>0</v>
      </c>
      <c r="L1897" s="41">
        <f>Table2[[#This Row],[Column1]]+Table2[[#This Row],[Column2]]</f>
        <v>0</v>
      </c>
      <c r="M1897" s="42">
        <f>Table2[[#This Row],[OnHandQty]]-Table2[[#This Row],[Projection Nov/Dec]]</f>
        <v>3</v>
      </c>
      <c r="N1897" s="35">
        <f>Table2[[#This Row],[OverStock]]*Table2[[#This Row],[RepCost]]</f>
        <v>48.1053</v>
      </c>
      <c r="O1897" s="25">
        <v>45868.500694444447</v>
      </c>
      <c r="P1897" s="26" t="s">
        <v>40</v>
      </c>
    </row>
    <row r="1898" spans="1:16" x14ac:dyDescent="0.25">
      <c r="A1898" s="20" t="s">
        <v>5211</v>
      </c>
      <c r="B1898" s="21">
        <v>636</v>
      </c>
      <c r="C1898" s="22" t="s">
        <v>126</v>
      </c>
      <c r="D1898" s="22" t="s">
        <v>861</v>
      </c>
      <c r="E1898" s="22" t="str">
        <f>CONCATENATE(B1898,D1898)</f>
        <v>63693298-TRL105PFO</v>
      </c>
      <c r="F1898" s="22" t="s">
        <v>862</v>
      </c>
      <c r="G1898" s="22" t="s">
        <v>29</v>
      </c>
      <c r="H1898" s="23">
        <v>22.924099999999999</v>
      </c>
      <c r="I1898" s="24">
        <v>1</v>
      </c>
      <c r="J1898" s="24">
        <v>0</v>
      </c>
      <c r="K1898" s="24">
        <v>0</v>
      </c>
      <c r="L1898" s="41">
        <f>Table2[[#This Row],[Column1]]+Table2[[#This Row],[Column2]]</f>
        <v>0</v>
      </c>
      <c r="M1898" s="42">
        <f>Table2[[#This Row],[OnHandQty]]-Table2[[#This Row],[Projection Nov/Dec]]</f>
        <v>1</v>
      </c>
      <c r="N1898" s="35">
        <f>Table2[[#This Row],[OverStock]]*Table2[[#This Row],[RepCost]]</f>
        <v>22.924099999999999</v>
      </c>
      <c r="O1898" s="25">
        <v>46143.447916666664</v>
      </c>
      <c r="P1898" s="26" t="s">
        <v>140</v>
      </c>
    </row>
    <row r="1899" spans="1:16" x14ac:dyDescent="0.25">
      <c r="A1899" s="20" t="s">
        <v>5211</v>
      </c>
      <c r="B1899" s="21">
        <v>714</v>
      </c>
      <c r="C1899" s="22" t="s">
        <v>126</v>
      </c>
      <c r="D1899" s="22" t="s">
        <v>861</v>
      </c>
      <c r="E1899" s="22" t="str">
        <f>CONCATENATE(B1899,D1899)</f>
        <v>71493298-TRL105PFO</v>
      </c>
      <c r="F1899" s="27" t="s">
        <v>862</v>
      </c>
      <c r="G1899" s="27" t="s">
        <v>58</v>
      </c>
      <c r="H1899" s="23">
        <v>23.523599999999998</v>
      </c>
      <c r="I1899" s="24">
        <v>3</v>
      </c>
      <c r="J1899" s="24">
        <v>0</v>
      </c>
      <c r="K1899" s="24">
        <v>0</v>
      </c>
      <c r="L1899" s="41">
        <f>Table2[[#This Row],[Column1]]+Table2[[#This Row],[Column2]]</f>
        <v>0</v>
      </c>
      <c r="M1899" s="42">
        <f>Table2[[#This Row],[OnHandQty]]-Table2[[#This Row],[Projection Nov/Dec]]</f>
        <v>3</v>
      </c>
      <c r="N1899" s="35">
        <f>Table2[[#This Row],[OverStock]]*Table2[[#This Row],[RepCost]]</f>
        <v>70.570799999999991</v>
      </c>
      <c r="O1899" s="25">
        <v>46151.40347222222</v>
      </c>
      <c r="P1899" s="26" t="s">
        <v>140</v>
      </c>
    </row>
    <row r="1900" spans="1:16" x14ac:dyDescent="0.25">
      <c r="A1900" s="20" t="s">
        <v>5211</v>
      </c>
      <c r="B1900" s="21">
        <v>714</v>
      </c>
      <c r="C1900" s="22" t="s">
        <v>70</v>
      </c>
      <c r="D1900" s="22" t="s">
        <v>2050</v>
      </c>
      <c r="E1900" s="22" t="str">
        <f>CONCATENATE(B1900,D1900)</f>
        <v>71472241-102</v>
      </c>
      <c r="F1900" s="22" t="s">
        <v>2051</v>
      </c>
      <c r="G1900" s="22" t="s">
        <v>29</v>
      </c>
      <c r="H1900" s="23">
        <v>9.9474999999999998</v>
      </c>
      <c r="I1900" s="24">
        <v>6</v>
      </c>
      <c r="J1900" s="24">
        <v>0</v>
      </c>
      <c r="K1900" s="24">
        <v>0</v>
      </c>
      <c r="L1900" s="41">
        <f>Table2[[#This Row],[Column1]]+Table2[[#This Row],[Column2]]</f>
        <v>0</v>
      </c>
      <c r="M1900" s="42">
        <f>Table2[[#This Row],[OnHandQty]]-Table2[[#This Row],[Projection Nov/Dec]]</f>
        <v>6</v>
      </c>
      <c r="N1900" s="35">
        <f>Table2[[#This Row],[OverStock]]*Table2[[#This Row],[RepCost]]</f>
        <v>59.685000000000002</v>
      </c>
      <c r="O1900" s="25">
        <v>46213.455555555556</v>
      </c>
      <c r="P1900" s="26" t="s">
        <v>573</v>
      </c>
    </row>
    <row r="1901" spans="1:16" x14ac:dyDescent="0.25">
      <c r="A1901" s="20" t="s">
        <v>5211</v>
      </c>
      <c r="B1901" s="21">
        <v>714</v>
      </c>
      <c r="C1901" s="22" t="s">
        <v>70</v>
      </c>
      <c r="D1901" s="22" t="s">
        <v>73</v>
      </c>
      <c r="E1901" s="22" t="str">
        <f>CONCATENATE(B1901,D1901)</f>
        <v>71490562-101</v>
      </c>
      <c r="F1901" s="22" t="s">
        <v>74</v>
      </c>
      <c r="G1901" s="22" t="s">
        <v>39</v>
      </c>
      <c r="H1901" s="23">
        <v>5.3635999999999999</v>
      </c>
      <c r="I1901" s="24">
        <v>8</v>
      </c>
      <c r="J1901" s="24">
        <v>0</v>
      </c>
      <c r="K1901" s="24">
        <v>0</v>
      </c>
      <c r="L1901" s="41">
        <f>Table2[[#This Row],[Column1]]+Table2[[#This Row],[Column2]]</f>
        <v>0</v>
      </c>
      <c r="M1901" s="42">
        <f>Table2[[#This Row],[OnHandQty]]-Table2[[#This Row],[Projection Nov/Dec]]</f>
        <v>8</v>
      </c>
      <c r="N1901" s="35">
        <f>Table2[[#This Row],[OverStock]]*Table2[[#This Row],[RepCost]]</f>
        <v>42.908799999999999</v>
      </c>
      <c r="O1901" s="25">
        <v>46242.375</v>
      </c>
      <c r="P1901" s="26" t="s">
        <v>26</v>
      </c>
    </row>
    <row r="1902" spans="1:16" x14ac:dyDescent="0.25">
      <c r="A1902" s="20" t="s">
        <v>5211</v>
      </c>
      <c r="B1902" s="21">
        <v>634</v>
      </c>
      <c r="C1902" s="22" t="s">
        <v>126</v>
      </c>
      <c r="D1902" s="22" t="s">
        <v>129</v>
      </c>
      <c r="E1902" s="22" t="str">
        <f>CONCATENATE(B1902,D1902)</f>
        <v>63490562-PF4PFO</v>
      </c>
      <c r="F1902" s="22" t="s">
        <v>130</v>
      </c>
      <c r="G1902" s="22" t="s">
        <v>112</v>
      </c>
      <c r="H1902" s="23">
        <v>7.6257000000000001</v>
      </c>
      <c r="I1902" s="24">
        <v>7</v>
      </c>
      <c r="J1902" s="24">
        <v>2</v>
      </c>
      <c r="K1902" s="24">
        <v>0</v>
      </c>
      <c r="L1902" s="41">
        <f>Table2[[#This Row],[Column1]]+Table2[[#This Row],[Column2]]</f>
        <v>2</v>
      </c>
      <c r="M1902" s="42">
        <f>Table2[[#This Row],[OnHandQty]]-Table2[[#This Row],[Projection Nov/Dec]]</f>
        <v>5</v>
      </c>
      <c r="N1902" s="35">
        <f>Table2[[#This Row],[OverStock]]*Table2[[#This Row],[RepCost]]</f>
        <v>38.128500000000003</v>
      </c>
      <c r="O1902" s="25">
        <v>46128.369444444441</v>
      </c>
      <c r="P1902" s="26" t="s">
        <v>16</v>
      </c>
    </row>
    <row r="1903" spans="1:16" x14ac:dyDescent="0.25">
      <c r="A1903" s="20" t="s">
        <v>5211</v>
      </c>
      <c r="B1903" s="21">
        <v>714</v>
      </c>
      <c r="C1903" s="22" t="s">
        <v>126</v>
      </c>
      <c r="D1903" s="22" t="s">
        <v>129</v>
      </c>
      <c r="E1903" s="22" t="str">
        <f>CONCATENATE(B1903,D1903)</f>
        <v>71490562-PF4PFO</v>
      </c>
      <c r="F1903" s="22" t="s">
        <v>130</v>
      </c>
      <c r="G1903" s="22" t="s">
        <v>112</v>
      </c>
      <c r="H1903" s="23">
        <v>7.9734999999999996</v>
      </c>
      <c r="I1903" s="24">
        <v>5</v>
      </c>
      <c r="J1903" s="24">
        <v>2</v>
      </c>
      <c r="K1903" s="24">
        <v>0</v>
      </c>
      <c r="L1903" s="41">
        <f>Table2[[#This Row],[Column1]]+Table2[[#This Row],[Column2]]</f>
        <v>2</v>
      </c>
      <c r="M1903" s="42">
        <f>Table2[[#This Row],[OnHandQty]]-Table2[[#This Row],[Projection Nov/Dec]]</f>
        <v>3</v>
      </c>
      <c r="N1903" s="35">
        <f>Table2[[#This Row],[OverStock]]*Table2[[#This Row],[RepCost]]</f>
        <v>23.920499999999997</v>
      </c>
      <c r="O1903" s="25">
        <v>46199.499305555553</v>
      </c>
      <c r="P1903" s="26" t="s">
        <v>16</v>
      </c>
    </row>
    <row r="1904" spans="1:16" x14ac:dyDescent="0.25">
      <c r="A1904" s="20" t="s">
        <v>5211</v>
      </c>
      <c r="B1904" s="21">
        <v>718</v>
      </c>
      <c r="C1904" s="22" t="s">
        <v>126</v>
      </c>
      <c r="D1904" s="22" t="s">
        <v>129</v>
      </c>
      <c r="E1904" s="22" t="str">
        <f>CONCATENATE(B1904,D1904)</f>
        <v>71890562-PF4PFO</v>
      </c>
      <c r="F1904" s="22" t="s">
        <v>130</v>
      </c>
      <c r="G1904" s="22" t="s">
        <v>112</v>
      </c>
      <c r="H1904" s="23">
        <v>8.1949000000000005</v>
      </c>
      <c r="I1904" s="24">
        <v>31</v>
      </c>
      <c r="J1904" s="24">
        <v>2</v>
      </c>
      <c r="K1904" s="24">
        <v>0</v>
      </c>
      <c r="L1904" s="41">
        <f>Table2[[#This Row],[Column1]]+Table2[[#This Row],[Column2]]</f>
        <v>2</v>
      </c>
      <c r="M1904" s="42">
        <f>Table2[[#This Row],[OnHandQty]]-Table2[[#This Row],[Projection Nov/Dec]]</f>
        <v>29</v>
      </c>
      <c r="N1904" s="35">
        <f>Table2[[#This Row],[OverStock]]*Table2[[#This Row],[RepCost]]</f>
        <v>237.65210000000002</v>
      </c>
      <c r="O1904" s="25">
        <v>46211.615277777775</v>
      </c>
      <c r="P1904" s="26" t="s">
        <v>16</v>
      </c>
    </row>
    <row r="1905" spans="1:16" x14ac:dyDescent="0.25">
      <c r="A1905" s="20" t="s">
        <v>5211</v>
      </c>
      <c r="B1905" s="21">
        <v>636</v>
      </c>
      <c r="C1905" s="22" t="s">
        <v>126</v>
      </c>
      <c r="D1905" s="22" t="s">
        <v>129</v>
      </c>
      <c r="E1905" s="22" t="str">
        <f>CONCATENATE(B1905,D1905)</f>
        <v>63690562-PF4PFO</v>
      </c>
      <c r="F1905" s="22" t="s">
        <v>130</v>
      </c>
      <c r="G1905" s="22" t="s">
        <v>112</v>
      </c>
      <c r="H1905" s="23">
        <v>7.1501000000000001</v>
      </c>
      <c r="I1905" s="24">
        <v>9</v>
      </c>
      <c r="J1905" s="24">
        <v>2</v>
      </c>
      <c r="K1905" s="24">
        <v>0</v>
      </c>
      <c r="L1905" s="41">
        <f>Table2[[#This Row],[Column1]]+Table2[[#This Row],[Column2]]</f>
        <v>2</v>
      </c>
      <c r="M1905" s="42">
        <f>Table2[[#This Row],[OnHandQty]]-Table2[[#This Row],[Projection Nov/Dec]]</f>
        <v>7</v>
      </c>
      <c r="N1905" s="35">
        <f>Table2[[#This Row],[OverStock]]*Table2[[#This Row],[RepCost]]</f>
        <v>50.050699999999999</v>
      </c>
      <c r="O1905" s="25">
        <v>46225.4</v>
      </c>
      <c r="P1905" s="26" t="s">
        <v>16</v>
      </c>
    </row>
    <row r="1906" spans="1:16" x14ac:dyDescent="0.25">
      <c r="A1906" s="20" t="s">
        <v>5211</v>
      </c>
      <c r="B1906" s="21">
        <v>714</v>
      </c>
      <c r="C1906" s="22" t="s">
        <v>12</v>
      </c>
      <c r="D1906" s="22" t="s">
        <v>1914</v>
      </c>
      <c r="E1906" s="22" t="str">
        <f>CONCATENATE(B1906,D1906)</f>
        <v>71472290-SP4</v>
      </c>
      <c r="F1906" s="22" t="s">
        <v>1915</v>
      </c>
      <c r="G1906" s="22" t="s">
        <v>39</v>
      </c>
      <c r="H1906" s="23">
        <v>3.08</v>
      </c>
      <c r="I1906" s="24">
        <v>142</v>
      </c>
      <c r="J1906" s="24">
        <v>0</v>
      </c>
      <c r="K1906" s="24">
        <v>0</v>
      </c>
      <c r="L1906" s="41">
        <f>Table2[[#This Row],[Column1]]+Table2[[#This Row],[Column2]]</f>
        <v>0</v>
      </c>
      <c r="M1906" s="42">
        <f>Table2[[#This Row],[OnHandQty]]-Table2[[#This Row],[Projection Nov/Dec]]</f>
        <v>142</v>
      </c>
      <c r="N1906" s="35">
        <f>Table2[[#This Row],[OverStock]]*Table2[[#This Row],[RepCost]]</f>
        <v>437.36</v>
      </c>
      <c r="O1906" s="25">
        <v>46188.359027777777</v>
      </c>
      <c r="P1906" s="26" t="s">
        <v>522</v>
      </c>
    </row>
    <row r="1907" spans="1:16" x14ac:dyDescent="0.25">
      <c r="A1907" s="20" t="s">
        <v>5211</v>
      </c>
      <c r="B1907" s="21">
        <v>714</v>
      </c>
      <c r="C1907" s="22" t="s">
        <v>323</v>
      </c>
      <c r="D1907" s="22" t="s">
        <v>3255</v>
      </c>
      <c r="E1907" s="22" t="str">
        <f>CONCATENATE(B1907,D1907)</f>
        <v>71472302-020</v>
      </c>
      <c r="F1907" s="22" t="s">
        <v>3256</v>
      </c>
      <c r="G1907" s="22" t="s">
        <v>35</v>
      </c>
      <c r="H1907" s="23">
        <v>116.25</v>
      </c>
      <c r="I1907" s="24">
        <v>10</v>
      </c>
      <c r="J1907" s="24">
        <v>0</v>
      </c>
      <c r="K1907" s="24">
        <v>0</v>
      </c>
      <c r="L1907" s="41">
        <f>Table2[[#This Row],[Column1]]+Table2[[#This Row],[Column2]]</f>
        <v>0</v>
      </c>
      <c r="M1907" s="42">
        <f>Table2[[#This Row],[OnHandQty]]-Table2[[#This Row],[Projection Nov/Dec]]</f>
        <v>10</v>
      </c>
      <c r="N1907" s="35">
        <f>Table2[[#This Row],[OverStock]]*Table2[[#This Row],[RepCost]]</f>
        <v>1162.5</v>
      </c>
      <c r="O1907" s="25">
        <v>45759.335416666669</v>
      </c>
      <c r="P1907" s="26" t="s">
        <v>2719</v>
      </c>
    </row>
    <row r="1908" spans="1:16" x14ac:dyDescent="0.25">
      <c r="A1908" s="20" t="s">
        <v>5211</v>
      </c>
      <c r="B1908" s="21">
        <v>634</v>
      </c>
      <c r="C1908" s="22" t="s">
        <v>323</v>
      </c>
      <c r="D1908" s="22" t="s">
        <v>430</v>
      </c>
      <c r="E1908" s="22" t="str">
        <f>CONCATENATE(B1908,D1908)</f>
        <v>63472302-025</v>
      </c>
      <c r="F1908" s="22" t="s">
        <v>431</v>
      </c>
      <c r="G1908" s="22" t="s">
        <v>19</v>
      </c>
      <c r="H1908" s="23">
        <v>207.0762</v>
      </c>
      <c r="I1908" s="24">
        <v>3</v>
      </c>
      <c r="J1908" s="24">
        <v>0</v>
      </c>
      <c r="K1908" s="24">
        <v>0</v>
      </c>
      <c r="L1908" s="41">
        <f>Table2[[#This Row],[Column1]]+Table2[[#This Row],[Column2]]</f>
        <v>0</v>
      </c>
      <c r="M1908" s="42">
        <f>Table2[[#This Row],[OnHandQty]]-Table2[[#This Row],[Projection Nov/Dec]]</f>
        <v>3</v>
      </c>
      <c r="N1908" s="35">
        <f>Table2[[#This Row],[OverStock]]*Table2[[#This Row],[RepCost]]</f>
        <v>621.22860000000003</v>
      </c>
      <c r="O1908" s="25">
        <v>46115.618055555555</v>
      </c>
      <c r="P1908" s="26" t="s">
        <v>295</v>
      </c>
    </row>
    <row r="1909" spans="1:16" x14ac:dyDescent="0.25">
      <c r="A1909" s="20" t="s">
        <v>5211</v>
      </c>
      <c r="B1909" s="21">
        <v>714</v>
      </c>
      <c r="C1909" s="22" t="s">
        <v>323</v>
      </c>
      <c r="D1909" s="22" t="s">
        <v>3440</v>
      </c>
      <c r="E1909" s="22" t="str">
        <f>CONCATENATE(B1909,D1909)</f>
        <v>71472302-120</v>
      </c>
      <c r="F1909" s="22" t="s">
        <v>3441</v>
      </c>
      <c r="G1909" s="22" t="s">
        <v>23</v>
      </c>
      <c r="H1909" s="23">
        <v>143.5</v>
      </c>
      <c r="I1909" s="24">
        <v>8</v>
      </c>
      <c r="J1909" s="24">
        <v>0</v>
      </c>
      <c r="K1909" s="24">
        <v>0</v>
      </c>
      <c r="L1909" s="41">
        <f>Table2[[#This Row],[Column1]]+Table2[[#This Row],[Column2]]</f>
        <v>0</v>
      </c>
      <c r="M1909" s="42">
        <f>Table2[[#This Row],[OnHandQty]]-Table2[[#This Row],[Projection Nov/Dec]]</f>
        <v>8</v>
      </c>
      <c r="N1909" s="35">
        <f>Table2[[#This Row],[OverStock]]*Table2[[#This Row],[RepCost]]</f>
        <v>1148</v>
      </c>
      <c r="O1909" s="25">
        <v>46128.707638888889</v>
      </c>
      <c r="P1909" s="26" t="s">
        <v>345</v>
      </c>
    </row>
    <row r="1910" spans="1:16" x14ac:dyDescent="0.25">
      <c r="A1910" s="20" t="s">
        <v>5211</v>
      </c>
      <c r="B1910" s="21">
        <v>714</v>
      </c>
      <c r="C1910" s="22" t="s">
        <v>323</v>
      </c>
      <c r="D1910" s="22" t="s">
        <v>3518</v>
      </c>
      <c r="E1910" s="22" t="str">
        <f>CONCATENATE(B1910,D1910)</f>
        <v>71472306-030</v>
      </c>
      <c r="F1910" s="27" t="s">
        <v>3519</v>
      </c>
      <c r="G1910" s="27" t="s">
        <v>58</v>
      </c>
      <c r="H1910" s="23">
        <v>208.2927</v>
      </c>
      <c r="I1910" s="24">
        <v>3</v>
      </c>
      <c r="J1910" s="24">
        <v>0</v>
      </c>
      <c r="K1910" s="24">
        <v>0</v>
      </c>
      <c r="L1910" s="41">
        <f>Table2[[#This Row],[Column1]]+Table2[[#This Row],[Column2]]</f>
        <v>0</v>
      </c>
      <c r="M1910" s="42">
        <f>Table2[[#This Row],[OnHandQty]]-Table2[[#This Row],[Projection Nov/Dec]]</f>
        <v>3</v>
      </c>
      <c r="N1910" s="35">
        <f>Table2[[#This Row],[OverStock]]*Table2[[#This Row],[RepCost]]</f>
        <v>624.87810000000002</v>
      </c>
      <c r="O1910" s="25">
        <v>45785.349305555559</v>
      </c>
      <c r="P1910" s="26" t="s">
        <v>2457</v>
      </c>
    </row>
    <row r="1911" spans="1:16" x14ac:dyDescent="0.25">
      <c r="A1911" s="20" t="s">
        <v>5211</v>
      </c>
      <c r="B1911" s="21">
        <v>634</v>
      </c>
      <c r="C1911" s="22" t="s">
        <v>143</v>
      </c>
      <c r="D1911" s="22" t="s">
        <v>193</v>
      </c>
      <c r="E1911" s="22" t="str">
        <f>CONCATENATE(B1911,D1911)</f>
        <v>63472318-110</v>
      </c>
      <c r="F1911" s="22" t="s">
        <v>194</v>
      </c>
      <c r="G1911" s="22" t="s">
        <v>29</v>
      </c>
      <c r="H1911" s="23">
        <v>50.348500000000001</v>
      </c>
      <c r="I1911" s="24">
        <v>6</v>
      </c>
      <c r="J1911" s="24">
        <v>0</v>
      </c>
      <c r="K1911" s="24">
        <v>0</v>
      </c>
      <c r="L1911" s="41">
        <f>Table2[[#This Row],[Column1]]+Table2[[#This Row],[Column2]]</f>
        <v>0</v>
      </c>
      <c r="M1911" s="42">
        <f>Table2[[#This Row],[OnHandQty]]-Table2[[#This Row],[Projection Nov/Dec]]</f>
        <v>6</v>
      </c>
      <c r="N1911" s="35">
        <f>Table2[[#This Row],[OverStock]]*Table2[[#This Row],[RepCost]]</f>
        <v>302.09100000000001</v>
      </c>
      <c r="O1911" s="25">
        <v>45812.515972222223</v>
      </c>
      <c r="P1911" s="26" t="s">
        <v>195</v>
      </c>
    </row>
    <row r="1912" spans="1:16" x14ac:dyDescent="0.25">
      <c r="A1912" s="20" t="s">
        <v>5211</v>
      </c>
      <c r="B1912" s="21">
        <v>714</v>
      </c>
      <c r="C1912" s="22" t="s">
        <v>143</v>
      </c>
      <c r="D1912" s="22" t="s">
        <v>193</v>
      </c>
      <c r="E1912" s="22" t="str">
        <f>CONCATENATE(B1912,D1912)</f>
        <v>71472318-110</v>
      </c>
      <c r="F1912" s="22" t="s">
        <v>194</v>
      </c>
      <c r="G1912" s="22" t="s">
        <v>112</v>
      </c>
      <c r="H1912" s="23">
        <v>50.314</v>
      </c>
      <c r="I1912" s="24">
        <v>12</v>
      </c>
      <c r="J1912" s="24">
        <v>0</v>
      </c>
      <c r="K1912" s="24">
        <v>0</v>
      </c>
      <c r="L1912" s="41">
        <f>Table2[[#This Row],[Column1]]+Table2[[#This Row],[Column2]]</f>
        <v>0</v>
      </c>
      <c r="M1912" s="42">
        <f>Table2[[#This Row],[OnHandQty]]-Table2[[#This Row],[Projection Nov/Dec]]</f>
        <v>12</v>
      </c>
      <c r="N1912" s="35">
        <f>Table2[[#This Row],[OverStock]]*Table2[[#This Row],[RepCost]]</f>
        <v>603.76800000000003</v>
      </c>
      <c r="O1912" s="25">
        <v>46171.535416666666</v>
      </c>
      <c r="P1912" s="26" t="s">
        <v>195</v>
      </c>
    </row>
    <row r="1913" spans="1:16" x14ac:dyDescent="0.25">
      <c r="A1913" s="20" t="s">
        <v>5211</v>
      </c>
      <c r="B1913" s="21">
        <v>636</v>
      </c>
      <c r="C1913" s="22" t="s">
        <v>143</v>
      </c>
      <c r="D1913" s="22" t="s">
        <v>193</v>
      </c>
      <c r="E1913" s="22" t="str">
        <f>CONCATENATE(B1913,D1913)</f>
        <v>63672318-110</v>
      </c>
      <c r="F1913" s="22" t="s">
        <v>194</v>
      </c>
      <c r="G1913" s="22" t="s">
        <v>23</v>
      </c>
      <c r="H1913" s="23">
        <v>50.964100000000002</v>
      </c>
      <c r="I1913" s="24">
        <v>16</v>
      </c>
      <c r="J1913" s="24">
        <v>0</v>
      </c>
      <c r="K1913" s="24">
        <v>0</v>
      </c>
      <c r="L1913" s="41">
        <f>Table2[[#This Row],[Column1]]+Table2[[#This Row],[Column2]]</f>
        <v>0</v>
      </c>
      <c r="M1913" s="42">
        <f>Table2[[#This Row],[OnHandQty]]-Table2[[#This Row],[Projection Nov/Dec]]</f>
        <v>16</v>
      </c>
      <c r="N1913" s="35">
        <f>Table2[[#This Row],[OverStock]]*Table2[[#This Row],[RepCost]]</f>
        <v>815.42560000000003</v>
      </c>
      <c r="O1913" s="25">
        <v>46198.460416666669</v>
      </c>
      <c r="P1913" s="26" t="s">
        <v>195</v>
      </c>
    </row>
    <row r="1914" spans="1:16" x14ac:dyDescent="0.25">
      <c r="A1914" s="20" t="s">
        <v>5211</v>
      </c>
      <c r="B1914" s="21">
        <v>714</v>
      </c>
      <c r="C1914" s="22" t="s">
        <v>143</v>
      </c>
      <c r="D1914" s="22" t="s">
        <v>196</v>
      </c>
      <c r="E1914" s="22" t="str">
        <f>CONCATENATE(B1914,D1914)</f>
        <v>71472318-103</v>
      </c>
      <c r="F1914" s="22" t="s">
        <v>197</v>
      </c>
      <c r="G1914" s="22" t="s">
        <v>112</v>
      </c>
      <c r="H1914" s="23">
        <v>16.6387</v>
      </c>
      <c r="I1914" s="24">
        <v>40</v>
      </c>
      <c r="J1914" s="24">
        <v>7</v>
      </c>
      <c r="K1914" s="24">
        <v>0</v>
      </c>
      <c r="L1914" s="41">
        <f>Table2[[#This Row],[Column1]]+Table2[[#This Row],[Column2]]</f>
        <v>7</v>
      </c>
      <c r="M1914" s="42">
        <f>Table2[[#This Row],[OnHandQty]]-Table2[[#This Row],[Projection Nov/Dec]]</f>
        <v>33</v>
      </c>
      <c r="N1914" s="35">
        <f>Table2[[#This Row],[OverStock]]*Table2[[#This Row],[RepCost]]</f>
        <v>549.07709999999997</v>
      </c>
      <c r="O1914" s="25">
        <v>46188.35</v>
      </c>
      <c r="P1914" s="26" t="s">
        <v>26</v>
      </c>
    </row>
    <row r="1915" spans="1:16" x14ac:dyDescent="0.25">
      <c r="A1915" s="20" t="s">
        <v>5211</v>
      </c>
      <c r="B1915" s="21">
        <v>634</v>
      </c>
      <c r="C1915" s="22" t="s">
        <v>143</v>
      </c>
      <c r="D1915" s="22" t="s">
        <v>196</v>
      </c>
      <c r="E1915" s="22" t="str">
        <f>CONCATENATE(B1915,D1915)</f>
        <v>63472318-103</v>
      </c>
      <c r="F1915" s="22" t="s">
        <v>197</v>
      </c>
      <c r="G1915" s="22" t="s">
        <v>23</v>
      </c>
      <c r="H1915" s="23">
        <v>18.7728</v>
      </c>
      <c r="I1915" s="24">
        <v>31</v>
      </c>
      <c r="J1915" s="24">
        <v>7</v>
      </c>
      <c r="K1915" s="24">
        <v>0</v>
      </c>
      <c r="L1915" s="41">
        <f>Table2[[#This Row],[Column1]]+Table2[[#This Row],[Column2]]</f>
        <v>7</v>
      </c>
      <c r="M1915" s="42">
        <f>Table2[[#This Row],[OnHandQty]]-Table2[[#This Row],[Projection Nov/Dec]]</f>
        <v>24</v>
      </c>
      <c r="N1915" s="35">
        <f>Table2[[#This Row],[OverStock]]*Table2[[#This Row],[RepCost]]</f>
        <v>450.54719999999998</v>
      </c>
      <c r="O1915" s="25">
        <v>46192.486111111109</v>
      </c>
      <c r="P1915" s="26" t="s">
        <v>26</v>
      </c>
    </row>
    <row r="1916" spans="1:16" x14ac:dyDescent="0.25">
      <c r="A1916" s="20" t="s">
        <v>5211</v>
      </c>
      <c r="B1916" s="21">
        <v>714</v>
      </c>
      <c r="C1916" s="22" t="s">
        <v>143</v>
      </c>
      <c r="D1916" s="22" t="s">
        <v>2756</v>
      </c>
      <c r="E1916" s="22" t="str">
        <f>CONCATENATE(B1916,D1916)</f>
        <v>71472318-107</v>
      </c>
      <c r="F1916" s="22" t="s">
        <v>2757</v>
      </c>
      <c r="G1916" s="22" t="s">
        <v>39</v>
      </c>
      <c r="H1916" s="23">
        <v>24.977799999999998</v>
      </c>
      <c r="I1916" s="24">
        <v>17</v>
      </c>
      <c r="J1916" s="24">
        <v>0</v>
      </c>
      <c r="K1916" s="24">
        <v>0</v>
      </c>
      <c r="L1916" s="41">
        <f>Table2[[#This Row],[Column1]]+Table2[[#This Row],[Column2]]</f>
        <v>0</v>
      </c>
      <c r="M1916" s="42">
        <f>Table2[[#This Row],[OnHandQty]]-Table2[[#This Row],[Projection Nov/Dec]]</f>
        <v>17</v>
      </c>
      <c r="N1916" s="35">
        <f>Table2[[#This Row],[OverStock]]*Table2[[#This Row],[RepCost]]</f>
        <v>424.62259999999998</v>
      </c>
      <c r="O1916" s="25">
        <v>46188.35</v>
      </c>
      <c r="P1916" s="26" t="s">
        <v>26</v>
      </c>
    </row>
    <row r="1917" spans="1:16" x14ac:dyDescent="0.25">
      <c r="A1917" s="20" t="s">
        <v>5211</v>
      </c>
      <c r="B1917" s="21">
        <v>714</v>
      </c>
      <c r="C1917" s="22" t="s">
        <v>143</v>
      </c>
      <c r="D1917" s="22" t="s">
        <v>2626</v>
      </c>
      <c r="E1917" s="22" t="str">
        <f>CONCATENATE(B1917,D1917)</f>
        <v>71472318-STD110</v>
      </c>
      <c r="F1917" s="22" t="s">
        <v>2627</v>
      </c>
      <c r="G1917" s="22" t="s">
        <v>23</v>
      </c>
      <c r="H1917" s="23">
        <v>106.8674</v>
      </c>
      <c r="I1917" s="24">
        <v>4</v>
      </c>
      <c r="J1917" s="24">
        <v>0</v>
      </c>
      <c r="K1917" s="24">
        <v>0</v>
      </c>
      <c r="L1917" s="41">
        <f>Table2[[#This Row],[Column1]]+Table2[[#This Row],[Column2]]</f>
        <v>0</v>
      </c>
      <c r="M1917" s="42">
        <f>Table2[[#This Row],[OnHandQty]]-Table2[[#This Row],[Projection Nov/Dec]]</f>
        <v>4</v>
      </c>
      <c r="N1917" s="35">
        <f>Table2[[#This Row],[OverStock]]*Table2[[#This Row],[RepCost]]</f>
        <v>427.46960000000001</v>
      </c>
      <c r="O1917" s="25">
        <v>46154.438194444447</v>
      </c>
      <c r="P1917" s="26" t="s">
        <v>1535</v>
      </c>
    </row>
    <row r="1918" spans="1:16" x14ac:dyDescent="0.25">
      <c r="A1918" s="20" t="s">
        <v>5211</v>
      </c>
      <c r="B1918" s="21">
        <v>714</v>
      </c>
      <c r="C1918" s="22" t="s">
        <v>143</v>
      </c>
      <c r="D1918" s="22" t="s">
        <v>2451</v>
      </c>
      <c r="E1918" s="22" t="str">
        <f>CONCATENATE(B1918,D1918)</f>
        <v>71472318-STD120</v>
      </c>
      <c r="F1918" s="22" t="s">
        <v>2452</v>
      </c>
      <c r="G1918" s="22" t="s">
        <v>29</v>
      </c>
      <c r="H1918" s="23">
        <v>89.989199999999997</v>
      </c>
      <c r="I1918" s="24">
        <v>4</v>
      </c>
      <c r="J1918" s="24">
        <v>0</v>
      </c>
      <c r="K1918" s="24">
        <v>0</v>
      </c>
      <c r="L1918" s="41">
        <f>Table2[[#This Row],[Column1]]+Table2[[#This Row],[Column2]]</f>
        <v>0</v>
      </c>
      <c r="M1918" s="42">
        <f>Table2[[#This Row],[OnHandQty]]-Table2[[#This Row],[Projection Nov/Dec]]</f>
        <v>4</v>
      </c>
      <c r="N1918" s="35">
        <f>Table2[[#This Row],[OverStock]]*Table2[[#This Row],[RepCost]]</f>
        <v>359.95679999999999</v>
      </c>
      <c r="O1918" s="25">
        <v>45783.498611111114</v>
      </c>
      <c r="P1918" s="26" t="s">
        <v>26</v>
      </c>
    </row>
    <row r="1919" spans="1:16" x14ac:dyDescent="0.25">
      <c r="A1919" s="20" t="s">
        <v>5211</v>
      </c>
      <c r="B1919" s="21">
        <v>634</v>
      </c>
      <c r="C1919" s="22" t="s">
        <v>143</v>
      </c>
      <c r="D1919" s="22" t="s">
        <v>317</v>
      </c>
      <c r="E1919" s="22" t="str">
        <f>CONCATENATE(B1919,D1919)</f>
        <v>63472318-STD308</v>
      </c>
      <c r="F1919" s="27" t="s">
        <v>318</v>
      </c>
      <c r="G1919" s="27" t="s">
        <v>58</v>
      </c>
      <c r="H1919" s="23">
        <v>324.40379999999999</v>
      </c>
      <c r="I1919" s="24">
        <v>1</v>
      </c>
      <c r="J1919" s="24">
        <v>0</v>
      </c>
      <c r="K1919" s="24">
        <v>0</v>
      </c>
      <c r="L1919" s="41">
        <f>Table2[[#This Row],[Column1]]+Table2[[#This Row],[Column2]]</f>
        <v>0</v>
      </c>
      <c r="M1919" s="42">
        <f>Table2[[#This Row],[OnHandQty]]-Table2[[#This Row],[Projection Nov/Dec]]</f>
        <v>1</v>
      </c>
      <c r="N1919" s="35">
        <f>Table2[[#This Row],[OverStock]]*Table2[[#This Row],[RepCost]]</f>
        <v>324.40379999999999</v>
      </c>
      <c r="O1919" s="25">
        <v>45372.486805555556</v>
      </c>
      <c r="P1919" s="26" t="s">
        <v>178</v>
      </c>
    </row>
    <row r="1920" spans="1:16" x14ac:dyDescent="0.25">
      <c r="A1920" s="20" t="s">
        <v>5211</v>
      </c>
      <c r="B1920" s="21">
        <v>636</v>
      </c>
      <c r="C1920" s="22" t="s">
        <v>126</v>
      </c>
      <c r="D1920" s="22" t="s">
        <v>133</v>
      </c>
      <c r="E1920" s="22" t="str">
        <f>CONCATENATE(B1920,D1920)</f>
        <v>63686243-PF4PFO</v>
      </c>
      <c r="F1920" s="22" t="s">
        <v>134</v>
      </c>
      <c r="G1920" s="22" t="s">
        <v>39</v>
      </c>
      <c r="H1920" s="23">
        <v>6.9713000000000003</v>
      </c>
      <c r="I1920" s="24">
        <v>25</v>
      </c>
      <c r="J1920" s="24">
        <v>0</v>
      </c>
      <c r="K1920" s="24">
        <v>0</v>
      </c>
      <c r="L1920" s="41">
        <f>Table2[[#This Row],[Column1]]+Table2[[#This Row],[Column2]]</f>
        <v>0</v>
      </c>
      <c r="M1920" s="42">
        <f>Table2[[#This Row],[OnHandQty]]-Table2[[#This Row],[Projection Nov/Dec]]</f>
        <v>25</v>
      </c>
      <c r="N1920" s="35">
        <f>Table2[[#This Row],[OverStock]]*Table2[[#This Row],[RepCost]]</f>
        <v>174.2825</v>
      </c>
      <c r="O1920" s="25">
        <v>46164.400694444441</v>
      </c>
      <c r="P1920" s="26" t="s">
        <v>16</v>
      </c>
    </row>
    <row r="1921" spans="1:16" x14ac:dyDescent="0.25">
      <c r="A1921" s="20" t="s">
        <v>5211</v>
      </c>
      <c r="B1921" s="21">
        <v>634</v>
      </c>
      <c r="C1921" s="22" t="s">
        <v>126</v>
      </c>
      <c r="D1921" s="22" t="s">
        <v>133</v>
      </c>
      <c r="E1921" s="22" t="str">
        <f>CONCATENATE(B1921,D1921)</f>
        <v>63486243-PF4PFO</v>
      </c>
      <c r="F1921" s="22" t="s">
        <v>134</v>
      </c>
      <c r="G1921" s="22" t="s">
        <v>39</v>
      </c>
      <c r="H1921" s="23">
        <v>6.7601000000000004</v>
      </c>
      <c r="I1921" s="24">
        <v>3</v>
      </c>
      <c r="J1921" s="24">
        <v>0</v>
      </c>
      <c r="K1921" s="24">
        <v>0</v>
      </c>
      <c r="L1921" s="41">
        <f>Table2[[#This Row],[Column1]]+Table2[[#This Row],[Column2]]</f>
        <v>0</v>
      </c>
      <c r="M1921" s="42">
        <f>Table2[[#This Row],[OnHandQty]]-Table2[[#This Row],[Projection Nov/Dec]]</f>
        <v>3</v>
      </c>
      <c r="N1921" s="35">
        <f>Table2[[#This Row],[OverStock]]*Table2[[#This Row],[RepCost]]</f>
        <v>20.2803</v>
      </c>
      <c r="O1921" s="25">
        <v>46177.4</v>
      </c>
      <c r="P1921" s="26" t="s">
        <v>16</v>
      </c>
    </row>
    <row r="1922" spans="1:16" x14ac:dyDescent="0.25">
      <c r="A1922" s="20" t="s">
        <v>5211</v>
      </c>
      <c r="B1922" s="21">
        <v>714</v>
      </c>
      <c r="C1922" s="22" t="s">
        <v>126</v>
      </c>
      <c r="D1922" s="22" t="s">
        <v>133</v>
      </c>
      <c r="E1922" s="22" t="str">
        <f>CONCATENATE(B1922,D1922)</f>
        <v>71486243-PF4PFO</v>
      </c>
      <c r="F1922" s="22" t="s">
        <v>134</v>
      </c>
      <c r="G1922" s="22" t="s">
        <v>39</v>
      </c>
      <c r="H1922" s="23">
        <v>6.9736000000000002</v>
      </c>
      <c r="I1922" s="24">
        <v>7</v>
      </c>
      <c r="J1922" s="24">
        <v>0</v>
      </c>
      <c r="K1922" s="24">
        <v>0</v>
      </c>
      <c r="L1922" s="41">
        <f>Table2[[#This Row],[Column1]]+Table2[[#This Row],[Column2]]</f>
        <v>0</v>
      </c>
      <c r="M1922" s="42">
        <f>Table2[[#This Row],[OnHandQty]]-Table2[[#This Row],[Projection Nov/Dec]]</f>
        <v>7</v>
      </c>
      <c r="N1922" s="35">
        <f>Table2[[#This Row],[OverStock]]*Table2[[#This Row],[RepCost]]</f>
        <v>48.815200000000004</v>
      </c>
      <c r="O1922" s="25">
        <v>46218.660416666666</v>
      </c>
      <c r="P1922" s="26" t="s">
        <v>16</v>
      </c>
    </row>
    <row r="1923" spans="1:16" x14ac:dyDescent="0.25">
      <c r="A1923" s="20" t="s">
        <v>5211</v>
      </c>
      <c r="B1923" s="21">
        <v>714</v>
      </c>
      <c r="C1923" s="22" t="s">
        <v>70</v>
      </c>
      <c r="D1923" s="22" t="s">
        <v>2083</v>
      </c>
      <c r="E1923" s="22" t="str">
        <f>CONCATENATE(B1923,D1923)</f>
        <v>71486243-101</v>
      </c>
      <c r="F1923" s="22" t="s">
        <v>2084</v>
      </c>
      <c r="G1923" s="22" t="s">
        <v>39</v>
      </c>
      <c r="H1923" s="23">
        <v>8.4338999999999995</v>
      </c>
      <c r="I1923" s="24">
        <v>12</v>
      </c>
      <c r="J1923" s="24">
        <v>0</v>
      </c>
      <c r="K1923" s="24">
        <v>0</v>
      </c>
      <c r="L1923" s="41">
        <f>Table2[[#This Row],[Column1]]+Table2[[#This Row],[Column2]]</f>
        <v>0</v>
      </c>
      <c r="M1923" s="42">
        <f>Table2[[#This Row],[OnHandQty]]-Table2[[#This Row],[Projection Nov/Dec]]</f>
        <v>12</v>
      </c>
      <c r="N1923" s="35">
        <f>Table2[[#This Row],[OverStock]]*Table2[[#This Row],[RepCost]]</f>
        <v>101.20679999999999</v>
      </c>
      <c r="O1923" s="25">
        <v>46239.576388888891</v>
      </c>
      <c r="P1923" s="26" t="s">
        <v>573</v>
      </c>
    </row>
    <row r="1924" spans="1:16" x14ac:dyDescent="0.25">
      <c r="A1924" s="20" t="s">
        <v>5211</v>
      </c>
      <c r="B1924" s="21">
        <v>718</v>
      </c>
      <c r="C1924" s="22" t="s">
        <v>70</v>
      </c>
      <c r="D1924" s="22" t="s">
        <v>3643</v>
      </c>
      <c r="E1924" s="22" t="str">
        <f>CONCATENATE(B1924,D1924)</f>
        <v>71886422-101</v>
      </c>
      <c r="F1924" s="22" t="s">
        <v>3644</v>
      </c>
      <c r="G1924" s="22" t="s">
        <v>39</v>
      </c>
      <c r="H1924" s="23">
        <v>7.7781000000000002</v>
      </c>
      <c r="I1924" s="24">
        <v>1</v>
      </c>
      <c r="J1924" s="24">
        <v>0</v>
      </c>
      <c r="K1924" s="24">
        <v>0</v>
      </c>
      <c r="L1924" s="41">
        <f>Table2[[#This Row],[Column1]]+Table2[[#This Row],[Column2]]</f>
        <v>0</v>
      </c>
      <c r="M1924" s="42">
        <f>Table2[[#This Row],[OnHandQty]]-Table2[[#This Row],[Projection Nov/Dec]]</f>
        <v>1</v>
      </c>
      <c r="N1924" s="35">
        <f>Table2[[#This Row],[OverStock]]*Table2[[#This Row],[RepCost]]</f>
        <v>7.7781000000000002</v>
      </c>
      <c r="O1924" s="25">
        <v>46232.6</v>
      </c>
      <c r="P1924" s="26" t="s">
        <v>573</v>
      </c>
    </row>
    <row r="1925" spans="1:16" x14ac:dyDescent="0.25">
      <c r="A1925" s="20" t="s">
        <v>5211</v>
      </c>
      <c r="B1925" s="21">
        <v>636</v>
      </c>
      <c r="C1925" s="22" t="s">
        <v>70</v>
      </c>
      <c r="D1925" s="22" t="s">
        <v>826</v>
      </c>
      <c r="E1925" s="22" t="str">
        <f>CONCATENATE(B1925,D1925)</f>
        <v>63693931-101</v>
      </c>
      <c r="F1925" s="22" t="s">
        <v>827</v>
      </c>
      <c r="G1925" s="22" t="s">
        <v>39</v>
      </c>
      <c r="H1925" s="23">
        <v>6.2291999999999996</v>
      </c>
      <c r="I1925" s="24">
        <v>6</v>
      </c>
      <c r="J1925" s="24">
        <v>0</v>
      </c>
      <c r="K1925" s="24">
        <v>0</v>
      </c>
      <c r="L1925" s="41">
        <f>Table2[[#This Row],[Column1]]+Table2[[#This Row],[Column2]]</f>
        <v>0</v>
      </c>
      <c r="M1925" s="42">
        <f>Table2[[#This Row],[OnHandQty]]-Table2[[#This Row],[Projection Nov/Dec]]</f>
        <v>6</v>
      </c>
      <c r="N1925" s="35">
        <f>Table2[[#This Row],[OverStock]]*Table2[[#This Row],[RepCost]]</f>
        <v>37.3752</v>
      </c>
      <c r="O1925" s="25">
        <v>46225.4</v>
      </c>
      <c r="P1925" s="26" t="s">
        <v>16</v>
      </c>
    </row>
    <row r="1926" spans="1:16" x14ac:dyDescent="0.25">
      <c r="A1926" s="20" t="s">
        <v>5211</v>
      </c>
      <c r="B1926" s="21">
        <v>636</v>
      </c>
      <c r="C1926" s="22" t="s">
        <v>70</v>
      </c>
      <c r="D1926" s="22" t="s">
        <v>735</v>
      </c>
      <c r="E1926" s="22" t="str">
        <f>CONCATENATE(B1926,D1926)</f>
        <v>63684792-101</v>
      </c>
      <c r="F1926" s="22" t="s">
        <v>736</v>
      </c>
      <c r="G1926" s="22" t="s">
        <v>39</v>
      </c>
      <c r="H1926" s="23">
        <v>5.8784999999999998</v>
      </c>
      <c r="I1926" s="24">
        <v>10</v>
      </c>
      <c r="J1926" s="24">
        <v>0</v>
      </c>
      <c r="K1926" s="24">
        <v>0</v>
      </c>
      <c r="L1926" s="41">
        <f>Table2[[#This Row],[Column1]]+Table2[[#This Row],[Column2]]</f>
        <v>0</v>
      </c>
      <c r="M1926" s="42">
        <f>Table2[[#This Row],[OnHandQty]]-Table2[[#This Row],[Projection Nov/Dec]]</f>
        <v>10</v>
      </c>
      <c r="N1926" s="35">
        <f>Table2[[#This Row],[OverStock]]*Table2[[#This Row],[RepCost]]</f>
        <v>58.784999999999997</v>
      </c>
      <c r="O1926" s="25">
        <v>46184.540277777778</v>
      </c>
      <c r="P1926" s="26" t="s">
        <v>16</v>
      </c>
    </row>
    <row r="1927" spans="1:16" x14ac:dyDescent="0.25">
      <c r="A1927" s="20" t="s">
        <v>5211</v>
      </c>
      <c r="B1927" s="21">
        <v>636</v>
      </c>
      <c r="C1927" s="22" t="s">
        <v>70</v>
      </c>
      <c r="D1927" s="22" t="s">
        <v>694</v>
      </c>
      <c r="E1927" s="22" t="str">
        <f>CONCATENATE(B1927,D1927)</f>
        <v>63672392-102</v>
      </c>
      <c r="F1927" s="22" t="s">
        <v>695</v>
      </c>
      <c r="G1927" s="22" t="s">
        <v>112</v>
      </c>
      <c r="H1927" s="23">
        <v>7.0887000000000002</v>
      </c>
      <c r="I1927" s="24">
        <v>17</v>
      </c>
      <c r="J1927" s="24">
        <v>0</v>
      </c>
      <c r="K1927" s="24">
        <v>0</v>
      </c>
      <c r="L1927" s="41">
        <f>Table2[[#This Row],[Column1]]+Table2[[#This Row],[Column2]]</f>
        <v>0</v>
      </c>
      <c r="M1927" s="42">
        <f>Table2[[#This Row],[OnHandQty]]-Table2[[#This Row],[Projection Nov/Dec]]</f>
        <v>17</v>
      </c>
      <c r="N1927" s="35">
        <f>Table2[[#This Row],[OverStock]]*Table2[[#This Row],[RepCost]]</f>
        <v>120.50790000000001</v>
      </c>
      <c r="O1927" s="25">
        <v>46205.582638888889</v>
      </c>
      <c r="P1927" s="26" t="s">
        <v>26</v>
      </c>
    </row>
    <row r="1928" spans="1:16" x14ac:dyDescent="0.25">
      <c r="A1928" s="20" t="s">
        <v>5211</v>
      </c>
      <c r="B1928" s="21">
        <v>636</v>
      </c>
      <c r="C1928" s="22" t="s">
        <v>70</v>
      </c>
      <c r="D1928" s="22" t="s">
        <v>721</v>
      </c>
      <c r="E1928" s="22" t="str">
        <f>CONCATENATE(B1928,D1928)</f>
        <v>63672407-101</v>
      </c>
      <c r="F1928" s="22" t="s">
        <v>722</v>
      </c>
      <c r="G1928" s="22" t="s">
        <v>43</v>
      </c>
      <c r="H1928" s="23">
        <v>6.6315</v>
      </c>
      <c r="I1928" s="24">
        <v>2</v>
      </c>
      <c r="J1928" s="24">
        <v>0</v>
      </c>
      <c r="K1928" s="24">
        <v>0</v>
      </c>
      <c r="L1928" s="41">
        <f>Table2[[#This Row],[Column1]]+Table2[[#This Row],[Column2]]</f>
        <v>0</v>
      </c>
      <c r="M1928" s="42">
        <f>Table2[[#This Row],[OnHandQty]]-Table2[[#This Row],[Projection Nov/Dec]]</f>
        <v>2</v>
      </c>
      <c r="N1928" s="35">
        <f>Table2[[#This Row],[OverStock]]*Table2[[#This Row],[RepCost]]</f>
        <v>13.263</v>
      </c>
      <c r="O1928" s="25">
        <v>46177.337500000001</v>
      </c>
      <c r="P1928" s="26" t="s">
        <v>542</v>
      </c>
    </row>
    <row r="1929" spans="1:16" x14ac:dyDescent="0.25">
      <c r="A1929" s="20" t="s">
        <v>5211</v>
      </c>
      <c r="B1929" s="21">
        <v>714</v>
      </c>
      <c r="C1929" s="22" t="s">
        <v>70</v>
      </c>
      <c r="D1929" s="22" t="s">
        <v>1968</v>
      </c>
      <c r="E1929" s="22" t="str">
        <f>CONCATENATE(B1929,D1929)</f>
        <v>71472407-SP5</v>
      </c>
      <c r="F1929" s="22" t="s">
        <v>1969</v>
      </c>
      <c r="G1929" s="22" t="s">
        <v>112</v>
      </c>
      <c r="H1929" s="23">
        <v>2.9106000000000001</v>
      </c>
      <c r="I1929" s="24">
        <v>42</v>
      </c>
      <c r="J1929" s="24">
        <v>0</v>
      </c>
      <c r="K1929" s="24">
        <v>0</v>
      </c>
      <c r="L1929" s="41">
        <f>Table2[[#This Row],[Column1]]+Table2[[#This Row],[Column2]]</f>
        <v>0</v>
      </c>
      <c r="M1929" s="42">
        <f>Table2[[#This Row],[OnHandQty]]-Table2[[#This Row],[Projection Nov/Dec]]</f>
        <v>42</v>
      </c>
      <c r="N1929" s="35">
        <f>Table2[[#This Row],[OverStock]]*Table2[[#This Row],[RepCost]]</f>
        <v>122.2452</v>
      </c>
      <c r="O1929" s="25">
        <v>46197.400694444441</v>
      </c>
      <c r="P1929" s="26" t="s">
        <v>506</v>
      </c>
    </row>
    <row r="1930" spans="1:16" x14ac:dyDescent="0.25">
      <c r="A1930" s="20" t="s">
        <v>5211</v>
      </c>
      <c r="B1930" s="21">
        <v>714</v>
      </c>
      <c r="C1930" s="22" t="s">
        <v>70</v>
      </c>
      <c r="D1930" s="22" t="s">
        <v>1968</v>
      </c>
      <c r="E1930" s="22" t="str">
        <f>CONCATENATE(B1930,D1930)</f>
        <v>71472407-SP5</v>
      </c>
      <c r="F1930" s="22" t="s">
        <v>1969</v>
      </c>
      <c r="G1930" s="22" t="s">
        <v>112</v>
      </c>
      <c r="H1930" s="23">
        <v>2.9106000000000001</v>
      </c>
      <c r="I1930" s="24">
        <v>42</v>
      </c>
      <c r="J1930" s="24">
        <v>0</v>
      </c>
      <c r="K1930" s="24">
        <v>0</v>
      </c>
      <c r="L1930" s="41">
        <f>Table2[[#This Row],[Column1]]+Table2[[#This Row],[Column2]]</f>
        <v>0</v>
      </c>
      <c r="M1930" s="42">
        <f>Table2[[#This Row],[OnHandQty]]-Table2[[#This Row],[Projection Nov/Dec]]</f>
        <v>42</v>
      </c>
      <c r="N1930" s="35">
        <f>Table2[[#This Row],[OverStock]]*Table2[[#This Row],[RepCost]]</f>
        <v>122.2452</v>
      </c>
      <c r="O1930" s="25">
        <v>46197.400694444441</v>
      </c>
      <c r="P1930" s="26" t="s">
        <v>506</v>
      </c>
    </row>
    <row r="1931" spans="1:16" x14ac:dyDescent="0.25">
      <c r="A1931" s="20" t="s">
        <v>5211</v>
      </c>
      <c r="B1931" s="21">
        <v>714</v>
      </c>
      <c r="C1931" s="22" t="s">
        <v>70</v>
      </c>
      <c r="D1931" s="22" t="s">
        <v>1968</v>
      </c>
      <c r="E1931" s="22" t="str">
        <f>CONCATENATE(B1931,D1931)</f>
        <v>71472407-SP5</v>
      </c>
      <c r="F1931" s="22" t="s">
        <v>1969</v>
      </c>
      <c r="G1931" s="22" t="s">
        <v>112</v>
      </c>
      <c r="H1931" s="23">
        <v>2.9106000000000001</v>
      </c>
      <c r="I1931" s="24">
        <v>42</v>
      </c>
      <c r="J1931" s="24">
        <v>0</v>
      </c>
      <c r="K1931" s="24">
        <v>0</v>
      </c>
      <c r="L1931" s="41">
        <f>Table2[[#This Row],[Column1]]+Table2[[#This Row],[Column2]]</f>
        <v>0</v>
      </c>
      <c r="M1931" s="42">
        <f>Table2[[#This Row],[OnHandQty]]-Table2[[#This Row],[Projection Nov/Dec]]</f>
        <v>42</v>
      </c>
      <c r="N1931" s="35">
        <f>Table2[[#This Row],[OverStock]]*Table2[[#This Row],[RepCost]]</f>
        <v>122.2452</v>
      </c>
      <c r="O1931" s="25">
        <v>46197.400694444441</v>
      </c>
      <c r="P1931" s="26" t="s">
        <v>506</v>
      </c>
    </row>
    <row r="1932" spans="1:16" x14ac:dyDescent="0.25">
      <c r="A1932" s="20" t="s">
        <v>5211</v>
      </c>
      <c r="B1932" s="21">
        <v>714</v>
      </c>
      <c r="C1932" s="22" t="s">
        <v>70</v>
      </c>
      <c r="D1932" s="22" t="s">
        <v>1968</v>
      </c>
      <c r="E1932" s="22" t="str">
        <f>CONCATENATE(B1932,D1932)</f>
        <v>71472407-SP5</v>
      </c>
      <c r="F1932" s="22" t="s">
        <v>1969</v>
      </c>
      <c r="G1932" s="22" t="s">
        <v>112</v>
      </c>
      <c r="H1932" s="23">
        <v>2.9106000000000001</v>
      </c>
      <c r="I1932" s="24">
        <v>42</v>
      </c>
      <c r="J1932" s="24">
        <v>0</v>
      </c>
      <c r="K1932" s="24">
        <v>0</v>
      </c>
      <c r="L1932" s="41">
        <f>Table2[[#This Row],[Column1]]+Table2[[#This Row],[Column2]]</f>
        <v>0</v>
      </c>
      <c r="M1932" s="42">
        <f>Table2[[#This Row],[OnHandQty]]-Table2[[#This Row],[Projection Nov/Dec]]</f>
        <v>42</v>
      </c>
      <c r="N1932" s="35">
        <f>Table2[[#This Row],[OverStock]]*Table2[[#This Row],[RepCost]]</f>
        <v>122.2452</v>
      </c>
      <c r="O1932" s="25">
        <v>46197.400694444441</v>
      </c>
      <c r="P1932" s="26" t="s">
        <v>506</v>
      </c>
    </row>
    <row r="1933" spans="1:16" x14ac:dyDescent="0.25">
      <c r="A1933" s="20" t="s">
        <v>5211</v>
      </c>
      <c r="B1933" s="21">
        <v>714</v>
      </c>
      <c r="C1933" s="22" t="s">
        <v>70</v>
      </c>
      <c r="D1933" s="22" t="s">
        <v>1968</v>
      </c>
      <c r="E1933" s="22" t="str">
        <f>CONCATENATE(B1933,D1933)</f>
        <v>71472407-SP5</v>
      </c>
      <c r="F1933" s="22" t="s">
        <v>1969</v>
      </c>
      <c r="G1933" s="22" t="s">
        <v>112</v>
      </c>
      <c r="H1933" s="23">
        <v>2.9106000000000001</v>
      </c>
      <c r="I1933" s="24">
        <v>42</v>
      </c>
      <c r="J1933" s="24">
        <v>0</v>
      </c>
      <c r="K1933" s="24">
        <v>0</v>
      </c>
      <c r="L1933" s="41">
        <f>Table2[[#This Row],[Column1]]+Table2[[#This Row],[Column2]]</f>
        <v>0</v>
      </c>
      <c r="M1933" s="42">
        <f>Table2[[#This Row],[OnHandQty]]-Table2[[#This Row],[Projection Nov/Dec]]</f>
        <v>42</v>
      </c>
      <c r="N1933" s="35">
        <f>Table2[[#This Row],[OverStock]]*Table2[[#This Row],[RepCost]]</f>
        <v>122.2452</v>
      </c>
      <c r="O1933" s="25">
        <v>46197.400694444441</v>
      </c>
      <c r="P1933" s="26" t="s">
        <v>506</v>
      </c>
    </row>
    <row r="1934" spans="1:16" x14ac:dyDescent="0.25">
      <c r="A1934" s="20" t="s">
        <v>5211</v>
      </c>
      <c r="B1934" s="21">
        <v>634</v>
      </c>
      <c r="C1934" s="22" t="s">
        <v>70</v>
      </c>
      <c r="D1934" s="22" t="s">
        <v>121</v>
      </c>
      <c r="E1934" s="22" t="str">
        <f>CONCATENATE(B1934,D1934)</f>
        <v>63472400-101</v>
      </c>
      <c r="F1934" s="22" t="s">
        <v>122</v>
      </c>
      <c r="G1934" s="22" t="s">
        <v>123</v>
      </c>
      <c r="H1934" s="23">
        <v>6.1688000000000001</v>
      </c>
      <c r="I1934" s="24">
        <v>12</v>
      </c>
      <c r="J1934" s="24">
        <v>0</v>
      </c>
      <c r="K1934" s="24">
        <v>0</v>
      </c>
      <c r="L1934" s="41">
        <f>Table2[[#This Row],[Column1]]+Table2[[#This Row],[Column2]]</f>
        <v>0</v>
      </c>
      <c r="M1934" s="42">
        <f>Table2[[#This Row],[OnHandQty]]-Table2[[#This Row],[Projection Nov/Dec]]</f>
        <v>12</v>
      </c>
      <c r="N1934" s="35">
        <f>Table2[[#This Row],[OverStock]]*Table2[[#This Row],[RepCost]]</f>
        <v>74.025599999999997</v>
      </c>
      <c r="O1934" s="25">
        <v>46217.376388888886</v>
      </c>
      <c r="P1934" s="26" t="s">
        <v>94</v>
      </c>
    </row>
    <row r="1935" spans="1:16" x14ac:dyDescent="0.25">
      <c r="A1935" s="20" t="s">
        <v>5211</v>
      </c>
      <c r="B1935" s="21">
        <v>718</v>
      </c>
      <c r="C1935" s="22" t="s">
        <v>70</v>
      </c>
      <c r="D1935" s="22" t="s">
        <v>121</v>
      </c>
      <c r="E1935" s="22" t="str">
        <f>CONCATENATE(B1935,D1935)</f>
        <v>71872400-101</v>
      </c>
      <c r="F1935" s="22" t="s">
        <v>122</v>
      </c>
      <c r="G1935" s="22" t="s">
        <v>112</v>
      </c>
      <c r="H1935" s="23">
        <v>5.7392000000000003</v>
      </c>
      <c r="I1935" s="24">
        <v>18</v>
      </c>
      <c r="J1935" s="24">
        <v>0</v>
      </c>
      <c r="K1935" s="24">
        <v>0</v>
      </c>
      <c r="L1935" s="41">
        <f>Table2[[#This Row],[Column1]]+Table2[[#This Row],[Column2]]</f>
        <v>0</v>
      </c>
      <c r="M1935" s="42">
        <f>Table2[[#This Row],[OnHandQty]]-Table2[[#This Row],[Projection Nov/Dec]]</f>
        <v>18</v>
      </c>
      <c r="N1935" s="35">
        <f>Table2[[#This Row],[OverStock]]*Table2[[#This Row],[RepCost]]</f>
        <v>103.3056</v>
      </c>
      <c r="O1935" s="25">
        <v>46225.595138888886</v>
      </c>
      <c r="P1935" s="26" t="s">
        <v>40</v>
      </c>
    </row>
    <row r="1936" spans="1:16" x14ac:dyDescent="0.25">
      <c r="A1936" s="20" t="s">
        <v>5211</v>
      </c>
      <c r="B1936" s="21">
        <v>714</v>
      </c>
      <c r="C1936" s="22" t="s">
        <v>70</v>
      </c>
      <c r="D1936" s="22" t="s">
        <v>121</v>
      </c>
      <c r="E1936" s="22" t="str">
        <f>CONCATENATE(B1936,D1936)</f>
        <v>71472400-101</v>
      </c>
      <c r="F1936" s="22" t="s">
        <v>122</v>
      </c>
      <c r="G1936" s="22" t="s">
        <v>112</v>
      </c>
      <c r="H1936" s="23">
        <v>5.56</v>
      </c>
      <c r="I1936" s="24">
        <v>15</v>
      </c>
      <c r="J1936" s="24">
        <v>0</v>
      </c>
      <c r="K1936" s="24">
        <v>0</v>
      </c>
      <c r="L1936" s="41">
        <f>Table2[[#This Row],[Column1]]+Table2[[#This Row],[Column2]]</f>
        <v>0</v>
      </c>
      <c r="M1936" s="42">
        <f>Table2[[#This Row],[OnHandQty]]-Table2[[#This Row],[Projection Nov/Dec]]</f>
        <v>15</v>
      </c>
      <c r="N1936" s="35">
        <f>Table2[[#This Row],[OverStock]]*Table2[[#This Row],[RepCost]]</f>
        <v>83.399999999999991</v>
      </c>
      <c r="O1936" s="25">
        <v>46230.435416666667</v>
      </c>
      <c r="P1936" s="26" t="s">
        <v>40</v>
      </c>
    </row>
    <row r="1937" spans="1:16" x14ac:dyDescent="0.25">
      <c r="A1937" s="20" t="s">
        <v>5211</v>
      </c>
      <c r="B1937" s="21">
        <v>636</v>
      </c>
      <c r="C1937" s="22" t="s">
        <v>70</v>
      </c>
      <c r="D1937" s="22" t="s">
        <v>121</v>
      </c>
      <c r="E1937" s="22" t="str">
        <f>CONCATENATE(B1937,D1937)</f>
        <v>63672400-101</v>
      </c>
      <c r="F1937" s="22" t="s">
        <v>122</v>
      </c>
      <c r="G1937" s="22" t="s">
        <v>112</v>
      </c>
      <c r="H1937" s="23">
        <v>4.9665999999999997</v>
      </c>
      <c r="I1937" s="24">
        <v>46</v>
      </c>
      <c r="J1937" s="24">
        <v>0</v>
      </c>
      <c r="K1937" s="24">
        <v>0</v>
      </c>
      <c r="L1937" s="41">
        <f>Table2[[#This Row],[Column1]]+Table2[[#This Row],[Column2]]</f>
        <v>0</v>
      </c>
      <c r="M1937" s="42">
        <f>Table2[[#This Row],[OnHandQty]]-Table2[[#This Row],[Projection Nov/Dec]]</f>
        <v>46</v>
      </c>
      <c r="N1937" s="35">
        <f>Table2[[#This Row],[OverStock]]*Table2[[#This Row],[RepCost]]</f>
        <v>228.46359999999999</v>
      </c>
      <c r="O1937" s="25">
        <v>46247.311111111114</v>
      </c>
      <c r="P1937" s="26" t="s">
        <v>268</v>
      </c>
    </row>
    <row r="1938" spans="1:16" x14ac:dyDescent="0.25">
      <c r="A1938" s="20" t="s">
        <v>5211</v>
      </c>
      <c r="B1938" s="21">
        <v>636</v>
      </c>
      <c r="C1938" s="22" t="s">
        <v>1749</v>
      </c>
      <c r="D1938" s="22" t="s">
        <v>1764</v>
      </c>
      <c r="E1938" s="22" t="str">
        <f>CONCATENATE(B1938,D1938)</f>
        <v>63695985-004</v>
      </c>
      <c r="F1938" s="22" t="s">
        <v>1765</v>
      </c>
      <c r="G1938" s="22" t="s">
        <v>39</v>
      </c>
      <c r="H1938" s="23">
        <v>6.2419000000000002</v>
      </c>
      <c r="I1938" s="24">
        <v>1</v>
      </c>
      <c r="J1938" s="24">
        <v>0</v>
      </c>
      <c r="K1938" s="24">
        <v>0</v>
      </c>
      <c r="L1938" s="41">
        <f>Table2[[#This Row],[Column1]]+Table2[[#This Row],[Column2]]</f>
        <v>0</v>
      </c>
      <c r="M1938" s="42">
        <f>Table2[[#This Row],[OnHandQty]]-Table2[[#This Row],[Projection Nov/Dec]]</f>
        <v>1</v>
      </c>
      <c r="N1938" s="35">
        <f>Table2[[#This Row],[OverStock]]*Table2[[#This Row],[RepCost]]</f>
        <v>6.2419000000000002</v>
      </c>
      <c r="O1938" s="25">
        <v>46160.318749999999</v>
      </c>
      <c r="P1938" s="26" t="s">
        <v>652</v>
      </c>
    </row>
    <row r="1939" spans="1:16" x14ac:dyDescent="0.25">
      <c r="A1939" s="20" t="s">
        <v>5211</v>
      </c>
      <c r="B1939" s="21">
        <v>636</v>
      </c>
      <c r="C1939" s="22" t="s">
        <v>1749</v>
      </c>
      <c r="D1939" s="22" t="s">
        <v>1778</v>
      </c>
      <c r="E1939" s="22" t="str">
        <f>CONCATENATE(B1939,D1939)</f>
        <v>63672490-0010</v>
      </c>
      <c r="F1939" s="22" t="s">
        <v>1779</v>
      </c>
      <c r="G1939" s="22" t="s">
        <v>112</v>
      </c>
      <c r="H1939" s="23">
        <v>16.6477</v>
      </c>
      <c r="I1939" s="24">
        <v>3</v>
      </c>
      <c r="J1939" s="24">
        <v>0</v>
      </c>
      <c r="K1939" s="24">
        <v>0</v>
      </c>
      <c r="L1939" s="41">
        <f>Table2[[#This Row],[Column1]]+Table2[[#This Row],[Column2]]</f>
        <v>0</v>
      </c>
      <c r="M1939" s="42">
        <f>Table2[[#This Row],[OnHandQty]]-Table2[[#This Row],[Projection Nov/Dec]]</f>
        <v>3</v>
      </c>
      <c r="N1939" s="35">
        <f>Table2[[#This Row],[OverStock]]*Table2[[#This Row],[RepCost]]</f>
        <v>49.943100000000001</v>
      </c>
      <c r="O1939" s="25">
        <v>46146.344444444447</v>
      </c>
      <c r="P1939" s="26" t="s">
        <v>797</v>
      </c>
    </row>
    <row r="1940" spans="1:16" x14ac:dyDescent="0.25">
      <c r="A1940" s="20" t="s">
        <v>5211</v>
      </c>
      <c r="B1940" s="21">
        <v>636</v>
      </c>
      <c r="C1940" s="22" t="s">
        <v>1749</v>
      </c>
      <c r="D1940" s="22" t="s">
        <v>1806</v>
      </c>
      <c r="E1940" s="22" t="str">
        <f>CONCATENATE(B1940,D1940)</f>
        <v>63672490-0014</v>
      </c>
      <c r="F1940" s="22" t="s">
        <v>1807</v>
      </c>
      <c r="G1940" s="22" t="s">
        <v>39</v>
      </c>
      <c r="H1940" s="23">
        <v>35.013500000000001</v>
      </c>
      <c r="I1940" s="24">
        <v>10</v>
      </c>
      <c r="J1940" s="24">
        <v>0</v>
      </c>
      <c r="K1940" s="24">
        <v>0</v>
      </c>
      <c r="L1940" s="41">
        <f>Table2[[#This Row],[Column1]]+Table2[[#This Row],[Column2]]</f>
        <v>0</v>
      </c>
      <c r="M1940" s="42">
        <f>Table2[[#This Row],[OnHandQty]]-Table2[[#This Row],[Projection Nov/Dec]]</f>
        <v>10</v>
      </c>
      <c r="N1940" s="35">
        <f>Table2[[#This Row],[OverStock]]*Table2[[#This Row],[RepCost]]</f>
        <v>350.13499999999999</v>
      </c>
      <c r="O1940" s="25">
        <v>46146.344444444447</v>
      </c>
      <c r="P1940" s="26" t="s">
        <v>797</v>
      </c>
    </row>
    <row r="1941" spans="1:16" x14ac:dyDescent="0.25">
      <c r="A1941" s="20" t="s">
        <v>5211</v>
      </c>
      <c r="B1941" s="21">
        <v>718</v>
      </c>
      <c r="C1941" s="22" t="s">
        <v>143</v>
      </c>
      <c r="D1941" s="22" t="s">
        <v>3800</v>
      </c>
      <c r="E1941" s="22" t="str">
        <f>CONCATENATE(B1941,D1941)</f>
        <v>71880688-101</v>
      </c>
      <c r="F1941" s="22" t="s">
        <v>3801</v>
      </c>
      <c r="G1941" s="22" t="s">
        <v>23</v>
      </c>
      <c r="H1941" s="23">
        <v>11.696899999999999</v>
      </c>
      <c r="I1941" s="24">
        <v>10</v>
      </c>
      <c r="J1941" s="24">
        <v>2</v>
      </c>
      <c r="K1941" s="24">
        <v>0</v>
      </c>
      <c r="L1941" s="41">
        <f>Table2[[#This Row],[Column1]]+Table2[[#This Row],[Column2]]</f>
        <v>2</v>
      </c>
      <c r="M1941" s="42">
        <f>Table2[[#This Row],[OnHandQty]]-Table2[[#This Row],[Projection Nov/Dec]]</f>
        <v>8</v>
      </c>
      <c r="N1941" s="35">
        <f>Table2[[#This Row],[OverStock]]*Table2[[#This Row],[RepCost]]</f>
        <v>93.575199999999995</v>
      </c>
      <c r="O1941" s="25">
        <v>46164.548611111109</v>
      </c>
      <c r="P1941" s="26" t="s">
        <v>26</v>
      </c>
    </row>
    <row r="1942" spans="1:16" x14ac:dyDescent="0.25">
      <c r="A1942" s="20" t="s">
        <v>5211</v>
      </c>
      <c r="B1942" s="21">
        <v>714</v>
      </c>
      <c r="C1942" s="22" t="s">
        <v>70</v>
      </c>
      <c r="D1942" s="22" t="s">
        <v>661</v>
      </c>
      <c r="E1942" s="22" t="str">
        <f>CONCATENATE(B1942,D1942)</f>
        <v>71472567-101</v>
      </c>
      <c r="F1942" s="22" t="s">
        <v>662</v>
      </c>
      <c r="G1942" s="22" t="s">
        <v>112</v>
      </c>
      <c r="H1942" s="23">
        <v>6.4866999999999999</v>
      </c>
      <c r="I1942" s="24">
        <v>33</v>
      </c>
      <c r="J1942" s="24">
        <v>0</v>
      </c>
      <c r="K1942" s="24">
        <v>0</v>
      </c>
      <c r="L1942" s="41">
        <f>Table2[[#This Row],[Column1]]+Table2[[#This Row],[Column2]]</f>
        <v>0</v>
      </c>
      <c r="M1942" s="42">
        <f>Table2[[#This Row],[OnHandQty]]-Table2[[#This Row],[Projection Nov/Dec]]</f>
        <v>33</v>
      </c>
      <c r="N1942" s="35">
        <f>Table2[[#This Row],[OverStock]]*Table2[[#This Row],[RepCost]]</f>
        <v>214.06110000000001</v>
      </c>
      <c r="O1942" s="25">
        <v>46198.40902777778</v>
      </c>
      <c r="P1942" s="26" t="s">
        <v>573</v>
      </c>
    </row>
    <row r="1943" spans="1:16" x14ac:dyDescent="0.25">
      <c r="A1943" s="20" t="s">
        <v>5211</v>
      </c>
      <c r="B1943" s="21">
        <v>636</v>
      </c>
      <c r="C1943" s="22" t="s">
        <v>70</v>
      </c>
      <c r="D1943" s="22" t="s">
        <v>661</v>
      </c>
      <c r="E1943" s="22" t="str">
        <f>CONCATENATE(B1943,D1943)</f>
        <v>63672567-101</v>
      </c>
      <c r="F1943" s="22" t="s">
        <v>662</v>
      </c>
      <c r="G1943" s="22" t="s">
        <v>39</v>
      </c>
      <c r="H1943" s="23">
        <v>5.8535000000000004</v>
      </c>
      <c r="I1943" s="24">
        <v>2</v>
      </c>
      <c r="J1943" s="24">
        <v>0</v>
      </c>
      <c r="K1943" s="24">
        <v>0</v>
      </c>
      <c r="L1943" s="41">
        <f>Table2[[#This Row],[Column1]]+Table2[[#This Row],[Column2]]</f>
        <v>0</v>
      </c>
      <c r="M1943" s="42">
        <f>Table2[[#This Row],[OnHandQty]]-Table2[[#This Row],[Projection Nov/Dec]]</f>
        <v>2</v>
      </c>
      <c r="N1943" s="35">
        <f>Table2[[#This Row],[OverStock]]*Table2[[#This Row],[RepCost]]</f>
        <v>11.707000000000001</v>
      </c>
      <c r="O1943" s="25">
        <v>46239.415277777778</v>
      </c>
      <c r="P1943" s="26" t="s">
        <v>40</v>
      </c>
    </row>
    <row r="1944" spans="1:16" x14ac:dyDescent="0.25">
      <c r="A1944" s="20" t="s">
        <v>5211</v>
      </c>
      <c r="B1944" s="21">
        <v>636</v>
      </c>
      <c r="C1944" s="22" t="s">
        <v>70</v>
      </c>
      <c r="D1944" s="22" t="s">
        <v>785</v>
      </c>
      <c r="E1944" s="22" t="str">
        <f>CONCATENATE(B1944,D1944)</f>
        <v>63688117-101</v>
      </c>
      <c r="F1944" s="22" t="s">
        <v>786</v>
      </c>
      <c r="G1944" s="22" t="s">
        <v>39</v>
      </c>
      <c r="H1944" s="23">
        <v>5.9282000000000004</v>
      </c>
      <c r="I1944" s="24">
        <v>3</v>
      </c>
      <c r="J1944" s="24">
        <v>0</v>
      </c>
      <c r="K1944" s="24">
        <v>0</v>
      </c>
      <c r="L1944" s="41">
        <f>Table2[[#This Row],[Column1]]+Table2[[#This Row],[Column2]]</f>
        <v>0</v>
      </c>
      <c r="M1944" s="42">
        <f>Table2[[#This Row],[OnHandQty]]-Table2[[#This Row],[Projection Nov/Dec]]</f>
        <v>3</v>
      </c>
      <c r="N1944" s="35">
        <f>Table2[[#This Row],[OverStock]]*Table2[[#This Row],[RepCost]]</f>
        <v>17.784600000000001</v>
      </c>
      <c r="O1944" s="25">
        <v>46171.48541666667</v>
      </c>
      <c r="P1944" s="26" t="s">
        <v>16</v>
      </c>
    </row>
    <row r="1945" spans="1:16" x14ac:dyDescent="0.25">
      <c r="A1945" s="20" t="s">
        <v>5211</v>
      </c>
      <c r="B1945" s="21">
        <v>714</v>
      </c>
      <c r="C1945" s="22" t="s">
        <v>70</v>
      </c>
      <c r="D1945" s="22" t="s">
        <v>761</v>
      </c>
      <c r="E1945" s="22" t="str">
        <f>CONCATENATE(B1945,D1945)</f>
        <v>71472568-101</v>
      </c>
      <c r="F1945" s="22" t="s">
        <v>762</v>
      </c>
      <c r="G1945" s="22" t="s">
        <v>39</v>
      </c>
      <c r="H1945" s="23">
        <v>6.5136000000000003</v>
      </c>
      <c r="I1945" s="24">
        <v>7</v>
      </c>
      <c r="J1945" s="24">
        <v>0</v>
      </c>
      <c r="K1945" s="24">
        <v>0</v>
      </c>
      <c r="L1945" s="41">
        <f>Table2[[#This Row],[Column1]]+Table2[[#This Row],[Column2]]</f>
        <v>0</v>
      </c>
      <c r="M1945" s="42">
        <f>Table2[[#This Row],[OnHandQty]]-Table2[[#This Row],[Projection Nov/Dec]]</f>
        <v>7</v>
      </c>
      <c r="N1945" s="35">
        <f>Table2[[#This Row],[OverStock]]*Table2[[#This Row],[RepCost]]</f>
        <v>45.595200000000006</v>
      </c>
      <c r="O1945" s="25">
        <v>46118.575694444444</v>
      </c>
      <c r="P1945" s="26" t="s">
        <v>573</v>
      </c>
    </row>
    <row r="1946" spans="1:16" x14ac:dyDescent="0.25">
      <c r="A1946" s="20" t="s">
        <v>5211</v>
      </c>
      <c r="B1946" s="21">
        <v>636</v>
      </c>
      <c r="C1946" s="22" t="s">
        <v>70</v>
      </c>
      <c r="D1946" s="22" t="s">
        <v>761</v>
      </c>
      <c r="E1946" s="22" t="str">
        <f>CONCATENATE(B1946,D1946)</f>
        <v>63672568-101</v>
      </c>
      <c r="F1946" s="22" t="s">
        <v>762</v>
      </c>
      <c r="G1946" s="22" t="s">
        <v>29</v>
      </c>
      <c r="H1946" s="23">
        <v>6.4770000000000003</v>
      </c>
      <c r="I1946" s="24">
        <v>1</v>
      </c>
      <c r="J1946" s="24">
        <v>0</v>
      </c>
      <c r="K1946" s="24">
        <v>0</v>
      </c>
      <c r="L1946" s="41">
        <f>Table2[[#This Row],[Column1]]+Table2[[#This Row],[Column2]]</f>
        <v>0</v>
      </c>
      <c r="M1946" s="42">
        <f>Table2[[#This Row],[OnHandQty]]-Table2[[#This Row],[Projection Nov/Dec]]</f>
        <v>1</v>
      </c>
      <c r="N1946" s="35">
        <f>Table2[[#This Row],[OverStock]]*Table2[[#This Row],[RepCost]]</f>
        <v>6.4770000000000003</v>
      </c>
      <c r="O1946" s="25">
        <v>46178.285416666666</v>
      </c>
      <c r="P1946" s="26" t="s">
        <v>522</v>
      </c>
    </row>
    <row r="1947" spans="1:16" x14ac:dyDescent="0.25">
      <c r="A1947" s="20" t="s">
        <v>5211</v>
      </c>
      <c r="B1947" s="21">
        <v>718</v>
      </c>
      <c r="C1947" s="22" t="s">
        <v>12</v>
      </c>
      <c r="D1947" s="22" t="s">
        <v>3623</v>
      </c>
      <c r="E1947" s="22" t="str">
        <f>CONCATENATE(B1947,D1947)</f>
        <v>71894451-PF4</v>
      </c>
      <c r="F1947" s="22" t="s">
        <v>3624</v>
      </c>
      <c r="G1947" s="22" t="s">
        <v>39</v>
      </c>
      <c r="H1947" s="23">
        <v>8.0696999999999992</v>
      </c>
      <c r="I1947" s="24">
        <v>2</v>
      </c>
      <c r="J1947" s="24">
        <v>0</v>
      </c>
      <c r="K1947" s="24">
        <v>0</v>
      </c>
      <c r="L1947" s="41">
        <f>Table2[[#This Row],[Column1]]+Table2[[#This Row],[Column2]]</f>
        <v>0</v>
      </c>
      <c r="M1947" s="42">
        <f>Table2[[#This Row],[OnHandQty]]-Table2[[#This Row],[Projection Nov/Dec]]</f>
        <v>2</v>
      </c>
      <c r="N1947" s="35">
        <f>Table2[[#This Row],[OverStock]]*Table2[[#This Row],[RepCost]]</f>
        <v>16.139399999999998</v>
      </c>
      <c r="O1947" s="25">
        <v>46143.493750000001</v>
      </c>
      <c r="P1947" s="26" t="s">
        <v>40</v>
      </c>
    </row>
    <row r="1948" spans="1:16" x14ac:dyDescent="0.25">
      <c r="A1948" s="20" t="s">
        <v>5211</v>
      </c>
      <c r="B1948" s="21">
        <v>634</v>
      </c>
      <c r="C1948" s="22" t="s">
        <v>12</v>
      </c>
      <c r="D1948" s="22" t="s">
        <v>48</v>
      </c>
      <c r="E1948" s="22" t="str">
        <f>CONCATENATE(B1948,D1948)</f>
        <v>63472596-101</v>
      </c>
      <c r="F1948" s="22" t="s">
        <v>49</v>
      </c>
      <c r="G1948" s="22" t="s">
        <v>29</v>
      </c>
      <c r="H1948" s="23">
        <v>7.5324999999999998</v>
      </c>
      <c r="I1948" s="24">
        <v>13</v>
      </c>
      <c r="J1948" s="24">
        <v>6</v>
      </c>
      <c r="K1948" s="24">
        <v>0</v>
      </c>
      <c r="L1948" s="41">
        <f>Table2[[#This Row],[Column1]]+Table2[[#This Row],[Column2]]</f>
        <v>6</v>
      </c>
      <c r="M1948" s="42">
        <f>Table2[[#This Row],[OnHandQty]]-Table2[[#This Row],[Projection Nov/Dec]]</f>
        <v>7</v>
      </c>
      <c r="N1948" s="35">
        <f>Table2[[#This Row],[OverStock]]*Table2[[#This Row],[RepCost]]</f>
        <v>52.727499999999999</v>
      </c>
      <c r="O1948" s="25">
        <v>46192.486111111109</v>
      </c>
      <c r="P1948" s="26" t="s">
        <v>26</v>
      </c>
    </row>
    <row r="1949" spans="1:16" x14ac:dyDescent="0.25">
      <c r="A1949" s="20" t="s">
        <v>5211</v>
      </c>
      <c r="B1949" s="21">
        <v>634</v>
      </c>
      <c r="C1949" s="22" t="s">
        <v>12</v>
      </c>
      <c r="D1949" s="22" t="s">
        <v>59</v>
      </c>
      <c r="E1949" s="22" t="str">
        <f>CONCATENATE(B1949,D1949)</f>
        <v>63472596-103</v>
      </c>
      <c r="F1949" s="22" t="s">
        <v>60</v>
      </c>
      <c r="G1949" s="22" t="s">
        <v>19</v>
      </c>
      <c r="H1949" s="23">
        <v>16.5</v>
      </c>
      <c r="I1949" s="24">
        <v>22</v>
      </c>
      <c r="J1949" s="24">
        <v>0</v>
      </c>
      <c r="K1949" s="24">
        <v>0</v>
      </c>
      <c r="L1949" s="41">
        <f>Table2[[#This Row],[Column1]]+Table2[[#This Row],[Column2]]</f>
        <v>0</v>
      </c>
      <c r="M1949" s="42">
        <f>Table2[[#This Row],[OnHandQty]]-Table2[[#This Row],[Projection Nov/Dec]]</f>
        <v>22</v>
      </c>
      <c r="N1949" s="35">
        <f>Table2[[#This Row],[OverStock]]*Table2[[#This Row],[RepCost]]</f>
        <v>363</v>
      </c>
      <c r="O1949" s="25">
        <v>46241.356249999997</v>
      </c>
      <c r="P1949" s="26" t="s">
        <v>61</v>
      </c>
    </row>
    <row r="1950" spans="1:16" x14ac:dyDescent="0.25">
      <c r="A1950" s="20" t="s">
        <v>5211</v>
      </c>
      <c r="B1950" s="21">
        <v>636</v>
      </c>
      <c r="C1950" s="22" t="s">
        <v>558</v>
      </c>
      <c r="D1950" s="22" t="s">
        <v>563</v>
      </c>
      <c r="E1950" s="22" t="str">
        <f>CONCATENATE(B1950,D1950)</f>
        <v>63693598-106</v>
      </c>
      <c r="F1950" s="22" t="s">
        <v>564</v>
      </c>
      <c r="G1950" s="22" t="s">
        <v>29</v>
      </c>
      <c r="H1950" s="23">
        <v>119</v>
      </c>
      <c r="I1950" s="24">
        <v>2</v>
      </c>
      <c r="J1950" s="24">
        <v>0</v>
      </c>
      <c r="K1950" s="24">
        <v>0</v>
      </c>
      <c r="L1950" s="41">
        <f>Table2[[#This Row],[Column1]]+Table2[[#This Row],[Column2]]</f>
        <v>0</v>
      </c>
      <c r="M1950" s="42">
        <f>Table2[[#This Row],[OnHandQty]]-Table2[[#This Row],[Projection Nov/Dec]]</f>
        <v>2</v>
      </c>
      <c r="N1950" s="35">
        <f>Table2[[#This Row],[OverStock]]*Table2[[#This Row],[RepCost]]</f>
        <v>238</v>
      </c>
      <c r="O1950" s="25">
        <v>46140.29583333333</v>
      </c>
      <c r="P1950" s="26" t="s">
        <v>501</v>
      </c>
    </row>
    <row r="1951" spans="1:16" x14ac:dyDescent="0.25">
      <c r="A1951" s="20" t="s">
        <v>5211</v>
      </c>
      <c r="B1951" s="21">
        <v>636</v>
      </c>
      <c r="C1951" s="22" t="s">
        <v>323</v>
      </c>
      <c r="D1951" s="22" t="s">
        <v>1699</v>
      </c>
      <c r="E1951" s="22" t="str">
        <f>CONCATENATE(B1951,D1951)</f>
        <v>63672613-306</v>
      </c>
      <c r="F1951" s="22" t="s">
        <v>1700</v>
      </c>
      <c r="G1951" s="22" t="s">
        <v>19</v>
      </c>
      <c r="H1951" s="23">
        <v>526.83389999999997</v>
      </c>
      <c r="I1951" s="24">
        <v>4</v>
      </c>
      <c r="J1951" s="24">
        <v>0</v>
      </c>
      <c r="K1951" s="24">
        <v>0</v>
      </c>
      <c r="L1951" s="41">
        <f>Table2[[#This Row],[Column1]]+Table2[[#This Row],[Column2]]</f>
        <v>0</v>
      </c>
      <c r="M1951" s="42">
        <f>Table2[[#This Row],[OnHandQty]]-Table2[[#This Row],[Projection Nov/Dec]]</f>
        <v>4</v>
      </c>
      <c r="N1951" s="35">
        <f>Table2[[#This Row],[OverStock]]*Table2[[#This Row],[RepCost]]</f>
        <v>2107.3355999999999</v>
      </c>
      <c r="O1951" s="25">
        <v>46104.520833333336</v>
      </c>
      <c r="P1951" s="26" t="s">
        <v>137</v>
      </c>
    </row>
    <row r="1952" spans="1:16" x14ac:dyDescent="0.25">
      <c r="A1952" s="20" t="s">
        <v>5211</v>
      </c>
      <c r="B1952" s="21">
        <v>718</v>
      </c>
      <c r="C1952" s="22" t="s">
        <v>12</v>
      </c>
      <c r="D1952" s="22" t="s">
        <v>3595</v>
      </c>
      <c r="E1952" s="22" t="str">
        <f>CONCATENATE(B1952,D1952)</f>
        <v>71891226-101</v>
      </c>
      <c r="F1952" s="22" t="s">
        <v>3596</v>
      </c>
      <c r="G1952" s="22" t="s">
        <v>39</v>
      </c>
      <c r="H1952" s="23">
        <v>8.5731000000000002</v>
      </c>
      <c r="I1952" s="24">
        <v>1</v>
      </c>
      <c r="J1952" s="24">
        <v>0</v>
      </c>
      <c r="K1952" s="24">
        <v>0</v>
      </c>
      <c r="L1952" s="41">
        <f>Table2[[#This Row],[Column1]]+Table2[[#This Row],[Column2]]</f>
        <v>0</v>
      </c>
      <c r="M1952" s="42">
        <f>Table2[[#This Row],[OnHandQty]]-Table2[[#This Row],[Projection Nov/Dec]]</f>
        <v>1</v>
      </c>
      <c r="N1952" s="35">
        <f>Table2[[#This Row],[OverStock]]*Table2[[#This Row],[RepCost]]</f>
        <v>8.5731000000000002</v>
      </c>
      <c r="O1952" s="25">
        <v>46119.636111111111</v>
      </c>
      <c r="P1952" s="26" t="s">
        <v>573</v>
      </c>
    </row>
    <row r="1953" spans="1:16" x14ac:dyDescent="0.25">
      <c r="A1953" s="20" t="s">
        <v>5211</v>
      </c>
      <c r="B1953" s="21">
        <v>714</v>
      </c>
      <c r="C1953" s="22" t="s">
        <v>12</v>
      </c>
      <c r="D1953" s="22" t="s">
        <v>540</v>
      </c>
      <c r="E1953" s="22" t="str">
        <f>CONCATENATE(B1953,D1953)</f>
        <v>71486749-M1X2</v>
      </c>
      <c r="F1953" s="22" t="s">
        <v>541</v>
      </c>
      <c r="G1953" s="22" t="s">
        <v>29</v>
      </c>
      <c r="H1953" s="23">
        <v>10.9201</v>
      </c>
      <c r="I1953" s="24">
        <v>6</v>
      </c>
      <c r="J1953" s="24">
        <v>0</v>
      </c>
      <c r="K1953" s="24">
        <v>0</v>
      </c>
      <c r="L1953" s="41">
        <f>Table2[[#This Row],[Column1]]+Table2[[#This Row],[Column2]]</f>
        <v>0</v>
      </c>
      <c r="M1953" s="42">
        <f>Table2[[#This Row],[OnHandQty]]-Table2[[#This Row],[Projection Nov/Dec]]</f>
        <v>6</v>
      </c>
      <c r="N1953" s="35">
        <f>Table2[[#This Row],[OverStock]]*Table2[[#This Row],[RepCost]]</f>
        <v>65.520600000000002</v>
      </c>
      <c r="O1953" s="25">
        <v>46170.655555555553</v>
      </c>
      <c r="P1953" s="26" t="s">
        <v>542</v>
      </c>
    </row>
    <row r="1954" spans="1:16" x14ac:dyDescent="0.25">
      <c r="A1954" s="20" t="s">
        <v>5211</v>
      </c>
      <c r="B1954" s="21">
        <v>636</v>
      </c>
      <c r="C1954" s="22" t="s">
        <v>12</v>
      </c>
      <c r="D1954" s="22" t="s">
        <v>540</v>
      </c>
      <c r="E1954" s="22" t="str">
        <f>CONCATENATE(B1954,D1954)</f>
        <v>63686749-M1X2</v>
      </c>
      <c r="F1954" s="22" t="s">
        <v>541</v>
      </c>
      <c r="G1954" s="22" t="s">
        <v>158</v>
      </c>
      <c r="H1954" s="23">
        <v>11.4854</v>
      </c>
      <c r="I1954" s="24">
        <v>2</v>
      </c>
      <c r="J1954" s="24">
        <v>0</v>
      </c>
      <c r="K1954" s="24">
        <v>0</v>
      </c>
      <c r="L1954" s="41">
        <f>Table2[[#This Row],[Column1]]+Table2[[#This Row],[Column2]]</f>
        <v>0</v>
      </c>
      <c r="M1954" s="42">
        <f>Table2[[#This Row],[OnHandQty]]-Table2[[#This Row],[Projection Nov/Dec]]</f>
        <v>2</v>
      </c>
      <c r="N1954" s="35">
        <f>Table2[[#This Row],[OverStock]]*Table2[[#This Row],[RepCost]]</f>
        <v>22.970800000000001</v>
      </c>
      <c r="O1954" s="25">
        <v>46184.429861111108</v>
      </c>
      <c r="P1954" s="26" t="s">
        <v>542</v>
      </c>
    </row>
    <row r="1955" spans="1:16" x14ac:dyDescent="0.25">
      <c r="A1955" s="20" t="s">
        <v>5211</v>
      </c>
      <c r="B1955" s="21">
        <v>636</v>
      </c>
      <c r="C1955" s="22" t="s">
        <v>70</v>
      </c>
      <c r="D1955" s="22" t="s">
        <v>574</v>
      </c>
      <c r="E1955" s="22" t="str">
        <f>CONCATENATE(B1955,D1955)</f>
        <v>63672718-804</v>
      </c>
      <c r="F1955" s="22" t="s">
        <v>575</v>
      </c>
      <c r="G1955" s="22" t="s">
        <v>29</v>
      </c>
      <c r="H1955" s="23">
        <v>14</v>
      </c>
      <c r="I1955" s="24">
        <v>8</v>
      </c>
      <c r="J1955" s="24">
        <v>0</v>
      </c>
      <c r="K1955" s="24">
        <v>0</v>
      </c>
      <c r="L1955" s="41">
        <f>Table2[[#This Row],[Column1]]+Table2[[#This Row],[Column2]]</f>
        <v>0</v>
      </c>
      <c r="M1955" s="42">
        <f>Table2[[#This Row],[OnHandQty]]-Table2[[#This Row],[Projection Nov/Dec]]</f>
        <v>8</v>
      </c>
      <c r="N1955" s="35">
        <f>Table2[[#This Row],[OverStock]]*Table2[[#This Row],[RepCost]]</f>
        <v>112</v>
      </c>
      <c r="O1955" s="25">
        <v>46146.452777777777</v>
      </c>
      <c r="P1955" s="26" t="s">
        <v>576</v>
      </c>
    </row>
    <row r="1956" spans="1:16" x14ac:dyDescent="0.25">
      <c r="A1956" s="20" t="s">
        <v>5211</v>
      </c>
      <c r="B1956" s="21">
        <v>714</v>
      </c>
      <c r="C1956" s="22" t="s">
        <v>143</v>
      </c>
      <c r="D1956" s="22" t="s">
        <v>2507</v>
      </c>
      <c r="E1956" s="22" t="str">
        <f>CONCATENATE(B1956,D1956)</f>
        <v>71478037-102</v>
      </c>
      <c r="F1956" s="22" t="s">
        <v>2508</v>
      </c>
      <c r="G1956" s="22" t="s">
        <v>23</v>
      </c>
      <c r="H1956" s="23">
        <v>30.5044</v>
      </c>
      <c r="I1956" s="24">
        <v>36</v>
      </c>
      <c r="J1956" s="24">
        <v>0</v>
      </c>
      <c r="K1956" s="24">
        <v>0</v>
      </c>
      <c r="L1956" s="41">
        <f>Table2[[#This Row],[Column1]]+Table2[[#This Row],[Column2]]</f>
        <v>0</v>
      </c>
      <c r="M1956" s="42">
        <f>Table2[[#This Row],[OnHandQty]]-Table2[[#This Row],[Projection Nov/Dec]]</f>
        <v>36</v>
      </c>
      <c r="N1956" s="35">
        <f>Table2[[#This Row],[OverStock]]*Table2[[#This Row],[RepCost]]</f>
        <v>1098.1584</v>
      </c>
      <c r="O1956" s="25">
        <v>46112.315972222219</v>
      </c>
      <c r="P1956" s="26" t="s">
        <v>36</v>
      </c>
    </row>
    <row r="1957" spans="1:16" x14ac:dyDescent="0.25">
      <c r="A1957" s="20" t="s">
        <v>5211</v>
      </c>
      <c r="B1957" s="21">
        <v>636</v>
      </c>
      <c r="C1957" s="22" t="s">
        <v>70</v>
      </c>
      <c r="D1957" s="22" t="s">
        <v>616</v>
      </c>
      <c r="E1957" s="22" t="str">
        <f>CONCATENATE(B1957,D1957)</f>
        <v>63691427-102</v>
      </c>
      <c r="F1957" s="22" t="s">
        <v>617</v>
      </c>
      <c r="G1957" s="22" t="s">
        <v>39</v>
      </c>
      <c r="H1957" s="23">
        <v>8.7146000000000008</v>
      </c>
      <c r="I1957" s="24">
        <v>2</v>
      </c>
      <c r="J1957" s="24">
        <v>0</v>
      </c>
      <c r="K1957" s="24">
        <v>0</v>
      </c>
      <c r="L1957" s="41">
        <f>Table2[[#This Row],[Column1]]+Table2[[#This Row],[Column2]]</f>
        <v>0</v>
      </c>
      <c r="M1957" s="42">
        <f>Table2[[#This Row],[OnHandQty]]-Table2[[#This Row],[Projection Nov/Dec]]</f>
        <v>2</v>
      </c>
      <c r="N1957" s="35">
        <f>Table2[[#This Row],[OverStock]]*Table2[[#This Row],[RepCost]]</f>
        <v>17.429200000000002</v>
      </c>
      <c r="O1957" s="25">
        <v>46204.443055555559</v>
      </c>
      <c r="P1957" s="26" t="s">
        <v>40</v>
      </c>
    </row>
    <row r="1958" spans="1:16" x14ac:dyDescent="0.25">
      <c r="A1958" s="20" t="s">
        <v>5211</v>
      </c>
      <c r="B1958" s="21">
        <v>714</v>
      </c>
      <c r="C1958" s="22" t="s">
        <v>143</v>
      </c>
      <c r="D1958" s="22" t="s">
        <v>2602</v>
      </c>
      <c r="E1958" s="22" t="str">
        <f>CONCATENATE(B1958,D1958)</f>
        <v>71481450-103</v>
      </c>
      <c r="F1958" s="27" t="s">
        <v>2603</v>
      </c>
      <c r="G1958" s="27" t="s">
        <v>58</v>
      </c>
      <c r="H1958" s="23">
        <v>15.2356</v>
      </c>
      <c r="I1958" s="24">
        <v>1</v>
      </c>
      <c r="J1958" s="24">
        <v>0</v>
      </c>
      <c r="K1958" s="24">
        <v>0</v>
      </c>
      <c r="L1958" s="41">
        <f>Table2[[#This Row],[Column1]]+Table2[[#This Row],[Column2]]</f>
        <v>0</v>
      </c>
      <c r="M1958" s="42">
        <f>Table2[[#This Row],[OnHandQty]]-Table2[[#This Row],[Projection Nov/Dec]]</f>
        <v>1</v>
      </c>
      <c r="N1958" s="35">
        <f>Table2[[#This Row],[OverStock]]*Table2[[#This Row],[RepCost]]</f>
        <v>15.2356</v>
      </c>
      <c r="O1958" s="25">
        <v>45376.383333333331</v>
      </c>
      <c r="P1958" s="26" t="s">
        <v>26</v>
      </c>
    </row>
    <row r="1959" spans="1:16" x14ac:dyDescent="0.25">
      <c r="A1959" s="20" t="s">
        <v>5211</v>
      </c>
      <c r="B1959" s="21">
        <v>718</v>
      </c>
      <c r="C1959" s="22" t="s">
        <v>126</v>
      </c>
      <c r="D1959" s="22" t="s">
        <v>874</v>
      </c>
      <c r="E1959" s="22" t="str">
        <f>CONCATENATE(B1959,D1959)</f>
        <v>71893537-103PFO</v>
      </c>
      <c r="F1959" s="22" t="s">
        <v>875</v>
      </c>
      <c r="G1959" s="22" t="s">
        <v>29</v>
      </c>
      <c r="H1959" s="23">
        <v>17.139600000000002</v>
      </c>
      <c r="I1959" s="24">
        <v>22</v>
      </c>
      <c r="J1959" s="24">
        <v>18</v>
      </c>
      <c r="K1959" s="24">
        <v>0</v>
      </c>
      <c r="L1959" s="41">
        <f>Table2[[#This Row],[Column1]]+Table2[[#This Row],[Column2]]</f>
        <v>18</v>
      </c>
      <c r="M1959" s="42">
        <f>Table2[[#This Row],[OnHandQty]]-Table2[[#This Row],[Projection Nov/Dec]]</f>
        <v>4</v>
      </c>
      <c r="N1959" s="35">
        <f>Table2[[#This Row],[OverStock]]*Table2[[#This Row],[RepCost]]</f>
        <v>68.558400000000006</v>
      </c>
      <c r="O1959" s="25">
        <v>46220.5625</v>
      </c>
      <c r="P1959" s="26" t="s">
        <v>140</v>
      </c>
    </row>
    <row r="1960" spans="1:16" x14ac:dyDescent="0.25">
      <c r="A1960" s="20" t="s">
        <v>5211</v>
      </c>
      <c r="B1960" s="21">
        <v>636</v>
      </c>
      <c r="C1960" s="22" t="s">
        <v>126</v>
      </c>
      <c r="D1960" s="22" t="s">
        <v>874</v>
      </c>
      <c r="E1960" s="22" t="str">
        <f>CONCATENATE(B1960,D1960)</f>
        <v>63693537-103PFO</v>
      </c>
      <c r="F1960" s="22" t="s">
        <v>875</v>
      </c>
      <c r="G1960" s="22" t="s">
        <v>23</v>
      </c>
      <c r="H1960" s="23">
        <v>17.011700000000001</v>
      </c>
      <c r="I1960" s="24">
        <v>31</v>
      </c>
      <c r="J1960" s="24">
        <v>18</v>
      </c>
      <c r="K1960" s="24">
        <v>0</v>
      </c>
      <c r="L1960" s="41">
        <f>Table2[[#This Row],[Column1]]+Table2[[#This Row],[Column2]]</f>
        <v>18</v>
      </c>
      <c r="M1960" s="42">
        <f>Table2[[#This Row],[OnHandQty]]-Table2[[#This Row],[Projection Nov/Dec]]</f>
        <v>13</v>
      </c>
      <c r="N1960" s="35">
        <f>Table2[[#This Row],[OverStock]]*Table2[[#This Row],[RepCost]]</f>
        <v>221.15210000000002</v>
      </c>
      <c r="O1960" s="25">
        <v>46225.344444444447</v>
      </c>
      <c r="P1960" s="26" t="s">
        <v>140</v>
      </c>
    </row>
    <row r="1961" spans="1:16" x14ac:dyDescent="0.25">
      <c r="A1961" s="20" t="s">
        <v>5211</v>
      </c>
      <c r="B1961" s="21">
        <v>714</v>
      </c>
      <c r="C1961" s="22" t="s">
        <v>126</v>
      </c>
      <c r="D1961" s="22" t="s">
        <v>874</v>
      </c>
      <c r="E1961" s="22" t="str">
        <f>CONCATENATE(B1961,D1961)</f>
        <v>71493537-103PFO</v>
      </c>
      <c r="F1961" s="22" t="s">
        <v>875</v>
      </c>
      <c r="G1961" s="22" t="s">
        <v>23</v>
      </c>
      <c r="H1961" s="23">
        <v>17.381799999999998</v>
      </c>
      <c r="I1961" s="24">
        <v>40</v>
      </c>
      <c r="J1961" s="24">
        <v>18</v>
      </c>
      <c r="K1961" s="24">
        <v>0</v>
      </c>
      <c r="L1961" s="41">
        <f>Table2[[#This Row],[Column1]]+Table2[[#This Row],[Column2]]</f>
        <v>18</v>
      </c>
      <c r="M1961" s="42">
        <f>Table2[[#This Row],[OnHandQty]]-Table2[[#This Row],[Projection Nov/Dec]]</f>
        <v>22</v>
      </c>
      <c r="N1961" s="35">
        <f>Table2[[#This Row],[OverStock]]*Table2[[#This Row],[RepCost]]</f>
        <v>382.39959999999996</v>
      </c>
      <c r="O1961" s="25">
        <v>46248.383333333331</v>
      </c>
      <c r="P1961" s="26" t="s">
        <v>140</v>
      </c>
    </row>
    <row r="1962" spans="1:16" x14ac:dyDescent="0.25">
      <c r="A1962" s="20" t="s">
        <v>5211</v>
      </c>
      <c r="B1962" s="21">
        <v>636</v>
      </c>
      <c r="C1962" s="22" t="s">
        <v>143</v>
      </c>
      <c r="D1962" s="22" t="s">
        <v>1001</v>
      </c>
      <c r="E1962" s="22" t="str">
        <f>CONCATENATE(B1962,D1962)</f>
        <v>63672957-105</v>
      </c>
      <c r="F1962" s="22" t="s">
        <v>1002</v>
      </c>
      <c r="G1962" s="22" t="s">
        <v>23</v>
      </c>
      <c r="H1962" s="23">
        <v>30.197600000000001</v>
      </c>
      <c r="I1962" s="24">
        <v>31</v>
      </c>
      <c r="J1962" s="24">
        <v>0</v>
      </c>
      <c r="K1962" s="24">
        <v>0</v>
      </c>
      <c r="L1962" s="41">
        <f>Table2[[#This Row],[Column1]]+Table2[[#This Row],[Column2]]</f>
        <v>0</v>
      </c>
      <c r="M1962" s="42">
        <f>Table2[[#This Row],[OnHandQty]]-Table2[[#This Row],[Projection Nov/Dec]]</f>
        <v>31</v>
      </c>
      <c r="N1962" s="35">
        <f>Table2[[#This Row],[OverStock]]*Table2[[#This Row],[RepCost]]</f>
        <v>936.12560000000008</v>
      </c>
      <c r="O1962" s="25">
        <v>46246.46875</v>
      </c>
      <c r="P1962" s="26" t="s">
        <v>195</v>
      </c>
    </row>
    <row r="1963" spans="1:16" x14ac:dyDescent="0.25">
      <c r="A1963" s="20" t="s">
        <v>5211</v>
      </c>
      <c r="B1963" s="21">
        <v>714</v>
      </c>
      <c r="C1963" s="22" t="s">
        <v>143</v>
      </c>
      <c r="D1963" s="22" t="s">
        <v>2320</v>
      </c>
      <c r="E1963" s="22" t="str">
        <f>CONCATENATE(B1963,D1963)</f>
        <v>71491449-102</v>
      </c>
      <c r="F1963" s="22" t="s">
        <v>2321</v>
      </c>
      <c r="G1963" s="22" t="s">
        <v>29</v>
      </c>
      <c r="H1963" s="23">
        <v>19.355499999999999</v>
      </c>
      <c r="I1963" s="24">
        <v>4</v>
      </c>
      <c r="J1963" s="24">
        <v>0</v>
      </c>
      <c r="K1963" s="24">
        <v>0</v>
      </c>
      <c r="L1963" s="41">
        <f>Table2[[#This Row],[Column1]]+Table2[[#This Row],[Column2]]</f>
        <v>0</v>
      </c>
      <c r="M1963" s="42">
        <f>Table2[[#This Row],[OnHandQty]]-Table2[[#This Row],[Projection Nov/Dec]]</f>
        <v>4</v>
      </c>
      <c r="N1963" s="35">
        <f>Table2[[#This Row],[OverStock]]*Table2[[#This Row],[RepCost]]</f>
        <v>77.421999999999997</v>
      </c>
      <c r="O1963" s="25">
        <v>46239.576388888891</v>
      </c>
      <c r="P1963" s="26" t="s">
        <v>573</v>
      </c>
    </row>
    <row r="1964" spans="1:16" x14ac:dyDescent="0.25">
      <c r="A1964" s="20" t="s">
        <v>5211</v>
      </c>
      <c r="B1964" s="21">
        <v>714</v>
      </c>
      <c r="C1964" s="22" t="s">
        <v>143</v>
      </c>
      <c r="D1964" s="22" t="s">
        <v>2551</v>
      </c>
      <c r="E1964" s="22" t="str">
        <f>CONCATENATE(B1964,D1964)</f>
        <v>71491450-103</v>
      </c>
      <c r="F1964" s="22" t="s">
        <v>2552</v>
      </c>
      <c r="G1964" s="22" t="s">
        <v>35</v>
      </c>
      <c r="H1964" s="23">
        <v>17.863199999999999</v>
      </c>
      <c r="I1964" s="24">
        <v>3</v>
      </c>
      <c r="J1964" s="24">
        <v>0</v>
      </c>
      <c r="K1964" s="24">
        <v>0</v>
      </c>
      <c r="L1964" s="41">
        <f>Table2[[#This Row],[Column1]]+Table2[[#This Row],[Column2]]</f>
        <v>0</v>
      </c>
      <c r="M1964" s="42">
        <f>Table2[[#This Row],[OnHandQty]]-Table2[[#This Row],[Projection Nov/Dec]]</f>
        <v>3</v>
      </c>
      <c r="N1964" s="35">
        <f>Table2[[#This Row],[OverStock]]*Table2[[#This Row],[RepCost]]</f>
        <v>53.589599999999997</v>
      </c>
      <c r="O1964" s="25">
        <v>44687.510416666664</v>
      </c>
      <c r="P1964" s="26" t="s">
        <v>573</v>
      </c>
    </row>
    <row r="1965" spans="1:16" x14ac:dyDescent="0.25">
      <c r="A1965" s="20" t="s">
        <v>5211</v>
      </c>
      <c r="B1965" s="21">
        <v>636</v>
      </c>
      <c r="C1965" s="22" t="s">
        <v>143</v>
      </c>
      <c r="D1965" s="22" t="s">
        <v>1134</v>
      </c>
      <c r="E1965" s="22" t="str">
        <f>CONCATENATE(B1965,D1965)</f>
        <v>63685319-103</v>
      </c>
      <c r="F1965" s="22" t="s">
        <v>1135</v>
      </c>
      <c r="G1965" s="22" t="s">
        <v>29</v>
      </c>
      <c r="H1965" s="23">
        <v>15.6365</v>
      </c>
      <c r="I1965" s="24">
        <v>7</v>
      </c>
      <c r="J1965" s="24">
        <v>0</v>
      </c>
      <c r="K1965" s="24">
        <v>0</v>
      </c>
      <c r="L1965" s="41">
        <f>Table2[[#This Row],[Column1]]+Table2[[#This Row],[Column2]]</f>
        <v>0</v>
      </c>
      <c r="M1965" s="42">
        <f>Table2[[#This Row],[OnHandQty]]-Table2[[#This Row],[Projection Nov/Dec]]</f>
        <v>7</v>
      </c>
      <c r="N1965" s="35">
        <f>Table2[[#This Row],[OverStock]]*Table2[[#This Row],[RepCost]]</f>
        <v>109.4555</v>
      </c>
      <c r="O1965" s="25">
        <v>46149.512499999997</v>
      </c>
      <c r="P1965" s="26" t="s">
        <v>195</v>
      </c>
    </row>
    <row r="1966" spans="1:16" x14ac:dyDescent="0.25">
      <c r="A1966" s="20" t="s">
        <v>5211</v>
      </c>
      <c r="B1966" s="21">
        <v>636</v>
      </c>
      <c r="C1966" s="22" t="s">
        <v>143</v>
      </c>
      <c r="D1966" s="22" t="s">
        <v>1094</v>
      </c>
      <c r="E1966" s="22" t="str">
        <f>CONCATENATE(B1966,D1966)</f>
        <v>63672972-103</v>
      </c>
      <c r="F1966" s="22" t="s">
        <v>1095</v>
      </c>
      <c r="G1966" s="22" t="s">
        <v>29</v>
      </c>
      <c r="H1966" s="23">
        <v>19.5456</v>
      </c>
      <c r="I1966" s="24">
        <v>10</v>
      </c>
      <c r="J1966" s="24">
        <v>0</v>
      </c>
      <c r="K1966" s="24">
        <v>0</v>
      </c>
      <c r="L1966" s="41">
        <f>Table2[[#This Row],[Column1]]+Table2[[#This Row],[Column2]]</f>
        <v>0</v>
      </c>
      <c r="M1966" s="42">
        <f>Table2[[#This Row],[OnHandQty]]-Table2[[#This Row],[Projection Nov/Dec]]</f>
        <v>10</v>
      </c>
      <c r="N1966" s="35">
        <f>Table2[[#This Row],[OverStock]]*Table2[[#This Row],[RepCost]]</f>
        <v>195.45600000000002</v>
      </c>
      <c r="O1966" s="25">
        <v>46149.512499999997</v>
      </c>
      <c r="P1966" s="26" t="s">
        <v>195</v>
      </c>
    </row>
    <row r="1967" spans="1:16" x14ac:dyDescent="0.25">
      <c r="A1967" s="20" t="s">
        <v>5211</v>
      </c>
      <c r="B1967" s="21">
        <v>718</v>
      </c>
      <c r="C1967" s="22" t="s">
        <v>143</v>
      </c>
      <c r="D1967" s="22" t="s">
        <v>3780</v>
      </c>
      <c r="E1967" s="22" t="str">
        <f>CONCATENATE(B1967,D1967)</f>
        <v>71872949-103</v>
      </c>
      <c r="F1967" s="22" t="s">
        <v>3781</v>
      </c>
      <c r="G1967" s="22" t="s">
        <v>29</v>
      </c>
      <c r="H1967" s="23">
        <v>12.683400000000001</v>
      </c>
      <c r="I1967" s="24">
        <v>13</v>
      </c>
      <c r="J1967" s="24">
        <v>0</v>
      </c>
      <c r="K1967" s="24">
        <v>0</v>
      </c>
      <c r="L1967" s="41">
        <f>Table2[[#This Row],[Column1]]+Table2[[#This Row],[Column2]]</f>
        <v>0</v>
      </c>
      <c r="M1967" s="42">
        <f>Table2[[#This Row],[OnHandQty]]-Table2[[#This Row],[Projection Nov/Dec]]</f>
        <v>13</v>
      </c>
      <c r="N1967" s="35">
        <f>Table2[[#This Row],[OverStock]]*Table2[[#This Row],[RepCost]]</f>
        <v>164.88420000000002</v>
      </c>
      <c r="O1967" s="25">
        <v>46190.654166666667</v>
      </c>
      <c r="P1967" s="26" t="s">
        <v>47</v>
      </c>
    </row>
    <row r="1968" spans="1:16" x14ac:dyDescent="0.25">
      <c r="A1968" s="20" t="s">
        <v>5211</v>
      </c>
      <c r="B1968" s="21">
        <v>636</v>
      </c>
      <c r="C1968" s="22" t="s">
        <v>143</v>
      </c>
      <c r="D1968" s="22" t="s">
        <v>1090</v>
      </c>
      <c r="E1968" s="22" t="str">
        <f>CONCATENATE(B1968,D1968)</f>
        <v>63672981-103</v>
      </c>
      <c r="F1968" s="22" t="s">
        <v>1091</v>
      </c>
      <c r="G1968" s="22" t="s">
        <v>39</v>
      </c>
      <c r="H1968" s="23">
        <v>15.181699999999999</v>
      </c>
      <c r="I1968" s="24">
        <v>20</v>
      </c>
      <c r="J1968" s="24">
        <v>0</v>
      </c>
      <c r="K1968" s="24">
        <v>0</v>
      </c>
      <c r="L1968" s="41">
        <f>Table2[[#This Row],[Column1]]+Table2[[#This Row],[Column2]]</f>
        <v>0</v>
      </c>
      <c r="M1968" s="42">
        <f>Table2[[#This Row],[OnHandQty]]-Table2[[#This Row],[Projection Nov/Dec]]</f>
        <v>20</v>
      </c>
      <c r="N1968" s="35">
        <f>Table2[[#This Row],[OverStock]]*Table2[[#This Row],[RepCost]]</f>
        <v>303.63400000000001</v>
      </c>
      <c r="O1968" s="25">
        <v>46125.395833333336</v>
      </c>
      <c r="P1968" s="26" t="s">
        <v>40</v>
      </c>
    </row>
    <row r="1969" spans="1:16" x14ac:dyDescent="0.25">
      <c r="A1969" s="20" t="s">
        <v>5211</v>
      </c>
      <c r="B1969" s="21">
        <v>714</v>
      </c>
      <c r="C1969" s="22" t="s">
        <v>143</v>
      </c>
      <c r="D1969" s="22" t="s">
        <v>1090</v>
      </c>
      <c r="E1969" s="22" t="str">
        <f>CONCATENATE(B1969,D1969)</f>
        <v>71472981-103</v>
      </c>
      <c r="F1969" s="22" t="s">
        <v>1091</v>
      </c>
      <c r="G1969" s="22" t="s">
        <v>39</v>
      </c>
      <c r="H1969" s="23">
        <v>13.6418</v>
      </c>
      <c r="I1969" s="24">
        <v>34</v>
      </c>
      <c r="J1969" s="24">
        <v>0</v>
      </c>
      <c r="K1969" s="24">
        <v>0</v>
      </c>
      <c r="L1969" s="41">
        <f>Table2[[#This Row],[Column1]]+Table2[[#This Row],[Column2]]</f>
        <v>0</v>
      </c>
      <c r="M1969" s="42">
        <f>Table2[[#This Row],[OnHandQty]]-Table2[[#This Row],[Projection Nov/Dec]]</f>
        <v>34</v>
      </c>
      <c r="N1969" s="35">
        <f>Table2[[#This Row],[OverStock]]*Table2[[#This Row],[RepCost]]</f>
        <v>463.82119999999998</v>
      </c>
      <c r="O1969" s="25">
        <v>46188.35</v>
      </c>
      <c r="P1969" s="26" t="s">
        <v>26</v>
      </c>
    </row>
    <row r="1970" spans="1:16" x14ac:dyDescent="0.25">
      <c r="A1970" s="20" t="s">
        <v>5211</v>
      </c>
      <c r="B1970" s="21">
        <v>636</v>
      </c>
      <c r="C1970" s="22" t="s">
        <v>70</v>
      </c>
      <c r="D1970" s="22" t="s">
        <v>659</v>
      </c>
      <c r="E1970" s="22" t="str">
        <f>CONCATENATE(B1970,D1970)</f>
        <v>63672999-101</v>
      </c>
      <c r="F1970" s="22" t="s">
        <v>660</v>
      </c>
      <c r="G1970" s="22" t="s">
        <v>39</v>
      </c>
      <c r="H1970" s="23">
        <v>5.3719000000000001</v>
      </c>
      <c r="I1970" s="24">
        <v>21</v>
      </c>
      <c r="J1970" s="24">
        <v>0</v>
      </c>
      <c r="K1970" s="24">
        <v>0</v>
      </c>
      <c r="L1970" s="41">
        <f>Table2[[#This Row],[Column1]]+Table2[[#This Row],[Column2]]</f>
        <v>0</v>
      </c>
      <c r="M1970" s="42">
        <f>Table2[[#This Row],[OnHandQty]]-Table2[[#This Row],[Projection Nov/Dec]]</f>
        <v>21</v>
      </c>
      <c r="N1970" s="35">
        <f>Table2[[#This Row],[OverStock]]*Table2[[#This Row],[RepCost]]</f>
        <v>112.8099</v>
      </c>
      <c r="O1970" s="25">
        <v>46189.418749999997</v>
      </c>
      <c r="P1970" s="26" t="s">
        <v>16</v>
      </c>
    </row>
    <row r="1971" spans="1:16" x14ac:dyDescent="0.25">
      <c r="A1971" s="20" t="s">
        <v>5211</v>
      </c>
      <c r="B1971" s="21">
        <v>636</v>
      </c>
      <c r="C1971" s="22" t="s">
        <v>323</v>
      </c>
      <c r="D1971" s="22" t="s">
        <v>1701</v>
      </c>
      <c r="E1971" s="22" t="str">
        <f>CONCATENATE(B1971,D1971)</f>
        <v>63673039-025</v>
      </c>
      <c r="F1971" s="22" t="s">
        <v>1702</v>
      </c>
      <c r="G1971" s="22" t="s">
        <v>29</v>
      </c>
      <c r="H1971" s="23">
        <v>419.93639999999999</v>
      </c>
      <c r="I1971" s="24">
        <v>2</v>
      </c>
      <c r="J1971" s="24">
        <v>0</v>
      </c>
      <c r="K1971" s="24">
        <v>0</v>
      </c>
      <c r="L1971" s="41">
        <f>Table2[[#This Row],[Column1]]+Table2[[#This Row],[Column2]]</f>
        <v>0</v>
      </c>
      <c r="M1971" s="42">
        <f>Table2[[#This Row],[OnHandQty]]-Table2[[#This Row],[Projection Nov/Dec]]</f>
        <v>2</v>
      </c>
      <c r="N1971" s="35">
        <f>Table2[[#This Row],[OverStock]]*Table2[[#This Row],[RepCost]]</f>
        <v>839.87279999999998</v>
      </c>
      <c r="O1971" s="25">
        <v>46112.343055555553</v>
      </c>
      <c r="P1971" s="26" t="s">
        <v>137</v>
      </c>
    </row>
    <row r="1972" spans="1:16" x14ac:dyDescent="0.25">
      <c r="A1972" s="20" t="s">
        <v>5211</v>
      </c>
      <c r="B1972" s="21">
        <v>636</v>
      </c>
      <c r="C1972" s="22" t="s">
        <v>323</v>
      </c>
      <c r="D1972" s="22" t="s">
        <v>1276</v>
      </c>
      <c r="E1972" s="22" t="str">
        <f>CONCATENATE(B1972,D1972)</f>
        <v>63673039-030</v>
      </c>
      <c r="F1972" s="22" t="s">
        <v>1277</v>
      </c>
      <c r="G1972" s="22" t="s">
        <v>29</v>
      </c>
      <c r="H1972" s="23">
        <v>635.80640000000005</v>
      </c>
      <c r="I1972" s="24">
        <v>1</v>
      </c>
      <c r="J1972" s="24">
        <v>0</v>
      </c>
      <c r="K1972" s="24">
        <v>0</v>
      </c>
      <c r="L1972" s="41">
        <f>Table2[[#This Row],[Column1]]+Table2[[#This Row],[Column2]]</f>
        <v>0</v>
      </c>
      <c r="M1972" s="42">
        <f>Table2[[#This Row],[OnHandQty]]-Table2[[#This Row],[Projection Nov/Dec]]</f>
        <v>1</v>
      </c>
      <c r="N1972" s="35">
        <f>Table2[[#This Row],[OverStock]]*Table2[[#This Row],[RepCost]]</f>
        <v>635.80640000000005</v>
      </c>
      <c r="O1972" s="25">
        <v>46083.459722222222</v>
      </c>
      <c r="P1972" s="26" t="s">
        <v>137</v>
      </c>
    </row>
    <row r="1973" spans="1:16" x14ac:dyDescent="0.25">
      <c r="A1973" s="20" t="s">
        <v>5211</v>
      </c>
      <c r="B1973" s="21">
        <v>714</v>
      </c>
      <c r="C1973" s="22" t="s">
        <v>323</v>
      </c>
      <c r="D1973" s="22" t="s">
        <v>1525</v>
      </c>
      <c r="E1973" s="22" t="str">
        <f>CONCATENATE(B1973,D1973)</f>
        <v>71473039-035</v>
      </c>
      <c r="F1973" s="22" t="s">
        <v>1526</v>
      </c>
      <c r="G1973" s="22" t="s">
        <v>19</v>
      </c>
      <c r="H1973" s="23">
        <v>872.67499999999995</v>
      </c>
      <c r="I1973" s="24">
        <v>1</v>
      </c>
      <c r="J1973" s="24">
        <v>0</v>
      </c>
      <c r="K1973" s="24">
        <v>0</v>
      </c>
      <c r="L1973" s="41">
        <f>Table2[[#This Row],[Column1]]+Table2[[#This Row],[Column2]]</f>
        <v>0</v>
      </c>
      <c r="M1973" s="42">
        <f>Table2[[#This Row],[OnHandQty]]-Table2[[#This Row],[Projection Nov/Dec]]</f>
        <v>1</v>
      </c>
      <c r="N1973" s="35">
        <f>Table2[[#This Row],[OverStock]]*Table2[[#This Row],[RepCost]]</f>
        <v>872.67499999999995</v>
      </c>
      <c r="O1973" s="25">
        <v>46104.46597222222</v>
      </c>
      <c r="P1973" s="26" t="s">
        <v>137</v>
      </c>
    </row>
    <row r="1974" spans="1:16" x14ac:dyDescent="0.25">
      <c r="A1974" s="20" t="s">
        <v>5211</v>
      </c>
      <c r="B1974" s="21">
        <v>636</v>
      </c>
      <c r="C1974" s="22" t="s">
        <v>323</v>
      </c>
      <c r="D1974" s="22" t="s">
        <v>1525</v>
      </c>
      <c r="E1974" s="22" t="str">
        <f>CONCATENATE(B1974,D1974)</f>
        <v>63673039-035</v>
      </c>
      <c r="F1974" s="22" t="s">
        <v>1526</v>
      </c>
      <c r="G1974" s="22" t="s">
        <v>19</v>
      </c>
      <c r="H1974" s="23">
        <v>865.5018</v>
      </c>
      <c r="I1974" s="24">
        <v>4</v>
      </c>
      <c r="J1974" s="24">
        <v>0</v>
      </c>
      <c r="K1974" s="24">
        <v>0</v>
      </c>
      <c r="L1974" s="41">
        <f>Table2[[#This Row],[Column1]]+Table2[[#This Row],[Column2]]</f>
        <v>0</v>
      </c>
      <c r="M1974" s="42">
        <f>Table2[[#This Row],[OnHandQty]]-Table2[[#This Row],[Projection Nov/Dec]]</f>
        <v>4</v>
      </c>
      <c r="N1974" s="35">
        <f>Table2[[#This Row],[OverStock]]*Table2[[#This Row],[RepCost]]</f>
        <v>3462.0072</v>
      </c>
      <c r="O1974" s="25">
        <v>46112.343055555553</v>
      </c>
      <c r="P1974" s="26" t="s">
        <v>137</v>
      </c>
    </row>
    <row r="1975" spans="1:16" x14ac:dyDescent="0.25">
      <c r="A1975" s="20" t="s">
        <v>5211</v>
      </c>
      <c r="B1975" s="21">
        <v>714</v>
      </c>
      <c r="C1975" s="22" t="s">
        <v>323</v>
      </c>
      <c r="D1975" s="22" t="s">
        <v>2957</v>
      </c>
      <c r="E1975" s="22" t="str">
        <f>CONCATENATE(B1975,D1975)</f>
        <v>71473039-040</v>
      </c>
      <c r="F1975" s="22" t="s">
        <v>2958</v>
      </c>
      <c r="G1975" s="22" t="s">
        <v>19</v>
      </c>
      <c r="H1975" s="23">
        <v>1153.8703</v>
      </c>
      <c r="I1975" s="24">
        <v>1</v>
      </c>
      <c r="J1975" s="24">
        <v>0</v>
      </c>
      <c r="K1975" s="24">
        <v>0</v>
      </c>
      <c r="L1975" s="41">
        <f>Table2[[#This Row],[Column1]]+Table2[[#This Row],[Column2]]</f>
        <v>0</v>
      </c>
      <c r="M1975" s="42">
        <f>Table2[[#This Row],[OnHandQty]]-Table2[[#This Row],[Projection Nov/Dec]]</f>
        <v>1</v>
      </c>
      <c r="N1975" s="35">
        <f>Table2[[#This Row],[OverStock]]*Table2[[#This Row],[RepCost]]</f>
        <v>1153.8703</v>
      </c>
      <c r="O1975" s="25">
        <v>46104.46597222222</v>
      </c>
      <c r="P1975" s="26" t="s">
        <v>137</v>
      </c>
    </row>
    <row r="1976" spans="1:16" x14ac:dyDescent="0.25">
      <c r="A1976" s="20" t="s">
        <v>5211</v>
      </c>
      <c r="B1976" s="21">
        <v>714</v>
      </c>
      <c r="C1976" s="22" t="s">
        <v>323</v>
      </c>
      <c r="D1976" s="22" t="s">
        <v>2955</v>
      </c>
      <c r="E1976" s="22" t="str">
        <f>CONCATENATE(B1976,D1976)</f>
        <v>71473039-312PREM</v>
      </c>
      <c r="F1976" s="22" t="s">
        <v>2956</v>
      </c>
      <c r="G1976" s="22" t="s">
        <v>19</v>
      </c>
      <c r="H1976" s="23">
        <v>1551.4223</v>
      </c>
      <c r="I1976" s="24">
        <v>1</v>
      </c>
      <c r="J1976" s="24">
        <v>0</v>
      </c>
      <c r="K1976" s="24">
        <v>0</v>
      </c>
      <c r="L1976" s="41">
        <f>Table2[[#This Row],[Column1]]+Table2[[#This Row],[Column2]]</f>
        <v>0</v>
      </c>
      <c r="M1976" s="42">
        <f>Table2[[#This Row],[OnHandQty]]-Table2[[#This Row],[Projection Nov/Dec]]</f>
        <v>1</v>
      </c>
      <c r="N1976" s="35">
        <f>Table2[[#This Row],[OverStock]]*Table2[[#This Row],[RepCost]]</f>
        <v>1551.4223</v>
      </c>
      <c r="O1976" s="25">
        <v>46104.46597222222</v>
      </c>
      <c r="P1976" s="26" t="s">
        <v>137</v>
      </c>
    </row>
    <row r="1977" spans="1:16" x14ac:dyDescent="0.25">
      <c r="A1977" s="20" t="s">
        <v>5211</v>
      </c>
      <c r="B1977" s="21">
        <v>636</v>
      </c>
      <c r="C1977" s="22" t="s">
        <v>323</v>
      </c>
      <c r="D1977" s="22" t="s">
        <v>1478</v>
      </c>
      <c r="E1977" s="22" t="str">
        <f>CONCATENATE(B1977,D1977)</f>
        <v>63673041-0175</v>
      </c>
      <c r="F1977" s="22" t="s">
        <v>1479</v>
      </c>
      <c r="G1977" s="22" t="s">
        <v>19</v>
      </c>
      <c r="H1977" s="23">
        <v>315.58269999999999</v>
      </c>
      <c r="I1977" s="24">
        <v>1</v>
      </c>
      <c r="J1977" s="24">
        <v>0</v>
      </c>
      <c r="K1977" s="24">
        <v>0</v>
      </c>
      <c r="L1977" s="41">
        <f>Table2[[#This Row],[Column1]]+Table2[[#This Row],[Column2]]</f>
        <v>0</v>
      </c>
      <c r="M1977" s="42">
        <f>Table2[[#This Row],[OnHandQty]]-Table2[[#This Row],[Projection Nov/Dec]]</f>
        <v>1</v>
      </c>
      <c r="N1977" s="35">
        <f>Table2[[#This Row],[OverStock]]*Table2[[#This Row],[RepCost]]</f>
        <v>315.58269999999999</v>
      </c>
      <c r="O1977" s="25">
        <v>46083.459722222222</v>
      </c>
      <c r="P1977" s="26" t="s">
        <v>137</v>
      </c>
    </row>
    <row r="1978" spans="1:16" x14ac:dyDescent="0.25">
      <c r="A1978" s="20" t="s">
        <v>5211</v>
      </c>
      <c r="B1978" s="21">
        <v>636</v>
      </c>
      <c r="C1978" s="22" t="s">
        <v>323</v>
      </c>
      <c r="D1978" s="22" t="s">
        <v>1556</v>
      </c>
      <c r="E1978" s="22" t="str">
        <f>CONCATENATE(B1978,D1978)</f>
        <v>63673041-115</v>
      </c>
      <c r="F1978" s="27" t="s">
        <v>1557</v>
      </c>
      <c r="G1978" s="27" t="s">
        <v>58</v>
      </c>
      <c r="H1978" s="23">
        <v>177.9144</v>
      </c>
      <c r="I1978" s="24">
        <v>1</v>
      </c>
      <c r="J1978" s="24">
        <v>0</v>
      </c>
      <c r="K1978" s="24">
        <v>0</v>
      </c>
      <c r="L1978" s="41">
        <f>Table2[[#This Row],[Column1]]+Table2[[#This Row],[Column2]]</f>
        <v>0</v>
      </c>
      <c r="M1978" s="42">
        <f>Table2[[#This Row],[OnHandQty]]-Table2[[#This Row],[Projection Nov/Dec]]</f>
        <v>1</v>
      </c>
      <c r="N1978" s="35">
        <f>Table2[[#This Row],[OverStock]]*Table2[[#This Row],[RepCost]]</f>
        <v>177.9144</v>
      </c>
      <c r="O1978" s="25">
        <v>44281.402083333334</v>
      </c>
      <c r="P1978" s="26" t="s">
        <v>268</v>
      </c>
    </row>
    <row r="1979" spans="1:16" x14ac:dyDescent="0.25">
      <c r="A1979" s="20" t="s">
        <v>5211</v>
      </c>
      <c r="B1979" s="21">
        <v>636</v>
      </c>
      <c r="C1979" s="22" t="s">
        <v>323</v>
      </c>
      <c r="D1979" s="22" t="s">
        <v>1304</v>
      </c>
      <c r="E1979" s="22" t="str">
        <f>CONCATENATE(B1979,D1979)</f>
        <v>63673041-025</v>
      </c>
      <c r="F1979" s="22" t="s">
        <v>1305</v>
      </c>
      <c r="G1979" s="22" t="s">
        <v>29</v>
      </c>
      <c r="H1979" s="23">
        <v>237.89089999999999</v>
      </c>
      <c r="I1979" s="24">
        <v>1</v>
      </c>
      <c r="J1979" s="24">
        <v>0</v>
      </c>
      <c r="K1979" s="24">
        <v>0</v>
      </c>
      <c r="L1979" s="41">
        <f>Table2[[#This Row],[Column1]]+Table2[[#This Row],[Column2]]</f>
        <v>0</v>
      </c>
      <c r="M1979" s="42">
        <f>Table2[[#This Row],[OnHandQty]]-Table2[[#This Row],[Projection Nov/Dec]]</f>
        <v>1</v>
      </c>
      <c r="N1979" s="35">
        <f>Table2[[#This Row],[OverStock]]*Table2[[#This Row],[RepCost]]</f>
        <v>237.89089999999999</v>
      </c>
      <c r="O1979" s="25">
        <v>46225.359722222223</v>
      </c>
      <c r="P1979" s="26" t="s">
        <v>151</v>
      </c>
    </row>
    <row r="1980" spans="1:16" x14ac:dyDescent="0.25">
      <c r="A1980" s="20" t="s">
        <v>5211</v>
      </c>
      <c r="B1980" s="21">
        <v>636</v>
      </c>
      <c r="C1980" s="22" t="s">
        <v>323</v>
      </c>
      <c r="D1980" s="22" t="s">
        <v>1235</v>
      </c>
      <c r="E1980" s="22" t="str">
        <f>CONCATENATE(B1980,D1980)</f>
        <v>63673041-120</v>
      </c>
      <c r="F1980" s="27" t="s">
        <v>1236</v>
      </c>
      <c r="G1980" s="27" t="s">
        <v>58</v>
      </c>
      <c r="H1980" s="23">
        <v>177.63399999999999</v>
      </c>
      <c r="I1980" s="24">
        <v>1</v>
      </c>
      <c r="J1980" s="24">
        <v>0</v>
      </c>
      <c r="K1980" s="24">
        <v>0</v>
      </c>
      <c r="L1980" s="41">
        <f>Table2[[#This Row],[Column1]]+Table2[[#This Row],[Column2]]</f>
        <v>0</v>
      </c>
      <c r="M1980" s="42">
        <f>Table2[[#This Row],[OnHandQty]]-Table2[[#This Row],[Projection Nov/Dec]]</f>
        <v>1</v>
      </c>
      <c r="N1980" s="35">
        <f>Table2[[#This Row],[OverStock]]*Table2[[#This Row],[RepCost]]</f>
        <v>177.63399999999999</v>
      </c>
      <c r="O1980" s="25">
        <v>45804.532638888886</v>
      </c>
      <c r="P1980" s="26" t="s">
        <v>137</v>
      </c>
    </row>
    <row r="1981" spans="1:16" x14ac:dyDescent="0.25">
      <c r="A1981" s="20" t="s">
        <v>5211</v>
      </c>
      <c r="B1981" s="21">
        <v>714</v>
      </c>
      <c r="C1981" s="22" t="s">
        <v>323</v>
      </c>
      <c r="D1981" s="22" t="s">
        <v>3427</v>
      </c>
      <c r="E1981" s="22" t="str">
        <f>CONCATENATE(B1981,D1981)</f>
        <v>71473041-306</v>
      </c>
      <c r="F1981" s="22" t="s">
        <v>3428</v>
      </c>
      <c r="G1981" s="22" t="s">
        <v>23</v>
      </c>
      <c r="H1981" s="23">
        <v>187.0035</v>
      </c>
      <c r="I1981" s="24">
        <v>4</v>
      </c>
      <c r="J1981" s="24">
        <v>0</v>
      </c>
      <c r="K1981" s="24">
        <v>0</v>
      </c>
      <c r="L1981" s="41">
        <f>Table2[[#This Row],[Column1]]+Table2[[#This Row],[Column2]]</f>
        <v>0</v>
      </c>
      <c r="M1981" s="42">
        <f>Table2[[#This Row],[OnHandQty]]-Table2[[#This Row],[Projection Nov/Dec]]</f>
        <v>4</v>
      </c>
      <c r="N1981" s="35">
        <f>Table2[[#This Row],[OverStock]]*Table2[[#This Row],[RepCost]]</f>
        <v>748.01400000000001</v>
      </c>
      <c r="O1981" s="25">
        <v>46154.438194444447</v>
      </c>
      <c r="P1981" s="26" t="s">
        <v>1535</v>
      </c>
    </row>
    <row r="1982" spans="1:16" x14ac:dyDescent="0.25">
      <c r="A1982" s="20" t="s">
        <v>5211</v>
      </c>
      <c r="B1982" s="21">
        <v>636</v>
      </c>
      <c r="C1982" s="22" t="s">
        <v>323</v>
      </c>
      <c r="D1982" s="22" t="s">
        <v>1676</v>
      </c>
      <c r="E1982" s="22" t="str">
        <f>CONCATENATE(B1982,D1982)</f>
        <v>63673041-MS310PREM</v>
      </c>
      <c r="F1982" s="22" t="s">
        <v>1677</v>
      </c>
      <c r="G1982" s="22" t="s">
        <v>19</v>
      </c>
      <c r="H1982" s="23">
        <v>875.5874</v>
      </c>
      <c r="I1982" s="24">
        <v>2</v>
      </c>
      <c r="J1982" s="24">
        <v>0</v>
      </c>
      <c r="K1982" s="24">
        <v>0</v>
      </c>
      <c r="L1982" s="41">
        <f>Table2[[#This Row],[Column1]]+Table2[[#This Row],[Column2]]</f>
        <v>0</v>
      </c>
      <c r="M1982" s="42">
        <f>Table2[[#This Row],[OnHandQty]]-Table2[[#This Row],[Projection Nov/Dec]]</f>
        <v>2</v>
      </c>
      <c r="N1982" s="35">
        <f>Table2[[#This Row],[OverStock]]*Table2[[#This Row],[RepCost]]</f>
        <v>1751.1748</v>
      </c>
      <c r="O1982" s="25">
        <v>46083.459722222222</v>
      </c>
      <c r="P1982" s="26" t="s">
        <v>137</v>
      </c>
    </row>
    <row r="1983" spans="1:16" x14ac:dyDescent="0.25">
      <c r="A1983" s="20" t="s">
        <v>5211</v>
      </c>
      <c r="B1983" s="21">
        <v>636</v>
      </c>
      <c r="C1983" s="22" t="s">
        <v>323</v>
      </c>
      <c r="D1983" s="22" t="s">
        <v>1676</v>
      </c>
      <c r="E1983" s="22" t="str">
        <f>CONCATENATE(B1983,D1983)</f>
        <v>63673041-MS310PREM</v>
      </c>
      <c r="F1983" s="22" t="s">
        <v>1677</v>
      </c>
      <c r="G1983" s="22" t="s">
        <v>19</v>
      </c>
      <c r="H1983" s="23">
        <v>875.5874</v>
      </c>
      <c r="I1983" s="24">
        <v>2</v>
      </c>
      <c r="J1983" s="24">
        <v>0</v>
      </c>
      <c r="K1983" s="24">
        <v>0</v>
      </c>
      <c r="L1983" s="41">
        <f>Table2[[#This Row],[Column1]]+Table2[[#This Row],[Column2]]</f>
        <v>0</v>
      </c>
      <c r="M1983" s="42">
        <f>Table2[[#This Row],[OnHandQty]]-Table2[[#This Row],[Projection Nov/Dec]]</f>
        <v>2</v>
      </c>
      <c r="N1983" s="35">
        <f>Table2[[#This Row],[OverStock]]*Table2[[#This Row],[RepCost]]</f>
        <v>1751.1748</v>
      </c>
      <c r="O1983" s="25">
        <v>46083.459722222222</v>
      </c>
      <c r="P1983" s="26" t="s">
        <v>137</v>
      </c>
    </row>
    <row r="1984" spans="1:16" x14ac:dyDescent="0.25">
      <c r="A1984" s="20" t="s">
        <v>5211</v>
      </c>
      <c r="B1984" s="21">
        <v>636</v>
      </c>
      <c r="C1984" s="22" t="s">
        <v>1749</v>
      </c>
      <c r="D1984" s="22" t="s">
        <v>1776</v>
      </c>
      <c r="E1984" s="22" t="str">
        <f>CONCATENATE(B1984,D1984)</f>
        <v>63673060-0010</v>
      </c>
      <c r="F1984" s="22" t="s">
        <v>1777</v>
      </c>
      <c r="G1984" s="22" t="s">
        <v>23</v>
      </c>
      <c r="H1984" s="23">
        <v>22.0382</v>
      </c>
      <c r="I1984" s="24">
        <v>6</v>
      </c>
      <c r="J1984" s="24">
        <v>0</v>
      </c>
      <c r="K1984" s="24">
        <v>0</v>
      </c>
      <c r="L1984" s="41">
        <f>Table2[[#This Row],[Column1]]+Table2[[#This Row],[Column2]]</f>
        <v>0</v>
      </c>
      <c r="M1984" s="42">
        <f>Table2[[#This Row],[OnHandQty]]-Table2[[#This Row],[Projection Nov/Dec]]</f>
        <v>6</v>
      </c>
      <c r="N1984" s="35">
        <f>Table2[[#This Row],[OverStock]]*Table2[[#This Row],[RepCost]]</f>
        <v>132.22919999999999</v>
      </c>
      <c r="O1984" s="25">
        <v>46135.595833333333</v>
      </c>
      <c r="P1984" s="26" t="s">
        <v>599</v>
      </c>
    </row>
    <row r="1985" spans="1:16" x14ac:dyDescent="0.25">
      <c r="A1985" s="20" t="s">
        <v>5211</v>
      </c>
      <c r="B1985" s="21">
        <v>718</v>
      </c>
      <c r="C1985" s="22" t="s">
        <v>70</v>
      </c>
      <c r="D1985" s="22" t="s">
        <v>3689</v>
      </c>
      <c r="E1985" s="22" t="str">
        <f>CONCATENATE(B1985,D1985)</f>
        <v>71873063-SP4</v>
      </c>
      <c r="F1985" s="22" t="s">
        <v>3690</v>
      </c>
      <c r="G1985" s="22" t="s">
        <v>39</v>
      </c>
      <c r="H1985" s="23">
        <v>2.0099999999999998</v>
      </c>
      <c r="I1985" s="24">
        <v>3</v>
      </c>
      <c r="J1985" s="24">
        <v>0</v>
      </c>
      <c r="K1985" s="24">
        <v>0</v>
      </c>
      <c r="L1985" s="41">
        <f>Table2[[#This Row],[Column1]]+Table2[[#This Row],[Column2]]</f>
        <v>0</v>
      </c>
      <c r="M1985" s="42">
        <f>Table2[[#This Row],[OnHandQty]]-Table2[[#This Row],[Projection Nov/Dec]]</f>
        <v>3</v>
      </c>
      <c r="N1985" s="35">
        <f>Table2[[#This Row],[OverStock]]*Table2[[#This Row],[RepCost]]</f>
        <v>6.0299999999999994</v>
      </c>
      <c r="O1985" s="25">
        <v>46163.370833333334</v>
      </c>
      <c r="P1985" s="26" t="s">
        <v>1932</v>
      </c>
    </row>
    <row r="1986" spans="1:16" x14ac:dyDescent="0.25">
      <c r="A1986" s="20" t="s">
        <v>5211</v>
      </c>
      <c r="B1986" s="21">
        <v>714</v>
      </c>
      <c r="C1986" s="22" t="s">
        <v>323</v>
      </c>
      <c r="D1986" s="22" t="s">
        <v>3113</v>
      </c>
      <c r="E1986" s="22" t="str">
        <f>CONCATENATE(B1986,D1986)</f>
        <v>71490315-120-1.25IN</v>
      </c>
      <c r="F1986" s="22" t="s">
        <v>3114</v>
      </c>
      <c r="G1986" s="22" t="s">
        <v>29</v>
      </c>
      <c r="H1986" s="23">
        <v>215.8289</v>
      </c>
      <c r="I1986" s="24">
        <v>2</v>
      </c>
      <c r="J1986" s="24">
        <v>0</v>
      </c>
      <c r="K1986" s="24">
        <v>0</v>
      </c>
      <c r="L1986" s="41">
        <f>Table2[[#This Row],[Column1]]+Table2[[#This Row],[Column2]]</f>
        <v>0</v>
      </c>
      <c r="M1986" s="42">
        <f>Table2[[#This Row],[OnHandQty]]-Table2[[#This Row],[Projection Nov/Dec]]</f>
        <v>2</v>
      </c>
      <c r="N1986" s="35">
        <f>Table2[[#This Row],[OverStock]]*Table2[[#This Row],[RepCost]]</f>
        <v>431.65780000000001</v>
      </c>
      <c r="O1986" s="25">
        <v>45733.640277777777</v>
      </c>
      <c r="P1986" s="26" t="s">
        <v>137</v>
      </c>
    </row>
    <row r="1987" spans="1:16" x14ac:dyDescent="0.25">
      <c r="A1987" s="20" t="s">
        <v>5211</v>
      </c>
      <c r="B1987" s="21">
        <v>714</v>
      </c>
      <c r="C1987" s="22" t="s">
        <v>323</v>
      </c>
      <c r="D1987" s="22" t="s">
        <v>3456</v>
      </c>
      <c r="E1987" s="22" t="str">
        <f>CONCATENATE(B1987,D1987)</f>
        <v>71482866-120-1.75IN</v>
      </c>
      <c r="F1987" s="22" t="s">
        <v>3457</v>
      </c>
      <c r="G1987" s="22" t="s">
        <v>29</v>
      </c>
      <c r="H1987" s="23">
        <v>283.78100000000001</v>
      </c>
      <c r="I1987" s="24">
        <v>3</v>
      </c>
      <c r="J1987" s="24">
        <v>0</v>
      </c>
      <c r="K1987" s="24">
        <v>0</v>
      </c>
      <c r="L1987" s="41">
        <f>Table2[[#This Row],[Column1]]+Table2[[#This Row],[Column2]]</f>
        <v>0</v>
      </c>
      <c r="M1987" s="42">
        <f>Table2[[#This Row],[OnHandQty]]-Table2[[#This Row],[Projection Nov/Dec]]</f>
        <v>3</v>
      </c>
      <c r="N1987" s="35">
        <f>Table2[[#This Row],[OverStock]]*Table2[[#This Row],[RepCost]]</f>
        <v>851.34300000000007</v>
      </c>
      <c r="O1987" s="25">
        <v>46104.46597222222</v>
      </c>
      <c r="P1987" s="26" t="s">
        <v>137</v>
      </c>
    </row>
    <row r="1988" spans="1:16" x14ac:dyDescent="0.25">
      <c r="A1988" s="20" t="s">
        <v>5211</v>
      </c>
      <c r="B1988" s="21">
        <v>718</v>
      </c>
      <c r="C1988" s="22" t="s">
        <v>323</v>
      </c>
      <c r="D1988" s="22" t="s">
        <v>3972</v>
      </c>
      <c r="E1988" s="22" t="str">
        <f>CONCATENATE(B1988,D1988)</f>
        <v>71873068-115</v>
      </c>
      <c r="F1988" s="22" t="s">
        <v>3973</v>
      </c>
      <c r="G1988" s="22" t="s">
        <v>29</v>
      </c>
      <c r="H1988" s="23">
        <v>81.082400000000007</v>
      </c>
      <c r="I1988" s="24">
        <v>2</v>
      </c>
      <c r="J1988" s="24">
        <v>0</v>
      </c>
      <c r="K1988" s="24">
        <v>0</v>
      </c>
      <c r="L1988" s="41">
        <f>Table2[[#This Row],[Column1]]+Table2[[#This Row],[Column2]]</f>
        <v>0</v>
      </c>
      <c r="M1988" s="42">
        <f>Table2[[#This Row],[OnHandQty]]-Table2[[#This Row],[Projection Nov/Dec]]</f>
        <v>2</v>
      </c>
      <c r="N1988" s="35">
        <f>Table2[[#This Row],[OverStock]]*Table2[[#This Row],[RepCost]]</f>
        <v>162.16480000000001</v>
      </c>
      <c r="O1988" s="25">
        <v>45821.585416666669</v>
      </c>
      <c r="P1988" s="26" t="s">
        <v>3384</v>
      </c>
    </row>
    <row r="1989" spans="1:16" x14ac:dyDescent="0.25">
      <c r="A1989" s="20" t="s">
        <v>5211</v>
      </c>
      <c r="B1989" s="21">
        <v>636</v>
      </c>
      <c r="C1989" s="22" t="s">
        <v>323</v>
      </c>
      <c r="D1989" s="22" t="s">
        <v>1237</v>
      </c>
      <c r="E1989" s="22" t="str">
        <f>CONCATENATE(B1989,D1989)</f>
        <v>63673068-020</v>
      </c>
      <c r="F1989" s="27" t="s">
        <v>1238</v>
      </c>
      <c r="G1989" s="27" t="s">
        <v>58</v>
      </c>
      <c r="H1989" s="23">
        <v>278.81670000000003</v>
      </c>
      <c r="I1989" s="24">
        <v>1</v>
      </c>
      <c r="J1989" s="24">
        <v>0</v>
      </c>
      <c r="K1989" s="24">
        <v>0</v>
      </c>
      <c r="L1989" s="41">
        <f>Table2[[#This Row],[Column1]]+Table2[[#This Row],[Column2]]</f>
        <v>0</v>
      </c>
      <c r="M1989" s="42">
        <f>Table2[[#This Row],[OnHandQty]]-Table2[[#This Row],[Projection Nov/Dec]]</f>
        <v>1</v>
      </c>
      <c r="N1989" s="35">
        <f>Table2[[#This Row],[OverStock]]*Table2[[#This Row],[RepCost]]</f>
        <v>278.81670000000003</v>
      </c>
      <c r="O1989" s="25">
        <v>45964.586805555555</v>
      </c>
      <c r="P1989" s="26" t="s">
        <v>486</v>
      </c>
    </row>
    <row r="1990" spans="1:16" x14ac:dyDescent="0.25">
      <c r="A1990" s="20" t="s">
        <v>5211</v>
      </c>
      <c r="B1990" s="21">
        <v>714</v>
      </c>
      <c r="C1990" s="22" t="s">
        <v>323</v>
      </c>
      <c r="D1990" s="22" t="s">
        <v>1237</v>
      </c>
      <c r="E1990" s="22" t="str">
        <f>CONCATENATE(B1990,D1990)</f>
        <v>71473068-020</v>
      </c>
      <c r="F1990" s="22" t="s">
        <v>1238</v>
      </c>
      <c r="G1990" s="22" t="s">
        <v>29</v>
      </c>
      <c r="H1990" s="23">
        <v>220.21289999999999</v>
      </c>
      <c r="I1990" s="24">
        <v>1</v>
      </c>
      <c r="J1990" s="24">
        <v>0</v>
      </c>
      <c r="K1990" s="24">
        <v>0</v>
      </c>
      <c r="L1990" s="41">
        <f>Table2[[#This Row],[Column1]]+Table2[[#This Row],[Column2]]</f>
        <v>0</v>
      </c>
      <c r="M1990" s="42">
        <f>Table2[[#This Row],[OnHandQty]]-Table2[[#This Row],[Projection Nov/Dec]]</f>
        <v>1</v>
      </c>
      <c r="N1990" s="35">
        <f>Table2[[#This Row],[OverStock]]*Table2[[#This Row],[RepCost]]</f>
        <v>220.21289999999999</v>
      </c>
      <c r="O1990" s="25">
        <v>46161.380555555559</v>
      </c>
      <c r="P1990" s="26" t="s">
        <v>151</v>
      </c>
    </row>
    <row r="1991" spans="1:16" x14ac:dyDescent="0.25">
      <c r="A1991" s="20" t="s">
        <v>5211</v>
      </c>
      <c r="B1991" s="21">
        <v>636</v>
      </c>
      <c r="C1991" s="22" t="s">
        <v>323</v>
      </c>
      <c r="D1991" s="22" t="s">
        <v>1725</v>
      </c>
      <c r="E1991" s="22" t="str">
        <f>CONCATENATE(B1991,D1991)</f>
        <v>63678905-020</v>
      </c>
      <c r="F1991" s="22" t="s">
        <v>1726</v>
      </c>
      <c r="G1991" s="22" t="s">
        <v>29</v>
      </c>
      <c r="H1991" s="23">
        <v>185.18889999999999</v>
      </c>
      <c r="I1991" s="24">
        <v>2</v>
      </c>
      <c r="J1991" s="24">
        <v>0</v>
      </c>
      <c r="K1991" s="24">
        <v>0</v>
      </c>
      <c r="L1991" s="41">
        <f>Table2[[#This Row],[Column1]]+Table2[[#This Row],[Column2]]</f>
        <v>0</v>
      </c>
      <c r="M1991" s="42">
        <f>Table2[[#This Row],[OnHandQty]]-Table2[[#This Row],[Projection Nov/Dec]]</f>
        <v>2</v>
      </c>
      <c r="N1991" s="35">
        <f>Table2[[#This Row],[OverStock]]*Table2[[#This Row],[RepCost]]</f>
        <v>370.37779999999998</v>
      </c>
      <c r="O1991" s="25">
        <v>46086.3125</v>
      </c>
      <c r="P1991" s="26" t="s">
        <v>1229</v>
      </c>
    </row>
    <row r="1992" spans="1:16" x14ac:dyDescent="0.25">
      <c r="A1992" s="20" t="s">
        <v>5211</v>
      </c>
      <c r="B1992" s="21">
        <v>636</v>
      </c>
      <c r="C1992" s="22" t="s">
        <v>323</v>
      </c>
      <c r="D1992" s="22" t="s">
        <v>1610</v>
      </c>
      <c r="E1992" s="22" t="str">
        <f>CONCATENATE(B1992,D1992)</f>
        <v>63673086-0014</v>
      </c>
      <c r="F1992" s="22" t="s">
        <v>1611</v>
      </c>
      <c r="G1992" s="22" t="s">
        <v>29</v>
      </c>
      <c r="H1992" s="23">
        <v>52.404000000000003</v>
      </c>
      <c r="I1992" s="24">
        <v>1</v>
      </c>
      <c r="J1992" s="24">
        <v>0</v>
      </c>
      <c r="K1992" s="24">
        <v>0</v>
      </c>
      <c r="L1992" s="41">
        <f>Table2[[#This Row],[Column1]]+Table2[[#This Row],[Column2]]</f>
        <v>0</v>
      </c>
      <c r="M1992" s="42">
        <f>Table2[[#This Row],[OnHandQty]]-Table2[[#This Row],[Projection Nov/Dec]]</f>
        <v>1</v>
      </c>
      <c r="N1992" s="35">
        <f>Table2[[#This Row],[OverStock]]*Table2[[#This Row],[RepCost]]</f>
        <v>52.404000000000003</v>
      </c>
      <c r="O1992" s="25">
        <v>46114.597916666666</v>
      </c>
      <c r="P1992" s="26" t="s">
        <v>797</v>
      </c>
    </row>
    <row r="1993" spans="1:16" x14ac:dyDescent="0.25">
      <c r="A1993" s="20" t="s">
        <v>5211</v>
      </c>
      <c r="B1993" s="21">
        <v>714</v>
      </c>
      <c r="C1993" s="22" t="s">
        <v>323</v>
      </c>
      <c r="D1993" s="22" t="s">
        <v>3257</v>
      </c>
      <c r="E1993" s="22" t="str">
        <f>CONCATENATE(B1993,D1993)</f>
        <v>71473086-115</v>
      </c>
      <c r="F1993" s="27" t="s">
        <v>3258</v>
      </c>
      <c r="G1993" s="27" t="s">
        <v>58</v>
      </c>
      <c r="H1993" s="23">
        <v>73.321799999999996</v>
      </c>
      <c r="I1993" s="24">
        <v>1</v>
      </c>
      <c r="J1993" s="24">
        <v>0</v>
      </c>
      <c r="K1993" s="24">
        <v>0</v>
      </c>
      <c r="L1993" s="41">
        <f>Table2[[#This Row],[Column1]]+Table2[[#This Row],[Column2]]</f>
        <v>0</v>
      </c>
      <c r="M1993" s="42">
        <f>Table2[[#This Row],[OnHandQty]]-Table2[[#This Row],[Projection Nov/Dec]]</f>
        <v>1</v>
      </c>
      <c r="N1993" s="35">
        <f>Table2[[#This Row],[OverStock]]*Table2[[#This Row],[RepCost]]</f>
        <v>73.321799999999996</v>
      </c>
      <c r="O1993" s="25">
        <v>45814.331944444442</v>
      </c>
      <c r="P1993" s="26" t="s">
        <v>1841</v>
      </c>
    </row>
    <row r="1994" spans="1:16" x14ac:dyDescent="0.25">
      <c r="A1994" s="20" t="s">
        <v>5211</v>
      </c>
      <c r="B1994" s="21">
        <v>714</v>
      </c>
      <c r="C1994" s="22" t="s">
        <v>323</v>
      </c>
      <c r="D1994" s="22" t="s">
        <v>3085</v>
      </c>
      <c r="E1994" s="22" t="str">
        <f>CONCATENATE(B1994,D1994)</f>
        <v>71473086-125</v>
      </c>
      <c r="F1994" s="27" t="s">
        <v>3086</v>
      </c>
      <c r="G1994" s="27" t="s">
        <v>58</v>
      </c>
      <c r="H1994" s="23">
        <v>125.69450000000001</v>
      </c>
      <c r="I1994" s="24">
        <v>2</v>
      </c>
      <c r="J1994" s="24">
        <v>0</v>
      </c>
      <c r="K1994" s="24">
        <v>0</v>
      </c>
      <c r="L1994" s="41">
        <f>Table2[[#This Row],[Column1]]+Table2[[#This Row],[Column2]]</f>
        <v>0</v>
      </c>
      <c r="M1994" s="42">
        <f>Table2[[#This Row],[OnHandQty]]-Table2[[#This Row],[Projection Nov/Dec]]</f>
        <v>2</v>
      </c>
      <c r="N1994" s="35">
        <f>Table2[[#This Row],[OverStock]]*Table2[[#This Row],[RepCost]]</f>
        <v>251.38900000000001</v>
      </c>
      <c r="O1994" s="25">
        <v>45814.331944444442</v>
      </c>
      <c r="P1994" s="26" t="s">
        <v>1841</v>
      </c>
    </row>
    <row r="1995" spans="1:16" x14ac:dyDescent="0.25">
      <c r="A1995" s="20" t="s">
        <v>5211</v>
      </c>
      <c r="B1995" s="21">
        <v>718</v>
      </c>
      <c r="C1995" s="22" t="s">
        <v>323</v>
      </c>
      <c r="D1995" s="22" t="s">
        <v>3085</v>
      </c>
      <c r="E1995" s="22" t="str">
        <f>CONCATENATE(B1995,D1995)</f>
        <v>71873086-125</v>
      </c>
      <c r="F1995" s="22" t="s">
        <v>3086</v>
      </c>
      <c r="G1995" s="22" t="s">
        <v>29</v>
      </c>
      <c r="H1995" s="23">
        <v>195.93039999999999</v>
      </c>
      <c r="I1995" s="24">
        <v>5</v>
      </c>
      <c r="J1995" s="24">
        <v>0</v>
      </c>
      <c r="K1995" s="24">
        <v>0</v>
      </c>
      <c r="L1995" s="41">
        <f>Table2[[#This Row],[Column1]]+Table2[[#This Row],[Column2]]</f>
        <v>0</v>
      </c>
      <c r="M1995" s="42">
        <f>Table2[[#This Row],[OnHandQty]]-Table2[[#This Row],[Projection Nov/Dec]]</f>
        <v>5</v>
      </c>
      <c r="N1995" s="35">
        <f>Table2[[#This Row],[OverStock]]*Table2[[#This Row],[RepCost]]</f>
        <v>979.65199999999993</v>
      </c>
      <c r="O1995" s="25">
        <v>46189.361805555556</v>
      </c>
      <c r="P1995" s="26" t="s">
        <v>1825</v>
      </c>
    </row>
    <row r="1996" spans="1:16" x14ac:dyDescent="0.25">
      <c r="A1996" s="20" t="s">
        <v>5211</v>
      </c>
      <c r="B1996" s="21">
        <v>636</v>
      </c>
      <c r="C1996" s="22" t="s">
        <v>323</v>
      </c>
      <c r="D1996" s="22" t="s">
        <v>1503</v>
      </c>
      <c r="E1996" s="22" t="str">
        <f>CONCATENATE(B1996,D1996)</f>
        <v>63673086-103</v>
      </c>
      <c r="F1996" s="22" t="s">
        <v>1504</v>
      </c>
      <c r="G1996" s="22" t="s">
        <v>29</v>
      </c>
      <c r="H1996" s="23">
        <v>15.2255</v>
      </c>
      <c r="I1996" s="24">
        <v>6</v>
      </c>
      <c r="J1996" s="24">
        <v>0</v>
      </c>
      <c r="K1996" s="24">
        <v>0</v>
      </c>
      <c r="L1996" s="41">
        <f>Table2[[#This Row],[Column1]]+Table2[[#This Row],[Column2]]</f>
        <v>0</v>
      </c>
      <c r="M1996" s="42">
        <f>Table2[[#This Row],[OnHandQty]]-Table2[[#This Row],[Projection Nov/Dec]]</f>
        <v>6</v>
      </c>
      <c r="N1996" s="35">
        <f>Table2[[#This Row],[OverStock]]*Table2[[#This Row],[RepCost]]</f>
        <v>91.353000000000009</v>
      </c>
      <c r="O1996" s="25">
        <v>46114.597916666666</v>
      </c>
      <c r="P1996" s="26" t="s">
        <v>797</v>
      </c>
    </row>
    <row r="1997" spans="1:16" x14ac:dyDescent="0.25">
      <c r="A1997" s="20" t="s">
        <v>5211</v>
      </c>
      <c r="B1997" s="21">
        <v>714</v>
      </c>
      <c r="C1997" s="22" t="s">
        <v>70</v>
      </c>
      <c r="D1997" s="22" t="s">
        <v>2182</v>
      </c>
      <c r="E1997" s="22" t="str">
        <f>CONCATENATE(B1997,D1997)</f>
        <v>71474497-101</v>
      </c>
      <c r="F1997" s="22" t="s">
        <v>2183</v>
      </c>
      <c r="G1997" s="22" t="s">
        <v>29</v>
      </c>
      <c r="H1997" s="23">
        <v>6.6635</v>
      </c>
      <c r="I1997" s="24">
        <v>49</v>
      </c>
      <c r="J1997" s="24">
        <v>0</v>
      </c>
      <c r="K1997" s="24">
        <v>0</v>
      </c>
      <c r="L1997" s="41">
        <f>Table2[[#This Row],[Column1]]+Table2[[#This Row],[Column2]]</f>
        <v>0</v>
      </c>
      <c r="M1997" s="42">
        <f>Table2[[#This Row],[OnHandQty]]-Table2[[#This Row],[Projection Nov/Dec]]</f>
        <v>49</v>
      </c>
      <c r="N1997" s="35">
        <f>Table2[[#This Row],[OverStock]]*Table2[[#This Row],[RepCost]]</f>
        <v>326.51150000000001</v>
      </c>
      <c r="O1997" s="25">
        <v>46155.429166666669</v>
      </c>
      <c r="P1997" s="26" t="s">
        <v>44</v>
      </c>
    </row>
    <row r="1998" spans="1:16" x14ac:dyDescent="0.25">
      <c r="A1998" s="20" t="s">
        <v>5211</v>
      </c>
      <c r="B1998" s="21">
        <v>636</v>
      </c>
      <c r="C1998" s="22" t="s">
        <v>143</v>
      </c>
      <c r="D1998" s="22" t="s">
        <v>251</v>
      </c>
      <c r="E1998" s="22" t="str">
        <f>CONCATENATE(B1998,D1998)</f>
        <v>63673122-103</v>
      </c>
      <c r="F1998" s="22" t="s">
        <v>252</v>
      </c>
      <c r="G1998" s="22" t="s">
        <v>39</v>
      </c>
      <c r="H1998" s="23">
        <v>21.154800000000002</v>
      </c>
      <c r="I1998" s="24">
        <v>29</v>
      </c>
      <c r="J1998" s="24">
        <v>0</v>
      </c>
      <c r="K1998" s="24">
        <v>8</v>
      </c>
      <c r="L1998" s="41">
        <f>Table2[[#This Row],[Column1]]+Table2[[#This Row],[Column2]]</f>
        <v>8</v>
      </c>
      <c r="M1998" s="42">
        <f>Table2[[#This Row],[OnHandQty]]-Table2[[#This Row],[Projection Nov/Dec]]</f>
        <v>21</v>
      </c>
      <c r="N1998" s="35">
        <f>Table2[[#This Row],[OverStock]]*Table2[[#This Row],[RepCost]]</f>
        <v>444.25080000000003</v>
      </c>
      <c r="O1998" s="25">
        <v>46108.40347222222</v>
      </c>
      <c r="P1998" s="26" t="s">
        <v>26</v>
      </c>
    </row>
    <row r="1999" spans="1:16" x14ac:dyDescent="0.25">
      <c r="A1999" s="20" t="s">
        <v>5211</v>
      </c>
      <c r="B1999" s="21">
        <v>634</v>
      </c>
      <c r="C1999" s="22" t="s">
        <v>143</v>
      </c>
      <c r="D1999" s="22" t="s">
        <v>251</v>
      </c>
      <c r="E1999" s="22" t="str">
        <f>CONCATENATE(B1999,D1999)</f>
        <v>63473122-103</v>
      </c>
      <c r="F1999" s="22" t="s">
        <v>252</v>
      </c>
      <c r="G1999" s="22" t="s">
        <v>39</v>
      </c>
      <c r="H1999" s="23">
        <v>20.146899999999999</v>
      </c>
      <c r="I1999" s="24">
        <v>14</v>
      </c>
      <c r="J1999" s="24">
        <v>0</v>
      </c>
      <c r="K1999" s="24">
        <v>8</v>
      </c>
      <c r="L1999" s="41">
        <f>Table2[[#This Row],[Column1]]+Table2[[#This Row],[Column2]]</f>
        <v>8</v>
      </c>
      <c r="M1999" s="42">
        <f>Table2[[#This Row],[OnHandQty]]-Table2[[#This Row],[Projection Nov/Dec]]</f>
        <v>6</v>
      </c>
      <c r="N1999" s="35">
        <f>Table2[[#This Row],[OverStock]]*Table2[[#This Row],[RepCost]]</f>
        <v>120.88139999999999</v>
      </c>
      <c r="O1999" s="25">
        <v>46126.656944444447</v>
      </c>
      <c r="P1999" s="26" t="s">
        <v>26</v>
      </c>
    </row>
    <row r="2000" spans="1:16" x14ac:dyDescent="0.25">
      <c r="A2000" s="20" t="s">
        <v>5211</v>
      </c>
      <c r="B2000" s="21">
        <v>636</v>
      </c>
      <c r="C2000" s="22" t="s">
        <v>143</v>
      </c>
      <c r="D2000" s="22" t="s">
        <v>1054</v>
      </c>
      <c r="E2000" s="22" t="str">
        <f>CONCATENATE(B2000,D2000)</f>
        <v>63673122-230</v>
      </c>
      <c r="F2000" s="22" t="s">
        <v>1055</v>
      </c>
      <c r="G2000" s="22" t="s">
        <v>23</v>
      </c>
      <c r="H2000" s="23">
        <v>107.3342</v>
      </c>
      <c r="I2000" s="24">
        <v>1</v>
      </c>
      <c r="J2000" s="24">
        <v>0</v>
      </c>
      <c r="K2000" s="24">
        <v>0</v>
      </c>
      <c r="L2000" s="41">
        <f>Table2[[#This Row],[Column1]]+Table2[[#This Row],[Column2]]</f>
        <v>0</v>
      </c>
      <c r="M2000" s="42">
        <f>Table2[[#This Row],[OnHandQty]]-Table2[[#This Row],[Projection Nov/Dec]]</f>
        <v>1</v>
      </c>
      <c r="N2000" s="35">
        <f>Table2[[#This Row],[OverStock]]*Table2[[#This Row],[RepCost]]</f>
        <v>107.3342</v>
      </c>
      <c r="O2000" s="25">
        <v>46107.522222222222</v>
      </c>
      <c r="P2000" s="26" t="s">
        <v>178</v>
      </c>
    </row>
    <row r="2001" spans="1:16" x14ac:dyDescent="0.25">
      <c r="A2001" s="20" t="s">
        <v>5211</v>
      </c>
      <c r="B2001" s="21">
        <v>634</v>
      </c>
      <c r="C2001" s="22" t="s">
        <v>143</v>
      </c>
      <c r="D2001" s="22" t="s">
        <v>304</v>
      </c>
      <c r="E2001" s="22" t="str">
        <f>CONCATENATE(B2001,D2001)</f>
        <v>63473122-105</v>
      </c>
      <c r="F2001" s="22" t="s">
        <v>305</v>
      </c>
      <c r="G2001" s="22" t="s">
        <v>39</v>
      </c>
      <c r="H2001" s="23">
        <v>31.213999999999999</v>
      </c>
      <c r="I2001" s="24">
        <v>2</v>
      </c>
      <c r="J2001" s="24">
        <v>0</v>
      </c>
      <c r="K2001" s="24">
        <v>0</v>
      </c>
      <c r="L2001" s="41">
        <f>Table2[[#This Row],[Column1]]+Table2[[#This Row],[Column2]]</f>
        <v>0</v>
      </c>
      <c r="M2001" s="42">
        <f>Table2[[#This Row],[OnHandQty]]-Table2[[#This Row],[Projection Nov/Dec]]</f>
        <v>2</v>
      </c>
      <c r="N2001" s="35">
        <f>Table2[[#This Row],[OverStock]]*Table2[[#This Row],[RepCost]]</f>
        <v>62.427999999999997</v>
      </c>
      <c r="O2001" s="25">
        <v>46198.595138888886</v>
      </c>
      <c r="P2001" s="26" t="s">
        <v>40</v>
      </c>
    </row>
    <row r="2002" spans="1:16" x14ac:dyDescent="0.25">
      <c r="A2002" s="20" t="s">
        <v>5211</v>
      </c>
      <c r="B2002" s="21">
        <v>714</v>
      </c>
      <c r="C2002" s="22" t="s">
        <v>143</v>
      </c>
      <c r="D2002" s="22" t="s">
        <v>2768</v>
      </c>
      <c r="E2002" s="22" t="str">
        <f>CONCATENATE(B2002,D2002)</f>
        <v>71473122-107</v>
      </c>
      <c r="F2002" s="22" t="s">
        <v>2769</v>
      </c>
      <c r="G2002" s="22" t="s">
        <v>15</v>
      </c>
      <c r="H2002" s="23">
        <v>33.718499999999999</v>
      </c>
      <c r="I2002" s="24">
        <v>1</v>
      </c>
      <c r="J2002" s="24">
        <v>0</v>
      </c>
      <c r="K2002" s="24">
        <v>0</v>
      </c>
      <c r="L2002" s="41">
        <f>Table2[[#This Row],[Column1]]+Table2[[#This Row],[Column2]]</f>
        <v>0</v>
      </c>
      <c r="M2002" s="42">
        <f>Table2[[#This Row],[OnHandQty]]-Table2[[#This Row],[Projection Nov/Dec]]</f>
        <v>1</v>
      </c>
      <c r="N2002" s="35">
        <f>Table2[[#This Row],[OverStock]]*Table2[[#This Row],[RepCost]]</f>
        <v>33.718499999999999</v>
      </c>
      <c r="O2002" s="25">
        <v>45034.593055555553</v>
      </c>
      <c r="P2002" s="26" t="s">
        <v>26</v>
      </c>
    </row>
    <row r="2003" spans="1:16" x14ac:dyDescent="0.25">
      <c r="A2003" s="20" t="s">
        <v>5211</v>
      </c>
      <c r="B2003" s="21">
        <v>636</v>
      </c>
      <c r="C2003" s="22" t="s">
        <v>143</v>
      </c>
      <c r="D2003" s="22" t="s">
        <v>1048</v>
      </c>
      <c r="E2003" s="22" t="str">
        <f>CONCATENATE(B2003,D2003)</f>
        <v>63673122-STD110</v>
      </c>
      <c r="F2003" s="22" t="s">
        <v>1049</v>
      </c>
      <c r="G2003" s="22" t="s">
        <v>29</v>
      </c>
      <c r="H2003" s="23">
        <v>129.31379999999999</v>
      </c>
      <c r="I2003" s="24">
        <v>1</v>
      </c>
      <c r="J2003" s="24">
        <v>0</v>
      </c>
      <c r="K2003" s="24">
        <v>0</v>
      </c>
      <c r="L2003" s="41">
        <f>Table2[[#This Row],[Column1]]+Table2[[#This Row],[Column2]]</f>
        <v>0</v>
      </c>
      <c r="M2003" s="42">
        <f>Table2[[#This Row],[OnHandQty]]-Table2[[#This Row],[Projection Nov/Dec]]</f>
        <v>1</v>
      </c>
      <c r="N2003" s="35">
        <f>Table2[[#This Row],[OverStock]]*Table2[[#This Row],[RepCost]]</f>
        <v>129.31379999999999</v>
      </c>
      <c r="O2003" s="25">
        <v>46104.520833333336</v>
      </c>
      <c r="P2003" s="26" t="s">
        <v>137</v>
      </c>
    </row>
    <row r="2004" spans="1:16" x14ac:dyDescent="0.25">
      <c r="A2004" s="20" t="s">
        <v>5211</v>
      </c>
      <c r="B2004" s="21">
        <v>636</v>
      </c>
      <c r="C2004" s="22" t="s">
        <v>143</v>
      </c>
      <c r="D2004" s="22" t="s">
        <v>1070</v>
      </c>
      <c r="E2004" s="22" t="str">
        <f>CONCATENATE(B2004,D2004)</f>
        <v>63673122-STD230</v>
      </c>
      <c r="F2004" s="22" t="s">
        <v>1071</v>
      </c>
      <c r="G2004" s="22" t="s">
        <v>23</v>
      </c>
      <c r="H2004" s="23">
        <v>131.1454</v>
      </c>
      <c r="I2004" s="24">
        <v>6</v>
      </c>
      <c r="J2004" s="24">
        <v>0</v>
      </c>
      <c r="K2004" s="24">
        <v>0</v>
      </c>
      <c r="L2004" s="41">
        <f>Table2[[#This Row],[Column1]]+Table2[[#This Row],[Column2]]</f>
        <v>0</v>
      </c>
      <c r="M2004" s="42">
        <f>Table2[[#This Row],[OnHandQty]]-Table2[[#This Row],[Projection Nov/Dec]]</f>
        <v>6</v>
      </c>
      <c r="N2004" s="35">
        <f>Table2[[#This Row],[OverStock]]*Table2[[#This Row],[RepCost]]</f>
        <v>786.87239999999997</v>
      </c>
      <c r="O2004" s="25">
        <v>46114.612500000003</v>
      </c>
      <c r="P2004" s="26" t="s">
        <v>330</v>
      </c>
    </row>
    <row r="2005" spans="1:16" x14ac:dyDescent="0.25">
      <c r="A2005" s="20" t="s">
        <v>5211</v>
      </c>
      <c r="B2005" s="21">
        <v>714</v>
      </c>
      <c r="C2005" s="22" t="s">
        <v>143</v>
      </c>
      <c r="D2005" s="22" t="s">
        <v>1159</v>
      </c>
      <c r="E2005" s="22" t="str">
        <f>CONCATENATE(B2005,D2005)</f>
        <v>71473122-STD248</v>
      </c>
      <c r="F2005" s="22" t="s">
        <v>1160</v>
      </c>
      <c r="G2005" s="22" t="s">
        <v>19</v>
      </c>
      <c r="H2005" s="23">
        <v>109.75</v>
      </c>
      <c r="I2005" s="24">
        <v>2</v>
      </c>
      <c r="J2005" s="24">
        <v>0</v>
      </c>
      <c r="K2005" s="24">
        <v>0</v>
      </c>
      <c r="L2005" s="41">
        <f>Table2[[#This Row],[Column1]]+Table2[[#This Row],[Column2]]</f>
        <v>0</v>
      </c>
      <c r="M2005" s="42">
        <f>Table2[[#This Row],[OnHandQty]]-Table2[[#This Row],[Projection Nov/Dec]]</f>
        <v>2</v>
      </c>
      <c r="N2005" s="35">
        <f>Table2[[#This Row],[OverStock]]*Table2[[#This Row],[RepCost]]</f>
        <v>219.5</v>
      </c>
      <c r="O2005" s="25">
        <v>44289.522916666669</v>
      </c>
      <c r="P2005" s="26" t="s">
        <v>2726</v>
      </c>
    </row>
    <row r="2006" spans="1:16" x14ac:dyDescent="0.25">
      <c r="A2006" s="20" t="s">
        <v>5211</v>
      </c>
      <c r="B2006" s="21">
        <v>636</v>
      </c>
      <c r="C2006" s="22" t="s">
        <v>143</v>
      </c>
      <c r="D2006" s="22" t="s">
        <v>1159</v>
      </c>
      <c r="E2006" s="22" t="str">
        <f>CONCATENATE(B2006,D2006)</f>
        <v>63673122-STD248</v>
      </c>
      <c r="F2006" s="22" t="s">
        <v>1160</v>
      </c>
      <c r="G2006" s="22" t="s">
        <v>23</v>
      </c>
      <c r="H2006" s="23">
        <v>224.40940000000001</v>
      </c>
      <c r="I2006" s="24">
        <v>1</v>
      </c>
      <c r="J2006" s="24">
        <v>0</v>
      </c>
      <c r="K2006" s="24">
        <v>0</v>
      </c>
      <c r="L2006" s="41">
        <f>Table2[[#This Row],[Column1]]+Table2[[#This Row],[Column2]]</f>
        <v>0</v>
      </c>
      <c r="M2006" s="42">
        <f>Table2[[#This Row],[OnHandQty]]-Table2[[#This Row],[Projection Nov/Dec]]</f>
        <v>1</v>
      </c>
      <c r="N2006" s="35">
        <f>Table2[[#This Row],[OverStock]]*Table2[[#This Row],[RepCost]]</f>
        <v>224.40940000000001</v>
      </c>
      <c r="O2006" s="25">
        <v>46114.612500000003</v>
      </c>
      <c r="P2006" s="26" t="s">
        <v>330</v>
      </c>
    </row>
    <row r="2007" spans="1:16" x14ac:dyDescent="0.25">
      <c r="A2007" s="20" t="s">
        <v>5211</v>
      </c>
      <c r="B2007" s="21">
        <v>714</v>
      </c>
      <c r="C2007" s="22" t="s">
        <v>143</v>
      </c>
      <c r="D2007" s="22" t="s">
        <v>2483</v>
      </c>
      <c r="E2007" s="22" t="str">
        <f>CONCATENATE(B2007,D2007)</f>
        <v>71473122-STD306</v>
      </c>
      <c r="F2007" s="22" t="s">
        <v>2484</v>
      </c>
      <c r="G2007" s="22" t="s">
        <v>19</v>
      </c>
      <c r="H2007" s="23">
        <v>354.90469999999999</v>
      </c>
      <c r="I2007" s="24">
        <v>4</v>
      </c>
      <c r="J2007" s="24">
        <v>0</v>
      </c>
      <c r="K2007" s="24">
        <v>0</v>
      </c>
      <c r="L2007" s="41">
        <f>Table2[[#This Row],[Column1]]+Table2[[#This Row],[Column2]]</f>
        <v>0</v>
      </c>
      <c r="M2007" s="42">
        <f>Table2[[#This Row],[OnHandQty]]-Table2[[#This Row],[Projection Nov/Dec]]</f>
        <v>4</v>
      </c>
      <c r="N2007" s="35">
        <f>Table2[[#This Row],[OverStock]]*Table2[[#This Row],[RepCost]]</f>
        <v>1419.6188</v>
      </c>
      <c r="O2007" s="25">
        <v>46126.711805555555</v>
      </c>
      <c r="P2007" s="26" t="s">
        <v>178</v>
      </c>
    </row>
    <row r="2008" spans="1:16" x14ac:dyDescent="0.25">
      <c r="A2008" s="20" t="s">
        <v>5211</v>
      </c>
      <c r="B2008" s="21">
        <v>718</v>
      </c>
      <c r="C2008" s="22" t="s">
        <v>143</v>
      </c>
      <c r="D2008" s="22" t="s">
        <v>2483</v>
      </c>
      <c r="E2008" s="22" t="str">
        <f>CONCATENATE(B2008,D2008)</f>
        <v>71873122-STD306</v>
      </c>
      <c r="F2008" s="22" t="s">
        <v>2484</v>
      </c>
      <c r="G2008" s="22" t="s">
        <v>29</v>
      </c>
      <c r="H2008" s="23">
        <v>350.4538</v>
      </c>
      <c r="I2008" s="24">
        <v>1</v>
      </c>
      <c r="J2008" s="24">
        <v>0</v>
      </c>
      <c r="K2008" s="24">
        <v>0</v>
      </c>
      <c r="L2008" s="41">
        <f>Table2[[#This Row],[Column1]]+Table2[[#This Row],[Column2]]</f>
        <v>0</v>
      </c>
      <c r="M2008" s="42">
        <f>Table2[[#This Row],[OnHandQty]]-Table2[[#This Row],[Projection Nov/Dec]]</f>
        <v>1</v>
      </c>
      <c r="N2008" s="35">
        <f>Table2[[#This Row],[OverStock]]*Table2[[#This Row],[RepCost]]</f>
        <v>350.4538</v>
      </c>
      <c r="O2008" s="25">
        <v>46128.680555555555</v>
      </c>
      <c r="P2008" s="26" t="s">
        <v>178</v>
      </c>
    </row>
    <row r="2009" spans="1:16" x14ac:dyDescent="0.25">
      <c r="A2009" s="20" t="s">
        <v>5211</v>
      </c>
      <c r="B2009" s="21">
        <v>634</v>
      </c>
      <c r="C2009" s="22" t="s">
        <v>143</v>
      </c>
      <c r="D2009" s="22" t="s">
        <v>185</v>
      </c>
      <c r="E2009" s="22" t="str">
        <f>CONCATENATE(B2009,D2009)</f>
        <v>63473128-103</v>
      </c>
      <c r="F2009" s="22" t="s">
        <v>186</v>
      </c>
      <c r="G2009" s="22" t="s">
        <v>15</v>
      </c>
      <c r="H2009" s="23">
        <v>19.476299999999998</v>
      </c>
      <c r="I2009" s="24">
        <v>15</v>
      </c>
      <c r="J2009" s="24">
        <v>0</v>
      </c>
      <c r="K2009" s="24">
        <v>0</v>
      </c>
      <c r="L2009" s="41">
        <f>Table2[[#This Row],[Column1]]+Table2[[#This Row],[Column2]]</f>
        <v>0</v>
      </c>
      <c r="M2009" s="42">
        <f>Table2[[#This Row],[OnHandQty]]-Table2[[#This Row],[Projection Nov/Dec]]</f>
        <v>15</v>
      </c>
      <c r="N2009" s="35">
        <f>Table2[[#This Row],[OverStock]]*Table2[[#This Row],[RepCost]]</f>
        <v>292.14449999999999</v>
      </c>
      <c r="O2009" s="25">
        <v>45824.40625</v>
      </c>
      <c r="P2009" s="26" t="s">
        <v>26</v>
      </c>
    </row>
    <row r="2010" spans="1:16" x14ac:dyDescent="0.25">
      <c r="A2010" s="20" t="s">
        <v>5211</v>
      </c>
      <c r="B2010" s="21">
        <v>636</v>
      </c>
      <c r="C2010" s="22" t="s">
        <v>143</v>
      </c>
      <c r="D2010" s="22" t="s">
        <v>185</v>
      </c>
      <c r="E2010" s="22" t="str">
        <f>CONCATENATE(B2010,D2010)</f>
        <v>63673128-103</v>
      </c>
      <c r="F2010" s="22" t="s">
        <v>186</v>
      </c>
      <c r="G2010" s="22" t="s">
        <v>112</v>
      </c>
      <c r="H2010" s="23">
        <v>19.383199999999999</v>
      </c>
      <c r="I2010" s="24">
        <v>26</v>
      </c>
      <c r="J2010" s="24">
        <v>0</v>
      </c>
      <c r="K2010" s="24">
        <v>0</v>
      </c>
      <c r="L2010" s="41">
        <f>Table2[[#This Row],[Column1]]+Table2[[#This Row],[Column2]]</f>
        <v>0</v>
      </c>
      <c r="M2010" s="42">
        <f>Table2[[#This Row],[OnHandQty]]-Table2[[#This Row],[Projection Nov/Dec]]</f>
        <v>26</v>
      </c>
      <c r="N2010" s="35">
        <f>Table2[[#This Row],[OverStock]]*Table2[[#This Row],[RepCost]]</f>
        <v>503.96319999999997</v>
      </c>
      <c r="O2010" s="25">
        <v>46143.293055555558</v>
      </c>
      <c r="P2010" s="26" t="s">
        <v>26</v>
      </c>
    </row>
    <row r="2011" spans="1:16" x14ac:dyDescent="0.25">
      <c r="A2011" s="20" t="s">
        <v>5211</v>
      </c>
      <c r="B2011" s="21">
        <v>718</v>
      </c>
      <c r="C2011" s="22" t="s">
        <v>143</v>
      </c>
      <c r="D2011" s="22" t="s">
        <v>185</v>
      </c>
      <c r="E2011" s="22" t="str">
        <f>CONCATENATE(B2011,D2011)</f>
        <v>71873128-103</v>
      </c>
      <c r="F2011" s="22" t="s">
        <v>186</v>
      </c>
      <c r="G2011" s="22" t="s">
        <v>112</v>
      </c>
      <c r="H2011" s="23">
        <v>17.531600000000001</v>
      </c>
      <c r="I2011" s="24">
        <v>20</v>
      </c>
      <c r="J2011" s="24">
        <v>0</v>
      </c>
      <c r="K2011" s="24">
        <v>0</v>
      </c>
      <c r="L2011" s="41">
        <f>Table2[[#This Row],[Column1]]+Table2[[#This Row],[Column2]]</f>
        <v>0</v>
      </c>
      <c r="M2011" s="42">
        <f>Table2[[#This Row],[OnHandQty]]-Table2[[#This Row],[Projection Nov/Dec]]</f>
        <v>20</v>
      </c>
      <c r="N2011" s="35">
        <f>Table2[[#This Row],[OverStock]]*Table2[[#This Row],[RepCost]]</f>
        <v>350.63200000000001</v>
      </c>
      <c r="O2011" s="25">
        <v>46190.647916666669</v>
      </c>
      <c r="P2011" s="26" t="s">
        <v>562</v>
      </c>
    </row>
    <row r="2012" spans="1:16" x14ac:dyDescent="0.25">
      <c r="A2012" s="20" t="s">
        <v>5211</v>
      </c>
      <c r="B2012" s="21">
        <v>636</v>
      </c>
      <c r="C2012" s="22" t="s">
        <v>143</v>
      </c>
      <c r="D2012" s="22" t="s">
        <v>1180</v>
      </c>
      <c r="E2012" s="22" t="str">
        <f>CONCATENATE(B2012,D2012)</f>
        <v>63673128-236</v>
      </c>
      <c r="F2012" s="22" t="s">
        <v>1181</v>
      </c>
      <c r="G2012" s="22" t="s">
        <v>158</v>
      </c>
      <c r="H2012" s="23">
        <v>114.2358</v>
      </c>
      <c r="I2012" s="24">
        <v>3</v>
      </c>
      <c r="J2012" s="24">
        <v>0</v>
      </c>
      <c r="K2012" s="24">
        <v>0</v>
      </c>
      <c r="L2012" s="41">
        <f>Table2[[#This Row],[Column1]]+Table2[[#This Row],[Column2]]</f>
        <v>0</v>
      </c>
      <c r="M2012" s="42">
        <f>Table2[[#This Row],[OnHandQty]]-Table2[[#This Row],[Projection Nov/Dec]]</f>
        <v>3</v>
      </c>
      <c r="N2012" s="35">
        <f>Table2[[#This Row],[OverStock]]*Table2[[#This Row],[RepCost]]</f>
        <v>342.70740000000001</v>
      </c>
      <c r="O2012" s="25">
        <v>46107.539583333331</v>
      </c>
      <c r="P2012" s="26" t="s">
        <v>295</v>
      </c>
    </row>
    <row r="2013" spans="1:16" x14ac:dyDescent="0.25">
      <c r="A2013" s="20" t="s">
        <v>5211</v>
      </c>
      <c r="B2013" s="21">
        <v>636</v>
      </c>
      <c r="C2013" s="22" t="s">
        <v>143</v>
      </c>
      <c r="D2013" s="22" t="s">
        <v>1072</v>
      </c>
      <c r="E2013" s="22" t="str">
        <f>CONCATENATE(B2013,D2013)</f>
        <v>63673128-242</v>
      </c>
      <c r="F2013" s="22" t="s">
        <v>1073</v>
      </c>
      <c r="G2013" s="22" t="s">
        <v>158</v>
      </c>
      <c r="H2013" s="23">
        <v>170.52330000000001</v>
      </c>
      <c r="I2013" s="24">
        <v>1</v>
      </c>
      <c r="J2013" s="24">
        <v>0</v>
      </c>
      <c r="K2013" s="24">
        <v>0</v>
      </c>
      <c r="L2013" s="41">
        <f>Table2[[#This Row],[Column1]]+Table2[[#This Row],[Column2]]</f>
        <v>0</v>
      </c>
      <c r="M2013" s="42">
        <f>Table2[[#This Row],[OnHandQty]]-Table2[[#This Row],[Projection Nov/Dec]]</f>
        <v>1</v>
      </c>
      <c r="N2013" s="35">
        <f>Table2[[#This Row],[OverStock]]*Table2[[#This Row],[RepCost]]</f>
        <v>170.52330000000001</v>
      </c>
      <c r="O2013" s="25">
        <v>46105.497916666667</v>
      </c>
      <c r="P2013" s="26" t="s">
        <v>165</v>
      </c>
    </row>
    <row r="2014" spans="1:16" x14ac:dyDescent="0.25">
      <c r="A2014" s="20" t="s">
        <v>5211</v>
      </c>
      <c r="B2014" s="21">
        <v>636</v>
      </c>
      <c r="C2014" s="22" t="s">
        <v>143</v>
      </c>
      <c r="D2014" s="22" t="s">
        <v>1003</v>
      </c>
      <c r="E2014" s="22" t="str">
        <f>CONCATENATE(B2014,D2014)</f>
        <v>63673128-248</v>
      </c>
      <c r="F2014" s="22" t="s">
        <v>1004</v>
      </c>
      <c r="G2014" s="22" t="s">
        <v>23</v>
      </c>
      <c r="H2014" s="23">
        <v>115.6289</v>
      </c>
      <c r="I2014" s="24">
        <v>1</v>
      </c>
      <c r="J2014" s="24">
        <v>0</v>
      </c>
      <c r="K2014" s="24">
        <v>0</v>
      </c>
      <c r="L2014" s="41">
        <f>Table2[[#This Row],[Column1]]+Table2[[#This Row],[Column2]]</f>
        <v>0</v>
      </c>
      <c r="M2014" s="42">
        <f>Table2[[#This Row],[OnHandQty]]-Table2[[#This Row],[Projection Nov/Dec]]</f>
        <v>1</v>
      </c>
      <c r="N2014" s="35">
        <f>Table2[[#This Row],[OverStock]]*Table2[[#This Row],[RepCost]]</f>
        <v>115.6289</v>
      </c>
      <c r="O2014" s="25">
        <v>46125.407638888886</v>
      </c>
      <c r="P2014" s="26" t="s">
        <v>295</v>
      </c>
    </row>
    <row r="2015" spans="1:16" x14ac:dyDescent="0.25">
      <c r="A2015" s="20" t="s">
        <v>5211</v>
      </c>
      <c r="B2015" s="21">
        <v>714</v>
      </c>
      <c r="C2015" s="22" t="s">
        <v>323</v>
      </c>
      <c r="D2015" s="22" t="s">
        <v>2836</v>
      </c>
      <c r="E2015" s="22" t="str">
        <f>CONCATENATE(B2015,D2015)</f>
        <v>71473138-115</v>
      </c>
      <c r="F2015" s="22" t="s">
        <v>2837</v>
      </c>
      <c r="G2015" s="22" t="s">
        <v>29</v>
      </c>
      <c r="H2015" s="23">
        <v>101.5724</v>
      </c>
      <c r="I2015" s="24">
        <v>5</v>
      </c>
      <c r="J2015" s="24">
        <v>0</v>
      </c>
      <c r="K2015" s="24">
        <v>0</v>
      </c>
      <c r="L2015" s="41">
        <f>Table2[[#This Row],[Column1]]+Table2[[#This Row],[Column2]]</f>
        <v>0</v>
      </c>
      <c r="M2015" s="42">
        <f>Table2[[#This Row],[OnHandQty]]-Table2[[#This Row],[Projection Nov/Dec]]</f>
        <v>5</v>
      </c>
      <c r="N2015" s="35">
        <f>Table2[[#This Row],[OverStock]]*Table2[[#This Row],[RepCost]]</f>
        <v>507.86200000000002</v>
      </c>
      <c r="O2015" s="25">
        <v>46132.597222222219</v>
      </c>
      <c r="P2015" s="26" t="s">
        <v>40</v>
      </c>
    </row>
    <row r="2016" spans="1:16" x14ac:dyDescent="0.25">
      <c r="A2016" s="20" t="s">
        <v>5211</v>
      </c>
      <c r="B2016" s="21">
        <v>714</v>
      </c>
      <c r="C2016" s="22" t="s">
        <v>323</v>
      </c>
      <c r="D2016" s="22" t="s">
        <v>418</v>
      </c>
      <c r="E2016" s="22" t="str">
        <f>CONCATENATE(B2016,D2016)</f>
        <v>71473138-020</v>
      </c>
      <c r="F2016" s="22" t="s">
        <v>419</v>
      </c>
      <c r="G2016" s="22" t="s">
        <v>158</v>
      </c>
      <c r="H2016" s="23">
        <v>148.4384</v>
      </c>
      <c r="I2016" s="24">
        <v>15</v>
      </c>
      <c r="J2016" s="24">
        <v>2</v>
      </c>
      <c r="K2016" s="24">
        <v>1</v>
      </c>
      <c r="L2016" s="41">
        <f>Table2[[#This Row],[Column1]]+Table2[[#This Row],[Column2]]</f>
        <v>3</v>
      </c>
      <c r="M2016" s="42">
        <f>Table2[[#This Row],[OnHandQty]]-Table2[[#This Row],[Projection Nov/Dec]]</f>
        <v>12</v>
      </c>
      <c r="N2016" s="35">
        <f>Table2[[#This Row],[OverStock]]*Table2[[#This Row],[RepCost]]</f>
        <v>1781.2608</v>
      </c>
      <c r="O2016" s="25">
        <v>46079.423611111109</v>
      </c>
      <c r="P2016" s="26" t="s">
        <v>159</v>
      </c>
    </row>
    <row r="2017" spans="1:16" x14ac:dyDescent="0.25">
      <c r="A2017" s="20" t="s">
        <v>5211</v>
      </c>
      <c r="B2017" s="21">
        <v>634</v>
      </c>
      <c r="C2017" s="22" t="s">
        <v>323</v>
      </c>
      <c r="D2017" s="22" t="s">
        <v>418</v>
      </c>
      <c r="E2017" s="22" t="str">
        <f>CONCATENATE(B2017,D2017)</f>
        <v>63473138-020</v>
      </c>
      <c r="F2017" s="22" t="s">
        <v>419</v>
      </c>
      <c r="G2017" s="22" t="s">
        <v>23</v>
      </c>
      <c r="H2017" s="23">
        <v>153.4932</v>
      </c>
      <c r="I2017" s="24">
        <v>6</v>
      </c>
      <c r="J2017" s="24">
        <v>2</v>
      </c>
      <c r="K2017" s="24">
        <v>1</v>
      </c>
      <c r="L2017" s="41">
        <f>Table2[[#This Row],[Column1]]+Table2[[#This Row],[Column2]]</f>
        <v>3</v>
      </c>
      <c r="M2017" s="42">
        <f>Table2[[#This Row],[OnHandQty]]-Table2[[#This Row],[Projection Nov/Dec]]</f>
        <v>3</v>
      </c>
      <c r="N2017" s="35">
        <f>Table2[[#This Row],[OverStock]]*Table2[[#This Row],[RepCost]]</f>
        <v>460.4796</v>
      </c>
      <c r="O2017" s="25">
        <v>46080.506249999999</v>
      </c>
      <c r="P2017" s="26" t="s">
        <v>159</v>
      </c>
    </row>
    <row r="2018" spans="1:16" x14ac:dyDescent="0.25">
      <c r="A2018" s="20" t="s">
        <v>5211</v>
      </c>
      <c r="B2018" s="21">
        <v>636</v>
      </c>
      <c r="C2018" s="22" t="s">
        <v>323</v>
      </c>
      <c r="D2018" s="22" t="s">
        <v>418</v>
      </c>
      <c r="E2018" s="22" t="str">
        <f>CONCATENATE(B2018,D2018)</f>
        <v>63673138-020</v>
      </c>
      <c r="F2018" s="22" t="s">
        <v>419</v>
      </c>
      <c r="G2018" s="22" t="s">
        <v>23</v>
      </c>
      <c r="H2018" s="23">
        <v>154.64859999999999</v>
      </c>
      <c r="I2018" s="24">
        <v>9</v>
      </c>
      <c r="J2018" s="24">
        <v>2</v>
      </c>
      <c r="K2018" s="24">
        <v>1</v>
      </c>
      <c r="L2018" s="41">
        <f>Table2[[#This Row],[Column1]]+Table2[[#This Row],[Column2]]</f>
        <v>3</v>
      </c>
      <c r="M2018" s="42">
        <f>Table2[[#This Row],[OnHandQty]]-Table2[[#This Row],[Projection Nov/Dec]]</f>
        <v>6</v>
      </c>
      <c r="N2018" s="35">
        <f>Table2[[#This Row],[OverStock]]*Table2[[#This Row],[RepCost]]</f>
        <v>927.89159999999993</v>
      </c>
      <c r="O2018" s="25">
        <v>46085.617361111108</v>
      </c>
      <c r="P2018" s="26" t="s">
        <v>159</v>
      </c>
    </row>
    <row r="2019" spans="1:16" x14ac:dyDescent="0.25">
      <c r="A2019" s="20" t="s">
        <v>5211</v>
      </c>
      <c r="B2019" s="21">
        <v>714</v>
      </c>
      <c r="C2019" s="22" t="s">
        <v>323</v>
      </c>
      <c r="D2019" s="22" t="s">
        <v>2838</v>
      </c>
      <c r="E2019" s="22" t="str">
        <f>CONCATENATE(B2019,D2019)</f>
        <v>71473138-025</v>
      </c>
      <c r="F2019" s="22" t="s">
        <v>2839</v>
      </c>
      <c r="G2019" s="22" t="s">
        <v>35</v>
      </c>
      <c r="H2019" s="23">
        <v>75</v>
      </c>
      <c r="I2019" s="24">
        <v>5</v>
      </c>
      <c r="J2019" s="24">
        <v>0</v>
      </c>
      <c r="K2019" s="24">
        <v>0</v>
      </c>
      <c r="L2019" s="41">
        <f>Table2[[#This Row],[Column1]]+Table2[[#This Row],[Column2]]</f>
        <v>0</v>
      </c>
      <c r="M2019" s="42">
        <f>Table2[[#This Row],[OnHandQty]]-Table2[[#This Row],[Projection Nov/Dec]]</f>
        <v>5</v>
      </c>
      <c r="N2019" s="35">
        <f>Table2[[#This Row],[OverStock]]*Table2[[#This Row],[RepCost]]</f>
        <v>375</v>
      </c>
      <c r="O2019" s="25">
        <v>45952.438888888886</v>
      </c>
      <c r="P2019" s="26" t="s">
        <v>1224</v>
      </c>
    </row>
    <row r="2020" spans="1:16" x14ac:dyDescent="0.25">
      <c r="A2020" s="20" t="s">
        <v>5211</v>
      </c>
      <c r="B2020" s="21">
        <v>634</v>
      </c>
      <c r="C2020" s="22" t="s">
        <v>143</v>
      </c>
      <c r="D2020" s="22" t="s">
        <v>293</v>
      </c>
      <c r="E2020" s="22" t="str">
        <f>CONCATENATE(B2020,D2020)</f>
        <v>63473146-305</v>
      </c>
      <c r="F2020" s="22" t="s">
        <v>294</v>
      </c>
      <c r="G2020" s="22" t="s">
        <v>29</v>
      </c>
      <c r="H2020" s="23">
        <v>113.0416</v>
      </c>
      <c r="I2020" s="24">
        <v>5</v>
      </c>
      <c r="J2020" s="24">
        <v>0</v>
      </c>
      <c r="K2020" s="24">
        <v>0</v>
      </c>
      <c r="L2020" s="41">
        <f>Table2[[#This Row],[Column1]]+Table2[[#This Row],[Column2]]</f>
        <v>0</v>
      </c>
      <c r="M2020" s="42">
        <f>Table2[[#This Row],[OnHandQty]]-Table2[[#This Row],[Projection Nov/Dec]]</f>
        <v>5</v>
      </c>
      <c r="N2020" s="35">
        <f>Table2[[#This Row],[OverStock]]*Table2[[#This Row],[RepCost]]</f>
        <v>565.20799999999997</v>
      </c>
      <c r="O2020" s="25">
        <v>46115.618055555555</v>
      </c>
      <c r="P2020" s="26" t="s">
        <v>295</v>
      </c>
    </row>
    <row r="2021" spans="1:16" x14ac:dyDescent="0.25">
      <c r="A2021" s="20" t="s">
        <v>5211</v>
      </c>
      <c r="B2021" s="21">
        <v>636</v>
      </c>
      <c r="C2021" s="22" t="s">
        <v>143</v>
      </c>
      <c r="D2021" s="22" t="s">
        <v>934</v>
      </c>
      <c r="E2021" s="22" t="str">
        <f>CONCATENATE(B2021,D2021)</f>
        <v>63673149-254</v>
      </c>
      <c r="F2021" s="27" t="s">
        <v>935</v>
      </c>
      <c r="G2021" s="27" t="s">
        <v>58</v>
      </c>
      <c r="H2021" s="23">
        <v>147.70679999999999</v>
      </c>
      <c r="I2021" s="24">
        <v>1</v>
      </c>
      <c r="J2021" s="24">
        <v>0</v>
      </c>
      <c r="K2021" s="24">
        <v>0</v>
      </c>
      <c r="L2021" s="41">
        <f>Table2[[#This Row],[Column1]]+Table2[[#This Row],[Column2]]</f>
        <v>0</v>
      </c>
      <c r="M2021" s="42">
        <f>Table2[[#This Row],[OnHandQty]]-Table2[[#This Row],[Projection Nov/Dec]]</f>
        <v>1</v>
      </c>
      <c r="N2021" s="35">
        <f>Table2[[#This Row],[OverStock]]*Table2[[#This Row],[RepCost]]</f>
        <v>147.70679999999999</v>
      </c>
      <c r="O2021" s="25">
        <v>45723.395138888889</v>
      </c>
      <c r="P2021" s="26" t="s">
        <v>165</v>
      </c>
    </row>
    <row r="2022" spans="1:16" x14ac:dyDescent="0.25">
      <c r="A2022" s="20" t="s">
        <v>5211</v>
      </c>
      <c r="B2022" s="21">
        <v>714</v>
      </c>
      <c r="C2022" s="22" t="s">
        <v>143</v>
      </c>
      <c r="D2022" s="22" t="s">
        <v>2717</v>
      </c>
      <c r="E2022" s="22" t="str">
        <f>CONCATENATE(B2022,D2022)</f>
        <v>71473165-305</v>
      </c>
      <c r="F2022" s="22" t="s">
        <v>2718</v>
      </c>
      <c r="G2022" s="22" t="s">
        <v>29</v>
      </c>
      <c r="H2022" s="23">
        <v>70</v>
      </c>
      <c r="I2022" s="24">
        <v>1</v>
      </c>
      <c r="J2022" s="24">
        <v>0</v>
      </c>
      <c r="K2022" s="24">
        <v>0</v>
      </c>
      <c r="L2022" s="41">
        <f>Table2[[#This Row],[Column1]]+Table2[[#This Row],[Column2]]</f>
        <v>0</v>
      </c>
      <c r="M2022" s="42">
        <f>Table2[[#This Row],[OnHandQty]]-Table2[[#This Row],[Projection Nov/Dec]]</f>
        <v>1</v>
      </c>
      <c r="N2022" s="35">
        <f>Table2[[#This Row],[OverStock]]*Table2[[#This Row],[RepCost]]</f>
        <v>70</v>
      </c>
      <c r="O2022" s="25">
        <v>46143.36041666667</v>
      </c>
      <c r="P2022" s="26" t="s">
        <v>2719</v>
      </c>
    </row>
    <row r="2023" spans="1:16" x14ac:dyDescent="0.25">
      <c r="A2023" s="20" t="s">
        <v>5211</v>
      </c>
      <c r="B2023" s="21">
        <v>634</v>
      </c>
      <c r="C2023" s="22" t="s">
        <v>143</v>
      </c>
      <c r="D2023" s="22" t="s">
        <v>163</v>
      </c>
      <c r="E2023" s="22" t="str">
        <f>CONCATENATE(B2023,D2023)</f>
        <v>63473157-248</v>
      </c>
      <c r="F2023" s="22" t="s">
        <v>164</v>
      </c>
      <c r="G2023" s="22" t="s">
        <v>23</v>
      </c>
      <c r="H2023" s="23">
        <v>157.29300000000001</v>
      </c>
      <c r="I2023" s="24">
        <v>3</v>
      </c>
      <c r="J2023" s="24">
        <v>0</v>
      </c>
      <c r="K2023" s="24">
        <v>0</v>
      </c>
      <c r="L2023" s="41">
        <f>Table2[[#This Row],[Column1]]+Table2[[#This Row],[Column2]]</f>
        <v>0</v>
      </c>
      <c r="M2023" s="42">
        <f>Table2[[#This Row],[OnHandQty]]-Table2[[#This Row],[Projection Nov/Dec]]</f>
        <v>3</v>
      </c>
      <c r="N2023" s="35">
        <f>Table2[[#This Row],[OverStock]]*Table2[[#This Row],[RepCost]]</f>
        <v>471.87900000000002</v>
      </c>
      <c r="O2023" s="25">
        <v>46119.724999999999</v>
      </c>
      <c r="P2023" s="26" t="s">
        <v>165</v>
      </c>
    </row>
    <row r="2024" spans="1:16" x14ac:dyDescent="0.25">
      <c r="A2024" s="20" t="s">
        <v>5211</v>
      </c>
      <c r="B2024" s="21">
        <v>634</v>
      </c>
      <c r="C2024" s="22" t="s">
        <v>143</v>
      </c>
      <c r="D2024" s="22" t="s">
        <v>311</v>
      </c>
      <c r="E2024" s="22" t="str">
        <f>CONCATENATE(B2024,D2024)</f>
        <v>63473158-248</v>
      </c>
      <c r="F2024" s="22" t="s">
        <v>312</v>
      </c>
      <c r="G2024" s="22" t="s">
        <v>29</v>
      </c>
      <c r="H2024" s="23">
        <v>157.29300000000001</v>
      </c>
      <c r="I2024" s="24">
        <v>2</v>
      </c>
      <c r="J2024" s="24">
        <v>0</v>
      </c>
      <c r="K2024" s="24">
        <v>0</v>
      </c>
      <c r="L2024" s="41">
        <f>Table2[[#This Row],[Column1]]+Table2[[#This Row],[Column2]]</f>
        <v>0</v>
      </c>
      <c r="M2024" s="42">
        <f>Table2[[#This Row],[OnHandQty]]-Table2[[#This Row],[Projection Nov/Dec]]</f>
        <v>2</v>
      </c>
      <c r="N2024" s="35">
        <f>Table2[[#This Row],[OverStock]]*Table2[[#This Row],[RepCost]]</f>
        <v>314.58600000000001</v>
      </c>
      <c r="O2024" s="25">
        <v>46119.724999999999</v>
      </c>
      <c r="P2024" s="26" t="s">
        <v>165</v>
      </c>
    </row>
    <row r="2025" spans="1:16" x14ac:dyDescent="0.25">
      <c r="A2025" s="20" t="s">
        <v>5211</v>
      </c>
      <c r="B2025" s="21">
        <v>714</v>
      </c>
      <c r="C2025" s="22" t="s">
        <v>143</v>
      </c>
      <c r="D2025" s="22" t="s">
        <v>2553</v>
      </c>
      <c r="E2025" s="22" t="str">
        <f>CONCATENATE(B2025,D2025)</f>
        <v>71473163-106</v>
      </c>
      <c r="F2025" s="22" t="s">
        <v>2554</v>
      </c>
      <c r="G2025" s="22" t="s">
        <v>29</v>
      </c>
      <c r="H2025" s="23">
        <v>30.6571</v>
      </c>
      <c r="I2025" s="24">
        <v>2</v>
      </c>
      <c r="J2025" s="24">
        <v>0</v>
      </c>
      <c r="K2025" s="24">
        <v>0</v>
      </c>
      <c r="L2025" s="41">
        <f>Table2[[#This Row],[Column1]]+Table2[[#This Row],[Column2]]</f>
        <v>0</v>
      </c>
      <c r="M2025" s="42">
        <f>Table2[[#This Row],[OnHandQty]]-Table2[[#This Row],[Projection Nov/Dec]]</f>
        <v>2</v>
      </c>
      <c r="N2025" s="35">
        <f>Table2[[#This Row],[OverStock]]*Table2[[#This Row],[RepCost]]</f>
        <v>61.3142</v>
      </c>
      <c r="O2025" s="25">
        <v>46098.381249999999</v>
      </c>
      <c r="P2025" s="26" t="s">
        <v>885</v>
      </c>
    </row>
    <row r="2026" spans="1:16" x14ac:dyDescent="0.25">
      <c r="A2026" s="20" t="s">
        <v>5211</v>
      </c>
      <c r="B2026" s="21">
        <v>718</v>
      </c>
      <c r="C2026" s="22" t="s">
        <v>143</v>
      </c>
      <c r="D2026" s="22" t="s">
        <v>2553</v>
      </c>
      <c r="E2026" s="22" t="str">
        <f>CONCATENATE(B2026,D2026)</f>
        <v>71873163-106</v>
      </c>
      <c r="F2026" s="22" t="s">
        <v>2554</v>
      </c>
      <c r="G2026" s="22" t="s">
        <v>29</v>
      </c>
      <c r="H2026" s="23">
        <v>32.449800000000003</v>
      </c>
      <c r="I2026" s="24">
        <v>3</v>
      </c>
      <c r="J2026" s="24">
        <v>0</v>
      </c>
      <c r="K2026" s="24">
        <v>0</v>
      </c>
      <c r="L2026" s="41">
        <f>Table2[[#This Row],[Column1]]+Table2[[#This Row],[Column2]]</f>
        <v>0</v>
      </c>
      <c r="M2026" s="42">
        <f>Table2[[#This Row],[OnHandQty]]-Table2[[#This Row],[Projection Nov/Dec]]</f>
        <v>3</v>
      </c>
      <c r="N2026" s="35">
        <f>Table2[[#This Row],[OverStock]]*Table2[[#This Row],[RepCost]]</f>
        <v>97.349400000000003</v>
      </c>
      <c r="O2026" s="25">
        <v>46139.576388888891</v>
      </c>
      <c r="P2026" s="26" t="s">
        <v>885</v>
      </c>
    </row>
    <row r="2027" spans="1:16" x14ac:dyDescent="0.25">
      <c r="A2027" s="20" t="s">
        <v>5211</v>
      </c>
      <c r="B2027" s="21">
        <v>714</v>
      </c>
      <c r="C2027" s="22" t="s">
        <v>143</v>
      </c>
      <c r="D2027" s="22" t="s">
        <v>2740</v>
      </c>
      <c r="E2027" s="22" t="str">
        <f>CONCATENATE(B2027,D2027)</f>
        <v>71484395-103</v>
      </c>
      <c r="F2027" s="22" t="s">
        <v>2741</v>
      </c>
      <c r="G2027" s="22" t="s">
        <v>23</v>
      </c>
      <c r="H2027" s="23">
        <v>20.321999999999999</v>
      </c>
      <c r="I2027" s="24">
        <v>9</v>
      </c>
      <c r="J2027" s="24">
        <v>0</v>
      </c>
      <c r="K2027" s="24">
        <v>0</v>
      </c>
      <c r="L2027" s="41">
        <f>Table2[[#This Row],[Column1]]+Table2[[#This Row],[Column2]]</f>
        <v>0</v>
      </c>
      <c r="M2027" s="42">
        <f>Table2[[#This Row],[OnHandQty]]-Table2[[#This Row],[Projection Nov/Dec]]</f>
        <v>9</v>
      </c>
      <c r="N2027" s="35">
        <f>Table2[[#This Row],[OverStock]]*Table2[[#This Row],[RepCost]]</f>
        <v>182.898</v>
      </c>
      <c r="O2027" s="25">
        <v>46188.35</v>
      </c>
      <c r="P2027" s="26" t="s">
        <v>26</v>
      </c>
    </row>
    <row r="2028" spans="1:16" x14ac:dyDescent="0.25">
      <c r="A2028" s="20" t="s">
        <v>5211</v>
      </c>
      <c r="B2028" s="21">
        <v>714</v>
      </c>
      <c r="C2028" s="22" t="s">
        <v>143</v>
      </c>
      <c r="D2028" s="22" t="s">
        <v>2780</v>
      </c>
      <c r="E2028" s="22" t="str">
        <f>CONCATENATE(B2028,D2028)</f>
        <v>71484395-STD110</v>
      </c>
      <c r="F2028" s="22" t="s">
        <v>2781</v>
      </c>
      <c r="G2028" s="22" t="s">
        <v>29</v>
      </c>
      <c r="H2028" s="23">
        <v>119.0082</v>
      </c>
      <c r="I2028" s="24">
        <v>5</v>
      </c>
      <c r="J2028" s="24">
        <v>0</v>
      </c>
      <c r="K2028" s="24">
        <v>0</v>
      </c>
      <c r="L2028" s="41">
        <f>Table2[[#This Row],[Column1]]+Table2[[#This Row],[Column2]]</f>
        <v>0</v>
      </c>
      <c r="M2028" s="42">
        <f>Table2[[#This Row],[OnHandQty]]-Table2[[#This Row],[Projection Nov/Dec]]</f>
        <v>5</v>
      </c>
      <c r="N2028" s="35">
        <f>Table2[[#This Row],[OverStock]]*Table2[[#This Row],[RepCost]]</f>
        <v>595.04100000000005</v>
      </c>
      <c r="O2028" s="25">
        <v>46171.526388888888</v>
      </c>
      <c r="P2028" s="26" t="s">
        <v>261</v>
      </c>
    </row>
    <row r="2029" spans="1:16" x14ac:dyDescent="0.25">
      <c r="A2029" s="20" t="s">
        <v>5211</v>
      </c>
      <c r="B2029" s="21">
        <v>714</v>
      </c>
      <c r="C2029" s="22" t="s">
        <v>323</v>
      </c>
      <c r="D2029" s="22" t="s">
        <v>3317</v>
      </c>
      <c r="E2029" s="22" t="str">
        <f>CONCATENATE(B2029,D2029)</f>
        <v>71473239-115</v>
      </c>
      <c r="F2029" s="27" t="s">
        <v>3318</v>
      </c>
      <c r="G2029" s="27" t="s">
        <v>58</v>
      </c>
      <c r="H2029" s="23">
        <v>100.5264</v>
      </c>
      <c r="I2029" s="24">
        <v>1</v>
      </c>
      <c r="J2029" s="24">
        <v>0</v>
      </c>
      <c r="K2029" s="24">
        <v>0</v>
      </c>
      <c r="L2029" s="41">
        <f>Table2[[#This Row],[Column1]]+Table2[[#This Row],[Column2]]</f>
        <v>0</v>
      </c>
      <c r="M2029" s="42">
        <f>Table2[[#This Row],[OnHandQty]]-Table2[[#This Row],[Projection Nov/Dec]]</f>
        <v>1</v>
      </c>
      <c r="N2029" s="35">
        <f>Table2[[#This Row],[OverStock]]*Table2[[#This Row],[RepCost]]</f>
        <v>100.5264</v>
      </c>
      <c r="O2029" s="25">
        <v>45826.474999999999</v>
      </c>
      <c r="P2029" s="26" t="s">
        <v>216</v>
      </c>
    </row>
    <row r="2030" spans="1:16" x14ac:dyDescent="0.25">
      <c r="A2030" s="20" t="s">
        <v>5211</v>
      </c>
      <c r="B2030" s="21">
        <v>714</v>
      </c>
      <c r="C2030" s="22" t="s">
        <v>323</v>
      </c>
      <c r="D2030" s="22" t="s">
        <v>3311</v>
      </c>
      <c r="E2030" s="22" t="str">
        <f>CONCATENATE(B2030,D2030)</f>
        <v>71473239-125</v>
      </c>
      <c r="F2030" s="27" t="s">
        <v>3312</v>
      </c>
      <c r="G2030" s="27" t="s">
        <v>58</v>
      </c>
      <c r="H2030" s="23">
        <v>94.137699999999995</v>
      </c>
      <c r="I2030" s="24">
        <v>1</v>
      </c>
      <c r="J2030" s="24">
        <v>0</v>
      </c>
      <c r="K2030" s="24">
        <v>0</v>
      </c>
      <c r="L2030" s="41">
        <f>Table2[[#This Row],[Column1]]+Table2[[#This Row],[Column2]]</f>
        <v>0</v>
      </c>
      <c r="M2030" s="42">
        <f>Table2[[#This Row],[OnHandQty]]-Table2[[#This Row],[Projection Nov/Dec]]</f>
        <v>1</v>
      </c>
      <c r="N2030" s="35">
        <f>Table2[[#This Row],[OverStock]]*Table2[[#This Row],[RepCost]]</f>
        <v>94.137699999999995</v>
      </c>
      <c r="O2030" s="25">
        <v>45044.35833333333</v>
      </c>
      <c r="P2030" s="26" t="s">
        <v>354</v>
      </c>
    </row>
    <row r="2031" spans="1:16" x14ac:dyDescent="0.25">
      <c r="A2031" s="20" t="s">
        <v>5211</v>
      </c>
      <c r="B2031" s="21">
        <v>718</v>
      </c>
      <c r="C2031" s="22" t="s">
        <v>323</v>
      </c>
      <c r="D2031" s="22" t="s">
        <v>3869</v>
      </c>
      <c r="E2031" s="22" t="str">
        <f>CONCATENATE(B2031,D2031)</f>
        <v>71879376-307</v>
      </c>
      <c r="F2031" s="27" t="s">
        <v>3870</v>
      </c>
      <c r="G2031" s="27" t="s">
        <v>58</v>
      </c>
      <c r="H2031" s="23">
        <v>350.21640000000002</v>
      </c>
      <c r="I2031" s="24">
        <v>2</v>
      </c>
      <c r="J2031" s="24">
        <v>0</v>
      </c>
      <c r="K2031" s="24">
        <v>0</v>
      </c>
      <c r="L2031" s="41">
        <f>Table2[[#This Row],[Column1]]+Table2[[#This Row],[Column2]]</f>
        <v>0</v>
      </c>
      <c r="M2031" s="42">
        <f>Table2[[#This Row],[OnHandQty]]-Table2[[#This Row],[Projection Nov/Dec]]</f>
        <v>2</v>
      </c>
      <c r="N2031" s="35">
        <f>Table2[[#This Row],[OverStock]]*Table2[[#This Row],[RepCost]]</f>
        <v>700.43280000000004</v>
      </c>
      <c r="O2031" s="25">
        <v>45751.377083333333</v>
      </c>
      <c r="P2031" s="26" t="s">
        <v>178</v>
      </c>
    </row>
    <row r="2032" spans="1:16" x14ac:dyDescent="0.25">
      <c r="A2032" s="20" t="s">
        <v>5211</v>
      </c>
      <c r="B2032" s="21">
        <v>718</v>
      </c>
      <c r="C2032" s="22" t="s">
        <v>323</v>
      </c>
      <c r="D2032" s="22" t="s">
        <v>3887</v>
      </c>
      <c r="E2032" s="22" t="str">
        <f>CONCATENATE(B2032,D2032)</f>
        <v>71879376-308</v>
      </c>
      <c r="F2032" s="22" t="s">
        <v>3888</v>
      </c>
      <c r="G2032" s="22" t="s">
        <v>29</v>
      </c>
      <c r="H2032" s="23">
        <v>422.01819999999998</v>
      </c>
      <c r="I2032" s="24">
        <v>2</v>
      </c>
      <c r="J2032" s="24">
        <v>0</v>
      </c>
      <c r="K2032" s="24">
        <v>0</v>
      </c>
      <c r="L2032" s="41">
        <f>Table2[[#This Row],[Column1]]+Table2[[#This Row],[Column2]]</f>
        <v>0</v>
      </c>
      <c r="M2032" s="42">
        <f>Table2[[#This Row],[OnHandQty]]-Table2[[#This Row],[Projection Nov/Dec]]</f>
        <v>2</v>
      </c>
      <c r="N2032" s="35">
        <f>Table2[[#This Row],[OverStock]]*Table2[[#This Row],[RepCost]]</f>
        <v>844.03639999999996</v>
      </c>
      <c r="O2032" s="25">
        <v>46128.680555555555</v>
      </c>
      <c r="P2032" s="26" t="s">
        <v>178</v>
      </c>
    </row>
    <row r="2033" spans="1:16" x14ac:dyDescent="0.25">
      <c r="A2033" s="20" t="s">
        <v>5211</v>
      </c>
      <c r="B2033" s="21">
        <v>636</v>
      </c>
      <c r="C2033" s="22" t="s">
        <v>323</v>
      </c>
      <c r="D2033" s="22" t="s">
        <v>1498</v>
      </c>
      <c r="E2033" s="22" t="str">
        <f>CONCATENATE(B2033,D2033)</f>
        <v>63677354-020</v>
      </c>
      <c r="F2033" s="22" t="s">
        <v>1499</v>
      </c>
      <c r="G2033" s="22" t="s">
        <v>29</v>
      </c>
      <c r="H2033" s="23">
        <v>177.25219999999999</v>
      </c>
      <c r="I2033" s="24">
        <v>2</v>
      </c>
      <c r="J2033" s="24">
        <v>0</v>
      </c>
      <c r="K2033" s="24">
        <v>0</v>
      </c>
      <c r="L2033" s="41">
        <f>Table2[[#This Row],[Column1]]+Table2[[#This Row],[Column2]]</f>
        <v>0</v>
      </c>
      <c r="M2033" s="42">
        <f>Table2[[#This Row],[OnHandQty]]-Table2[[#This Row],[Projection Nov/Dec]]</f>
        <v>2</v>
      </c>
      <c r="N2033" s="35">
        <f>Table2[[#This Row],[OverStock]]*Table2[[#This Row],[RepCost]]</f>
        <v>354.50439999999998</v>
      </c>
      <c r="O2033" s="25">
        <v>46086.3125</v>
      </c>
      <c r="P2033" s="26" t="s">
        <v>1229</v>
      </c>
    </row>
    <row r="2034" spans="1:16" x14ac:dyDescent="0.25">
      <c r="A2034" s="20" t="s">
        <v>5211</v>
      </c>
      <c r="B2034" s="21">
        <v>636</v>
      </c>
      <c r="C2034" s="22" t="s">
        <v>143</v>
      </c>
      <c r="D2034" s="22" t="s">
        <v>1173</v>
      </c>
      <c r="E2034" s="22" t="str">
        <f>CONCATENATE(B2034,D2034)</f>
        <v>63673247-224</v>
      </c>
      <c r="F2034" s="22" t="s">
        <v>1174</v>
      </c>
      <c r="G2034" s="22" t="s">
        <v>29</v>
      </c>
      <c r="H2034" s="23">
        <v>49.6</v>
      </c>
      <c r="I2034" s="24">
        <v>3</v>
      </c>
      <c r="J2034" s="24">
        <v>0</v>
      </c>
      <c r="K2034" s="24">
        <v>0</v>
      </c>
      <c r="L2034" s="41">
        <f>Table2[[#This Row],[Column1]]+Table2[[#This Row],[Column2]]</f>
        <v>0</v>
      </c>
      <c r="M2034" s="42">
        <f>Table2[[#This Row],[OnHandQty]]-Table2[[#This Row],[Projection Nov/Dec]]</f>
        <v>3</v>
      </c>
      <c r="N2034" s="35">
        <f>Table2[[#This Row],[OverStock]]*Table2[[#This Row],[RepCost]]</f>
        <v>148.80000000000001</v>
      </c>
      <c r="O2034" s="25">
        <v>46178.329861111109</v>
      </c>
      <c r="P2034" s="26" t="s">
        <v>61</v>
      </c>
    </row>
    <row r="2035" spans="1:16" x14ac:dyDescent="0.25">
      <c r="A2035" s="20" t="s">
        <v>5211</v>
      </c>
      <c r="B2035" s="21">
        <v>714</v>
      </c>
      <c r="C2035" s="22" t="s">
        <v>143</v>
      </c>
      <c r="D2035" s="22" t="s">
        <v>2523</v>
      </c>
      <c r="E2035" s="22" t="str">
        <f>CONCATENATE(B2035,D2035)</f>
        <v>71473247-105</v>
      </c>
      <c r="F2035" s="22" t="s">
        <v>2524</v>
      </c>
      <c r="G2035" s="22" t="s">
        <v>15</v>
      </c>
      <c r="H2035" s="23">
        <v>17.597999999999999</v>
      </c>
      <c r="I2035" s="24">
        <v>4</v>
      </c>
      <c r="J2035" s="24">
        <v>1</v>
      </c>
      <c r="K2035" s="24">
        <v>0</v>
      </c>
      <c r="L2035" s="41">
        <f>Table2[[#This Row],[Column1]]+Table2[[#This Row],[Column2]]</f>
        <v>1</v>
      </c>
      <c r="M2035" s="42">
        <f>Table2[[#This Row],[OnHandQty]]-Table2[[#This Row],[Projection Nov/Dec]]</f>
        <v>3</v>
      </c>
      <c r="N2035" s="35">
        <f>Table2[[#This Row],[OverStock]]*Table2[[#This Row],[RepCost]]</f>
        <v>52.793999999999997</v>
      </c>
      <c r="O2035" s="25">
        <v>45750.533333333333</v>
      </c>
      <c r="P2035" s="26" t="s">
        <v>2225</v>
      </c>
    </row>
    <row r="2036" spans="1:16" x14ac:dyDescent="0.25">
      <c r="A2036" s="20" t="s">
        <v>5211</v>
      </c>
      <c r="B2036" s="21">
        <v>714</v>
      </c>
      <c r="C2036" s="22" t="s">
        <v>143</v>
      </c>
      <c r="D2036" s="22" t="s">
        <v>2226</v>
      </c>
      <c r="E2036" s="22" t="str">
        <f>CONCATENATE(B2036,D2036)</f>
        <v>71473246-236</v>
      </c>
      <c r="F2036" s="22" t="s">
        <v>2227</v>
      </c>
      <c r="G2036" s="22" t="s">
        <v>29</v>
      </c>
      <c r="H2036" s="23">
        <v>113.7765</v>
      </c>
      <c r="I2036" s="24">
        <v>6</v>
      </c>
      <c r="J2036" s="24">
        <v>0</v>
      </c>
      <c r="K2036" s="24">
        <v>0</v>
      </c>
      <c r="L2036" s="41">
        <f>Table2[[#This Row],[Column1]]+Table2[[#This Row],[Column2]]</f>
        <v>0</v>
      </c>
      <c r="M2036" s="42">
        <f>Table2[[#This Row],[OnHandQty]]-Table2[[#This Row],[Projection Nov/Dec]]</f>
        <v>6</v>
      </c>
      <c r="N2036" s="35">
        <f>Table2[[#This Row],[OverStock]]*Table2[[#This Row],[RepCost]]</f>
        <v>682.65899999999999</v>
      </c>
      <c r="O2036" s="25">
        <v>46149.3125</v>
      </c>
      <c r="P2036" s="26" t="s">
        <v>137</v>
      </c>
    </row>
    <row r="2037" spans="1:16" x14ac:dyDescent="0.25">
      <c r="A2037" s="20" t="s">
        <v>5211</v>
      </c>
      <c r="B2037" s="21">
        <v>718</v>
      </c>
      <c r="C2037" s="22" t="s">
        <v>143</v>
      </c>
      <c r="D2037" s="22" t="s">
        <v>3707</v>
      </c>
      <c r="E2037" s="22" t="str">
        <f>CONCATENATE(B2037,D2037)</f>
        <v>71873246-305</v>
      </c>
      <c r="F2037" s="22" t="s">
        <v>3708</v>
      </c>
      <c r="G2037" s="22" t="s">
        <v>19</v>
      </c>
      <c r="H2037" s="23">
        <v>171.99539999999999</v>
      </c>
      <c r="I2037" s="24">
        <v>3</v>
      </c>
      <c r="J2037" s="24">
        <v>0</v>
      </c>
      <c r="K2037" s="24">
        <v>0</v>
      </c>
      <c r="L2037" s="41">
        <f>Table2[[#This Row],[Column1]]+Table2[[#This Row],[Column2]]</f>
        <v>0</v>
      </c>
      <c r="M2037" s="42">
        <f>Table2[[#This Row],[OnHandQty]]-Table2[[#This Row],[Projection Nov/Dec]]</f>
        <v>3</v>
      </c>
      <c r="N2037" s="35">
        <f>Table2[[#This Row],[OverStock]]*Table2[[#This Row],[RepCost]]</f>
        <v>515.98619999999994</v>
      </c>
      <c r="O2037" s="25">
        <v>46118.523611111108</v>
      </c>
      <c r="P2037" s="26" t="s">
        <v>137</v>
      </c>
    </row>
    <row r="2038" spans="1:16" x14ac:dyDescent="0.25">
      <c r="A2038" s="20" t="s">
        <v>5211</v>
      </c>
      <c r="B2038" s="21">
        <v>714</v>
      </c>
      <c r="C2038" s="22" t="s">
        <v>143</v>
      </c>
      <c r="D2038" s="22" t="s">
        <v>2330</v>
      </c>
      <c r="E2038" s="22" t="str">
        <f>CONCATENATE(B2038,D2038)</f>
        <v>71473256-242</v>
      </c>
      <c r="F2038" s="22" t="s">
        <v>2331</v>
      </c>
      <c r="G2038" s="22" t="s">
        <v>29</v>
      </c>
      <c r="H2038" s="23">
        <v>84.965500000000006</v>
      </c>
      <c r="I2038" s="24">
        <v>17</v>
      </c>
      <c r="J2038" s="24">
        <v>0</v>
      </c>
      <c r="K2038" s="24">
        <v>0</v>
      </c>
      <c r="L2038" s="41">
        <f>Table2[[#This Row],[Column1]]+Table2[[#This Row],[Column2]]</f>
        <v>0</v>
      </c>
      <c r="M2038" s="42">
        <f>Table2[[#This Row],[OnHandQty]]-Table2[[#This Row],[Projection Nov/Dec]]</f>
        <v>17</v>
      </c>
      <c r="N2038" s="35">
        <f>Table2[[#This Row],[OverStock]]*Table2[[#This Row],[RepCost]]</f>
        <v>1444.4135000000001</v>
      </c>
      <c r="O2038" s="25">
        <v>46214.34652777778</v>
      </c>
      <c r="P2038" s="26" t="s">
        <v>903</v>
      </c>
    </row>
    <row r="2039" spans="1:16" x14ac:dyDescent="0.25">
      <c r="A2039" s="20" t="s">
        <v>5211</v>
      </c>
      <c r="B2039" s="21">
        <v>718</v>
      </c>
      <c r="C2039" s="22" t="s">
        <v>143</v>
      </c>
      <c r="D2039" s="22" t="s">
        <v>2638</v>
      </c>
      <c r="E2039" s="22" t="str">
        <f>CONCATENATE(B2039,D2039)</f>
        <v>71878913-105</v>
      </c>
      <c r="F2039" s="22" t="s">
        <v>2639</v>
      </c>
      <c r="G2039" s="22" t="s">
        <v>29</v>
      </c>
      <c r="H2039" s="23">
        <v>40.9709</v>
      </c>
      <c r="I2039" s="24">
        <v>5</v>
      </c>
      <c r="J2039" s="24">
        <v>0</v>
      </c>
      <c r="K2039" s="24">
        <v>0</v>
      </c>
      <c r="L2039" s="41">
        <f>Table2[[#This Row],[Column1]]+Table2[[#This Row],[Column2]]</f>
        <v>0</v>
      </c>
      <c r="M2039" s="42">
        <f>Table2[[#This Row],[OnHandQty]]-Table2[[#This Row],[Projection Nov/Dec]]</f>
        <v>5</v>
      </c>
      <c r="N2039" s="35">
        <f>Table2[[#This Row],[OverStock]]*Table2[[#This Row],[RepCost]]</f>
        <v>204.8545</v>
      </c>
      <c r="O2039" s="25">
        <v>46140.671527777777</v>
      </c>
      <c r="P2039" s="26" t="s">
        <v>36</v>
      </c>
    </row>
    <row r="2040" spans="1:16" x14ac:dyDescent="0.25">
      <c r="A2040" s="20" t="s">
        <v>5211</v>
      </c>
      <c r="B2040" s="21">
        <v>714</v>
      </c>
      <c r="C2040" s="22" t="s">
        <v>143</v>
      </c>
      <c r="D2040" s="22" t="s">
        <v>2638</v>
      </c>
      <c r="E2040" s="22" t="str">
        <f>CONCATENATE(B2040,D2040)</f>
        <v>71478913-105</v>
      </c>
      <c r="F2040" s="22" t="s">
        <v>2639</v>
      </c>
      <c r="G2040" s="22" t="s">
        <v>39</v>
      </c>
      <c r="H2040" s="23">
        <v>38.441400000000002</v>
      </c>
      <c r="I2040" s="24">
        <v>5</v>
      </c>
      <c r="J2040" s="24">
        <v>0</v>
      </c>
      <c r="K2040" s="24">
        <v>0</v>
      </c>
      <c r="L2040" s="41">
        <f>Table2[[#This Row],[Column1]]+Table2[[#This Row],[Column2]]</f>
        <v>0</v>
      </c>
      <c r="M2040" s="42">
        <f>Table2[[#This Row],[OnHandQty]]-Table2[[#This Row],[Projection Nov/Dec]]</f>
        <v>5</v>
      </c>
      <c r="N2040" s="35">
        <f>Table2[[#This Row],[OverStock]]*Table2[[#This Row],[RepCost]]</f>
        <v>192.20699999999999</v>
      </c>
      <c r="O2040" s="25">
        <v>46196.347916666666</v>
      </c>
      <c r="P2040" s="26" t="s">
        <v>36</v>
      </c>
    </row>
    <row r="2041" spans="1:16" x14ac:dyDescent="0.25">
      <c r="A2041" s="20" t="s">
        <v>5211</v>
      </c>
      <c r="B2041" s="21">
        <v>714</v>
      </c>
      <c r="C2041" s="22" t="s">
        <v>143</v>
      </c>
      <c r="D2041" s="22" t="s">
        <v>2513</v>
      </c>
      <c r="E2041" s="22" t="str">
        <f>CONCATENATE(B2041,D2041)</f>
        <v>71478914-236</v>
      </c>
      <c r="F2041" s="22" t="s">
        <v>2514</v>
      </c>
      <c r="G2041" s="22" t="s">
        <v>29</v>
      </c>
      <c r="H2041" s="23">
        <v>85.969300000000004</v>
      </c>
      <c r="I2041" s="24">
        <v>8</v>
      </c>
      <c r="J2041" s="24">
        <v>0</v>
      </c>
      <c r="K2041" s="24">
        <v>0</v>
      </c>
      <c r="L2041" s="41">
        <f>Table2[[#This Row],[Column1]]+Table2[[#This Row],[Column2]]</f>
        <v>0</v>
      </c>
      <c r="M2041" s="42">
        <f>Table2[[#This Row],[OnHandQty]]-Table2[[#This Row],[Projection Nov/Dec]]</f>
        <v>8</v>
      </c>
      <c r="N2041" s="35">
        <f>Table2[[#This Row],[OverStock]]*Table2[[#This Row],[RepCost]]</f>
        <v>687.75440000000003</v>
      </c>
      <c r="O2041" s="25">
        <v>45981.45</v>
      </c>
      <c r="P2041" s="26" t="s">
        <v>216</v>
      </c>
    </row>
    <row r="2042" spans="1:16" x14ac:dyDescent="0.25">
      <c r="A2042" s="20" t="s">
        <v>5211</v>
      </c>
      <c r="B2042" s="21">
        <v>714</v>
      </c>
      <c r="C2042" s="22" t="s">
        <v>143</v>
      </c>
      <c r="D2042" s="22" t="s">
        <v>2361</v>
      </c>
      <c r="E2042" s="22" t="str">
        <f>CONCATENATE(B2042,D2042)</f>
        <v>71473267-230</v>
      </c>
      <c r="F2042" s="22" t="s">
        <v>2362</v>
      </c>
      <c r="G2042" s="22" t="s">
        <v>158</v>
      </c>
      <c r="H2042" s="23">
        <v>51.372700000000002</v>
      </c>
      <c r="I2042" s="24">
        <v>32</v>
      </c>
      <c r="J2042" s="24">
        <v>0</v>
      </c>
      <c r="K2042" s="24">
        <v>0</v>
      </c>
      <c r="L2042" s="41">
        <f>Table2[[#This Row],[Column1]]+Table2[[#This Row],[Column2]]</f>
        <v>0</v>
      </c>
      <c r="M2042" s="42">
        <f>Table2[[#This Row],[OnHandQty]]-Table2[[#This Row],[Projection Nov/Dec]]</f>
        <v>32</v>
      </c>
      <c r="N2042" s="35">
        <f>Table2[[#This Row],[OverStock]]*Table2[[#This Row],[RepCost]]</f>
        <v>1643.9264000000001</v>
      </c>
      <c r="O2042" s="25">
        <v>46191.602083333331</v>
      </c>
      <c r="P2042" s="26" t="s">
        <v>903</v>
      </c>
    </row>
    <row r="2043" spans="1:16" x14ac:dyDescent="0.25">
      <c r="A2043" s="20" t="s">
        <v>5211</v>
      </c>
      <c r="B2043" s="21">
        <v>636</v>
      </c>
      <c r="C2043" s="22" t="s">
        <v>143</v>
      </c>
      <c r="D2043" s="22" t="s">
        <v>982</v>
      </c>
      <c r="E2043" s="22" t="str">
        <f>CONCATENATE(B2043,D2043)</f>
        <v>63673267-110</v>
      </c>
      <c r="F2043" s="22" t="s">
        <v>983</v>
      </c>
      <c r="G2043" s="22" t="s">
        <v>29</v>
      </c>
      <c r="H2043" s="23">
        <v>97.818700000000007</v>
      </c>
      <c r="I2043" s="24">
        <v>1</v>
      </c>
      <c r="J2043" s="24">
        <v>0</v>
      </c>
      <c r="K2043" s="24">
        <v>0</v>
      </c>
      <c r="L2043" s="41">
        <f>Table2[[#This Row],[Column1]]+Table2[[#This Row],[Column2]]</f>
        <v>0</v>
      </c>
      <c r="M2043" s="42">
        <f>Table2[[#This Row],[OnHandQty]]-Table2[[#This Row],[Projection Nov/Dec]]</f>
        <v>1</v>
      </c>
      <c r="N2043" s="35">
        <f>Table2[[#This Row],[OverStock]]*Table2[[#This Row],[RepCost]]</f>
        <v>97.818700000000007</v>
      </c>
      <c r="O2043" s="25">
        <v>46216.52847222222</v>
      </c>
      <c r="P2043" s="26" t="s">
        <v>40</v>
      </c>
    </row>
    <row r="2044" spans="1:16" x14ac:dyDescent="0.25">
      <c r="A2044" s="20" t="s">
        <v>5211</v>
      </c>
      <c r="B2044" s="21">
        <v>636</v>
      </c>
      <c r="C2044" s="22" t="s">
        <v>143</v>
      </c>
      <c r="D2044" s="22" t="s">
        <v>1196</v>
      </c>
      <c r="E2044" s="22" t="str">
        <f>CONCATENATE(B2044,D2044)</f>
        <v>63681444-254</v>
      </c>
      <c r="F2044" s="22" t="s">
        <v>1197</v>
      </c>
      <c r="G2044" s="22" t="s">
        <v>158</v>
      </c>
      <c r="H2044" s="23">
        <v>182.95840000000001</v>
      </c>
      <c r="I2044" s="24">
        <v>2</v>
      </c>
      <c r="J2044" s="24">
        <v>0</v>
      </c>
      <c r="K2044" s="24">
        <v>0</v>
      </c>
      <c r="L2044" s="41">
        <f>Table2[[#This Row],[Column1]]+Table2[[#This Row],[Column2]]</f>
        <v>0</v>
      </c>
      <c r="M2044" s="42">
        <f>Table2[[#This Row],[OnHandQty]]-Table2[[#This Row],[Projection Nov/Dec]]</f>
        <v>2</v>
      </c>
      <c r="N2044" s="35">
        <f>Table2[[#This Row],[OverStock]]*Table2[[#This Row],[RepCost]]</f>
        <v>365.91680000000002</v>
      </c>
      <c r="O2044" s="25">
        <v>46133.45</v>
      </c>
      <c r="P2044" s="26" t="s">
        <v>137</v>
      </c>
    </row>
    <row r="2045" spans="1:16" x14ac:dyDescent="0.25">
      <c r="A2045" s="20" t="s">
        <v>5211</v>
      </c>
      <c r="B2045" s="21">
        <v>714</v>
      </c>
      <c r="C2045" s="22" t="s">
        <v>143</v>
      </c>
      <c r="D2045" s="22" t="s">
        <v>2221</v>
      </c>
      <c r="E2045" s="22" t="str">
        <f>CONCATENATE(B2045,D2045)</f>
        <v>71473273-224</v>
      </c>
      <c r="F2045" s="22" t="s">
        <v>2222</v>
      </c>
      <c r="G2045" s="22" t="s">
        <v>158</v>
      </c>
      <c r="H2045" s="23">
        <v>48.684899999999999</v>
      </c>
      <c r="I2045" s="24">
        <v>24</v>
      </c>
      <c r="J2045" s="24">
        <v>17</v>
      </c>
      <c r="K2045" s="24">
        <v>0</v>
      </c>
      <c r="L2045" s="41">
        <f>Table2[[#This Row],[Column1]]+Table2[[#This Row],[Column2]]</f>
        <v>17</v>
      </c>
      <c r="M2045" s="42">
        <f>Table2[[#This Row],[OnHandQty]]-Table2[[#This Row],[Projection Nov/Dec]]</f>
        <v>7</v>
      </c>
      <c r="N2045" s="35">
        <f>Table2[[#This Row],[OverStock]]*Table2[[#This Row],[RepCost]]</f>
        <v>340.79430000000002</v>
      </c>
      <c r="O2045" s="25">
        <v>46164.538888888892</v>
      </c>
      <c r="P2045" s="26" t="s">
        <v>903</v>
      </c>
    </row>
    <row r="2046" spans="1:16" x14ac:dyDescent="0.25">
      <c r="A2046" s="20" t="s">
        <v>5211</v>
      </c>
      <c r="B2046" s="21">
        <v>714</v>
      </c>
      <c r="C2046" s="22" t="s">
        <v>143</v>
      </c>
      <c r="D2046" s="22" t="s">
        <v>2772</v>
      </c>
      <c r="E2046" s="22" t="str">
        <f>CONCATENATE(B2046,D2046)</f>
        <v>71473273-103</v>
      </c>
      <c r="F2046" s="22" t="s">
        <v>2773</v>
      </c>
      <c r="G2046" s="22" t="s">
        <v>23</v>
      </c>
      <c r="H2046" s="23">
        <v>25.273099999999999</v>
      </c>
      <c r="I2046" s="24">
        <v>56</v>
      </c>
      <c r="J2046" s="24">
        <v>0</v>
      </c>
      <c r="K2046" s="24">
        <v>0</v>
      </c>
      <c r="L2046" s="41">
        <f>Table2[[#This Row],[Column1]]+Table2[[#This Row],[Column2]]</f>
        <v>0</v>
      </c>
      <c r="M2046" s="42">
        <f>Table2[[#This Row],[OnHandQty]]-Table2[[#This Row],[Projection Nov/Dec]]</f>
        <v>56</v>
      </c>
      <c r="N2046" s="35">
        <f>Table2[[#This Row],[OverStock]]*Table2[[#This Row],[RepCost]]</f>
        <v>1415.2936</v>
      </c>
      <c r="O2046" s="25">
        <v>46136.467361111114</v>
      </c>
      <c r="P2046" s="26" t="s">
        <v>40</v>
      </c>
    </row>
    <row r="2047" spans="1:16" x14ac:dyDescent="0.25">
      <c r="A2047" s="20" t="s">
        <v>5211</v>
      </c>
      <c r="B2047" s="21">
        <v>718</v>
      </c>
      <c r="C2047" s="22" t="s">
        <v>143</v>
      </c>
      <c r="D2047" s="22" t="s">
        <v>2738</v>
      </c>
      <c r="E2047" s="22" t="str">
        <f>CONCATENATE(B2047,D2047)</f>
        <v>71873273-242</v>
      </c>
      <c r="F2047" s="22" t="s">
        <v>2739</v>
      </c>
      <c r="G2047" s="22" t="s">
        <v>19</v>
      </c>
      <c r="H2047" s="23">
        <v>109.5377</v>
      </c>
      <c r="I2047" s="24">
        <v>50</v>
      </c>
      <c r="J2047" s="24">
        <v>4</v>
      </c>
      <c r="K2047" s="24">
        <v>0</v>
      </c>
      <c r="L2047" s="41">
        <f>Table2[[#This Row],[Column1]]+Table2[[#This Row],[Column2]]</f>
        <v>4</v>
      </c>
      <c r="M2047" s="42">
        <f>Table2[[#This Row],[OnHandQty]]-Table2[[#This Row],[Projection Nov/Dec]]</f>
        <v>46</v>
      </c>
      <c r="N2047" s="35">
        <f>Table2[[#This Row],[OverStock]]*Table2[[#This Row],[RepCost]]</f>
        <v>5038.7341999999999</v>
      </c>
      <c r="O2047" s="25">
        <v>46135.509027777778</v>
      </c>
      <c r="P2047" s="26" t="s">
        <v>2423</v>
      </c>
    </row>
    <row r="2048" spans="1:16" x14ac:dyDescent="0.25">
      <c r="A2048" s="20" t="s">
        <v>5211</v>
      </c>
      <c r="B2048" s="21">
        <v>714</v>
      </c>
      <c r="C2048" s="22" t="s">
        <v>143</v>
      </c>
      <c r="D2048" s="22" t="s">
        <v>2738</v>
      </c>
      <c r="E2048" s="22" t="str">
        <f>CONCATENATE(B2048,D2048)</f>
        <v>71473273-242</v>
      </c>
      <c r="F2048" s="22" t="s">
        <v>2739</v>
      </c>
      <c r="G2048" s="22" t="s">
        <v>19</v>
      </c>
      <c r="H2048" s="23">
        <v>127.0788</v>
      </c>
      <c r="I2048" s="24">
        <v>37</v>
      </c>
      <c r="J2048" s="24">
        <v>4</v>
      </c>
      <c r="K2048" s="24">
        <v>0</v>
      </c>
      <c r="L2048" s="41">
        <f>Table2[[#This Row],[Column1]]+Table2[[#This Row],[Column2]]</f>
        <v>4</v>
      </c>
      <c r="M2048" s="42">
        <f>Table2[[#This Row],[OnHandQty]]-Table2[[#This Row],[Projection Nov/Dec]]</f>
        <v>33</v>
      </c>
      <c r="N2048" s="35">
        <f>Table2[[#This Row],[OverStock]]*Table2[[#This Row],[RepCost]]</f>
        <v>4193.6004000000003</v>
      </c>
      <c r="O2048" s="25">
        <v>46154.454861111109</v>
      </c>
      <c r="P2048" s="26" t="s">
        <v>137</v>
      </c>
    </row>
    <row r="2049" spans="1:16" x14ac:dyDescent="0.25">
      <c r="A2049" s="20" t="s">
        <v>5211</v>
      </c>
      <c r="B2049" s="21">
        <v>634</v>
      </c>
      <c r="C2049" s="22" t="s">
        <v>143</v>
      </c>
      <c r="D2049" s="22" t="s">
        <v>289</v>
      </c>
      <c r="E2049" s="22" t="str">
        <f>CONCATENATE(B2049,D2049)</f>
        <v>63473273-305</v>
      </c>
      <c r="F2049" s="22" t="s">
        <v>290</v>
      </c>
      <c r="G2049" s="22" t="s">
        <v>158</v>
      </c>
      <c r="H2049" s="23">
        <v>170.13380000000001</v>
      </c>
      <c r="I2049" s="24">
        <v>1</v>
      </c>
      <c r="J2049" s="24">
        <v>0</v>
      </c>
      <c r="K2049" s="24">
        <v>0</v>
      </c>
      <c r="L2049" s="41">
        <f>Table2[[#This Row],[Column1]]+Table2[[#This Row],[Column2]]</f>
        <v>0</v>
      </c>
      <c r="M2049" s="42">
        <f>Table2[[#This Row],[OnHandQty]]-Table2[[#This Row],[Projection Nov/Dec]]</f>
        <v>1</v>
      </c>
      <c r="N2049" s="35">
        <f>Table2[[#This Row],[OverStock]]*Table2[[#This Row],[RepCost]]</f>
        <v>170.13380000000001</v>
      </c>
      <c r="O2049" s="25">
        <v>46099.42083333333</v>
      </c>
      <c r="P2049" s="26" t="s">
        <v>137</v>
      </c>
    </row>
    <row r="2050" spans="1:16" x14ac:dyDescent="0.25">
      <c r="A2050" s="20" t="s">
        <v>5211</v>
      </c>
      <c r="B2050" s="21">
        <v>636</v>
      </c>
      <c r="C2050" s="22" t="s">
        <v>143</v>
      </c>
      <c r="D2050" s="22" t="s">
        <v>289</v>
      </c>
      <c r="E2050" s="22" t="str">
        <f>CONCATENATE(B2050,D2050)</f>
        <v>63673273-305</v>
      </c>
      <c r="F2050" s="22" t="s">
        <v>290</v>
      </c>
      <c r="G2050" s="22" t="s">
        <v>23</v>
      </c>
      <c r="H2050" s="23">
        <v>181.4153</v>
      </c>
      <c r="I2050" s="24">
        <v>2</v>
      </c>
      <c r="J2050" s="24">
        <v>0</v>
      </c>
      <c r="K2050" s="24">
        <v>0</v>
      </c>
      <c r="L2050" s="41">
        <f>Table2[[#This Row],[Column1]]+Table2[[#This Row],[Column2]]</f>
        <v>0</v>
      </c>
      <c r="M2050" s="42">
        <f>Table2[[#This Row],[OnHandQty]]-Table2[[#This Row],[Projection Nov/Dec]]</f>
        <v>2</v>
      </c>
      <c r="N2050" s="35">
        <f>Table2[[#This Row],[OverStock]]*Table2[[#This Row],[RepCost]]</f>
        <v>362.8306</v>
      </c>
      <c r="O2050" s="25">
        <v>46140.534722222219</v>
      </c>
      <c r="P2050" s="26" t="s">
        <v>137</v>
      </c>
    </row>
    <row r="2051" spans="1:16" x14ac:dyDescent="0.25">
      <c r="A2051" s="20" t="s">
        <v>5211</v>
      </c>
      <c r="B2051" s="21">
        <v>714</v>
      </c>
      <c r="C2051" s="22" t="s">
        <v>143</v>
      </c>
      <c r="D2051" s="22" t="s">
        <v>2373</v>
      </c>
      <c r="E2051" s="22" t="str">
        <f>CONCATENATE(B2051,D2051)</f>
        <v>71473282-103</v>
      </c>
      <c r="F2051" s="22" t="s">
        <v>2374</v>
      </c>
      <c r="G2051" s="22" t="s">
        <v>39</v>
      </c>
      <c r="H2051" s="23">
        <v>22.110199999999999</v>
      </c>
      <c r="I2051" s="24">
        <v>3</v>
      </c>
      <c r="J2051" s="24">
        <v>0</v>
      </c>
      <c r="K2051" s="24">
        <v>0</v>
      </c>
      <c r="L2051" s="41">
        <f>Table2[[#This Row],[Column1]]+Table2[[#This Row],[Column2]]</f>
        <v>0</v>
      </c>
      <c r="M2051" s="42">
        <f>Table2[[#This Row],[OnHandQty]]-Table2[[#This Row],[Projection Nov/Dec]]</f>
        <v>3</v>
      </c>
      <c r="N2051" s="35">
        <f>Table2[[#This Row],[OverStock]]*Table2[[#This Row],[RepCost]]</f>
        <v>66.330600000000004</v>
      </c>
      <c r="O2051" s="25">
        <v>46140.479166666664</v>
      </c>
      <c r="P2051" s="26" t="s">
        <v>1841</v>
      </c>
    </row>
    <row r="2052" spans="1:16" x14ac:dyDescent="0.25">
      <c r="A2052" s="20" t="s">
        <v>5211</v>
      </c>
      <c r="B2052" s="21">
        <v>714</v>
      </c>
      <c r="C2052" s="22" t="s">
        <v>323</v>
      </c>
      <c r="D2052" s="22" t="s">
        <v>3397</v>
      </c>
      <c r="E2052" s="22" t="str">
        <f>CONCATENATE(B2052,D2052)</f>
        <v>71476013-316</v>
      </c>
      <c r="F2052" s="22" t="s">
        <v>3398</v>
      </c>
      <c r="G2052" s="22" t="s">
        <v>29</v>
      </c>
      <c r="H2052" s="23">
        <v>688.36879999999996</v>
      </c>
      <c r="I2052" s="24">
        <v>5</v>
      </c>
      <c r="J2052" s="24">
        <v>0</v>
      </c>
      <c r="K2052" s="24">
        <v>0</v>
      </c>
      <c r="L2052" s="41">
        <f>Table2[[#This Row],[Column1]]+Table2[[#This Row],[Column2]]</f>
        <v>0</v>
      </c>
      <c r="M2052" s="42">
        <f>Table2[[#This Row],[OnHandQty]]-Table2[[#This Row],[Projection Nov/Dec]]</f>
        <v>5</v>
      </c>
      <c r="N2052" s="35">
        <f>Table2[[#This Row],[OverStock]]*Table2[[#This Row],[RepCost]]</f>
        <v>3441.8440000000001</v>
      </c>
      <c r="O2052" s="25">
        <v>46240.359027777777</v>
      </c>
      <c r="P2052" s="26" t="s">
        <v>216</v>
      </c>
    </row>
    <row r="2053" spans="1:16" x14ac:dyDescent="0.25">
      <c r="A2053" s="20" t="s">
        <v>5211</v>
      </c>
      <c r="B2053" s="21">
        <v>636</v>
      </c>
      <c r="C2053" s="22" t="s">
        <v>323</v>
      </c>
      <c r="D2053" s="22" t="s">
        <v>1691</v>
      </c>
      <c r="E2053" s="22" t="str">
        <f>CONCATENATE(B2053,D2053)</f>
        <v>63676013-318</v>
      </c>
      <c r="F2053" s="22" t="s">
        <v>1692</v>
      </c>
      <c r="G2053" s="22" t="s">
        <v>158</v>
      </c>
      <c r="H2053" s="23">
        <v>1393.4426000000001</v>
      </c>
      <c r="I2053" s="24">
        <v>5</v>
      </c>
      <c r="J2053" s="24">
        <v>0</v>
      </c>
      <c r="K2053" s="24">
        <v>3</v>
      </c>
      <c r="L2053" s="41">
        <f>Table2[[#This Row],[Column1]]+Table2[[#This Row],[Column2]]</f>
        <v>3</v>
      </c>
      <c r="M2053" s="42">
        <f>Table2[[#This Row],[OnHandQty]]-Table2[[#This Row],[Projection Nov/Dec]]</f>
        <v>2</v>
      </c>
      <c r="N2053" s="35">
        <f>Table2[[#This Row],[OverStock]]*Table2[[#This Row],[RepCost]]</f>
        <v>2786.8852000000002</v>
      </c>
      <c r="O2053" s="25">
        <v>46160.319444444445</v>
      </c>
      <c r="P2053" s="26" t="s">
        <v>1379</v>
      </c>
    </row>
    <row r="2054" spans="1:16" x14ac:dyDescent="0.25">
      <c r="A2054" s="20" t="s">
        <v>5211</v>
      </c>
      <c r="B2054" s="21">
        <v>636</v>
      </c>
      <c r="C2054" s="22" t="s">
        <v>323</v>
      </c>
      <c r="D2054" s="22" t="s">
        <v>364</v>
      </c>
      <c r="E2054" s="22" t="str">
        <f>CONCATENATE(B2054,D2054)</f>
        <v>63676013-125</v>
      </c>
      <c r="F2054" s="22" t="s">
        <v>365</v>
      </c>
      <c r="G2054" s="22" t="s">
        <v>43</v>
      </c>
      <c r="H2054" s="23">
        <v>137.87880000000001</v>
      </c>
      <c r="I2054" s="24">
        <v>7</v>
      </c>
      <c r="J2054" s="24">
        <v>0</v>
      </c>
      <c r="K2054" s="24">
        <v>0</v>
      </c>
      <c r="L2054" s="41">
        <f>Table2[[#This Row],[Column1]]+Table2[[#This Row],[Column2]]</f>
        <v>0</v>
      </c>
      <c r="M2054" s="42">
        <f>Table2[[#This Row],[OnHandQty]]-Table2[[#This Row],[Projection Nov/Dec]]</f>
        <v>7</v>
      </c>
      <c r="N2054" s="35">
        <f>Table2[[#This Row],[OverStock]]*Table2[[#This Row],[RepCost]]</f>
        <v>965.15160000000014</v>
      </c>
      <c r="O2054" s="25">
        <v>46093.551388888889</v>
      </c>
      <c r="P2054" s="26" t="s">
        <v>366</v>
      </c>
    </row>
    <row r="2055" spans="1:16" x14ac:dyDescent="0.25">
      <c r="A2055" s="20" t="s">
        <v>5211</v>
      </c>
      <c r="B2055" s="21">
        <v>634</v>
      </c>
      <c r="C2055" s="22" t="s">
        <v>323</v>
      </c>
      <c r="D2055" s="22" t="s">
        <v>364</v>
      </c>
      <c r="E2055" s="22" t="str">
        <f>CONCATENATE(B2055,D2055)</f>
        <v>63476013-125</v>
      </c>
      <c r="F2055" s="22" t="s">
        <v>365</v>
      </c>
      <c r="G2055" s="22" t="s">
        <v>158</v>
      </c>
      <c r="H2055" s="23">
        <v>139.31370000000001</v>
      </c>
      <c r="I2055" s="24">
        <v>6</v>
      </c>
      <c r="J2055" s="24">
        <v>0</v>
      </c>
      <c r="K2055" s="24">
        <v>0</v>
      </c>
      <c r="L2055" s="41">
        <f>Table2[[#This Row],[Column1]]+Table2[[#This Row],[Column2]]</f>
        <v>0</v>
      </c>
      <c r="M2055" s="42">
        <f>Table2[[#This Row],[OnHandQty]]-Table2[[#This Row],[Projection Nov/Dec]]</f>
        <v>6</v>
      </c>
      <c r="N2055" s="35">
        <f>Table2[[#This Row],[OverStock]]*Table2[[#This Row],[RepCost]]</f>
        <v>835.88220000000001</v>
      </c>
      <c r="O2055" s="25">
        <v>46115.321527777778</v>
      </c>
      <c r="P2055" s="26" t="s">
        <v>366</v>
      </c>
    </row>
    <row r="2056" spans="1:16" x14ac:dyDescent="0.25">
      <c r="A2056" s="20" t="s">
        <v>5211</v>
      </c>
      <c r="B2056" s="21">
        <v>714</v>
      </c>
      <c r="C2056" s="22" t="s">
        <v>323</v>
      </c>
      <c r="D2056" s="22" t="s">
        <v>3442</v>
      </c>
      <c r="E2056" s="22" t="str">
        <f>CONCATENATE(B2056,D2056)</f>
        <v>71476013-306PREM</v>
      </c>
      <c r="F2056" s="22" t="s">
        <v>3443</v>
      </c>
      <c r="G2056" s="22" t="s">
        <v>158</v>
      </c>
      <c r="H2056" s="23">
        <v>133.8965</v>
      </c>
      <c r="I2056" s="24">
        <v>6</v>
      </c>
      <c r="J2056" s="24">
        <v>0</v>
      </c>
      <c r="K2056" s="24">
        <v>0</v>
      </c>
      <c r="L2056" s="41">
        <f>Table2[[#This Row],[Column1]]+Table2[[#This Row],[Column2]]</f>
        <v>0</v>
      </c>
      <c r="M2056" s="42">
        <f>Table2[[#This Row],[OnHandQty]]-Table2[[#This Row],[Projection Nov/Dec]]</f>
        <v>6</v>
      </c>
      <c r="N2056" s="35">
        <f>Table2[[#This Row],[OverStock]]*Table2[[#This Row],[RepCost]]</f>
        <v>803.37900000000002</v>
      </c>
      <c r="O2056" s="25">
        <v>46214.34652777778</v>
      </c>
      <c r="P2056" s="26" t="s">
        <v>903</v>
      </c>
    </row>
    <row r="2057" spans="1:16" x14ac:dyDescent="0.25">
      <c r="A2057" s="20" t="s">
        <v>5211</v>
      </c>
      <c r="B2057" s="21">
        <v>714</v>
      </c>
      <c r="C2057" s="22" t="s">
        <v>323</v>
      </c>
      <c r="D2057" s="22" t="s">
        <v>3219</v>
      </c>
      <c r="E2057" s="22" t="str">
        <f>CONCATENATE(B2057,D2057)</f>
        <v>71481899-307</v>
      </c>
      <c r="F2057" s="22" t="s">
        <v>3220</v>
      </c>
      <c r="G2057" s="22" t="s">
        <v>19</v>
      </c>
      <c r="H2057" s="23">
        <v>136.26740000000001</v>
      </c>
      <c r="I2057" s="24">
        <v>6</v>
      </c>
      <c r="J2057" s="24">
        <v>0</v>
      </c>
      <c r="K2057" s="24">
        <v>0</v>
      </c>
      <c r="L2057" s="41">
        <f>Table2[[#This Row],[Column1]]+Table2[[#This Row],[Column2]]</f>
        <v>0</v>
      </c>
      <c r="M2057" s="42">
        <f>Table2[[#This Row],[OnHandQty]]-Table2[[#This Row],[Projection Nov/Dec]]</f>
        <v>6</v>
      </c>
      <c r="N2057" s="35">
        <f>Table2[[#This Row],[OverStock]]*Table2[[#This Row],[RepCost]]</f>
        <v>817.60440000000006</v>
      </c>
      <c r="O2057" s="25">
        <v>46151.382638888892</v>
      </c>
      <c r="P2057" s="26" t="s">
        <v>2225</v>
      </c>
    </row>
    <row r="2058" spans="1:16" x14ac:dyDescent="0.25">
      <c r="A2058" s="20" t="s">
        <v>5211</v>
      </c>
      <c r="B2058" s="21">
        <v>714</v>
      </c>
      <c r="C2058" s="22" t="s">
        <v>143</v>
      </c>
      <c r="D2058" s="22" t="s">
        <v>2525</v>
      </c>
      <c r="E2058" s="22" t="str">
        <f>CONCATENATE(B2058,D2058)</f>
        <v>71483086-105</v>
      </c>
      <c r="F2058" s="22" t="s">
        <v>2526</v>
      </c>
      <c r="G2058" s="22" t="s">
        <v>158</v>
      </c>
      <c r="H2058" s="23">
        <v>42.569800000000001</v>
      </c>
      <c r="I2058" s="24">
        <v>7</v>
      </c>
      <c r="J2058" s="24">
        <v>0</v>
      </c>
      <c r="K2058" s="24">
        <v>0</v>
      </c>
      <c r="L2058" s="41">
        <f>Table2[[#This Row],[Column1]]+Table2[[#This Row],[Column2]]</f>
        <v>0</v>
      </c>
      <c r="M2058" s="42">
        <f>Table2[[#This Row],[OnHandQty]]-Table2[[#This Row],[Projection Nov/Dec]]</f>
        <v>7</v>
      </c>
      <c r="N2058" s="35">
        <f>Table2[[#This Row],[OverStock]]*Table2[[#This Row],[RepCost]]</f>
        <v>297.98860000000002</v>
      </c>
      <c r="O2058" s="25">
        <v>46231.575694444444</v>
      </c>
      <c r="P2058" s="26" t="s">
        <v>195</v>
      </c>
    </row>
    <row r="2059" spans="1:16" x14ac:dyDescent="0.25">
      <c r="A2059" s="20" t="s">
        <v>5211</v>
      </c>
      <c r="B2059" s="21">
        <v>636</v>
      </c>
      <c r="C2059" s="22" t="s">
        <v>323</v>
      </c>
      <c r="D2059" s="22" t="s">
        <v>470</v>
      </c>
      <c r="E2059" s="22" t="str">
        <f>CONCATENATE(B2059,D2059)</f>
        <v>63673356-306</v>
      </c>
      <c r="F2059" s="22" t="s">
        <v>471</v>
      </c>
      <c r="G2059" s="22" t="s">
        <v>158</v>
      </c>
      <c r="H2059" s="23">
        <v>122.5638</v>
      </c>
      <c r="I2059" s="24">
        <v>14</v>
      </c>
      <c r="J2059" s="24">
        <v>0</v>
      </c>
      <c r="K2059" s="24">
        <v>0</v>
      </c>
      <c r="L2059" s="41">
        <f>Table2[[#This Row],[Column1]]+Table2[[#This Row],[Column2]]</f>
        <v>0</v>
      </c>
      <c r="M2059" s="42">
        <f>Table2[[#This Row],[OnHandQty]]-Table2[[#This Row],[Projection Nov/Dec]]</f>
        <v>14</v>
      </c>
      <c r="N2059" s="35">
        <f>Table2[[#This Row],[OverStock]]*Table2[[#This Row],[RepCost]]</f>
        <v>1715.8932</v>
      </c>
      <c r="O2059" s="25">
        <v>46107.402083333334</v>
      </c>
      <c r="P2059" s="26" t="s">
        <v>354</v>
      </c>
    </row>
    <row r="2060" spans="1:16" x14ac:dyDescent="0.25">
      <c r="A2060" s="20" t="s">
        <v>5211</v>
      </c>
      <c r="B2060" s="21">
        <v>634</v>
      </c>
      <c r="C2060" s="22" t="s">
        <v>323</v>
      </c>
      <c r="D2060" s="22" t="s">
        <v>470</v>
      </c>
      <c r="E2060" s="22" t="str">
        <f>CONCATENATE(B2060,D2060)</f>
        <v>63473356-306</v>
      </c>
      <c r="F2060" s="22" t="s">
        <v>471</v>
      </c>
      <c r="G2060" s="22" t="s">
        <v>455</v>
      </c>
      <c r="H2060" s="23">
        <v>159</v>
      </c>
      <c r="I2060" s="24">
        <v>5</v>
      </c>
      <c r="J2060" s="24">
        <v>0</v>
      </c>
      <c r="K2060" s="24">
        <v>0</v>
      </c>
      <c r="L2060" s="41">
        <f>Table2[[#This Row],[Column1]]+Table2[[#This Row],[Column2]]</f>
        <v>0</v>
      </c>
      <c r="M2060" s="42">
        <f>Table2[[#This Row],[OnHandQty]]-Table2[[#This Row],[Projection Nov/Dec]]</f>
        <v>5</v>
      </c>
      <c r="N2060" s="35">
        <f>Table2[[#This Row],[OverStock]]*Table2[[#This Row],[RepCost]]</f>
        <v>795</v>
      </c>
      <c r="O2060" s="25">
        <v>46132.625694444447</v>
      </c>
      <c r="P2060" s="26" t="s">
        <v>354</v>
      </c>
    </row>
    <row r="2061" spans="1:16" x14ac:dyDescent="0.25">
      <c r="A2061" s="20" t="s">
        <v>5211</v>
      </c>
      <c r="B2061" s="21">
        <v>636</v>
      </c>
      <c r="C2061" s="22" t="s">
        <v>323</v>
      </c>
      <c r="D2061" s="22" t="s">
        <v>1584</v>
      </c>
      <c r="E2061" s="22" t="str">
        <f>CONCATENATE(B2061,D2061)</f>
        <v>63673357-307</v>
      </c>
      <c r="F2061" s="22" t="s">
        <v>1585</v>
      </c>
      <c r="G2061" s="22" t="s">
        <v>19</v>
      </c>
      <c r="H2061" s="23">
        <v>211.2038</v>
      </c>
      <c r="I2061" s="24">
        <v>2</v>
      </c>
      <c r="J2061" s="24">
        <v>0</v>
      </c>
      <c r="K2061" s="24">
        <v>0</v>
      </c>
      <c r="L2061" s="41">
        <f>Table2[[#This Row],[Column1]]+Table2[[#This Row],[Column2]]</f>
        <v>0</v>
      </c>
      <c r="M2061" s="42">
        <f>Table2[[#This Row],[OnHandQty]]-Table2[[#This Row],[Projection Nov/Dec]]</f>
        <v>2</v>
      </c>
      <c r="N2061" s="35">
        <f>Table2[[#This Row],[OverStock]]*Table2[[#This Row],[RepCost]]</f>
        <v>422.4076</v>
      </c>
      <c r="O2061" s="25">
        <v>46154.363194444442</v>
      </c>
      <c r="P2061" s="26" t="s">
        <v>1535</v>
      </c>
    </row>
    <row r="2062" spans="1:16" x14ac:dyDescent="0.25">
      <c r="A2062" s="20" t="s">
        <v>5211</v>
      </c>
      <c r="B2062" s="21">
        <v>718</v>
      </c>
      <c r="C2062" s="22" t="s">
        <v>323</v>
      </c>
      <c r="D2062" s="22" t="s">
        <v>3828</v>
      </c>
      <c r="E2062" s="22" t="str">
        <f>CONCATENATE(B2062,D2062)</f>
        <v>71873357-107</v>
      </c>
      <c r="F2062" s="22" t="s">
        <v>3829</v>
      </c>
      <c r="G2062" s="22" t="s">
        <v>29</v>
      </c>
      <c r="H2062" s="23">
        <v>42.103900000000003</v>
      </c>
      <c r="I2062" s="24">
        <v>3</v>
      </c>
      <c r="J2062" s="24">
        <v>0</v>
      </c>
      <c r="K2062" s="24">
        <v>0</v>
      </c>
      <c r="L2062" s="41">
        <f>Table2[[#This Row],[Column1]]+Table2[[#This Row],[Column2]]</f>
        <v>0</v>
      </c>
      <c r="M2062" s="42">
        <f>Table2[[#This Row],[OnHandQty]]-Table2[[#This Row],[Projection Nov/Dec]]</f>
        <v>3</v>
      </c>
      <c r="N2062" s="35">
        <f>Table2[[#This Row],[OverStock]]*Table2[[#This Row],[RepCost]]</f>
        <v>126.3117</v>
      </c>
      <c r="O2062" s="25">
        <v>46218.515277777777</v>
      </c>
      <c r="P2062" s="26" t="s">
        <v>216</v>
      </c>
    </row>
    <row r="2063" spans="1:16" x14ac:dyDescent="0.25">
      <c r="A2063" s="20" t="s">
        <v>5211</v>
      </c>
      <c r="B2063" s="21">
        <v>636</v>
      </c>
      <c r="C2063" s="22" t="s">
        <v>323</v>
      </c>
      <c r="D2063" s="22" t="s">
        <v>1390</v>
      </c>
      <c r="E2063" s="22" t="str">
        <f>CONCATENATE(B2063,D2063)</f>
        <v>63673359-307</v>
      </c>
      <c r="F2063" s="22" t="s">
        <v>1391</v>
      </c>
      <c r="G2063" s="22" t="s">
        <v>29</v>
      </c>
      <c r="H2063" s="23">
        <v>141.916</v>
      </c>
      <c r="I2063" s="24">
        <v>1</v>
      </c>
      <c r="J2063" s="24">
        <v>0</v>
      </c>
      <c r="K2063" s="24">
        <v>0</v>
      </c>
      <c r="L2063" s="41">
        <f>Table2[[#This Row],[Column1]]+Table2[[#This Row],[Column2]]</f>
        <v>0</v>
      </c>
      <c r="M2063" s="42">
        <f>Table2[[#This Row],[OnHandQty]]-Table2[[#This Row],[Projection Nov/Dec]]</f>
        <v>1</v>
      </c>
      <c r="N2063" s="35">
        <f>Table2[[#This Row],[OverStock]]*Table2[[#This Row],[RepCost]]</f>
        <v>141.916</v>
      </c>
      <c r="O2063" s="25">
        <v>46107.402083333334</v>
      </c>
      <c r="P2063" s="26" t="s">
        <v>354</v>
      </c>
    </row>
    <row r="2064" spans="1:16" x14ac:dyDescent="0.25">
      <c r="A2064" s="20" t="s">
        <v>5211</v>
      </c>
      <c r="B2064" s="21">
        <v>714</v>
      </c>
      <c r="C2064" s="22" t="s">
        <v>323</v>
      </c>
      <c r="D2064" s="22" t="s">
        <v>1390</v>
      </c>
      <c r="E2064" s="22" t="str">
        <f>CONCATENATE(B2064,D2064)</f>
        <v>71473359-307</v>
      </c>
      <c r="F2064" s="22" t="s">
        <v>1391</v>
      </c>
      <c r="G2064" s="22" t="s">
        <v>455</v>
      </c>
      <c r="H2064" s="23">
        <v>122.63160000000001</v>
      </c>
      <c r="I2064" s="24">
        <v>2</v>
      </c>
      <c r="J2064" s="24">
        <v>0</v>
      </c>
      <c r="K2064" s="24">
        <v>0</v>
      </c>
      <c r="L2064" s="41">
        <f>Table2[[#This Row],[Column1]]+Table2[[#This Row],[Column2]]</f>
        <v>0</v>
      </c>
      <c r="M2064" s="42">
        <f>Table2[[#This Row],[OnHandQty]]-Table2[[#This Row],[Projection Nov/Dec]]</f>
        <v>2</v>
      </c>
      <c r="N2064" s="35">
        <f>Table2[[#This Row],[OverStock]]*Table2[[#This Row],[RepCost]]</f>
        <v>245.26320000000001</v>
      </c>
      <c r="O2064" s="25">
        <v>46188.431944444441</v>
      </c>
      <c r="P2064" s="26" t="s">
        <v>2444</v>
      </c>
    </row>
    <row r="2065" spans="1:16" x14ac:dyDescent="0.25">
      <c r="A2065" s="20" t="s">
        <v>5211</v>
      </c>
      <c r="B2065" s="21">
        <v>634</v>
      </c>
      <c r="C2065" s="22" t="s">
        <v>323</v>
      </c>
      <c r="D2065" s="22" t="s">
        <v>436</v>
      </c>
      <c r="E2065" s="22" t="str">
        <f>CONCATENATE(B2065,D2065)</f>
        <v>63473359-308</v>
      </c>
      <c r="F2065" s="27" t="s">
        <v>437</v>
      </c>
      <c r="G2065" s="27" t="s">
        <v>58</v>
      </c>
      <c r="H2065" s="23">
        <v>153.9256</v>
      </c>
      <c r="I2065" s="24">
        <v>6</v>
      </c>
      <c r="J2065" s="24">
        <v>0</v>
      </c>
      <c r="K2065" s="24">
        <v>0</v>
      </c>
      <c r="L2065" s="41">
        <f>Table2[[#This Row],[Column1]]+Table2[[#This Row],[Column2]]</f>
        <v>0</v>
      </c>
      <c r="M2065" s="42">
        <f>Table2[[#This Row],[OnHandQty]]-Table2[[#This Row],[Projection Nov/Dec]]</f>
        <v>6</v>
      </c>
      <c r="N2065" s="35">
        <f>Table2[[#This Row],[OverStock]]*Table2[[#This Row],[RepCost]]</f>
        <v>923.55359999999996</v>
      </c>
      <c r="O2065" s="25">
        <v>45768.520833333336</v>
      </c>
      <c r="P2065" s="26" t="s">
        <v>354</v>
      </c>
    </row>
    <row r="2066" spans="1:16" x14ac:dyDescent="0.25">
      <c r="A2066" s="20" t="s">
        <v>5211</v>
      </c>
      <c r="B2066" s="21">
        <v>714</v>
      </c>
      <c r="C2066" s="22" t="s">
        <v>323</v>
      </c>
      <c r="D2066" s="22" t="s">
        <v>436</v>
      </c>
      <c r="E2066" s="22" t="str">
        <f>CONCATENATE(B2066,D2066)</f>
        <v>71473359-308</v>
      </c>
      <c r="F2066" s="22" t="s">
        <v>437</v>
      </c>
      <c r="G2066" s="22" t="s">
        <v>35</v>
      </c>
      <c r="H2066" s="23">
        <v>197.73599999999999</v>
      </c>
      <c r="I2066" s="24">
        <v>3</v>
      </c>
      <c r="J2066" s="24">
        <v>0</v>
      </c>
      <c r="K2066" s="24">
        <v>0</v>
      </c>
      <c r="L2066" s="41">
        <f>Table2[[#This Row],[Column1]]+Table2[[#This Row],[Column2]]</f>
        <v>0</v>
      </c>
      <c r="M2066" s="42">
        <f>Table2[[#This Row],[OnHandQty]]-Table2[[#This Row],[Projection Nov/Dec]]</f>
        <v>3</v>
      </c>
      <c r="N2066" s="35">
        <f>Table2[[#This Row],[OverStock]]*Table2[[#This Row],[RepCost]]</f>
        <v>593.20799999999997</v>
      </c>
      <c r="O2066" s="25">
        <v>45812.629166666666</v>
      </c>
      <c r="P2066" s="26" t="s">
        <v>402</v>
      </c>
    </row>
    <row r="2067" spans="1:16" x14ac:dyDescent="0.25">
      <c r="A2067" s="20" t="s">
        <v>5211</v>
      </c>
      <c r="B2067" s="21">
        <v>714</v>
      </c>
      <c r="C2067" s="22" t="s">
        <v>323</v>
      </c>
      <c r="D2067" s="22" t="s">
        <v>3227</v>
      </c>
      <c r="E2067" s="22" t="str">
        <f>CONCATENATE(B2067,D2067)</f>
        <v>71473397-106</v>
      </c>
      <c r="F2067" s="22" t="s">
        <v>3228</v>
      </c>
      <c r="G2067" s="22" t="s">
        <v>29</v>
      </c>
      <c r="H2067" s="23">
        <v>24.5</v>
      </c>
      <c r="I2067" s="24">
        <v>1</v>
      </c>
      <c r="J2067" s="24">
        <v>0</v>
      </c>
      <c r="K2067" s="24">
        <v>0</v>
      </c>
      <c r="L2067" s="41">
        <f>Table2[[#This Row],[Column1]]+Table2[[#This Row],[Column2]]</f>
        <v>0</v>
      </c>
      <c r="M2067" s="42">
        <f>Table2[[#This Row],[OnHandQty]]-Table2[[#This Row],[Projection Nov/Dec]]</f>
        <v>1</v>
      </c>
      <c r="N2067" s="35">
        <f>Table2[[#This Row],[OverStock]]*Table2[[#This Row],[RepCost]]</f>
        <v>24.5</v>
      </c>
      <c r="O2067" s="25">
        <v>45386.461111111108</v>
      </c>
      <c r="P2067" s="26" t="s">
        <v>310</v>
      </c>
    </row>
    <row r="2068" spans="1:16" x14ac:dyDescent="0.25">
      <c r="A2068" s="20" t="s">
        <v>5211</v>
      </c>
      <c r="B2068" s="21">
        <v>714</v>
      </c>
      <c r="C2068" s="22" t="s">
        <v>323</v>
      </c>
      <c r="D2068" s="22" t="s">
        <v>3308</v>
      </c>
      <c r="E2068" s="22" t="str">
        <f>CONCATENATE(B2068,D2068)</f>
        <v>71473397-309</v>
      </c>
      <c r="F2068" s="22" t="s">
        <v>3309</v>
      </c>
      <c r="G2068" s="22" t="s">
        <v>158</v>
      </c>
      <c r="H2068" s="23">
        <v>213.57390000000001</v>
      </c>
      <c r="I2068" s="24">
        <v>16</v>
      </c>
      <c r="J2068" s="24">
        <v>0</v>
      </c>
      <c r="K2068" s="24">
        <v>0</v>
      </c>
      <c r="L2068" s="41">
        <f>Table2[[#This Row],[Column1]]+Table2[[#This Row],[Column2]]</f>
        <v>0</v>
      </c>
      <c r="M2068" s="42">
        <f>Table2[[#This Row],[OnHandQty]]-Table2[[#This Row],[Projection Nov/Dec]]</f>
        <v>16</v>
      </c>
      <c r="N2068" s="35">
        <f>Table2[[#This Row],[OverStock]]*Table2[[#This Row],[RepCost]]</f>
        <v>3417.1824000000001</v>
      </c>
      <c r="O2068" s="25">
        <v>46141.760416666664</v>
      </c>
      <c r="P2068" s="26" t="s">
        <v>3310</v>
      </c>
    </row>
    <row r="2069" spans="1:16" x14ac:dyDescent="0.25">
      <c r="A2069" s="20" t="s">
        <v>5211</v>
      </c>
      <c r="B2069" s="21">
        <v>714</v>
      </c>
      <c r="C2069" s="22" t="s">
        <v>323</v>
      </c>
      <c r="D2069" s="22" t="s">
        <v>2977</v>
      </c>
      <c r="E2069" s="22" t="str">
        <f>CONCATENATE(B2069,D2069)</f>
        <v>71473397-306PREM</v>
      </c>
      <c r="F2069" s="22" t="s">
        <v>2978</v>
      </c>
      <c r="G2069" s="22" t="s">
        <v>29</v>
      </c>
      <c r="H2069" s="23">
        <v>121.77160000000001</v>
      </c>
      <c r="I2069" s="24">
        <v>16</v>
      </c>
      <c r="J2069" s="24">
        <v>0</v>
      </c>
      <c r="K2069" s="24">
        <v>0</v>
      </c>
      <c r="L2069" s="41">
        <f>Table2[[#This Row],[Column1]]+Table2[[#This Row],[Column2]]</f>
        <v>0</v>
      </c>
      <c r="M2069" s="42">
        <f>Table2[[#This Row],[OnHandQty]]-Table2[[#This Row],[Projection Nov/Dec]]</f>
        <v>16</v>
      </c>
      <c r="N2069" s="35">
        <f>Table2[[#This Row],[OverStock]]*Table2[[#This Row],[RepCost]]</f>
        <v>1948.3456000000001</v>
      </c>
      <c r="O2069" s="25">
        <v>46174.381249999999</v>
      </c>
      <c r="P2069" s="26" t="s">
        <v>903</v>
      </c>
    </row>
    <row r="2070" spans="1:16" x14ac:dyDescent="0.25">
      <c r="A2070" s="20" t="s">
        <v>5211</v>
      </c>
      <c r="B2070" s="21">
        <v>636</v>
      </c>
      <c r="C2070" s="22" t="s">
        <v>323</v>
      </c>
      <c r="D2070" s="22" t="s">
        <v>1638</v>
      </c>
      <c r="E2070" s="22" t="str">
        <f>CONCATENATE(B2070,D2070)</f>
        <v>63673397-SC420</v>
      </c>
      <c r="F2070" s="22" t="s">
        <v>1639</v>
      </c>
      <c r="G2070" s="22" t="s">
        <v>29</v>
      </c>
      <c r="H2070" s="23">
        <v>575.89030000000002</v>
      </c>
      <c r="I2070" s="24">
        <v>2</v>
      </c>
      <c r="J2070" s="24">
        <v>0</v>
      </c>
      <c r="K2070" s="24">
        <v>0</v>
      </c>
      <c r="L2070" s="41">
        <f>Table2[[#This Row],[Column1]]+Table2[[#This Row],[Column2]]</f>
        <v>0</v>
      </c>
      <c r="M2070" s="42">
        <f>Table2[[#This Row],[OnHandQty]]-Table2[[#This Row],[Projection Nov/Dec]]</f>
        <v>2</v>
      </c>
      <c r="N2070" s="35">
        <f>Table2[[#This Row],[OverStock]]*Table2[[#This Row],[RepCost]]</f>
        <v>1151.7806</v>
      </c>
      <c r="O2070" s="25">
        <v>46140.540972222225</v>
      </c>
      <c r="P2070" s="26" t="s">
        <v>885</v>
      </c>
    </row>
    <row r="2071" spans="1:16" x14ac:dyDescent="0.25">
      <c r="A2071" s="20" t="s">
        <v>5211</v>
      </c>
      <c r="B2071" s="21">
        <v>636</v>
      </c>
      <c r="C2071" s="22" t="s">
        <v>323</v>
      </c>
      <c r="D2071" s="22" t="s">
        <v>1638</v>
      </c>
      <c r="E2071" s="22" t="str">
        <f>CONCATENATE(B2071,D2071)</f>
        <v>63673397-SC420</v>
      </c>
      <c r="F2071" s="22" t="s">
        <v>1639</v>
      </c>
      <c r="G2071" s="22" t="s">
        <v>29</v>
      </c>
      <c r="H2071" s="23">
        <v>575.89030000000002</v>
      </c>
      <c r="I2071" s="24">
        <v>2</v>
      </c>
      <c r="J2071" s="24">
        <v>0</v>
      </c>
      <c r="K2071" s="24">
        <v>0</v>
      </c>
      <c r="L2071" s="41">
        <f>Table2[[#This Row],[Column1]]+Table2[[#This Row],[Column2]]</f>
        <v>0</v>
      </c>
      <c r="M2071" s="42">
        <f>Table2[[#This Row],[OnHandQty]]-Table2[[#This Row],[Projection Nov/Dec]]</f>
        <v>2</v>
      </c>
      <c r="N2071" s="35">
        <f>Table2[[#This Row],[OverStock]]*Table2[[#This Row],[RepCost]]</f>
        <v>1151.7806</v>
      </c>
      <c r="O2071" s="25">
        <v>46140.540972222225</v>
      </c>
      <c r="P2071" s="26" t="s">
        <v>885</v>
      </c>
    </row>
    <row r="2072" spans="1:16" x14ac:dyDescent="0.25">
      <c r="A2072" s="20" t="s">
        <v>5211</v>
      </c>
      <c r="B2072" s="21">
        <v>634</v>
      </c>
      <c r="C2072" s="22" t="s">
        <v>323</v>
      </c>
      <c r="D2072" s="22" t="s">
        <v>361</v>
      </c>
      <c r="E2072" s="22" t="str">
        <f>CONCATENATE(B2072,D2072)</f>
        <v>63473397-SP115</v>
      </c>
      <c r="F2072" s="27" t="s">
        <v>362</v>
      </c>
      <c r="G2072" s="27" t="s">
        <v>58</v>
      </c>
      <c r="H2072" s="23">
        <v>97.167000000000002</v>
      </c>
      <c r="I2072" s="24">
        <v>1</v>
      </c>
      <c r="J2072" s="24">
        <v>0</v>
      </c>
      <c r="K2072" s="24">
        <v>0</v>
      </c>
      <c r="L2072" s="41">
        <f>Table2[[#This Row],[Column1]]+Table2[[#This Row],[Column2]]</f>
        <v>0</v>
      </c>
      <c r="M2072" s="42">
        <f>Table2[[#This Row],[OnHandQty]]-Table2[[#This Row],[Projection Nov/Dec]]</f>
        <v>1</v>
      </c>
      <c r="N2072" s="35">
        <f>Table2[[#This Row],[OverStock]]*Table2[[#This Row],[RepCost]]</f>
        <v>97.167000000000002</v>
      </c>
      <c r="O2072" s="25">
        <v>45372.381249999999</v>
      </c>
      <c r="P2072" s="26" t="s">
        <v>363</v>
      </c>
    </row>
    <row r="2073" spans="1:16" x14ac:dyDescent="0.25">
      <c r="A2073" s="20" t="s">
        <v>5211</v>
      </c>
      <c r="B2073" s="21">
        <v>636</v>
      </c>
      <c r="C2073" s="22" t="s">
        <v>323</v>
      </c>
      <c r="D2073" s="22" t="s">
        <v>1274</v>
      </c>
      <c r="E2073" s="22" t="str">
        <f>CONCATENATE(B2073,D2073)</f>
        <v>63673397-SC415</v>
      </c>
      <c r="F2073" s="22" t="s">
        <v>1275</v>
      </c>
      <c r="G2073" s="22" t="s">
        <v>29</v>
      </c>
      <c r="H2073" s="23">
        <v>320.81560000000002</v>
      </c>
      <c r="I2073" s="24">
        <v>1</v>
      </c>
      <c r="J2073" s="24">
        <v>0</v>
      </c>
      <c r="K2073" s="24">
        <v>0</v>
      </c>
      <c r="L2073" s="41">
        <f>Table2[[#This Row],[Column1]]+Table2[[#This Row],[Column2]]</f>
        <v>0</v>
      </c>
      <c r="M2073" s="42">
        <f>Table2[[#This Row],[OnHandQty]]-Table2[[#This Row],[Projection Nov/Dec]]</f>
        <v>1</v>
      </c>
      <c r="N2073" s="35">
        <f>Table2[[#This Row],[OverStock]]*Table2[[#This Row],[RepCost]]</f>
        <v>320.81560000000002</v>
      </c>
      <c r="O2073" s="25">
        <v>46140.540972222225</v>
      </c>
      <c r="P2073" s="26" t="s">
        <v>885</v>
      </c>
    </row>
    <row r="2074" spans="1:16" x14ac:dyDescent="0.25">
      <c r="A2074" s="20" t="s">
        <v>5211</v>
      </c>
      <c r="B2074" s="21">
        <v>636</v>
      </c>
      <c r="C2074" s="22" t="s">
        <v>558</v>
      </c>
      <c r="D2074" s="22" t="s">
        <v>559</v>
      </c>
      <c r="E2074" s="22" t="str">
        <f>CONCATENATE(B2074,D2074)</f>
        <v>63693098B</v>
      </c>
      <c r="F2074" s="22" t="s">
        <v>560</v>
      </c>
      <c r="G2074" s="22" t="s">
        <v>29</v>
      </c>
      <c r="H2074" s="23" t="s">
        <v>561</v>
      </c>
      <c r="I2074" s="24">
        <v>10</v>
      </c>
      <c r="J2074" s="24">
        <v>0</v>
      </c>
      <c r="K2074" s="24">
        <v>0</v>
      </c>
      <c r="L2074" s="41">
        <f>Table2[[#This Row],[Column1]]+Table2[[#This Row],[Column2]]</f>
        <v>0</v>
      </c>
      <c r="M2074" s="42">
        <f>Table2[[#This Row],[OnHandQty]]-Table2[[#This Row],[Projection Nov/Dec]]</f>
        <v>10</v>
      </c>
      <c r="N2074" s="35" t="e">
        <f>Table2[[#This Row],[OverStock]]*Table2[[#This Row],[RepCost]]</f>
        <v>#VALUE!</v>
      </c>
      <c r="O2074" s="25">
        <v>46162.611805555556</v>
      </c>
      <c r="P2074" s="26" t="s">
        <v>562</v>
      </c>
    </row>
    <row r="2075" spans="1:16" x14ac:dyDescent="0.25">
      <c r="A2075" s="20" t="s">
        <v>5211</v>
      </c>
      <c r="B2075" s="21">
        <v>636</v>
      </c>
      <c r="C2075" s="22" t="s">
        <v>323</v>
      </c>
      <c r="D2075" s="22" t="s">
        <v>1409</v>
      </c>
      <c r="E2075" s="22" t="str">
        <f>CONCATENATE(B2075,D2075)</f>
        <v>63693098-115</v>
      </c>
      <c r="F2075" s="22" t="s">
        <v>1410</v>
      </c>
      <c r="G2075" s="22" t="s">
        <v>19</v>
      </c>
      <c r="H2075" s="23">
        <v>67.381799999999998</v>
      </c>
      <c r="I2075" s="24">
        <v>6</v>
      </c>
      <c r="J2075" s="24">
        <v>0</v>
      </c>
      <c r="K2075" s="24">
        <v>0</v>
      </c>
      <c r="L2075" s="41">
        <f>Table2[[#This Row],[Column1]]+Table2[[#This Row],[Column2]]</f>
        <v>0</v>
      </c>
      <c r="M2075" s="42">
        <f>Table2[[#This Row],[OnHandQty]]-Table2[[#This Row],[Projection Nov/Dec]]</f>
        <v>6</v>
      </c>
      <c r="N2075" s="35">
        <f>Table2[[#This Row],[OverStock]]*Table2[[#This Row],[RepCost]]</f>
        <v>404.29079999999999</v>
      </c>
      <c r="O2075" s="25">
        <v>46156.506249999999</v>
      </c>
      <c r="P2075" s="26" t="s">
        <v>195</v>
      </c>
    </row>
    <row r="2076" spans="1:16" x14ac:dyDescent="0.25">
      <c r="A2076" s="20" t="s">
        <v>5211</v>
      </c>
      <c r="B2076" s="21">
        <v>636</v>
      </c>
      <c r="C2076" s="22" t="s">
        <v>323</v>
      </c>
      <c r="D2076" s="22" t="s">
        <v>1409</v>
      </c>
      <c r="E2076" s="22" t="str">
        <f>CONCATENATE(B2076,D2076)</f>
        <v>63693098-115</v>
      </c>
      <c r="F2076" s="22" t="s">
        <v>1410</v>
      </c>
      <c r="G2076" s="22" t="s">
        <v>19</v>
      </c>
      <c r="H2076" s="23">
        <v>67.381799999999998</v>
      </c>
      <c r="I2076" s="24">
        <v>6</v>
      </c>
      <c r="J2076" s="24">
        <v>0</v>
      </c>
      <c r="K2076" s="24">
        <v>0</v>
      </c>
      <c r="L2076" s="41">
        <f>Table2[[#This Row],[Column1]]+Table2[[#This Row],[Column2]]</f>
        <v>0</v>
      </c>
      <c r="M2076" s="42">
        <f>Table2[[#This Row],[OnHandQty]]-Table2[[#This Row],[Projection Nov/Dec]]</f>
        <v>6</v>
      </c>
      <c r="N2076" s="35">
        <f>Table2[[#This Row],[OverStock]]*Table2[[#This Row],[RepCost]]</f>
        <v>404.29079999999999</v>
      </c>
      <c r="O2076" s="25">
        <v>46156.506249999999</v>
      </c>
      <c r="P2076" s="26" t="s">
        <v>195</v>
      </c>
    </row>
    <row r="2077" spans="1:16" x14ac:dyDescent="0.25">
      <c r="A2077" s="20" t="s">
        <v>5211</v>
      </c>
      <c r="B2077" s="21">
        <v>714</v>
      </c>
      <c r="C2077" s="22" t="s">
        <v>143</v>
      </c>
      <c r="D2077" s="22" t="s">
        <v>2499</v>
      </c>
      <c r="E2077" s="22" t="str">
        <f>CONCATENATE(B2077,D2077)</f>
        <v>71473370-103</v>
      </c>
      <c r="F2077" s="27" t="s">
        <v>2500</v>
      </c>
      <c r="G2077" s="27" t="s">
        <v>58</v>
      </c>
      <c r="H2077" s="23">
        <v>28.584</v>
      </c>
      <c r="I2077" s="24">
        <v>5</v>
      </c>
      <c r="J2077" s="24">
        <v>0</v>
      </c>
      <c r="K2077" s="24">
        <v>0</v>
      </c>
      <c r="L2077" s="41">
        <f>Table2[[#This Row],[Column1]]+Table2[[#This Row],[Column2]]</f>
        <v>0</v>
      </c>
      <c r="M2077" s="42">
        <f>Table2[[#This Row],[OnHandQty]]-Table2[[#This Row],[Projection Nov/Dec]]</f>
        <v>5</v>
      </c>
      <c r="N2077" s="35">
        <f>Table2[[#This Row],[OverStock]]*Table2[[#This Row],[RepCost]]</f>
        <v>142.91999999999999</v>
      </c>
      <c r="O2077" s="25">
        <v>45776.645833333336</v>
      </c>
      <c r="P2077" s="26" t="s">
        <v>501</v>
      </c>
    </row>
    <row r="2078" spans="1:16" x14ac:dyDescent="0.25">
      <c r="A2078" s="20" t="s">
        <v>5211</v>
      </c>
      <c r="B2078" s="21">
        <v>718</v>
      </c>
      <c r="C2078" s="22" t="s">
        <v>143</v>
      </c>
      <c r="D2078" s="22" t="s">
        <v>3730</v>
      </c>
      <c r="E2078" s="22" t="str">
        <f>CONCATENATE(B2078,D2078)</f>
        <v>71873371-106</v>
      </c>
      <c r="F2078" s="22" t="s">
        <v>3731</v>
      </c>
      <c r="G2078" s="22" t="s">
        <v>23</v>
      </c>
      <c r="H2078" s="23">
        <v>26.923300000000001</v>
      </c>
      <c r="I2078" s="24">
        <v>1</v>
      </c>
      <c r="J2078" s="24">
        <v>0</v>
      </c>
      <c r="K2078" s="24">
        <v>0</v>
      </c>
      <c r="L2078" s="41">
        <f>Table2[[#This Row],[Column1]]+Table2[[#This Row],[Column2]]</f>
        <v>0</v>
      </c>
      <c r="M2078" s="42">
        <f>Table2[[#This Row],[OnHandQty]]-Table2[[#This Row],[Projection Nov/Dec]]</f>
        <v>1</v>
      </c>
      <c r="N2078" s="35">
        <f>Table2[[#This Row],[OverStock]]*Table2[[#This Row],[RepCost]]</f>
        <v>26.923300000000001</v>
      </c>
      <c r="O2078" s="25">
        <v>46147.688194444447</v>
      </c>
      <c r="P2078" s="26" t="s">
        <v>2066</v>
      </c>
    </row>
    <row r="2079" spans="1:16" x14ac:dyDescent="0.25">
      <c r="A2079" s="20" t="s">
        <v>5211</v>
      </c>
      <c r="B2079" s="21">
        <v>714</v>
      </c>
      <c r="C2079" s="22" t="s">
        <v>323</v>
      </c>
      <c r="D2079" s="22" t="s">
        <v>3423</v>
      </c>
      <c r="E2079" s="22" t="str">
        <f>CONCATENATE(B2079,D2079)</f>
        <v>71476016-310</v>
      </c>
      <c r="F2079" s="22" t="s">
        <v>3424</v>
      </c>
      <c r="G2079" s="22" t="s">
        <v>158</v>
      </c>
      <c r="H2079" s="23">
        <v>262</v>
      </c>
      <c r="I2079" s="24">
        <v>26</v>
      </c>
      <c r="J2079" s="24">
        <v>0</v>
      </c>
      <c r="K2079" s="24">
        <v>0</v>
      </c>
      <c r="L2079" s="41">
        <f>Table2[[#This Row],[Column1]]+Table2[[#This Row],[Column2]]</f>
        <v>0</v>
      </c>
      <c r="M2079" s="42">
        <f>Table2[[#This Row],[OnHandQty]]-Table2[[#This Row],[Projection Nov/Dec]]</f>
        <v>26</v>
      </c>
      <c r="N2079" s="35">
        <f>Table2[[#This Row],[OverStock]]*Table2[[#This Row],[RepCost]]</f>
        <v>6812</v>
      </c>
      <c r="O2079" s="25">
        <v>46135.587500000001</v>
      </c>
      <c r="P2079" s="26" t="s">
        <v>402</v>
      </c>
    </row>
    <row r="2080" spans="1:16" x14ac:dyDescent="0.25">
      <c r="A2080" s="20" t="s">
        <v>5211</v>
      </c>
      <c r="B2080" s="21">
        <v>636</v>
      </c>
      <c r="C2080" s="22" t="s">
        <v>323</v>
      </c>
      <c r="D2080" s="22" t="s">
        <v>1320</v>
      </c>
      <c r="E2080" s="22" t="str">
        <f>CONCATENATE(B2080,D2080)</f>
        <v>63676016-309</v>
      </c>
      <c r="F2080" s="22" t="s">
        <v>1321</v>
      </c>
      <c r="G2080" s="22" t="s">
        <v>19</v>
      </c>
      <c r="H2080" s="23">
        <v>191.25</v>
      </c>
      <c r="I2080" s="24">
        <v>4</v>
      </c>
      <c r="J2080" s="24">
        <v>0</v>
      </c>
      <c r="K2080" s="24">
        <v>0</v>
      </c>
      <c r="L2080" s="41">
        <f>Table2[[#This Row],[Column1]]+Table2[[#This Row],[Column2]]</f>
        <v>0</v>
      </c>
      <c r="M2080" s="42">
        <f>Table2[[#This Row],[OnHandQty]]-Table2[[#This Row],[Projection Nov/Dec]]</f>
        <v>4</v>
      </c>
      <c r="N2080" s="35">
        <f>Table2[[#This Row],[OverStock]]*Table2[[#This Row],[RepCost]]</f>
        <v>765</v>
      </c>
      <c r="O2080" s="25">
        <v>46126.456250000003</v>
      </c>
      <c r="P2080" s="26" t="s">
        <v>354</v>
      </c>
    </row>
    <row r="2081" spans="1:16" x14ac:dyDescent="0.25">
      <c r="A2081" s="20" t="s">
        <v>5211</v>
      </c>
      <c r="B2081" s="21">
        <v>714</v>
      </c>
      <c r="C2081" s="22" t="s">
        <v>143</v>
      </c>
      <c r="D2081" s="22" t="s">
        <v>2667</v>
      </c>
      <c r="E2081" s="22" t="str">
        <f>CONCATENATE(B2081,D2081)</f>
        <v>71482888-105</v>
      </c>
      <c r="F2081" s="22" t="s">
        <v>2668</v>
      </c>
      <c r="G2081" s="22" t="s">
        <v>23</v>
      </c>
      <c r="H2081" s="23">
        <v>31.9787</v>
      </c>
      <c r="I2081" s="24">
        <v>12</v>
      </c>
      <c r="J2081" s="24">
        <v>0</v>
      </c>
      <c r="K2081" s="24">
        <v>0</v>
      </c>
      <c r="L2081" s="41">
        <f>Table2[[#This Row],[Column1]]+Table2[[#This Row],[Column2]]</f>
        <v>0</v>
      </c>
      <c r="M2081" s="42">
        <f>Table2[[#This Row],[OnHandQty]]-Table2[[#This Row],[Projection Nov/Dec]]</f>
        <v>12</v>
      </c>
      <c r="N2081" s="35">
        <f>Table2[[#This Row],[OverStock]]*Table2[[#This Row],[RepCost]]</f>
        <v>383.74439999999998</v>
      </c>
      <c r="O2081" s="25">
        <v>46154.626388888886</v>
      </c>
      <c r="P2081" s="26" t="s">
        <v>36</v>
      </c>
    </row>
    <row r="2082" spans="1:16" x14ac:dyDescent="0.25">
      <c r="A2082" s="20" t="s">
        <v>5211</v>
      </c>
      <c r="B2082" s="21">
        <v>714</v>
      </c>
      <c r="C2082" s="22" t="s">
        <v>143</v>
      </c>
      <c r="D2082" s="22" t="s">
        <v>2354</v>
      </c>
      <c r="E2082" s="22" t="str">
        <f>CONCATENATE(B2082,D2082)</f>
        <v>71478029-103</v>
      </c>
      <c r="F2082" s="22" t="s">
        <v>2355</v>
      </c>
      <c r="G2082" s="22" t="s">
        <v>35</v>
      </c>
      <c r="H2082" s="23">
        <v>30.500900000000001</v>
      </c>
      <c r="I2082" s="24">
        <v>3</v>
      </c>
      <c r="J2082" s="24">
        <v>0</v>
      </c>
      <c r="K2082" s="24">
        <v>0</v>
      </c>
      <c r="L2082" s="41">
        <f>Table2[[#This Row],[Column1]]+Table2[[#This Row],[Column2]]</f>
        <v>0</v>
      </c>
      <c r="M2082" s="42">
        <f>Table2[[#This Row],[OnHandQty]]-Table2[[#This Row],[Projection Nov/Dec]]</f>
        <v>3</v>
      </c>
      <c r="N2082" s="35">
        <f>Table2[[#This Row],[OverStock]]*Table2[[#This Row],[RepCost]]</f>
        <v>91.502700000000004</v>
      </c>
      <c r="O2082" s="25">
        <v>45776.645833333336</v>
      </c>
      <c r="P2082" s="26" t="s">
        <v>501</v>
      </c>
    </row>
    <row r="2083" spans="1:16" x14ac:dyDescent="0.25">
      <c r="A2083" s="20" t="s">
        <v>5211</v>
      </c>
      <c r="B2083" s="21">
        <v>714</v>
      </c>
      <c r="C2083" s="22" t="s">
        <v>143</v>
      </c>
      <c r="D2083" s="22" t="s">
        <v>2697</v>
      </c>
      <c r="E2083" s="22" t="str">
        <f>CONCATENATE(B2083,D2083)</f>
        <v>71478029-106</v>
      </c>
      <c r="F2083" s="22" t="s">
        <v>2698</v>
      </c>
      <c r="G2083" s="22" t="s">
        <v>29</v>
      </c>
      <c r="H2083" s="23">
        <v>35.915100000000002</v>
      </c>
      <c r="I2083" s="24">
        <v>1</v>
      </c>
      <c r="J2083" s="24">
        <v>0</v>
      </c>
      <c r="K2083" s="24">
        <v>0</v>
      </c>
      <c r="L2083" s="41">
        <f>Table2[[#This Row],[Column1]]+Table2[[#This Row],[Column2]]</f>
        <v>0</v>
      </c>
      <c r="M2083" s="42">
        <f>Table2[[#This Row],[OnHandQty]]-Table2[[#This Row],[Projection Nov/Dec]]</f>
        <v>1</v>
      </c>
      <c r="N2083" s="35">
        <f>Table2[[#This Row],[OverStock]]*Table2[[#This Row],[RepCost]]</f>
        <v>35.915100000000002</v>
      </c>
      <c r="O2083" s="25">
        <v>45797.421527777777</v>
      </c>
      <c r="P2083" s="26" t="s">
        <v>885</v>
      </c>
    </row>
    <row r="2084" spans="1:16" x14ac:dyDescent="0.25">
      <c r="A2084" s="20" t="s">
        <v>5211</v>
      </c>
      <c r="B2084" s="21">
        <v>714</v>
      </c>
      <c r="C2084" s="22" t="s">
        <v>323</v>
      </c>
      <c r="D2084" s="22" t="s">
        <v>3027</v>
      </c>
      <c r="E2084" s="22" t="str">
        <f>CONCATENATE(B2084,D2084)</f>
        <v>71473387-307</v>
      </c>
      <c r="F2084" s="22" t="s">
        <v>3028</v>
      </c>
      <c r="G2084" s="22" t="s">
        <v>455</v>
      </c>
      <c r="H2084" s="23">
        <v>98.985799999999998</v>
      </c>
      <c r="I2084" s="24">
        <v>8</v>
      </c>
      <c r="J2084" s="24">
        <v>0</v>
      </c>
      <c r="K2084" s="24">
        <v>0</v>
      </c>
      <c r="L2084" s="41">
        <f>Table2[[#This Row],[Column1]]+Table2[[#This Row],[Column2]]</f>
        <v>0</v>
      </c>
      <c r="M2084" s="42">
        <f>Table2[[#This Row],[OnHandQty]]-Table2[[#This Row],[Projection Nov/Dec]]</f>
        <v>8</v>
      </c>
      <c r="N2084" s="35">
        <f>Table2[[#This Row],[OverStock]]*Table2[[#This Row],[RepCost]]</f>
        <v>791.88639999999998</v>
      </c>
      <c r="O2084" s="25">
        <v>45866.352083333331</v>
      </c>
      <c r="P2084" s="26" t="s">
        <v>2444</v>
      </c>
    </row>
    <row r="2085" spans="1:16" x14ac:dyDescent="0.25">
      <c r="A2085" s="20" t="s">
        <v>5211</v>
      </c>
      <c r="B2085" s="21">
        <v>634</v>
      </c>
      <c r="C2085" s="22" t="s">
        <v>323</v>
      </c>
      <c r="D2085" s="22" t="s">
        <v>331</v>
      </c>
      <c r="E2085" s="22" t="str">
        <f>CONCATENATE(B2085,D2085)</f>
        <v>63473387-308</v>
      </c>
      <c r="F2085" s="22" t="s">
        <v>332</v>
      </c>
      <c r="G2085" s="22" t="s">
        <v>158</v>
      </c>
      <c r="H2085" s="23">
        <v>145.38390000000001</v>
      </c>
      <c r="I2085" s="24">
        <v>7</v>
      </c>
      <c r="J2085" s="24">
        <v>1</v>
      </c>
      <c r="K2085" s="24">
        <v>0</v>
      </c>
      <c r="L2085" s="41">
        <f>Table2[[#This Row],[Column1]]+Table2[[#This Row],[Column2]]</f>
        <v>1</v>
      </c>
      <c r="M2085" s="42">
        <f>Table2[[#This Row],[OnHandQty]]-Table2[[#This Row],[Projection Nov/Dec]]</f>
        <v>6</v>
      </c>
      <c r="N2085" s="35">
        <f>Table2[[#This Row],[OverStock]]*Table2[[#This Row],[RepCost]]</f>
        <v>872.30340000000001</v>
      </c>
      <c r="O2085" s="25">
        <v>46209.655555555553</v>
      </c>
      <c r="P2085" s="26" t="s">
        <v>151</v>
      </c>
    </row>
    <row r="2086" spans="1:16" x14ac:dyDescent="0.25">
      <c r="A2086" s="20" t="s">
        <v>5211</v>
      </c>
      <c r="B2086" s="21">
        <v>714</v>
      </c>
      <c r="C2086" s="22" t="s">
        <v>323</v>
      </c>
      <c r="D2086" s="22" t="s">
        <v>3223</v>
      </c>
      <c r="E2086" s="22" t="str">
        <f>CONCATENATE(B2086,D2086)</f>
        <v>71485068-107</v>
      </c>
      <c r="F2086" s="22" t="s">
        <v>3224</v>
      </c>
      <c r="G2086" s="22" t="s">
        <v>23</v>
      </c>
      <c r="H2086" s="23">
        <v>51.589199999999998</v>
      </c>
      <c r="I2086" s="24">
        <v>3</v>
      </c>
      <c r="J2086" s="24">
        <v>0</v>
      </c>
      <c r="K2086" s="24">
        <v>0</v>
      </c>
      <c r="L2086" s="41">
        <f>Table2[[#This Row],[Column1]]+Table2[[#This Row],[Column2]]</f>
        <v>0</v>
      </c>
      <c r="M2086" s="42">
        <f>Table2[[#This Row],[OnHandQty]]-Table2[[#This Row],[Projection Nov/Dec]]</f>
        <v>3</v>
      </c>
      <c r="N2086" s="35">
        <f>Table2[[#This Row],[OverStock]]*Table2[[#This Row],[RepCost]]</f>
        <v>154.76759999999999</v>
      </c>
      <c r="O2086" s="25">
        <v>46136.467361111114</v>
      </c>
      <c r="P2086" s="26" t="s">
        <v>40</v>
      </c>
    </row>
    <row r="2087" spans="1:16" x14ac:dyDescent="0.25">
      <c r="A2087" s="20" t="s">
        <v>5211</v>
      </c>
      <c r="B2087" s="21">
        <v>636</v>
      </c>
      <c r="C2087" s="22" t="s">
        <v>143</v>
      </c>
      <c r="D2087" s="22" t="s">
        <v>883</v>
      </c>
      <c r="E2087" s="22" t="str">
        <f>CONCATENATE(B2087,D2087)</f>
        <v>63690152-106</v>
      </c>
      <c r="F2087" s="22" t="s">
        <v>884</v>
      </c>
      <c r="G2087" s="22" t="s">
        <v>29</v>
      </c>
      <c r="H2087" s="23">
        <v>46.018599999999999</v>
      </c>
      <c r="I2087" s="24">
        <v>9</v>
      </c>
      <c r="J2087" s="24">
        <v>0</v>
      </c>
      <c r="K2087" s="24">
        <v>0</v>
      </c>
      <c r="L2087" s="41">
        <f>Table2[[#This Row],[Column1]]+Table2[[#This Row],[Column2]]</f>
        <v>0</v>
      </c>
      <c r="M2087" s="42">
        <f>Table2[[#This Row],[OnHandQty]]-Table2[[#This Row],[Projection Nov/Dec]]</f>
        <v>9</v>
      </c>
      <c r="N2087" s="35">
        <f>Table2[[#This Row],[OverStock]]*Table2[[#This Row],[RepCost]]</f>
        <v>414.16739999999999</v>
      </c>
      <c r="O2087" s="25">
        <v>46140.540972222225</v>
      </c>
      <c r="P2087" s="26" t="s">
        <v>885</v>
      </c>
    </row>
    <row r="2088" spans="1:16" x14ac:dyDescent="0.25">
      <c r="A2088" s="20" t="s">
        <v>5211</v>
      </c>
      <c r="B2088" s="21">
        <v>718</v>
      </c>
      <c r="C2088" s="22" t="s">
        <v>323</v>
      </c>
      <c r="D2088" s="22" t="s">
        <v>2858</v>
      </c>
      <c r="E2088" s="22" t="str">
        <f>CONCATENATE(B2088,D2088)</f>
        <v>71876017-307</v>
      </c>
      <c r="F2088" s="22" t="s">
        <v>2859</v>
      </c>
      <c r="G2088" s="22" t="s">
        <v>29</v>
      </c>
      <c r="H2088" s="23">
        <v>157.923</v>
      </c>
      <c r="I2088" s="24">
        <v>4</v>
      </c>
      <c r="J2088" s="24">
        <v>0</v>
      </c>
      <c r="K2088" s="24">
        <v>2</v>
      </c>
      <c r="L2088" s="41">
        <f>Table2[[#This Row],[Column1]]+Table2[[#This Row],[Column2]]</f>
        <v>2</v>
      </c>
      <c r="M2088" s="42">
        <f>Table2[[#This Row],[OnHandQty]]-Table2[[#This Row],[Projection Nov/Dec]]</f>
        <v>2</v>
      </c>
      <c r="N2088" s="35">
        <f>Table2[[#This Row],[OverStock]]*Table2[[#This Row],[RepCost]]</f>
        <v>315.846</v>
      </c>
      <c r="O2088" s="25">
        <v>45815.55972222222</v>
      </c>
      <c r="P2088" s="26" t="s">
        <v>903</v>
      </c>
    </row>
    <row r="2089" spans="1:16" x14ac:dyDescent="0.25">
      <c r="A2089" s="20" t="s">
        <v>5211</v>
      </c>
      <c r="B2089" s="21">
        <v>714</v>
      </c>
      <c r="C2089" s="22" t="s">
        <v>323</v>
      </c>
      <c r="D2089" s="22" t="s">
        <v>2858</v>
      </c>
      <c r="E2089" s="22" t="str">
        <f>CONCATENATE(B2089,D2089)</f>
        <v>71476017-307</v>
      </c>
      <c r="F2089" s="22" t="s">
        <v>2859</v>
      </c>
      <c r="G2089" s="22" t="s">
        <v>158</v>
      </c>
      <c r="H2089" s="23">
        <v>115</v>
      </c>
      <c r="I2089" s="24">
        <v>5</v>
      </c>
      <c r="J2089" s="24">
        <v>0</v>
      </c>
      <c r="K2089" s="24">
        <v>2</v>
      </c>
      <c r="L2089" s="41">
        <f>Table2[[#This Row],[Column1]]+Table2[[#This Row],[Column2]]</f>
        <v>2</v>
      </c>
      <c r="M2089" s="42">
        <f>Table2[[#This Row],[OnHandQty]]-Table2[[#This Row],[Projection Nov/Dec]]</f>
        <v>3</v>
      </c>
      <c r="N2089" s="35">
        <f>Table2[[#This Row],[OverStock]]*Table2[[#This Row],[RepCost]]</f>
        <v>345</v>
      </c>
      <c r="O2089" s="25">
        <v>46192.34097222222</v>
      </c>
      <c r="P2089" s="26" t="s">
        <v>2444</v>
      </c>
    </row>
    <row r="2090" spans="1:16" x14ac:dyDescent="0.25">
      <c r="A2090" s="20" t="s">
        <v>5211</v>
      </c>
      <c r="B2090" s="21">
        <v>634</v>
      </c>
      <c r="C2090" s="22" t="s">
        <v>143</v>
      </c>
      <c r="D2090" s="22" t="s">
        <v>239</v>
      </c>
      <c r="E2090" s="22" t="str">
        <f>CONCATENATE(B2090,D2090)</f>
        <v>63486517-107</v>
      </c>
      <c r="F2090" s="22" t="s">
        <v>240</v>
      </c>
      <c r="G2090" s="22" t="s">
        <v>29</v>
      </c>
      <c r="H2090" s="23">
        <v>46.620699999999999</v>
      </c>
      <c r="I2090" s="24">
        <v>1</v>
      </c>
      <c r="J2090" s="24">
        <v>0</v>
      </c>
      <c r="K2090" s="24">
        <v>0</v>
      </c>
      <c r="L2090" s="41">
        <f>Table2[[#This Row],[Column1]]+Table2[[#This Row],[Column2]]</f>
        <v>0</v>
      </c>
      <c r="M2090" s="42">
        <f>Table2[[#This Row],[OnHandQty]]-Table2[[#This Row],[Projection Nov/Dec]]</f>
        <v>1</v>
      </c>
      <c r="N2090" s="35">
        <f>Table2[[#This Row],[OverStock]]*Table2[[#This Row],[RepCost]]</f>
        <v>46.620699999999999</v>
      </c>
      <c r="O2090" s="25">
        <v>46120.659722222219</v>
      </c>
      <c r="P2090" s="26" t="s">
        <v>30</v>
      </c>
    </row>
    <row r="2091" spans="1:16" x14ac:dyDescent="0.25">
      <c r="A2091" s="20" t="s">
        <v>5211</v>
      </c>
      <c r="B2091" s="21">
        <v>636</v>
      </c>
      <c r="C2091" s="22" t="s">
        <v>143</v>
      </c>
      <c r="D2091" s="22" t="s">
        <v>928</v>
      </c>
      <c r="E2091" s="22" t="str">
        <f>CONCATENATE(B2091,D2091)</f>
        <v>63696961-307</v>
      </c>
      <c r="F2091" s="22" t="s">
        <v>929</v>
      </c>
      <c r="G2091" s="22" t="s">
        <v>29</v>
      </c>
      <c r="H2091" s="23">
        <v>378.55970000000002</v>
      </c>
      <c r="I2091" s="24">
        <v>2</v>
      </c>
      <c r="J2091" s="24">
        <v>0</v>
      </c>
      <c r="K2091" s="24">
        <v>0</v>
      </c>
      <c r="L2091" s="41">
        <f>Table2[[#This Row],[Column1]]+Table2[[#This Row],[Column2]]</f>
        <v>0</v>
      </c>
      <c r="M2091" s="42">
        <f>Table2[[#This Row],[OnHandQty]]-Table2[[#This Row],[Projection Nov/Dec]]</f>
        <v>2</v>
      </c>
      <c r="N2091" s="35">
        <f>Table2[[#This Row],[OverStock]]*Table2[[#This Row],[RepCost]]</f>
        <v>757.11940000000004</v>
      </c>
      <c r="O2091" s="25">
        <v>46132.304166666669</v>
      </c>
      <c r="P2091" s="26" t="s">
        <v>178</v>
      </c>
    </row>
    <row r="2092" spans="1:16" x14ac:dyDescent="0.25">
      <c r="A2092" s="20" t="s">
        <v>5211</v>
      </c>
      <c r="B2092" s="21">
        <v>718</v>
      </c>
      <c r="C2092" s="22" t="s">
        <v>12</v>
      </c>
      <c r="D2092" s="22" t="s">
        <v>3593</v>
      </c>
      <c r="E2092" s="22" t="str">
        <f>CONCATENATE(B2092,D2092)</f>
        <v>71873468-101</v>
      </c>
      <c r="F2092" s="22" t="s">
        <v>3594</v>
      </c>
      <c r="G2092" s="22" t="s">
        <v>29</v>
      </c>
      <c r="H2092" s="23">
        <v>6.6585999999999999</v>
      </c>
      <c r="I2092" s="24">
        <v>21</v>
      </c>
      <c r="J2092" s="24">
        <v>0</v>
      </c>
      <c r="K2092" s="24">
        <v>0</v>
      </c>
      <c r="L2092" s="41">
        <f>Table2[[#This Row],[Column1]]+Table2[[#This Row],[Column2]]</f>
        <v>0</v>
      </c>
      <c r="M2092" s="42">
        <f>Table2[[#This Row],[OnHandQty]]-Table2[[#This Row],[Projection Nov/Dec]]</f>
        <v>21</v>
      </c>
      <c r="N2092" s="35">
        <f>Table2[[#This Row],[OverStock]]*Table2[[#This Row],[RepCost]]</f>
        <v>139.8306</v>
      </c>
      <c r="O2092" s="25">
        <v>46232.6</v>
      </c>
      <c r="P2092" s="26" t="s">
        <v>573</v>
      </c>
    </row>
    <row r="2093" spans="1:16" x14ac:dyDescent="0.25">
      <c r="A2093" s="20" t="s">
        <v>5211</v>
      </c>
      <c r="B2093" s="21">
        <v>636</v>
      </c>
      <c r="C2093" s="22" t="s">
        <v>12</v>
      </c>
      <c r="D2093" s="22" t="s">
        <v>527</v>
      </c>
      <c r="E2093" s="22" t="str">
        <f>CONCATENATE(B2093,D2093)</f>
        <v>63673466-SP3</v>
      </c>
      <c r="F2093" s="22" t="s">
        <v>528</v>
      </c>
      <c r="G2093" s="22" t="s">
        <v>29</v>
      </c>
      <c r="H2093" s="23">
        <v>2.7911000000000001</v>
      </c>
      <c r="I2093" s="24">
        <v>1</v>
      </c>
      <c r="J2093" s="24">
        <v>0</v>
      </c>
      <c r="K2093" s="24">
        <v>0</v>
      </c>
      <c r="L2093" s="41">
        <f>Table2[[#This Row],[Column1]]+Table2[[#This Row],[Column2]]</f>
        <v>0</v>
      </c>
      <c r="M2093" s="42">
        <f>Table2[[#This Row],[OnHandQty]]-Table2[[#This Row],[Projection Nov/Dec]]</f>
        <v>1</v>
      </c>
      <c r="N2093" s="35">
        <f>Table2[[#This Row],[OverStock]]*Table2[[#This Row],[RepCost]]</f>
        <v>2.7911000000000001</v>
      </c>
      <c r="O2093" s="25">
        <v>46247.30972222222</v>
      </c>
      <c r="P2093" s="26" t="s">
        <v>40</v>
      </c>
    </row>
    <row r="2094" spans="1:16" x14ac:dyDescent="0.25">
      <c r="A2094" s="20" t="s">
        <v>5211</v>
      </c>
      <c r="B2094" s="21">
        <v>714</v>
      </c>
      <c r="C2094" s="22" t="s">
        <v>70</v>
      </c>
      <c r="D2094" s="22" t="s">
        <v>2046</v>
      </c>
      <c r="E2094" s="22" t="str">
        <f>CONCATENATE(B2094,D2094)</f>
        <v>71473448-SP4</v>
      </c>
      <c r="F2094" s="22" t="s">
        <v>2047</v>
      </c>
      <c r="G2094" s="22" t="s">
        <v>29</v>
      </c>
      <c r="H2094" s="23">
        <v>3.6396999999999999</v>
      </c>
      <c r="I2094" s="24">
        <v>18</v>
      </c>
      <c r="J2094" s="24">
        <v>0</v>
      </c>
      <c r="K2094" s="24">
        <v>0</v>
      </c>
      <c r="L2094" s="41">
        <f>Table2[[#This Row],[Column1]]+Table2[[#This Row],[Column2]]</f>
        <v>0</v>
      </c>
      <c r="M2094" s="42">
        <f>Table2[[#This Row],[OnHandQty]]-Table2[[#This Row],[Projection Nov/Dec]]</f>
        <v>18</v>
      </c>
      <c r="N2094" s="35">
        <f>Table2[[#This Row],[OverStock]]*Table2[[#This Row],[RepCost]]</f>
        <v>65.514600000000002</v>
      </c>
      <c r="O2094" s="25">
        <v>46176.70416666667</v>
      </c>
      <c r="P2094" s="26" t="s">
        <v>94</v>
      </c>
    </row>
    <row r="2095" spans="1:16" x14ac:dyDescent="0.25">
      <c r="A2095" s="20" t="s">
        <v>5211</v>
      </c>
      <c r="B2095" s="21">
        <v>636</v>
      </c>
      <c r="C2095" s="22" t="s">
        <v>70</v>
      </c>
      <c r="D2095" s="22" t="s">
        <v>757</v>
      </c>
      <c r="E2095" s="22" t="str">
        <f>CONCATENATE(B2095,D2095)</f>
        <v>63673494-101</v>
      </c>
      <c r="F2095" s="22" t="s">
        <v>758</v>
      </c>
      <c r="G2095" s="22" t="s">
        <v>39</v>
      </c>
      <c r="H2095" s="23">
        <v>6.6927000000000003</v>
      </c>
      <c r="I2095" s="24">
        <v>20</v>
      </c>
      <c r="J2095" s="24">
        <v>0</v>
      </c>
      <c r="K2095" s="24">
        <v>0</v>
      </c>
      <c r="L2095" s="41">
        <f>Table2[[#This Row],[Column1]]+Table2[[#This Row],[Column2]]</f>
        <v>0</v>
      </c>
      <c r="M2095" s="42">
        <f>Table2[[#This Row],[OnHandQty]]-Table2[[#This Row],[Projection Nov/Dec]]</f>
        <v>20</v>
      </c>
      <c r="N2095" s="35">
        <f>Table2[[#This Row],[OverStock]]*Table2[[#This Row],[RepCost]]</f>
        <v>133.85400000000001</v>
      </c>
      <c r="O2095" s="25">
        <v>46189.418749999997</v>
      </c>
      <c r="P2095" s="26" t="s">
        <v>16</v>
      </c>
    </row>
    <row r="2096" spans="1:16" x14ac:dyDescent="0.25">
      <c r="A2096" s="20" t="s">
        <v>5211</v>
      </c>
      <c r="B2096" s="21">
        <v>714</v>
      </c>
      <c r="C2096" s="22" t="s">
        <v>70</v>
      </c>
      <c r="D2096" s="22" t="s">
        <v>757</v>
      </c>
      <c r="E2096" s="22" t="str">
        <f>CONCATENATE(B2096,D2096)</f>
        <v>71473494-101</v>
      </c>
      <c r="F2096" s="22" t="s">
        <v>758</v>
      </c>
      <c r="G2096" s="22" t="s">
        <v>158</v>
      </c>
      <c r="H2096" s="23">
        <v>7.0220000000000002</v>
      </c>
      <c r="I2096" s="24">
        <v>10</v>
      </c>
      <c r="J2096" s="24">
        <v>0</v>
      </c>
      <c r="K2096" s="24">
        <v>0</v>
      </c>
      <c r="L2096" s="41">
        <f>Table2[[#This Row],[Column1]]+Table2[[#This Row],[Column2]]</f>
        <v>0</v>
      </c>
      <c r="M2096" s="42">
        <f>Table2[[#This Row],[OnHandQty]]-Table2[[#This Row],[Projection Nov/Dec]]</f>
        <v>10</v>
      </c>
      <c r="N2096" s="35">
        <f>Table2[[#This Row],[OverStock]]*Table2[[#This Row],[RepCost]]</f>
        <v>70.22</v>
      </c>
      <c r="O2096" s="25">
        <v>46190.381944444445</v>
      </c>
      <c r="P2096" s="26" t="s">
        <v>720</v>
      </c>
    </row>
    <row r="2097" spans="1:16" x14ac:dyDescent="0.25">
      <c r="A2097" s="20" t="s">
        <v>5211</v>
      </c>
      <c r="B2097" s="21">
        <v>636</v>
      </c>
      <c r="C2097" s="22" t="s">
        <v>143</v>
      </c>
      <c r="D2097" s="22" t="s">
        <v>1060</v>
      </c>
      <c r="E2097" s="22" t="str">
        <f>CONCATENATE(B2097,D2097)</f>
        <v>63673508-102</v>
      </c>
      <c r="F2097" s="22" t="s">
        <v>1061</v>
      </c>
      <c r="G2097" s="22" t="s">
        <v>39</v>
      </c>
      <c r="H2097" s="23">
        <v>22.353899999999999</v>
      </c>
      <c r="I2097" s="24">
        <v>2</v>
      </c>
      <c r="J2097" s="24">
        <v>0</v>
      </c>
      <c r="K2097" s="24">
        <v>0</v>
      </c>
      <c r="L2097" s="41">
        <f>Table2[[#This Row],[Column1]]+Table2[[#This Row],[Column2]]</f>
        <v>0</v>
      </c>
      <c r="M2097" s="42">
        <f>Table2[[#This Row],[OnHandQty]]-Table2[[#This Row],[Projection Nov/Dec]]</f>
        <v>2</v>
      </c>
      <c r="N2097" s="35">
        <f>Table2[[#This Row],[OverStock]]*Table2[[#This Row],[RepCost]]</f>
        <v>44.707799999999999</v>
      </c>
      <c r="O2097" s="25">
        <v>46142.382638888892</v>
      </c>
      <c r="P2097" s="26" t="s">
        <v>1062</v>
      </c>
    </row>
    <row r="2098" spans="1:16" x14ac:dyDescent="0.25">
      <c r="A2098" s="20" t="s">
        <v>5211</v>
      </c>
      <c r="B2098" s="21">
        <v>718</v>
      </c>
      <c r="C2098" s="22" t="s">
        <v>143</v>
      </c>
      <c r="D2098" s="22" t="s">
        <v>1060</v>
      </c>
      <c r="E2098" s="22" t="str">
        <f>CONCATENATE(B2098,D2098)</f>
        <v>71873508-102</v>
      </c>
      <c r="F2098" s="22" t="s">
        <v>1061</v>
      </c>
      <c r="G2098" s="22" t="s">
        <v>39</v>
      </c>
      <c r="H2098" s="23">
        <v>23.8809</v>
      </c>
      <c r="I2098" s="24">
        <v>1</v>
      </c>
      <c r="J2098" s="24">
        <v>0</v>
      </c>
      <c r="K2098" s="24">
        <v>0</v>
      </c>
      <c r="L2098" s="41">
        <f>Table2[[#This Row],[Column1]]+Table2[[#This Row],[Column2]]</f>
        <v>0</v>
      </c>
      <c r="M2098" s="42">
        <f>Table2[[#This Row],[OnHandQty]]-Table2[[#This Row],[Projection Nov/Dec]]</f>
        <v>1</v>
      </c>
      <c r="N2098" s="35">
        <f>Table2[[#This Row],[OverStock]]*Table2[[#This Row],[RepCost]]</f>
        <v>23.8809</v>
      </c>
      <c r="O2098" s="25">
        <v>46147.668749999997</v>
      </c>
      <c r="P2098" s="26" t="s">
        <v>1062</v>
      </c>
    </row>
    <row r="2099" spans="1:16" x14ac:dyDescent="0.25">
      <c r="A2099" s="20" t="s">
        <v>5211</v>
      </c>
      <c r="B2099" s="21">
        <v>714</v>
      </c>
      <c r="C2099" s="22" t="s">
        <v>143</v>
      </c>
      <c r="D2099" s="22" t="s">
        <v>1060</v>
      </c>
      <c r="E2099" s="22" t="str">
        <f>CONCATENATE(B2099,D2099)</f>
        <v>71473508-102</v>
      </c>
      <c r="F2099" s="22" t="s">
        <v>1061</v>
      </c>
      <c r="G2099" s="22" t="s">
        <v>39</v>
      </c>
      <c r="H2099" s="23">
        <v>22.1663</v>
      </c>
      <c r="I2099" s="24">
        <v>2</v>
      </c>
      <c r="J2099" s="24">
        <v>0</v>
      </c>
      <c r="K2099" s="24">
        <v>0</v>
      </c>
      <c r="L2099" s="41">
        <f>Table2[[#This Row],[Column1]]+Table2[[#This Row],[Column2]]</f>
        <v>0</v>
      </c>
      <c r="M2099" s="42">
        <f>Table2[[#This Row],[OnHandQty]]-Table2[[#This Row],[Projection Nov/Dec]]</f>
        <v>2</v>
      </c>
      <c r="N2099" s="35">
        <f>Table2[[#This Row],[OverStock]]*Table2[[#This Row],[RepCost]]</f>
        <v>44.332599999999999</v>
      </c>
      <c r="O2099" s="25">
        <v>46151.379166666666</v>
      </c>
      <c r="P2099" s="26" t="s">
        <v>1062</v>
      </c>
    </row>
    <row r="2100" spans="1:16" x14ac:dyDescent="0.25">
      <c r="A2100" s="20" t="s">
        <v>5211</v>
      </c>
      <c r="B2100" s="21">
        <v>714</v>
      </c>
      <c r="C2100" s="22" t="s">
        <v>143</v>
      </c>
      <c r="D2100" s="22" t="s">
        <v>2806</v>
      </c>
      <c r="E2100" s="22" t="str">
        <f>CONCATENATE(B2100,D2100)</f>
        <v>71473508-105</v>
      </c>
      <c r="F2100" s="22" t="s">
        <v>2807</v>
      </c>
      <c r="G2100" s="22" t="s">
        <v>39</v>
      </c>
      <c r="H2100" s="23">
        <v>36.435699999999997</v>
      </c>
      <c r="I2100" s="24">
        <v>15</v>
      </c>
      <c r="J2100" s="24">
        <v>0</v>
      </c>
      <c r="K2100" s="24">
        <v>0</v>
      </c>
      <c r="L2100" s="41">
        <f>Table2[[#This Row],[Column1]]+Table2[[#This Row],[Column2]]</f>
        <v>0</v>
      </c>
      <c r="M2100" s="42">
        <f>Table2[[#This Row],[OnHandQty]]-Table2[[#This Row],[Projection Nov/Dec]]</f>
        <v>15</v>
      </c>
      <c r="N2100" s="35">
        <f>Table2[[#This Row],[OverStock]]*Table2[[#This Row],[RepCost]]</f>
        <v>546.53549999999996</v>
      </c>
      <c r="O2100" s="25">
        <v>46151.379166666666</v>
      </c>
      <c r="P2100" s="26" t="s">
        <v>1062</v>
      </c>
    </row>
    <row r="2101" spans="1:16" x14ac:dyDescent="0.25">
      <c r="A2101" s="20" t="s">
        <v>5211</v>
      </c>
      <c r="B2101" s="21">
        <v>714</v>
      </c>
      <c r="C2101" s="22" t="s">
        <v>143</v>
      </c>
      <c r="D2101" s="22" t="s">
        <v>2447</v>
      </c>
      <c r="E2101" s="22" t="str">
        <f>CONCATENATE(B2101,D2101)</f>
        <v>71473508-STD0010</v>
      </c>
      <c r="F2101" s="22" t="s">
        <v>2448</v>
      </c>
      <c r="G2101" s="22" t="s">
        <v>39</v>
      </c>
      <c r="H2101" s="23">
        <v>19.253799999999998</v>
      </c>
      <c r="I2101" s="24">
        <v>11</v>
      </c>
      <c r="J2101" s="24">
        <v>0</v>
      </c>
      <c r="K2101" s="24">
        <v>0</v>
      </c>
      <c r="L2101" s="41">
        <f>Table2[[#This Row],[Column1]]+Table2[[#This Row],[Column2]]</f>
        <v>0</v>
      </c>
      <c r="M2101" s="42">
        <f>Table2[[#This Row],[OnHandQty]]-Table2[[#This Row],[Projection Nov/Dec]]</f>
        <v>11</v>
      </c>
      <c r="N2101" s="35">
        <f>Table2[[#This Row],[OverStock]]*Table2[[#This Row],[RepCost]]</f>
        <v>211.79179999999997</v>
      </c>
      <c r="O2101" s="25">
        <v>46140.479166666664</v>
      </c>
      <c r="P2101" s="26" t="s">
        <v>1841</v>
      </c>
    </row>
    <row r="2102" spans="1:16" x14ac:dyDescent="0.25">
      <c r="A2102" s="20" t="s">
        <v>5211</v>
      </c>
      <c r="B2102" s="21">
        <v>714</v>
      </c>
      <c r="C2102" s="22" t="s">
        <v>323</v>
      </c>
      <c r="D2102" s="22" t="s">
        <v>3049</v>
      </c>
      <c r="E2102" s="22" t="str">
        <f>CONCATENATE(B2102,D2102)</f>
        <v>71473514-020</v>
      </c>
      <c r="F2102" s="22" t="s">
        <v>3050</v>
      </c>
      <c r="G2102" s="22" t="s">
        <v>19</v>
      </c>
      <c r="H2102" s="23">
        <v>75</v>
      </c>
      <c r="I2102" s="24">
        <v>8</v>
      </c>
      <c r="J2102" s="24">
        <v>6</v>
      </c>
      <c r="K2102" s="24">
        <v>0</v>
      </c>
      <c r="L2102" s="41">
        <f>Table2[[#This Row],[Column1]]+Table2[[#This Row],[Column2]]</f>
        <v>6</v>
      </c>
      <c r="M2102" s="42">
        <f>Table2[[#This Row],[OnHandQty]]-Table2[[#This Row],[Projection Nov/Dec]]</f>
        <v>2</v>
      </c>
      <c r="N2102" s="35">
        <f>Table2[[#This Row],[OverStock]]*Table2[[#This Row],[RepCost]]</f>
        <v>150</v>
      </c>
      <c r="O2102" s="25">
        <v>45952.438888888886</v>
      </c>
      <c r="P2102" s="26" t="s">
        <v>1224</v>
      </c>
    </row>
    <row r="2103" spans="1:16" x14ac:dyDescent="0.25">
      <c r="A2103" s="20" t="s">
        <v>5211</v>
      </c>
      <c r="B2103" s="21">
        <v>714</v>
      </c>
      <c r="C2103" s="22" t="s">
        <v>323</v>
      </c>
      <c r="D2103" s="22" t="s">
        <v>3049</v>
      </c>
      <c r="E2103" s="22" t="str">
        <f>CONCATENATE(B2103,D2103)</f>
        <v>71473514-020</v>
      </c>
      <c r="F2103" s="22" t="s">
        <v>3050</v>
      </c>
      <c r="G2103" s="22" t="s">
        <v>19</v>
      </c>
      <c r="H2103" s="23">
        <v>75</v>
      </c>
      <c r="I2103" s="24">
        <v>8</v>
      </c>
      <c r="J2103" s="24">
        <v>6</v>
      </c>
      <c r="K2103" s="24">
        <v>0</v>
      </c>
      <c r="L2103" s="41">
        <f>Table2[[#This Row],[Column1]]+Table2[[#This Row],[Column2]]</f>
        <v>6</v>
      </c>
      <c r="M2103" s="42">
        <f>Table2[[#This Row],[OnHandQty]]-Table2[[#This Row],[Projection Nov/Dec]]</f>
        <v>2</v>
      </c>
      <c r="N2103" s="35">
        <f>Table2[[#This Row],[OverStock]]*Table2[[#This Row],[RepCost]]</f>
        <v>150</v>
      </c>
      <c r="O2103" s="25">
        <v>45952.438888888886</v>
      </c>
      <c r="P2103" s="26" t="s">
        <v>1224</v>
      </c>
    </row>
    <row r="2104" spans="1:16" x14ac:dyDescent="0.25">
      <c r="A2104" s="20" t="s">
        <v>5211</v>
      </c>
      <c r="B2104" s="21">
        <v>718</v>
      </c>
      <c r="C2104" s="22" t="s">
        <v>323</v>
      </c>
      <c r="D2104" s="22" t="s">
        <v>3943</v>
      </c>
      <c r="E2104" s="22" t="str">
        <f>CONCATENATE(B2104,D2104)</f>
        <v>71873514-050</v>
      </c>
      <c r="F2104" s="27" t="s">
        <v>3944</v>
      </c>
      <c r="G2104" s="27" t="s">
        <v>58</v>
      </c>
      <c r="H2104" s="23">
        <v>603.38829999999996</v>
      </c>
      <c r="I2104" s="24">
        <v>1</v>
      </c>
      <c r="J2104" s="24">
        <v>0</v>
      </c>
      <c r="K2104" s="24">
        <v>0</v>
      </c>
      <c r="L2104" s="41">
        <f>Table2[[#This Row],[Column1]]+Table2[[#This Row],[Column2]]</f>
        <v>0</v>
      </c>
      <c r="M2104" s="42">
        <f>Table2[[#This Row],[OnHandQty]]-Table2[[#This Row],[Projection Nov/Dec]]</f>
        <v>1</v>
      </c>
      <c r="N2104" s="35">
        <f>Table2[[#This Row],[OverStock]]*Table2[[#This Row],[RepCost]]</f>
        <v>603.38829999999996</v>
      </c>
      <c r="O2104" s="25">
        <v>45777.525000000001</v>
      </c>
      <c r="P2104" s="26" t="s">
        <v>3945</v>
      </c>
    </row>
    <row r="2105" spans="1:16" x14ac:dyDescent="0.25">
      <c r="A2105" s="20" t="s">
        <v>5211</v>
      </c>
      <c r="B2105" s="21">
        <v>636</v>
      </c>
      <c r="C2105" s="22" t="s">
        <v>323</v>
      </c>
      <c r="D2105" s="22" t="s">
        <v>1640</v>
      </c>
      <c r="E2105" s="22" t="str">
        <f>CONCATENATE(B2105,D2105)</f>
        <v>63673513-020</v>
      </c>
      <c r="F2105" s="22" t="s">
        <v>1641</v>
      </c>
      <c r="G2105" s="22" t="s">
        <v>29</v>
      </c>
      <c r="H2105" s="23">
        <v>207.011</v>
      </c>
      <c r="I2105" s="24">
        <v>5</v>
      </c>
      <c r="J2105" s="24">
        <v>0</v>
      </c>
      <c r="K2105" s="24">
        <v>0</v>
      </c>
      <c r="L2105" s="41">
        <f>Table2[[#This Row],[Column1]]+Table2[[#This Row],[Column2]]</f>
        <v>0</v>
      </c>
      <c r="M2105" s="42">
        <f>Table2[[#This Row],[OnHandQty]]-Table2[[#This Row],[Projection Nov/Dec]]</f>
        <v>5</v>
      </c>
      <c r="N2105" s="35">
        <f>Table2[[#This Row],[OverStock]]*Table2[[#This Row],[RepCost]]</f>
        <v>1035.0550000000001</v>
      </c>
      <c r="O2105" s="25">
        <v>46114.394444444442</v>
      </c>
      <c r="P2105" s="26" t="s">
        <v>486</v>
      </c>
    </row>
    <row r="2106" spans="1:16" x14ac:dyDescent="0.25">
      <c r="A2106" s="20" t="s">
        <v>5211</v>
      </c>
      <c r="B2106" s="21">
        <v>636</v>
      </c>
      <c r="C2106" s="22" t="s">
        <v>323</v>
      </c>
      <c r="D2106" s="22" t="s">
        <v>1560</v>
      </c>
      <c r="E2106" s="22" t="str">
        <f>CONCATENATE(B2106,D2106)</f>
        <v>63673513-030</v>
      </c>
      <c r="F2106" s="22" t="s">
        <v>1561</v>
      </c>
      <c r="G2106" s="22" t="s">
        <v>29</v>
      </c>
      <c r="H2106" s="23">
        <v>75</v>
      </c>
      <c r="I2106" s="24">
        <v>3</v>
      </c>
      <c r="J2106" s="24">
        <v>0</v>
      </c>
      <c r="K2106" s="24">
        <v>0</v>
      </c>
      <c r="L2106" s="41">
        <f>Table2[[#This Row],[Column1]]+Table2[[#This Row],[Column2]]</f>
        <v>0</v>
      </c>
      <c r="M2106" s="42">
        <f>Table2[[#This Row],[OnHandQty]]-Table2[[#This Row],[Projection Nov/Dec]]</f>
        <v>3</v>
      </c>
      <c r="N2106" s="35">
        <f>Table2[[#This Row],[OverStock]]*Table2[[#This Row],[RepCost]]</f>
        <v>225</v>
      </c>
      <c r="O2106" s="25">
        <v>45951.508333333331</v>
      </c>
      <c r="P2106" s="26" t="s">
        <v>1224</v>
      </c>
    </row>
    <row r="2107" spans="1:16" x14ac:dyDescent="0.25">
      <c r="A2107" s="20" t="s">
        <v>5211</v>
      </c>
      <c r="B2107" s="21">
        <v>636</v>
      </c>
      <c r="C2107" s="22" t="s">
        <v>323</v>
      </c>
      <c r="D2107" s="22" t="s">
        <v>1505</v>
      </c>
      <c r="E2107" s="22" t="str">
        <f>CONCATENATE(B2107,D2107)</f>
        <v>63673520-020</v>
      </c>
      <c r="F2107" s="22" t="s">
        <v>1506</v>
      </c>
      <c r="G2107" s="22" t="s">
        <v>29</v>
      </c>
      <c r="H2107" s="23">
        <v>145.9479</v>
      </c>
      <c r="I2107" s="24">
        <v>3</v>
      </c>
      <c r="J2107" s="24">
        <v>0</v>
      </c>
      <c r="K2107" s="24">
        <v>2</v>
      </c>
      <c r="L2107" s="41">
        <f>Table2[[#This Row],[Column1]]+Table2[[#This Row],[Column2]]</f>
        <v>2</v>
      </c>
      <c r="M2107" s="42">
        <f>Table2[[#This Row],[OnHandQty]]-Table2[[#This Row],[Projection Nov/Dec]]</f>
        <v>1</v>
      </c>
      <c r="N2107" s="35">
        <f>Table2[[#This Row],[OverStock]]*Table2[[#This Row],[RepCost]]</f>
        <v>145.9479</v>
      </c>
      <c r="O2107" s="25">
        <v>46069.413194444445</v>
      </c>
      <c r="P2107" s="26" t="s">
        <v>151</v>
      </c>
    </row>
    <row r="2108" spans="1:16" x14ac:dyDescent="0.25">
      <c r="A2108" s="20" t="s">
        <v>5211</v>
      </c>
      <c r="B2108" s="21">
        <v>636</v>
      </c>
      <c r="C2108" s="22" t="s">
        <v>323</v>
      </c>
      <c r="D2108" s="22" t="s">
        <v>1312</v>
      </c>
      <c r="E2108" s="22" t="str">
        <f>CONCATENATE(B2108,D2108)</f>
        <v>63673520-025</v>
      </c>
      <c r="F2108" s="22" t="s">
        <v>1313</v>
      </c>
      <c r="G2108" s="22" t="s">
        <v>23</v>
      </c>
      <c r="H2108" s="23">
        <v>151.01499999999999</v>
      </c>
      <c r="I2108" s="24">
        <v>13</v>
      </c>
      <c r="J2108" s="24">
        <v>0</v>
      </c>
      <c r="K2108" s="24">
        <v>0</v>
      </c>
      <c r="L2108" s="41">
        <f>Table2[[#This Row],[Column1]]+Table2[[#This Row],[Column2]]</f>
        <v>0</v>
      </c>
      <c r="M2108" s="42">
        <f>Table2[[#This Row],[OnHandQty]]-Table2[[#This Row],[Projection Nov/Dec]]</f>
        <v>13</v>
      </c>
      <c r="N2108" s="35">
        <f>Table2[[#This Row],[OverStock]]*Table2[[#This Row],[RepCost]]</f>
        <v>1963.1949999999997</v>
      </c>
      <c r="O2108" s="25">
        <v>46069.413194444445</v>
      </c>
      <c r="P2108" s="26" t="s">
        <v>151</v>
      </c>
    </row>
    <row r="2109" spans="1:16" x14ac:dyDescent="0.25">
      <c r="A2109" s="20" t="s">
        <v>5211</v>
      </c>
      <c r="B2109" s="21">
        <v>714</v>
      </c>
      <c r="C2109" s="22" t="s">
        <v>323</v>
      </c>
      <c r="D2109" s="22" t="s">
        <v>1312</v>
      </c>
      <c r="E2109" s="22" t="str">
        <f>CONCATENATE(B2109,D2109)</f>
        <v>71473520-025</v>
      </c>
      <c r="F2109" s="22" t="s">
        <v>1313</v>
      </c>
      <c r="G2109" s="22" t="s">
        <v>455</v>
      </c>
      <c r="H2109" s="23">
        <v>120.94880000000001</v>
      </c>
      <c r="I2109" s="24">
        <v>6</v>
      </c>
      <c r="J2109" s="24">
        <v>0</v>
      </c>
      <c r="K2109" s="24">
        <v>0</v>
      </c>
      <c r="L2109" s="41">
        <f>Table2[[#This Row],[Column1]]+Table2[[#This Row],[Column2]]</f>
        <v>0</v>
      </c>
      <c r="M2109" s="42">
        <f>Table2[[#This Row],[OnHandQty]]-Table2[[#This Row],[Projection Nov/Dec]]</f>
        <v>6</v>
      </c>
      <c r="N2109" s="35">
        <f>Table2[[#This Row],[OverStock]]*Table2[[#This Row],[RepCost]]</f>
        <v>725.69280000000003</v>
      </c>
      <c r="O2109" s="25">
        <v>46085.367361111108</v>
      </c>
      <c r="P2109" s="26" t="s">
        <v>2257</v>
      </c>
    </row>
    <row r="2110" spans="1:16" x14ac:dyDescent="0.25">
      <c r="A2110" s="20" t="s">
        <v>5211</v>
      </c>
      <c r="B2110" s="21">
        <v>714</v>
      </c>
      <c r="C2110" s="22" t="s">
        <v>323</v>
      </c>
      <c r="D2110" s="22" t="s">
        <v>3353</v>
      </c>
      <c r="E2110" s="22" t="str">
        <f>CONCATENATE(B2110,D2110)</f>
        <v>71473520-030</v>
      </c>
      <c r="F2110" s="22" t="s">
        <v>3354</v>
      </c>
      <c r="G2110" s="22" t="s">
        <v>29</v>
      </c>
      <c r="H2110" s="23">
        <v>254.87530000000001</v>
      </c>
      <c r="I2110" s="24">
        <v>15</v>
      </c>
      <c r="J2110" s="24">
        <v>2</v>
      </c>
      <c r="K2110" s="24">
        <v>0</v>
      </c>
      <c r="L2110" s="41">
        <f>Table2[[#This Row],[Column1]]+Table2[[#This Row],[Column2]]</f>
        <v>2</v>
      </c>
      <c r="M2110" s="42">
        <f>Table2[[#This Row],[OnHandQty]]-Table2[[#This Row],[Projection Nov/Dec]]</f>
        <v>13</v>
      </c>
      <c r="N2110" s="35">
        <f>Table2[[#This Row],[OverStock]]*Table2[[#This Row],[RepCost]]</f>
        <v>3313.3789000000002</v>
      </c>
      <c r="O2110" s="25">
        <v>46161.368750000001</v>
      </c>
      <c r="P2110" s="26" t="s">
        <v>1224</v>
      </c>
    </row>
    <row r="2111" spans="1:16" x14ac:dyDescent="0.25">
      <c r="A2111" s="20" t="s">
        <v>5211</v>
      </c>
      <c r="B2111" s="21">
        <v>714</v>
      </c>
      <c r="C2111" s="22" t="s">
        <v>323</v>
      </c>
      <c r="D2111" s="22" t="s">
        <v>3500</v>
      </c>
      <c r="E2111" s="22" t="str">
        <f>CONCATENATE(B2111,D2111)</f>
        <v>71473530-025</v>
      </c>
      <c r="F2111" s="27" t="s">
        <v>3501</v>
      </c>
      <c r="G2111" s="27" t="s">
        <v>58</v>
      </c>
      <c r="H2111" s="23">
        <v>209.22499999999999</v>
      </c>
      <c r="I2111" s="24">
        <v>2</v>
      </c>
      <c r="J2111" s="24">
        <v>0</v>
      </c>
      <c r="K2111" s="24">
        <v>0</v>
      </c>
      <c r="L2111" s="41">
        <f>Table2[[#This Row],[Column1]]+Table2[[#This Row],[Column2]]</f>
        <v>0</v>
      </c>
      <c r="M2111" s="42">
        <f>Table2[[#This Row],[OnHandQty]]-Table2[[#This Row],[Projection Nov/Dec]]</f>
        <v>2</v>
      </c>
      <c r="N2111" s="35">
        <f>Table2[[#This Row],[OverStock]]*Table2[[#This Row],[RepCost]]</f>
        <v>418.45</v>
      </c>
      <c r="O2111" s="25">
        <v>45612.46597222222</v>
      </c>
      <c r="P2111" s="26" t="s">
        <v>345</v>
      </c>
    </row>
    <row r="2112" spans="1:16" x14ac:dyDescent="0.25">
      <c r="A2112" s="20" t="s">
        <v>5211</v>
      </c>
      <c r="B2112" s="21">
        <v>718</v>
      </c>
      <c r="C2112" s="22" t="s">
        <v>12</v>
      </c>
      <c r="D2112" s="22" t="s">
        <v>3619</v>
      </c>
      <c r="E2112" s="22" t="str">
        <f>CONCATENATE(B2112,D2112)</f>
        <v>71873570-105</v>
      </c>
      <c r="F2112" s="22" t="s">
        <v>3620</v>
      </c>
      <c r="G2112" s="22" t="s">
        <v>29</v>
      </c>
      <c r="H2112" s="23">
        <v>33.0169</v>
      </c>
      <c r="I2112" s="24">
        <v>3</v>
      </c>
      <c r="J2112" s="24">
        <v>0</v>
      </c>
      <c r="K2112" s="24">
        <v>0</v>
      </c>
      <c r="L2112" s="41">
        <f>Table2[[#This Row],[Column1]]+Table2[[#This Row],[Column2]]</f>
        <v>0</v>
      </c>
      <c r="M2112" s="42">
        <f>Table2[[#This Row],[OnHandQty]]-Table2[[#This Row],[Projection Nov/Dec]]</f>
        <v>3</v>
      </c>
      <c r="N2112" s="35">
        <f>Table2[[#This Row],[OverStock]]*Table2[[#This Row],[RepCost]]</f>
        <v>99.050700000000006</v>
      </c>
      <c r="O2112" s="25">
        <v>46156.663194444445</v>
      </c>
      <c r="P2112" s="26" t="s">
        <v>67</v>
      </c>
    </row>
    <row r="2113" spans="1:16" x14ac:dyDescent="0.25">
      <c r="A2113" s="20" t="s">
        <v>5211</v>
      </c>
      <c r="B2113" s="21">
        <v>636</v>
      </c>
      <c r="C2113" s="22" t="s">
        <v>12</v>
      </c>
      <c r="D2113" s="22" t="s">
        <v>497</v>
      </c>
      <c r="E2113" s="22" t="str">
        <f>CONCATENATE(B2113,D2113)</f>
        <v>63673570-STK102</v>
      </c>
      <c r="F2113" s="22" t="s">
        <v>498</v>
      </c>
      <c r="G2113" s="22" t="s">
        <v>23</v>
      </c>
      <c r="H2113" s="23">
        <v>29.351600000000001</v>
      </c>
      <c r="I2113" s="24">
        <v>3</v>
      </c>
      <c r="J2113" s="24">
        <v>0</v>
      </c>
      <c r="K2113" s="24">
        <v>0</v>
      </c>
      <c r="L2113" s="41">
        <f>Table2[[#This Row],[Column1]]+Table2[[#This Row],[Column2]]</f>
        <v>0</v>
      </c>
      <c r="M2113" s="42">
        <f>Table2[[#This Row],[OnHandQty]]-Table2[[#This Row],[Projection Nov/Dec]]</f>
        <v>3</v>
      </c>
      <c r="N2113" s="35">
        <f>Table2[[#This Row],[OverStock]]*Table2[[#This Row],[RepCost]]</f>
        <v>88.0548</v>
      </c>
      <c r="O2113" s="25">
        <v>46146.459722222222</v>
      </c>
      <c r="P2113" s="26" t="s">
        <v>67</v>
      </c>
    </row>
    <row r="2114" spans="1:16" x14ac:dyDescent="0.25">
      <c r="A2114" s="20" t="s">
        <v>5211</v>
      </c>
      <c r="B2114" s="21">
        <v>634</v>
      </c>
      <c r="C2114" s="22" t="s">
        <v>12</v>
      </c>
      <c r="D2114" s="22" t="s">
        <v>65</v>
      </c>
      <c r="E2114" s="22" t="str">
        <f>CONCATENATE(B2114,D2114)</f>
        <v>63473570-STK105</v>
      </c>
      <c r="F2114" s="27" t="s">
        <v>66</v>
      </c>
      <c r="G2114" s="27" t="s">
        <v>58</v>
      </c>
      <c r="H2114" s="23">
        <v>40.71</v>
      </c>
      <c r="I2114" s="24">
        <v>1</v>
      </c>
      <c r="J2114" s="24">
        <v>0</v>
      </c>
      <c r="K2114" s="24">
        <v>0</v>
      </c>
      <c r="L2114" s="41">
        <f>Table2[[#This Row],[Column1]]+Table2[[#This Row],[Column2]]</f>
        <v>0</v>
      </c>
      <c r="M2114" s="42">
        <f>Table2[[#This Row],[OnHandQty]]-Table2[[#This Row],[Projection Nov/Dec]]</f>
        <v>1</v>
      </c>
      <c r="N2114" s="35">
        <f>Table2[[#This Row],[OverStock]]*Table2[[#This Row],[RepCost]]</f>
        <v>40.71</v>
      </c>
      <c r="O2114" s="25">
        <v>45777.449305555558</v>
      </c>
      <c r="P2114" s="26" t="s">
        <v>67</v>
      </c>
    </row>
    <row r="2115" spans="1:16" x14ac:dyDescent="0.25">
      <c r="A2115" s="20" t="s">
        <v>5211</v>
      </c>
      <c r="B2115" s="21">
        <v>714</v>
      </c>
      <c r="C2115" s="22" t="s">
        <v>70</v>
      </c>
      <c r="D2115" s="22" t="s">
        <v>2077</v>
      </c>
      <c r="E2115" s="22" t="str">
        <f>CONCATENATE(B2115,D2115)</f>
        <v>71473598-SP5</v>
      </c>
      <c r="F2115" s="22" t="s">
        <v>2078</v>
      </c>
      <c r="G2115" s="22" t="s">
        <v>39</v>
      </c>
      <c r="H2115" s="23">
        <v>5.0518999999999998</v>
      </c>
      <c r="I2115" s="24">
        <v>22</v>
      </c>
      <c r="J2115" s="24">
        <v>0</v>
      </c>
      <c r="K2115" s="24">
        <v>0</v>
      </c>
      <c r="L2115" s="41">
        <f>Table2[[#This Row],[Column1]]+Table2[[#This Row],[Column2]]</f>
        <v>0</v>
      </c>
      <c r="M2115" s="42">
        <f>Table2[[#This Row],[OnHandQty]]-Table2[[#This Row],[Projection Nov/Dec]]</f>
        <v>22</v>
      </c>
      <c r="N2115" s="35">
        <f>Table2[[#This Row],[OverStock]]*Table2[[#This Row],[RepCost]]</f>
        <v>111.14179999999999</v>
      </c>
      <c r="O2115" s="25">
        <v>46148.502083333333</v>
      </c>
      <c r="P2115" s="26" t="s">
        <v>506</v>
      </c>
    </row>
    <row r="2116" spans="1:16" x14ac:dyDescent="0.25">
      <c r="A2116" s="20" t="s">
        <v>5211</v>
      </c>
      <c r="B2116" s="21">
        <v>636</v>
      </c>
      <c r="C2116" s="22" t="s">
        <v>70</v>
      </c>
      <c r="D2116" s="22" t="s">
        <v>745</v>
      </c>
      <c r="E2116" s="22" t="str">
        <f>CONCATENATE(B2116,D2116)</f>
        <v>63681282-SP4</v>
      </c>
      <c r="F2116" s="22" t="s">
        <v>746</v>
      </c>
      <c r="G2116" s="22" t="s">
        <v>39</v>
      </c>
      <c r="H2116" s="23">
        <v>4.7877000000000001</v>
      </c>
      <c r="I2116" s="24">
        <v>3</v>
      </c>
      <c r="J2116" s="24">
        <v>0</v>
      </c>
      <c r="K2116" s="24">
        <v>0</v>
      </c>
      <c r="L2116" s="41">
        <f>Table2[[#This Row],[Column1]]+Table2[[#This Row],[Column2]]</f>
        <v>0</v>
      </c>
      <c r="M2116" s="42">
        <f>Table2[[#This Row],[OnHandQty]]-Table2[[#This Row],[Projection Nov/Dec]]</f>
        <v>3</v>
      </c>
      <c r="N2116" s="35">
        <f>Table2[[#This Row],[OverStock]]*Table2[[#This Row],[RepCost]]</f>
        <v>14.363099999999999</v>
      </c>
      <c r="O2116" s="25">
        <v>46162.45</v>
      </c>
      <c r="P2116" s="26" t="s">
        <v>99</v>
      </c>
    </row>
    <row r="2117" spans="1:16" x14ac:dyDescent="0.25">
      <c r="A2117" s="20" t="s">
        <v>5211</v>
      </c>
      <c r="B2117" s="21">
        <v>636</v>
      </c>
      <c r="C2117" s="22" t="s">
        <v>323</v>
      </c>
      <c r="D2117" s="22" t="s">
        <v>1586</v>
      </c>
      <c r="E2117" s="22" t="str">
        <f>CONCATENATE(B2117,D2117)</f>
        <v>63673695-307</v>
      </c>
      <c r="F2117" s="22" t="s">
        <v>1587</v>
      </c>
      <c r="G2117" s="22" t="s">
        <v>19</v>
      </c>
      <c r="H2117" s="23">
        <v>221.14320000000001</v>
      </c>
      <c r="I2117" s="24">
        <v>8</v>
      </c>
      <c r="J2117" s="24">
        <v>0</v>
      </c>
      <c r="K2117" s="24">
        <v>0</v>
      </c>
      <c r="L2117" s="41">
        <f>Table2[[#This Row],[Column1]]+Table2[[#This Row],[Column2]]</f>
        <v>0</v>
      </c>
      <c r="M2117" s="42">
        <f>Table2[[#This Row],[OnHandQty]]-Table2[[#This Row],[Projection Nov/Dec]]</f>
        <v>8</v>
      </c>
      <c r="N2117" s="35">
        <f>Table2[[#This Row],[OverStock]]*Table2[[#This Row],[RepCost]]</f>
        <v>1769.1456000000001</v>
      </c>
      <c r="O2117" s="25">
        <v>46143.609722222223</v>
      </c>
      <c r="P2117" s="26" t="s">
        <v>151</v>
      </c>
    </row>
    <row r="2118" spans="1:16" x14ac:dyDescent="0.25">
      <c r="A2118" s="20" t="s">
        <v>5211</v>
      </c>
      <c r="B2118" s="21">
        <v>636</v>
      </c>
      <c r="C2118" s="22" t="s">
        <v>323</v>
      </c>
      <c r="D2118" s="22" t="s">
        <v>1265</v>
      </c>
      <c r="E2118" s="22" t="str">
        <f>CONCATENATE(B2118,D2118)</f>
        <v>63673693-W830</v>
      </c>
      <c r="F2118" s="22" t="s">
        <v>1266</v>
      </c>
      <c r="G2118" s="22" t="s">
        <v>29</v>
      </c>
      <c r="H2118" s="23">
        <v>262.86399999999998</v>
      </c>
      <c r="I2118" s="24">
        <v>2</v>
      </c>
      <c r="J2118" s="24">
        <v>0</v>
      </c>
      <c r="K2118" s="24">
        <v>0</v>
      </c>
      <c r="L2118" s="41">
        <f>Table2[[#This Row],[Column1]]+Table2[[#This Row],[Column2]]</f>
        <v>0</v>
      </c>
      <c r="M2118" s="42">
        <f>Table2[[#This Row],[OnHandQty]]-Table2[[#This Row],[Projection Nov/Dec]]</f>
        <v>2</v>
      </c>
      <c r="N2118" s="35">
        <f>Table2[[#This Row],[OverStock]]*Table2[[#This Row],[RepCost]]</f>
        <v>525.72799999999995</v>
      </c>
      <c r="O2118" s="25">
        <v>46128.310416666667</v>
      </c>
      <c r="P2118" s="26" t="s">
        <v>178</v>
      </c>
    </row>
    <row r="2119" spans="1:16" x14ac:dyDescent="0.25">
      <c r="A2119" s="20" t="s">
        <v>5211</v>
      </c>
      <c r="B2119" s="21">
        <v>714</v>
      </c>
      <c r="C2119" s="22" t="s">
        <v>323</v>
      </c>
      <c r="D2119" s="22" t="s">
        <v>2883</v>
      </c>
      <c r="E2119" s="22" t="str">
        <f>CONCATENATE(B2119,D2119)</f>
        <v>71473788-125</v>
      </c>
      <c r="F2119" s="22" t="s">
        <v>2884</v>
      </c>
      <c r="G2119" s="22" t="s">
        <v>29</v>
      </c>
      <c r="H2119" s="23">
        <v>159.16749999999999</v>
      </c>
      <c r="I2119" s="24">
        <v>3</v>
      </c>
      <c r="J2119" s="24">
        <v>1</v>
      </c>
      <c r="K2119" s="24">
        <v>0</v>
      </c>
      <c r="L2119" s="41">
        <f>Table2[[#This Row],[Column1]]+Table2[[#This Row],[Column2]]</f>
        <v>1</v>
      </c>
      <c r="M2119" s="42">
        <f>Table2[[#This Row],[OnHandQty]]-Table2[[#This Row],[Projection Nov/Dec]]</f>
        <v>2</v>
      </c>
      <c r="N2119" s="35">
        <f>Table2[[#This Row],[OverStock]]*Table2[[#This Row],[RepCost]]</f>
        <v>318.33499999999998</v>
      </c>
      <c r="O2119" s="25">
        <v>45936.418749999997</v>
      </c>
      <c r="P2119" s="26" t="s">
        <v>1870</v>
      </c>
    </row>
    <row r="2120" spans="1:16" x14ac:dyDescent="0.25">
      <c r="A2120" s="20" t="s">
        <v>5211</v>
      </c>
      <c r="B2120" s="21">
        <v>636</v>
      </c>
      <c r="C2120" s="22" t="s">
        <v>323</v>
      </c>
      <c r="D2120" s="22" t="s">
        <v>1342</v>
      </c>
      <c r="E2120" s="22" t="str">
        <f>CONCATENATE(B2120,D2120)</f>
        <v>63673788-107</v>
      </c>
      <c r="F2120" s="27" t="s">
        <v>1343</v>
      </c>
      <c r="G2120" s="27" t="s">
        <v>58</v>
      </c>
      <c r="H2120" s="23">
        <v>55.863100000000003</v>
      </c>
      <c r="I2120" s="24">
        <v>3</v>
      </c>
      <c r="J2120" s="24">
        <v>0</v>
      </c>
      <c r="K2120" s="24">
        <v>0</v>
      </c>
      <c r="L2120" s="41">
        <f>Table2[[#This Row],[Column1]]+Table2[[#This Row],[Column2]]</f>
        <v>0</v>
      </c>
      <c r="M2120" s="42">
        <f>Table2[[#This Row],[OnHandQty]]-Table2[[#This Row],[Projection Nov/Dec]]</f>
        <v>3</v>
      </c>
      <c r="N2120" s="35">
        <f>Table2[[#This Row],[OverStock]]*Table2[[#This Row],[RepCost]]</f>
        <v>167.58930000000001</v>
      </c>
      <c r="O2120" s="25">
        <v>45912.533333333333</v>
      </c>
      <c r="P2120" s="26" t="s">
        <v>40</v>
      </c>
    </row>
    <row r="2121" spans="1:16" x14ac:dyDescent="0.25">
      <c r="A2121" s="20" t="s">
        <v>5211</v>
      </c>
      <c r="B2121" s="21">
        <v>714</v>
      </c>
      <c r="C2121" s="22" t="s">
        <v>323</v>
      </c>
      <c r="D2121" s="22" t="s">
        <v>2922</v>
      </c>
      <c r="E2121" s="22" t="str">
        <f>CONCATENATE(B2121,D2121)</f>
        <v>71473789-035</v>
      </c>
      <c r="F2121" s="22" t="s">
        <v>2923</v>
      </c>
      <c r="G2121" s="22" t="s">
        <v>29</v>
      </c>
      <c r="H2121" s="23">
        <v>323.1619</v>
      </c>
      <c r="I2121" s="24">
        <v>10</v>
      </c>
      <c r="J2121" s="24">
        <v>0</v>
      </c>
      <c r="K2121" s="24">
        <v>0</v>
      </c>
      <c r="L2121" s="41">
        <f>Table2[[#This Row],[Column1]]+Table2[[#This Row],[Column2]]</f>
        <v>0</v>
      </c>
      <c r="M2121" s="42">
        <f>Table2[[#This Row],[OnHandQty]]-Table2[[#This Row],[Projection Nov/Dec]]</f>
        <v>10</v>
      </c>
      <c r="N2121" s="35">
        <f>Table2[[#This Row],[OverStock]]*Table2[[#This Row],[RepCost]]</f>
        <v>3231.6190000000001</v>
      </c>
      <c r="O2121" s="25">
        <v>46161.368750000001</v>
      </c>
      <c r="P2121" s="26" t="s">
        <v>1224</v>
      </c>
    </row>
    <row r="2122" spans="1:16" x14ac:dyDescent="0.25">
      <c r="A2122" s="20" t="s">
        <v>5211</v>
      </c>
      <c r="B2122" s="21">
        <v>714</v>
      </c>
      <c r="C2122" s="22" t="s">
        <v>323</v>
      </c>
      <c r="D2122" s="22" t="s">
        <v>3532</v>
      </c>
      <c r="E2122" s="22" t="str">
        <f>CONCATENATE(B2122,D2122)</f>
        <v>71473806-0175</v>
      </c>
      <c r="F2122" s="22" t="s">
        <v>3533</v>
      </c>
      <c r="G2122" s="22" t="s">
        <v>29</v>
      </c>
      <c r="H2122" s="23">
        <v>103.9683</v>
      </c>
      <c r="I2122" s="24">
        <v>2</v>
      </c>
      <c r="J2122" s="24">
        <v>0</v>
      </c>
      <c r="K2122" s="24">
        <v>0</v>
      </c>
      <c r="L2122" s="41">
        <f>Table2[[#This Row],[Column1]]+Table2[[#This Row],[Column2]]</f>
        <v>0</v>
      </c>
      <c r="M2122" s="42">
        <f>Table2[[#This Row],[OnHandQty]]-Table2[[#This Row],[Projection Nov/Dec]]</f>
        <v>2</v>
      </c>
      <c r="N2122" s="35">
        <f>Table2[[#This Row],[OverStock]]*Table2[[#This Row],[RepCost]]</f>
        <v>207.9366</v>
      </c>
      <c r="O2122" s="25">
        <v>46200.335416666669</v>
      </c>
      <c r="P2122" s="26" t="s">
        <v>151</v>
      </c>
    </row>
    <row r="2123" spans="1:16" x14ac:dyDescent="0.25">
      <c r="A2123" s="20" t="s">
        <v>5211</v>
      </c>
      <c r="B2123" s="21">
        <v>636</v>
      </c>
      <c r="C2123" s="22" t="s">
        <v>323</v>
      </c>
      <c r="D2123" s="22" t="s">
        <v>1576</v>
      </c>
      <c r="E2123" s="22" t="str">
        <f>CONCATENATE(B2123,D2123)</f>
        <v>63673806-020</v>
      </c>
      <c r="F2123" s="27" t="s">
        <v>1577</v>
      </c>
      <c r="G2123" s="27" t="s">
        <v>58</v>
      </c>
      <c r="H2123" s="23">
        <v>134.01060000000001</v>
      </c>
      <c r="I2123" s="24">
        <v>1</v>
      </c>
      <c r="J2123" s="24">
        <v>0</v>
      </c>
      <c r="K2123" s="24">
        <v>0</v>
      </c>
      <c r="L2123" s="41">
        <f>Table2[[#This Row],[Column1]]+Table2[[#This Row],[Column2]]</f>
        <v>0</v>
      </c>
      <c r="M2123" s="42">
        <f>Table2[[#This Row],[OnHandQty]]-Table2[[#This Row],[Projection Nov/Dec]]</f>
        <v>1</v>
      </c>
      <c r="N2123" s="35">
        <f>Table2[[#This Row],[OverStock]]*Table2[[#This Row],[RepCost]]</f>
        <v>134.01060000000001</v>
      </c>
      <c r="O2123" s="25">
        <v>45708.388888888891</v>
      </c>
      <c r="P2123" s="26" t="s">
        <v>159</v>
      </c>
    </row>
    <row r="2124" spans="1:16" x14ac:dyDescent="0.25">
      <c r="A2124" s="20" t="s">
        <v>5211</v>
      </c>
      <c r="B2124" s="21">
        <v>634</v>
      </c>
      <c r="C2124" s="22" t="s">
        <v>323</v>
      </c>
      <c r="D2124" s="22" t="s">
        <v>489</v>
      </c>
      <c r="E2124" s="22" t="str">
        <f>CONCATENATE(B2124,D2124)</f>
        <v>63473806-025</v>
      </c>
      <c r="F2124" s="22" t="s">
        <v>490</v>
      </c>
      <c r="G2124" s="22" t="s">
        <v>29</v>
      </c>
      <c r="H2124" s="23">
        <v>163.95419999999999</v>
      </c>
      <c r="I2124" s="24">
        <v>4</v>
      </c>
      <c r="J2124" s="24">
        <v>0</v>
      </c>
      <c r="K2124" s="24">
        <v>0</v>
      </c>
      <c r="L2124" s="41">
        <f>Table2[[#This Row],[Column1]]+Table2[[#This Row],[Column2]]</f>
        <v>0</v>
      </c>
      <c r="M2124" s="42">
        <f>Table2[[#This Row],[OnHandQty]]-Table2[[#This Row],[Projection Nov/Dec]]</f>
        <v>4</v>
      </c>
      <c r="N2124" s="35">
        <f>Table2[[#This Row],[OverStock]]*Table2[[#This Row],[RepCost]]</f>
        <v>655.81679999999994</v>
      </c>
      <c r="O2124" s="25">
        <v>46080.504166666666</v>
      </c>
      <c r="P2124" s="26" t="s">
        <v>151</v>
      </c>
    </row>
    <row r="2125" spans="1:16" x14ac:dyDescent="0.25">
      <c r="A2125" s="20" t="s">
        <v>5211</v>
      </c>
      <c r="B2125" s="21">
        <v>636</v>
      </c>
      <c r="C2125" s="22" t="s">
        <v>323</v>
      </c>
      <c r="D2125" s="22" t="s">
        <v>1433</v>
      </c>
      <c r="E2125" s="22" t="str">
        <f>CONCATENATE(B2125,D2125)</f>
        <v>63673806-040</v>
      </c>
      <c r="F2125" s="22" t="s">
        <v>1434</v>
      </c>
      <c r="G2125" s="22" t="s">
        <v>19</v>
      </c>
      <c r="H2125" s="23">
        <v>492.51749999999998</v>
      </c>
      <c r="I2125" s="24">
        <v>3</v>
      </c>
      <c r="J2125" s="24">
        <v>0</v>
      </c>
      <c r="K2125" s="24">
        <v>0</v>
      </c>
      <c r="L2125" s="41">
        <f>Table2[[#This Row],[Column1]]+Table2[[#This Row],[Column2]]</f>
        <v>0</v>
      </c>
      <c r="M2125" s="42">
        <f>Table2[[#This Row],[OnHandQty]]-Table2[[#This Row],[Projection Nov/Dec]]</f>
        <v>3</v>
      </c>
      <c r="N2125" s="35">
        <f>Table2[[#This Row],[OverStock]]*Table2[[#This Row],[RepCost]]</f>
        <v>1477.5525</v>
      </c>
      <c r="O2125" s="25">
        <v>46086.3125</v>
      </c>
      <c r="P2125" s="26" t="s">
        <v>1229</v>
      </c>
    </row>
    <row r="2126" spans="1:16" x14ac:dyDescent="0.25">
      <c r="A2126" s="20" t="s">
        <v>5211</v>
      </c>
      <c r="B2126" s="21">
        <v>636</v>
      </c>
      <c r="C2126" s="22" t="s">
        <v>143</v>
      </c>
      <c r="D2126" s="22" t="s">
        <v>1031</v>
      </c>
      <c r="E2126" s="22" t="str">
        <f>CONCATENATE(B2126,D2126)</f>
        <v>63677585-103</v>
      </c>
      <c r="F2126" s="22" t="s">
        <v>1032</v>
      </c>
      <c r="G2126" s="22" t="s">
        <v>29</v>
      </c>
      <c r="H2126" s="23">
        <v>19.514700000000001</v>
      </c>
      <c r="I2126" s="24">
        <v>4</v>
      </c>
      <c r="J2126" s="24">
        <v>0</v>
      </c>
      <c r="K2126" s="24">
        <v>0</v>
      </c>
      <c r="L2126" s="41">
        <f>Table2[[#This Row],[Column1]]+Table2[[#This Row],[Column2]]</f>
        <v>0</v>
      </c>
      <c r="M2126" s="42">
        <f>Table2[[#This Row],[OnHandQty]]-Table2[[#This Row],[Projection Nov/Dec]]</f>
        <v>4</v>
      </c>
      <c r="N2126" s="35">
        <f>Table2[[#This Row],[OverStock]]*Table2[[#This Row],[RepCost]]</f>
        <v>78.058800000000005</v>
      </c>
      <c r="O2126" s="25">
        <v>46122.48333333333</v>
      </c>
      <c r="P2126" s="26" t="s">
        <v>40</v>
      </c>
    </row>
    <row r="2127" spans="1:16" x14ac:dyDescent="0.25">
      <c r="A2127" s="20" t="s">
        <v>5211</v>
      </c>
      <c r="B2127" s="21">
        <v>636</v>
      </c>
      <c r="C2127" s="22" t="s">
        <v>143</v>
      </c>
      <c r="D2127" s="22" t="s">
        <v>1163</v>
      </c>
      <c r="E2127" s="22" t="str">
        <f>CONCATENATE(B2127,D2127)</f>
        <v>63682848-101</v>
      </c>
      <c r="F2127" s="22" t="s">
        <v>1164</v>
      </c>
      <c r="G2127" s="22" t="s">
        <v>29</v>
      </c>
      <c r="H2127" s="23">
        <v>11.3161</v>
      </c>
      <c r="I2127" s="24">
        <v>4</v>
      </c>
      <c r="J2127" s="24">
        <v>0</v>
      </c>
      <c r="K2127" s="24">
        <v>0</v>
      </c>
      <c r="L2127" s="41">
        <f>Table2[[#This Row],[Column1]]+Table2[[#This Row],[Column2]]</f>
        <v>0</v>
      </c>
      <c r="M2127" s="42">
        <f>Table2[[#This Row],[OnHandQty]]-Table2[[#This Row],[Projection Nov/Dec]]</f>
        <v>4</v>
      </c>
      <c r="N2127" s="35">
        <f>Table2[[#This Row],[OverStock]]*Table2[[#This Row],[RepCost]]</f>
        <v>45.264400000000002</v>
      </c>
      <c r="O2127" s="25">
        <v>46122.48333333333</v>
      </c>
      <c r="P2127" s="26" t="s">
        <v>40</v>
      </c>
    </row>
    <row r="2128" spans="1:16" x14ac:dyDescent="0.25">
      <c r="A2128" s="20" t="s">
        <v>5211</v>
      </c>
      <c r="B2128" s="21">
        <v>718</v>
      </c>
      <c r="C2128" s="22" t="s">
        <v>143</v>
      </c>
      <c r="D2128" s="22" t="s">
        <v>3711</v>
      </c>
      <c r="E2128" s="22" t="str">
        <f>CONCATENATE(B2128,D2128)</f>
        <v>71873836-105</v>
      </c>
      <c r="F2128" s="22" t="s">
        <v>3712</v>
      </c>
      <c r="G2128" s="22" t="s">
        <v>29</v>
      </c>
      <c r="H2128" s="23">
        <v>26.450900000000001</v>
      </c>
      <c r="I2128" s="24">
        <v>5</v>
      </c>
      <c r="J2128" s="24">
        <v>0</v>
      </c>
      <c r="K2128" s="24">
        <v>0</v>
      </c>
      <c r="L2128" s="41">
        <f>Table2[[#This Row],[Column1]]+Table2[[#This Row],[Column2]]</f>
        <v>0</v>
      </c>
      <c r="M2128" s="42">
        <f>Table2[[#This Row],[OnHandQty]]-Table2[[#This Row],[Projection Nov/Dec]]</f>
        <v>5</v>
      </c>
      <c r="N2128" s="35">
        <f>Table2[[#This Row],[OverStock]]*Table2[[#This Row],[RepCost]]</f>
        <v>132.25450000000001</v>
      </c>
      <c r="O2128" s="25">
        <v>46147.688194444447</v>
      </c>
      <c r="P2128" s="26" t="s">
        <v>2066</v>
      </c>
    </row>
    <row r="2129" spans="1:16" x14ac:dyDescent="0.25">
      <c r="A2129" s="20" t="s">
        <v>5211</v>
      </c>
      <c r="B2129" s="21">
        <v>636</v>
      </c>
      <c r="C2129" s="22" t="s">
        <v>70</v>
      </c>
      <c r="D2129" s="22" t="s">
        <v>648</v>
      </c>
      <c r="E2129" s="22" t="str">
        <f>CONCATENATE(B2129,D2129)</f>
        <v>63679999-101</v>
      </c>
      <c r="F2129" s="22" t="s">
        <v>649</v>
      </c>
      <c r="G2129" s="22" t="s">
        <v>39</v>
      </c>
      <c r="H2129" s="23">
        <v>11.587999999999999</v>
      </c>
      <c r="I2129" s="24">
        <v>6</v>
      </c>
      <c r="J2129" s="24">
        <v>0</v>
      </c>
      <c r="K2129" s="24">
        <v>0</v>
      </c>
      <c r="L2129" s="41">
        <f>Table2[[#This Row],[Column1]]+Table2[[#This Row],[Column2]]</f>
        <v>0</v>
      </c>
      <c r="M2129" s="42">
        <f>Table2[[#This Row],[OnHandQty]]-Table2[[#This Row],[Projection Nov/Dec]]</f>
        <v>6</v>
      </c>
      <c r="N2129" s="35">
        <f>Table2[[#This Row],[OverStock]]*Table2[[#This Row],[RepCost]]</f>
        <v>69.527999999999992</v>
      </c>
      <c r="O2129" s="25">
        <v>46129.384722222225</v>
      </c>
      <c r="P2129" s="26" t="s">
        <v>16</v>
      </c>
    </row>
    <row r="2130" spans="1:16" x14ac:dyDescent="0.25">
      <c r="A2130" s="20" t="s">
        <v>5211</v>
      </c>
      <c r="B2130" s="21">
        <v>634</v>
      </c>
      <c r="C2130" s="22" t="s">
        <v>70</v>
      </c>
      <c r="D2130" s="22" t="s">
        <v>97</v>
      </c>
      <c r="E2130" s="22" t="str">
        <f>CONCATENATE(B2130,D2130)</f>
        <v>63479999-SP4</v>
      </c>
      <c r="F2130" s="22" t="s">
        <v>98</v>
      </c>
      <c r="G2130" s="22" t="s">
        <v>29</v>
      </c>
      <c r="H2130" s="23">
        <v>1.9140999999999999</v>
      </c>
      <c r="I2130" s="24">
        <v>5</v>
      </c>
      <c r="J2130" s="24">
        <v>0</v>
      </c>
      <c r="K2130" s="24">
        <v>0</v>
      </c>
      <c r="L2130" s="41">
        <f>Table2[[#This Row],[Column1]]+Table2[[#This Row],[Column2]]</f>
        <v>0</v>
      </c>
      <c r="M2130" s="42">
        <f>Table2[[#This Row],[OnHandQty]]-Table2[[#This Row],[Projection Nov/Dec]]</f>
        <v>5</v>
      </c>
      <c r="N2130" s="35">
        <f>Table2[[#This Row],[OverStock]]*Table2[[#This Row],[RepCost]]</f>
        <v>9.5704999999999991</v>
      </c>
      <c r="O2130" s="25">
        <v>44697.443055555559</v>
      </c>
      <c r="P2130" s="26" t="s">
        <v>99</v>
      </c>
    </row>
    <row r="2131" spans="1:16" x14ac:dyDescent="0.25">
      <c r="A2131" s="20" t="s">
        <v>5211</v>
      </c>
      <c r="B2131" s="21">
        <v>714</v>
      </c>
      <c r="C2131" s="22" t="s">
        <v>70</v>
      </c>
      <c r="D2131" s="22" t="s">
        <v>2081</v>
      </c>
      <c r="E2131" s="22" t="str">
        <f>CONCATENATE(B2131,D2131)</f>
        <v>71484922-101</v>
      </c>
      <c r="F2131" s="22" t="s">
        <v>2082</v>
      </c>
      <c r="G2131" s="22" t="s">
        <v>23</v>
      </c>
      <c r="H2131" s="23">
        <v>5.92</v>
      </c>
      <c r="I2131" s="24">
        <v>42</v>
      </c>
      <c r="J2131" s="24">
        <v>0</v>
      </c>
      <c r="K2131" s="24">
        <v>0</v>
      </c>
      <c r="L2131" s="41">
        <f>Table2[[#This Row],[Column1]]+Table2[[#This Row],[Column2]]</f>
        <v>0</v>
      </c>
      <c r="M2131" s="42">
        <f>Table2[[#This Row],[OnHandQty]]-Table2[[#This Row],[Projection Nov/Dec]]</f>
        <v>42</v>
      </c>
      <c r="N2131" s="35">
        <f>Table2[[#This Row],[OverStock]]*Table2[[#This Row],[RepCost]]</f>
        <v>248.64</v>
      </c>
      <c r="O2131" s="25">
        <v>46177.484722222223</v>
      </c>
      <c r="P2131" s="26" t="s">
        <v>878</v>
      </c>
    </row>
    <row r="2132" spans="1:16" x14ac:dyDescent="0.25">
      <c r="A2132" s="20" t="s">
        <v>5211</v>
      </c>
      <c r="B2132" s="21">
        <v>714</v>
      </c>
      <c r="C2132" s="22" t="s">
        <v>70</v>
      </c>
      <c r="D2132" s="22" t="s">
        <v>1977</v>
      </c>
      <c r="E2132" s="22" t="str">
        <f>CONCATENATE(B2132,D2132)</f>
        <v>71473880-101</v>
      </c>
      <c r="F2132" s="22" t="s">
        <v>1978</v>
      </c>
      <c r="G2132" s="22" t="s">
        <v>29</v>
      </c>
      <c r="H2132" s="23">
        <v>4.6275000000000004</v>
      </c>
      <c r="I2132" s="24">
        <v>8</v>
      </c>
      <c r="J2132" s="24">
        <v>0</v>
      </c>
      <c r="K2132" s="24">
        <v>0</v>
      </c>
      <c r="L2132" s="41">
        <f>Table2[[#This Row],[Column1]]+Table2[[#This Row],[Column2]]</f>
        <v>0</v>
      </c>
      <c r="M2132" s="42">
        <f>Table2[[#This Row],[OnHandQty]]-Table2[[#This Row],[Projection Nov/Dec]]</f>
        <v>8</v>
      </c>
      <c r="N2132" s="35">
        <f>Table2[[#This Row],[OverStock]]*Table2[[#This Row],[RepCost]]</f>
        <v>37.020000000000003</v>
      </c>
      <c r="O2132" s="25">
        <v>46198.418055555558</v>
      </c>
      <c r="P2132" s="26" t="s">
        <v>878</v>
      </c>
    </row>
    <row r="2133" spans="1:16" x14ac:dyDescent="0.25">
      <c r="A2133" s="20" t="s">
        <v>5211</v>
      </c>
      <c r="B2133" s="21">
        <v>636</v>
      </c>
      <c r="C2133" s="22" t="s">
        <v>70</v>
      </c>
      <c r="D2133" s="22" t="s">
        <v>765</v>
      </c>
      <c r="E2133" s="22" t="str">
        <f>CONCATENATE(B2133,D2133)</f>
        <v>63682549-101</v>
      </c>
      <c r="F2133" s="22" t="s">
        <v>766</v>
      </c>
      <c r="G2133" s="22" t="s">
        <v>29</v>
      </c>
      <c r="H2133" s="23">
        <v>7.7838000000000003</v>
      </c>
      <c r="I2133" s="24">
        <v>18</v>
      </c>
      <c r="J2133" s="24">
        <v>0</v>
      </c>
      <c r="K2133" s="24">
        <v>0</v>
      </c>
      <c r="L2133" s="41">
        <f>Table2[[#This Row],[Column1]]+Table2[[#This Row],[Column2]]</f>
        <v>0</v>
      </c>
      <c r="M2133" s="42">
        <f>Table2[[#This Row],[OnHandQty]]-Table2[[#This Row],[Projection Nov/Dec]]</f>
        <v>18</v>
      </c>
      <c r="N2133" s="35">
        <f>Table2[[#This Row],[OverStock]]*Table2[[#This Row],[RepCost]]</f>
        <v>140.10840000000002</v>
      </c>
      <c r="O2133" s="25">
        <v>46232.470833333333</v>
      </c>
      <c r="P2133" s="26" t="s">
        <v>522</v>
      </c>
    </row>
    <row r="2134" spans="1:16" x14ac:dyDescent="0.25">
      <c r="A2134" s="20" t="s">
        <v>5211</v>
      </c>
      <c r="B2134" s="21">
        <v>714</v>
      </c>
      <c r="C2134" s="22" t="s">
        <v>70</v>
      </c>
      <c r="D2134" s="22" t="s">
        <v>2186</v>
      </c>
      <c r="E2134" s="22" t="str">
        <f>CONCATENATE(B2134,D2134)</f>
        <v>71493297-101</v>
      </c>
      <c r="F2134" s="22" t="s">
        <v>2187</v>
      </c>
      <c r="G2134" s="22" t="s">
        <v>39</v>
      </c>
      <c r="H2134" s="23">
        <v>7.1295999999999999</v>
      </c>
      <c r="I2134" s="24">
        <v>7</v>
      </c>
      <c r="J2134" s="24">
        <v>0</v>
      </c>
      <c r="K2134" s="24">
        <v>0</v>
      </c>
      <c r="L2134" s="41">
        <f>Table2[[#This Row],[Column1]]+Table2[[#This Row],[Column2]]</f>
        <v>0</v>
      </c>
      <c r="M2134" s="42">
        <f>Table2[[#This Row],[OnHandQty]]-Table2[[#This Row],[Projection Nov/Dec]]</f>
        <v>7</v>
      </c>
      <c r="N2134" s="35">
        <f>Table2[[#This Row],[OverStock]]*Table2[[#This Row],[RepCost]]</f>
        <v>49.907200000000003</v>
      </c>
      <c r="O2134" s="25">
        <v>46118.575694444444</v>
      </c>
      <c r="P2134" s="26" t="s">
        <v>573</v>
      </c>
    </row>
    <row r="2135" spans="1:16" x14ac:dyDescent="0.25">
      <c r="A2135" s="20" t="s">
        <v>5211</v>
      </c>
      <c r="B2135" s="21">
        <v>636</v>
      </c>
      <c r="C2135" s="22" t="s">
        <v>70</v>
      </c>
      <c r="D2135" s="22" t="s">
        <v>672</v>
      </c>
      <c r="E2135" s="22" t="str">
        <f>CONCATENATE(B2135,D2135)</f>
        <v>63695184-101</v>
      </c>
      <c r="F2135" s="22" t="s">
        <v>673</v>
      </c>
      <c r="G2135" s="22" t="s">
        <v>39</v>
      </c>
      <c r="H2135" s="23">
        <v>7.4866999999999999</v>
      </c>
      <c r="I2135" s="24">
        <v>5</v>
      </c>
      <c r="J2135" s="24">
        <v>0</v>
      </c>
      <c r="K2135" s="24">
        <v>0</v>
      </c>
      <c r="L2135" s="41">
        <f>Table2[[#This Row],[Column1]]+Table2[[#This Row],[Column2]]</f>
        <v>0</v>
      </c>
      <c r="M2135" s="42">
        <f>Table2[[#This Row],[OnHandQty]]-Table2[[#This Row],[Projection Nov/Dec]]</f>
        <v>5</v>
      </c>
      <c r="N2135" s="35">
        <f>Table2[[#This Row],[OverStock]]*Table2[[#This Row],[RepCost]]</f>
        <v>37.433500000000002</v>
      </c>
      <c r="O2135" s="25">
        <v>46184.540277777778</v>
      </c>
      <c r="P2135" s="26" t="s">
        <v>16</v>
      </c>
    </row>
    <row r="2136" spans="1:16" x14ac:dyDescent="0.25">
      <c r="A2136" s="20" t="s">
        <v>5211</v>
      </c>
      <c r="B2136" s="21">
        <v>636</v>
      </c>
      <c r="C2136" s="22" t="s">
        <v>70</v>
      </c>
      <c r="D2136" s="22" t="s">
        <v>581</v>
      </c>
      <c r="E2136" s="22" t="str">
        <f>CONCATENATE(B2136,D2136)</f>
        <v>63673963-101</v>
      </c>
      <c r="F2136" s="22" t="s">
        <v>582</v>
      </c>
      <c r="G2136" s="22" t="s">
        <v>39</v>
      </c>
      <c r="H2136" s="23">
        <v>5.3391999999999999</v>
      </c>
      <c r="I2136" s="24">
        <v>8</v>
      </c>
      <c r="J2136" s="24">
        <v>5</v>
      </c>
      <c r="K2136" s="24">
        <v>0</v>
      </c>
      <c r="L2136" s="41">
        <f>Table2[[#This Row],[Column1]]+Table2[[#This Row],[Column2]]</f>
        <v>5</v>
      </c>
      <c r="M2136" s="42">
        <f>Table2[[#This Row],[OnHandQty]]-Table2[[#This Row],[Projection Nov/Dec]]</f>
        <v>3</v>
      </c>
      <c r="N2136" s="35">
        <f>Table2[[#This Row],[OverStock]]*Table2[[#This Row],[RepCost]]</f>
        <v>16.017600000000002</v>
      </c>
      <c r="O2136" s="25">
        <v>46189.418749999997</v>
      </c>
      <c r="P2136" s="26" t="s">
        <v>16</v>
      </c>
    </row>
    <row r="2137" spans="1:16" x14ac:dyDescent="0.25">
      <c r="A2137" s="20" t="s">
        <v>5211</v>
      </c>
      <c r="B2137" s="21">
        <v>636</v>
      </c>
      <c r="C2137" s="22" t="s">
        <v>70</v>
      </c>
      <c r="D2137" s="22" t="s">
        <v>581</v>
      </c>
      <c r="E2137" s="22" t="str">
        <f>CONCATENATE(B2137,D2137)</f>
        <v>63673963-101</v>
      </c>
      <c r="F2137" s="22" t="s">
        <v>582</v>
      </c>
      <c r="G2137" s="22" t="s">
        <v>39</v>
      </c>
      <c r="H2137" s="23">
        <v>5.3391999999999999</v>
      </c>
      <c r="I2137" s="24">
        <v>8</v>
      </c>
      <c r="J2137" s="24">
        <v>5</v>
      </c>
      <c r="K2137" s="24">
        <v>0</v>
      </c>
      <c r="L2137" s="41">
        <f>Table2[[#This Row],[Column1]]+Table2[[#This Row],[Column2]]</f>
        <v>5</v>
      </c>
      <c r="M2137" s="42">
        <f>Table2[[#This Row],[OnHandQty]]-Table2[[#This Row],[Projection Nov/Dec]]</f>
        <v>3</v>
      </c>
      <c r="N2137" s="35">
        <f>Table2[[#This Row],[OverStock]]*Table2[[#This Row],[RepCost]]</f>
        <v>16.017600000000002</v>
      </c>
      <c r="O2137" s="25">
        <v>46189.418749999997</v>
      </c>
      <c r="P2137" s="26" t="s">
        <v>16</v>
      </c>
    </row>
    <row r="2138" spans="1:16" x14ac:dyDescent="0.25">
      <c r="A2138" s="20" t="s">
        <v>5211</v>
      </c>
      <c r="B2138" s="21">
        <v>718</v>
      </c>
      <c r="C2138" s="22" t="s">
        <v>70</v>
      </c>
      <c r="D2138" s="22" t="s">
        <v>581</v>
      </c>
      <c r="E2138" s="22" t="str">
        <f>CONCATENATE(B2138,D2138)</f>
        <v>71873963-101</v>
      </c>
      <c r="F2138" s="22" t="s">
        <v>582</v>
      </c>
      <c r="G2138" s="22" t="s">
        <v>112</v>
      </c>
      <c r="H2138" s="23">
        <v>5.9116</v>
      </c>
      <c r="I2138" s="24">
        <v>73</v>
      </c>
      <c r="J2138" s="24">
        <v>5</v>
      </c>
      <c r="K2138" s="24">
        <v>0</v>
      </c>
      <c r="L2138" s="41">
        <f>Table2[[#This Row],[Column1]]+Table2[[#This Row],[Column2]]</f>
        <v>5</v>
      </c>
      <c r="M2138" s="42">
        <f>Table2[[#This Row],[OnHandQty]]-Table2[[#This Row],[Projection Nov/Dec]]</f>
        <v>68</v>
      </c>
      <c r="N2138" s="35">
        <f>Table2[[#This Row],[OverStock]]*Table2[[#This Row],[RepCost]]</f>
        <v>401.98879999999997</v>
      </c>
      <c r="O2138" s="25">
        <v>46213.618750000001</v>
      </c>
      <c r="P2138" s="26" t="s">
        <v>16</v>
      </c>
    </row>
    <row r="2139" spans="1:16" x14ac:dyDescent="0.25">
      <c r="A2139" s="20" t="s">
        <v>5211</v>
      </c>
      <c r="B2139" s="21">
        <v>714</v>
      </c>
      <c r="C2139" s="22" t="s">
        <v>143</v>
      </c>
      <c r="D2139" s="22" t="s">
        <v>2640</v>
      </c>
      <c r="E2139" s="22" t="str">
        <f>CONCATENATE(B2139,D2139)</f>
        <v>71474030-105</v>
      </c>
      <c r="F2139" s="22" t="s">
        <v>2641</v>
      </c>
      <c r="G2139" s="22" t="s">
        <v>455</v>
      </c>
      <c r="H2139" s="23">
        <v>34.304000000000002</v>
      </c>
      <c r="I2139" s="24">
        <v>3</v>
      </c>
      <c r="J2139" s="24">
        <v>0</v>
      </c>
      <c r="K2139" s="24">
        <v>0</v>
      </c>
      <c r="L2139" s="41">
        <f>Table2[[#This Row],[Column1]]+Table2[[#This Row],[Column2]]</f>
        <v>0</v>
      </c>
      <c r="M2139" s="42">
        <f>Table2[[#This Row],[OnHandQty]]-Table2[[#This Row],[Projection Nov/Dec]]</f>
        <v>3</v>
      </c>
      <c r="N2139" s="35">
        <f>Table2[[#This Row],[OverStock]]*Table2[[#This Row],[RepCost]]</f>
        <v>102.91200000000001</v>
      </c>
      <c r="O2139" s="25">
        <v>46191.352083333331</v>
      </c>
      <c r="P2139" s="26" t="s">
        <v>195</v>
      </c>
    </row>
    <row r="2140" spans="1:16" x14ac:dyDescent="0.25">
      <c r="A2140" s="20" t="s">
        <v>5211</v>
      </c>
      <c r="B2140" s="21">
        <v>634</v>
      </c>
      <c r="C2140" s="22" t="s">
        <v>143</v>
      </c>
      <c r="D2140" s="22" t="s">
        <v>249</v>
      </c>
      <c r="E2140" s="22" t="str">
        <f>CONCATENATE(B2140,D2140)</f>
        <v>63473989-248</v>
      </c>
      <c r="F2140" s="22" t="s">
        <v>250</v>
      </c>
      <c r="G2140" s="22" t="s">
        <v>23</v>
      </c>
      <c r="H2140" s="23">
        <v>226.4066</v>
      </c>
      <c r="I2140" s="24">
        <v>3</v>
      </c>
      <c r="J2140" s="24">
        <v>0</v>
      </c>
      <c r="K2140" s="24">
        <v>0</v>
      </c>
      <c r="L2140" s="41">
        <f>Table2[[#This Row],[Column1]]+Table2[[#This Row],[Column2]]</f>
        <v>0</v>
      </c>
      <c r="M2140" s="42">
        <f>Table2[[#This Row],[OnHandQty]]-Table2[[#This Row],[Projection Nov/Dec]]</f>
        <v>3</v>
      </c>
      <c r="N2140" s="35">
        <f>Table2[[#This Row],[OverStock]]*Table2[[#This Row],[RepCost]]</f>
        <v>679.21979999999996</v>
      </c>
      <c r="O2140" s="25">
        <v>46119.724999999999</v>
      </c>
      <c r="P2140" s="26" t="s">
        <v>165</v>
      </c>
    </row>
    <row r="2141" spans="1:16" x14ac:dyDescent="0.25">
      <c r="A2141" s="20" t="s">
        <v>5211</v>
      </c>
      <c r="B2141" s="21">
        <v>714</v>
      </c>
      <c r="C2141" s="22" t="s">
        <v>143</v>
      </c>
      <c r="D2141" s="22" t="s">
        <v>2316</v>
      </c>
      <c r="E2141" s="22" t="str">
        <f>CONCATENATE(B2141,D2141)</f>
        <v>71473998-110</v>
      </c>
      <c r="F2141" s="22" t="s">
        <v>2317</v>
      </c>
      <c r="G2141" s="22" t="s">
        <v>23</v>
      </c>
      <c r="H2141" s="23">
        <v>54.906199999999998</v>
      </c>
      <c r="I2141" s="24">
        <v>7</v>
      </c>
      <c r="J2141" s="24">
        <v>0</v>
      </c>
      <c r="K2141" s="24">
        <v>0</v>
      </c>
      <c r="L2141" s="41">
        <f>Table2[[#This Row],[Column1]]+Table2[[#This Row],[Column2]]</f>
        <v>0</v>
      </c>
      <c r="M2141" s="42">
        <f>Table2[[#This Row],[OnHandQty]]-Table2[[#This Row],[Projection Nov/Dec]]</f>
        <v>7</v>
      </c>
      <c r="N2141" s="35">
        <f>Table2[[#This Row],[OverStock]]*Table2[[#This Row],[RepCost]]</f>
        <v>384.34339999999997</v>
      </c>
      <c r="O2141" s="25">
        <v>46231.575694444444</v>
      </c>
      <c r="P2141" s="26" t="s">
        <v>195</v>
      </c>
    </row>
    <row r="2142" spans="1:16" x14ac:dyDescent="0.25">
      <c r="A2142" s="20" t="s">
        <v>5211</v>
      </c>
      <c r="B2142" s="21">
        <v>636</v>
      </c>
      <c r="C2142" s="22" t="s">
        <v>143</v>
      </c>
      <c r="D2142" s="22" t="s">
        <v>1029</v>
      </c>
      <c r="E2142" s="22" t="str">
        <f>CONCATENATE(B2142,D2142)</f>
        <v>63673996-105</v>
      </c>
      <c r="F2142" s="22" t="s">
        <v>1030</v>
      </c>
      <c r="G2142" s="22" t="s">
        <v>35</v>
      </c>
      <c r="H2142" s="23">
        <v>29.911100000000001</v>
      </c>
      <c r="I2142" s="24">
        <v>5</v>
      </c>
      <c r="J2142" s="24">
        <v>0</v>
      </c>
      <c r="K2142" s="24">
        <v>0</v>
      </c>
      <c r="L2142" s="41">
        <f>Table2[[#This Row],[Column1]]+Table2[[#This Row],[Column2]]</f>
        <v>0</v>
      </c>
      <c r="M2142" s="42">
        <f>Table2[[#This Row],[OnHandQty]]-Table2[[#This Row],[Projection Nov/Dec]]</f>
        <v>5</v>
      </c>
      <c r="N2142" s="35">
        <f>Table2[[#This Row],[OverStock]]*Table2[[#This Row],[RepCost]]</f>
        <v>149.55549999999999</v>
      </c>
      <c r="O2142" s="25">
        <v>45946.5</v>
      </c>
      <c r="P2142" s="26" t="s">
        <v>40</v>
      </c>
    </row>
    <row r="2143" spans="1:16" x14ac:dyDescent="0.25">
      <c r="A2143" s="20" t="s">
        <v>5211</v>
      </c>
      <c r="B2143" s="21">
        <v>636</v>
      </c>
      <c r="C2143" s="22" t="s">
        <v>143</v>
      </c>
      <c r="D2143" s="22" t="s">
        <v>1175</v>
      </c>
      <c r="E2143" s="22" t="str">
        <f>CONCATENATE(B2143,D2143)</f>
        <v>63673994-105</v>
      </c>
      <c r="F2143" s="22" t="s">
        <v>1176</v>
      </c>
      <c r="G2143" s="22" t="s">
        <v>29</v>
      </c>
      <c r="H2143" s="23">
        <v>29.940799999999999</v>
      </c>
      <c r="I2143" s="24">
        <v>4</v>
      </c>
      <c r="J2143" s="24">
        <v>0</v>
      </c>
      <c r="K2143" s="24">
        <v>2</v>
      </c>
      <c r="L2143" s="41">
        <f>Table2[[#This Row],[Column1]]+Table2[[#This Row],[Column2]]</f>
        <v>2</v>
      </c>
      <c r="M2143" s="42">
        <f>Table2[[#This Row],[OnHandQty]]-Table2[[#This Row],[Projection Nov/Dec]]</f>
        <v>2</v>
      </c>
      <c r="N2143" s="35">
        <f>Table2[[#This Row],[OverStock]]*Table2[[#This Row],[RepCost]]</f>
        <v>59.881599999999999</v>
      </c>
      <c r="O2143" s="25">
        <v>46150.597222222219</v>
      </c>
      <c r="P2143" s="26" t="s">
        <v>40</v>
      </c>
    </row>
    <row r="2144" spans="1:16" x14ac:dyDescent="0.25">
      <c r="A2144" s="20" t="s">
        <v>5211</v>
      </c>
      <c r="B2144" s="21">
        <v>636</v>
      </c>
      <c r="C2144" s="22" t="s">
        <v>143</v>
      </c>
      <c r="D2144" s="22" t="s">
        <v>1098</v>
      </c>
      <c r="E2144" s="22" t="str">
        <f>CONCATENATE(B2144,D2144)</f>
        <v>63673997-110</v>
      </c>
      <c r="F2144" s="27" t="s">
        <v>1099</v>
      </c>
      <c r="G2144" s="27" t="s">
        <v>58</v>
      </c>
      <c r="H2144" s="23">
        <v>46.7532</v>
      </c>
      <c r="I2144" s="24">
        <v>2</v>
      </c>
      <c r="J2144" s="24">
        <v>0</v>
      </c>
      <c r="K2144" s="24">
        <v>0</v>
      </c>
      <c r="L2144" s="41">
        <f>Table2[[#This Row],[Column1]]+Table2[[#This Row],[Column2]]</f>
        <v>0</v>
      </c>
      <c r="M2144" s="42">
        <f>Table2[[#This Row],[OnHandQty]]-Table2[[#This Row],[Projection Nov/Dec]]</f>
        <v>2</v>
      </c>
      <c r="N2144" s="35">
        <f>Table2[[#This Row],[OverStock]]*Table2[[#This Row],[RepCost]]</f>
        <v>93.506399999999999</v>
      </c>
      <c r="O2144" s="25">
        <v>45845.314583333333</v>
      </c>
      <c r="P2144" s="26" t="s">
        <v>26</v>
      </c>
    </row>
    <row r="2145" spans="1:16" x14ac:dyDescent="0.25">
      <c r="A2145" s="20" t="s">
        <v>5211</v>
      </c>
      <c r="B2145" s="21">
        <v>714</v>
      </c>
      <c r="C2145" s="22" t="s">
        <v>143</v>
      </c>
      <c r="D2145" s="22" t="s">
        <v>2646</v>
      </c>
      <c r="E2145" s="22" t="str">
        <f>CONCATENATE(B2145,D2145)</f>
        <v>71474032-103</v>
      </c>
      <c r="F2145" s="22" t="s">
        <v>2647</v>
      </c>
      <c r="G2145" s="22" t="s">
        <v>35</v>
      </c>
      <c r="H2145" s="23">
        <v>24.435300000000002</v>
      </c>
      <c r="I2145" s="24">
        <v>6</v>
      </c>
      <c r="J2145" s="24">
        <v>0</v>
      </c>
      <c r="K2145" s="24">
        <v>0</v>
      </c>
      <c r="L2145" s="41">
        <f>Table2[[#This Row],[Column1]]+Table2[[#This Row],[Column2]]</f>
        <v>0</v>
      </c>
      <c r="M2145" s="42">
        <f>Table2[[#This Row],[OnHandQty]]-Table2[[#This Row],[Projection Nov/Dec]]</f>
        <v>6</v>
      </c>
      <c r="N2145" s="35">
        <f>Table2[[#This Row],[OverStock]]*Table2[[#This Row],[RepCost]]</f>
        <v>146.61180000000002</v>
      </c>
      <c r="O2145" s="25">
        <v>45769.556250000001</v>
      </c>
      <c r="P2145" s="26" t="s">
        <v>1867</v>
      </c>
    </row>
    <row r="2146" spans="1:16" x14ac:dyDescent="0.25">
      <c r="A2146" s="20" t="s">
        <v>5211</v>
      </c>
      <c r="B2146" s="21">
        <v>718</v>
      </c>
      <c r="C2146" s="22" t="s">
        <v>143</v>
      </c>
      <c r="D2146" s="22" t="s">
        <v>2644</v>
      </c>
      <c r="E2146" s="22" t="str">
        <f>CONCATENATE(B2146,D2146)</f>
        <v>71874036-107</v>
      </c>
      <c r="F2146" s="22" t="s">
        <v>2645</v>
      </c>
      <c r="G2146" s="22" t="s">
        <v>29</v>
      </c>
      <c r="H2146" s="23">
        <v>50.3414</v>
      </c>
      <c r="I2146" s="24">
        <v>6</v>
      </c>
      <c r="J2146" s="24">
        <v>0</v>
      </c>
      <c r="K2146" s="24">
        <v>0</v>
      </c>
      <c r="L2146" s="41">
        <f>Table2[[#This Row],[Column1]]+Table2[[#This Row],[Column2]]</f>
        <v>0</v>
      </c>
      <c r="M2146" s="42">
        <f>Table2[[#This Row],[OnHandQty]]-Table2[[#This Row],[Projection Nov/Dec]]</f>
        <v>6</v>
      </c>
      <c r="N2146" s="35">
        <f>Table2[[#This Row],[OverStock]]*Table2[[#This Row],[RepCost]]</f>
        <v>302.04840000000002</v>
      </c>
      <c r="O2146" s="25">
        <v>46189.48333333333</v>
      </c>
      <c r="P2146" s="26" t="s">
        <v>40</v>
      </c>
    </row>
    <row r="2147" spans="1:16" x14ac:dyDescent="0.25">
      <c r="A2147" s="20" t="s">
        <v>5211</v>
      </c>
      <c r="B2147" s="21">
        <v>714</v>
      </c>
      <c r="C2147" s="22" t="s">
        <v>143</v>
      </c>
      <c r="D2147" s="22" t="s">
        <v>2644</v>
      </c>
      <c r="E2147" s="22" t="str">
        <f>CONCATENATE(B2147,D2147)</f>
        <v>71474036-107</v>
      </c>
      <c r="F2147" s="22" t="s">
        <v>2645</v>
      </c>
      <c r="G2147" s="22" t="s">
        <v>29</v>
      </c>
      <c r="H2147" s="23">
        <v>51.6053</v>
      </c>
      <c r="I2147" s="24">
        <v>1</v>
      </c>
      <c r="J2147" s="24">
        <v>0</v>
      </c>
      <c r="K2147" s="24">
        <v>0</v>
      </c>
      <c r="L2147" s="41">
        <f>Table2[[#This Row],[Column1]]+Table2[[#This Row],[Column2]]</f>
        <v>0</v>
      </c>
      <c r="M2147" s="42">
        <f>Table2[[#This Row],[OnHandQty]]-Table2[[#This Row],[Projection Nov/Dec]]</f>
        <v>1</v>
      </c>
      <c r="N2147" s="35">
        <f>Table2[[#This Row],[OverStock]]*Table2[[#This Row],[RepCost]]</f>
        <v>51.6053</v>
      </c>
      <c r="O2147" s="25">
        <v>46239.595833333333</v>
      </c>
      <c r="P2147" s="26" t="s">
        <v>40</v>
      </c>
    </row>
    <row r="2148" spans="1:16" x14ac:dyDescent="0.25">
      <c r="A2148" s="20" t="s">
        <v>5211</v>
      </c>
      <c r="B2148" s="21">
        <v>714</v>
      </c>
      <c r="C2148" s="22" t="s">
        <v>143</v>
      </c>
      <c r="D2148" s="22" t="s">
        <v>2228</v>
      </c>
      <c r="E2148" s="22" t="str">
        <f>CONCATENATE(B2148,D2148)</f>
        <v>71474055-103</v>
      </c>
      <c r="F2148" s="22" t="s">
        <v>2229</v>
      </c>
      <c r="G2148" s="22" t="s">
        <v>35</v>
      </c>
      <c r="H2148" s="23">
        <v>17.3018</v>
      </c>
      <c r="I2148" s="24">
        <v>5</v>
      </c>
      <c r="J2148" s="24">
        <v>0</v>
      </c>
      <c r="K2148" s="24">
        <v>0</v>
      </c>
      <c r="L2148" s="41">
        <f>Table2[[#This Row],[Column1]]+Table2[[#This Row],[Column2]]</f>
        <v>0</v>
      </c>
      <c r="M2148" s="42">
        <f>Table2[[#This Row],[OnHandQty]]-Table2[[#This Row],[Projection Nov/Dec]]</f>
        <v>5</v>
      </c>
      <c r="N2148" s="35">
        <f>Table2[[#This Row],[OverStock]]*Table2[[#This Row],[RepCost]]</f>
        <v>86.509</v>
      </c>
      <c r="O2148" s="25">
        <v>45784.364583333336</v>
      </c>
      <c r="P2148" s="26" t="s">
        <v>30</v>
      </c>
    </row>
    <row r="2149" spans="1:16" x14ac:dyDescent="0.25">
      <c r="A2149" s="20" t="s">
        <v>5211</v>
      </c>
      <c r="B2149" s="21">
        <v>714</v>
      </c>
      <c r="C2149" s="22" t="s">
        <v>143</v>
      </c>
      <c r="D2149" s="22" t="s">
        <v>2537</v>
      </c>
      <c r="E2149" s="22" t="str">
        <f>CONCATENATE(B2149,D2149)</f>
        <v>71474055-107</v>
      </c>
      <c r="F2149" s="22" t="s">
        <v>2538</v>
      </c>
      <c r="G2149" s="22" t="s">
        <v>29</v>
      </c>
      <c r="H2149" s="23">
        <v>33.491500000000002</v>
      </c>
      <c r="I2149" s="24">
        <v>6</v>
      </c>
      <c r="J2149" s="24">
        <v>0</v>
      </c>
      <c r="K2149" s="24">
        <v>0</v>
      </c>
      <c r="L2149" s="41">
        <f>Table2[[#This Row],[Column1]]+Table2[[#This Row],[Column2]]</f>
        <v>0</v>
      </c>
      <c r="M2149" s="42">
        <f>Table2[[#This Row],[OnHandQty]]-Table2[[#This Row],[Projection Nov/Dec]]</f>
        <v>6</v>
      </c>
      <c r="N2149" s="35">
        <f>Table2[[#This Row],[OverStock]]*Table2[[#This Row],[RepCost]]</f>
        <v>200.94900000000001</v>
      </c>
      <c r="O2149" s="25">
        <v>46149.324305555558</v>
      </c>
      <c r="P2149" s="26" t="s">
        <v>216</v>
      </c>
    </row>
    <row r="2150" spans="1:16" x14ac:dyDescent="0.25">
      <c r="A2150" s="20" t="s">
        <v>5211</v>
      </c>
      <c r="B2150" s="21">
        <v>634</v>
      </c>
      <c r="C2150" s="22" t="s">
        <v>143</v>
      </c>
      <c r="D2150" s="22" t="s">
        <v>181</v>
      </c>
      <c r="E2150" s="22" t="str">
        <f>CONCATENATE(B2150,D2150)</f>
        <v>63474052-110</v>
      </c>
      <c r="F2150" s="22" t="s">
        <v>182</v>
      </c>
      <c r="G2150" s="22" t="s">
        <v>23</v>
      </c>
      <c r="H2150" s="23">
        <v>46.491900000000001</v>
      </c>
      <c r="I2150" s="24">
        <v>2</v>
      </c>
      <c r="J2150" s="24">
        <v>0</v>
      </c>
      <c r="K2150" s="24">
        <v>0</v>
      </c>
      <c r="L2150" s="41">
        <f>Table2[[#This Row],[Column1]]+Table2[[#This Row],[Column2]]</f>
        <v>0</v>
      </c>
      <c r="M2150" s="42">
        <f>Table2[[#This Row],[OnHandQty]]-Table2[[#This Row],[Projection Nov/Dec]]</f>
        <v>2</v>
      </c>
      <c r="N2150" s="35">
        <f>Table2[[#This Row],[OverStock]]*Table2[[#This Row],[RepCost]]</f>
        <v>92.983800000000002</v>
      </c>
      <c r="O2150" s="25">
        <v>46126.656944444447</v>
      </c>
      <c r="P2150" s="26" t="s">
        <v>26</v>
      </c>
    </row>
    <row r="2151" spans="1:16" x14ac:dyDescent="0.25">
      <c r="A2151" s="20" t="s">
        <v>5211</v>
      </c>
      <c r="B2151" s="21">
        <v>714</v>
      </c>
      <c r="C2151" s="22" t="s">
        <v>143</v>
      </c>
      <c r="D2151" s="22" t="s">
        <v>2774</v>
      </c>
      <c r="E2151" s="22" t="str">
        <f>CONCATENATE(B2151,D2151)</f>
        <v>71474052-105</v>
      </c>
      <c r="F2151" s="22" t="s">
        <v>2775</v>
      </c>
      <c r="G2151" s="22" t="s">
        <v>23</v>
      </c>
      <c r="H2151" s="23">
        <v>21.303000000000001</v>
      </c>
      <c r="I2151" s="24">
        <v>5</v>
      </c>
      <c r="J2151" s="24">
        <v>0</v>
      </c>
      <c r="K2151" s="24">
        <v>0</v>
      </c>
      <c r="L2151" s="41">
        <f>Table2[[#This Row],[Column1]]+Table2[[#This Row],[Column2]]</f>
        <v>0</v>
      </c>
      <c r="M2151" s="42">
        <f>Table2[[#This Row],[OnHandQty]]-Table2[[#This Row],[Projection Nov/Dec]]</f>
        <v>5</v>
      </c>
      <c r="N2151" s="35">
        <f>Table2[[#This Row],[OverStock]]*Table2[[#This Row],[RepCost]]</f>
        <v>106.515</v>
      </c>
      <c r="O2151" s="25">
        <v>46188.35</v>
      </c>
      <c r="P2151" s="26" t="s">
        <v>26</v>
      </c>
    </row>
    <row r="2152" spans="1:16" x14ac:dyDescent="0.25">
      <c r="A2152" s="20" t="s">
        <v>5211</v>
      </c>
      <c r="B2152" s="21">
        <v>634</v>
      </c>
      <c r="C2152" s="22" t="s">
        <v>143</v>
      </c>
      <c r="D2152" s="22" t="s">
        <v>281</v>
      </c>
      <c r="E2152" s="22" t="str">
        <f>CONCATENATE(B2152,D2152)</f>
        <v>63474052-254</v>
      </c>
      <c r="F2152" s="22" t="s">
        <v>282</v>
      </c>
      <c r="G2152" s="22" t="s">
        <v>23</v>
      </c>
      <c r="H2152" s="23">
        <v>160.86789999999999</v>
      </c>
      <c r="I2152" s="24">
        <v>1</v>
      </c>
      <c r="J2152" s="24">
        <v>0</v>
      </c>
      <c r="K2152" s="24">
        <v>0</v>
      </c>
      <c r="L2152" s="41">
        <f>Table2[[#This Row],[Column1]]+Table2[[#This Row],[Column2]]</f>
        <v>0</v>
      </c>
      <c r="M2152" s="42">
        <f>Table2[[#This Row],[OnHandQty]]-Table2[[#This Row],[Projection Nov/Dec]]</f>
        <v>1</v>
      </c>
      <c r="N2152" s="35">
        <f>Table2[[#This Row],[OverStock]]*Table2[[#This Row],[RepCost]]</f>
        <v>160.86789999999999</v>
      </c>
      <c r="O2152" s="25">
        <v>46119.724999999999</v>
      </c>
      <c r="P2152" s="26" t="s">
        <v>165</v>
      </c>
    </row>
    <row r="2153" spans="1:16" x14ac:dyDescent="0.25">
      <c r="A2153" s="20" t="s">
        <v>5211</v>
      </c>
      <c r="B2153" s="21">
        <v>714</v>
      </c>
      <c r="C2153" s="22" t="s">
        <v>143</v>
      </c>
      <c r="D2153" s="22" t="s">
        <v>2722</v>
      </c>
      <c r="E2153" s="22" t="str">
        <f>CONCATENATE(B2153,D2153)</f>
        <v>71474056-103</v>
      </c>
      <c r="F2153" s="22" t="s">
        <v>2723</v>
      </c>
      <c r="G2153" s="22" t="s">
        <v>39</v>
      </c>
      <c r="H2153" s="23">
        <v>16.626100000000001</v>
      </c>
      <c r="I2153" s="24">
        <v>5</v>
      </c>
      <c r="J2153" s="24">
        <v>1</v>
      </c>
      <c r="K2153" s="24">
        <v>0</v>
      </c>
      <c r="L2153" s="41">
        <f>Table2[[#This Row],[Column1]]+Table2[[#This Row],[Column2]]</f>
        <v>1</v>
      </c>
      <c r="M2153" s="42">
        <f>Table2[[#This Row],[OnHandQty]]-Table2[[#This Row],[Projection Nov/Dec]]</f>
        <v>4</v>
      </c>
      <c r="N2153" s="35">
        <f>Table2[[#This Row],[OverStock]]*Table2[[#This Row],[RepCost]]</f>
        <v>66.504400000000004</v>
      </c>
      <c r="O2153" s="25">
        <v>45784.364583333336</v>
      </c>
      <c r="P2153" s="26" t="s">
        <v>30</v>
      </c>
    </row>
    <row r="2154" spans="1:16" x14ac:dyDescent="0.25">
      <c r="A2154" s="20" t="s">
        <v>5211</v>
      </c>
      <c r="B2154" s="21">
        <v>636</v>
      </c>
      <c r="C2154" s="22" t="s">
        <v>143</v>
      </c>
      <c r="D2154" s="22" t="s">
        <v>1045</v>
      </c>
      <c r="E2154" s="22" t="str">
        <f>CONCATENATE(B2154,D2154)</f>
        <v>63674056-248</v>
      </c>
      <c r="F2154" s="22" t="s">
        <v>1046</v>
      </c>
      <c r="G2154" s="22" t="s">
        <v>1047</v>
      </c>
      <c r="H2154" s="23">
        <v>73.268799999999999</v>
      </c>
      <c r="I2154" s="24">
        <v>1</v>
      </c>
      <c r="J2154" s="24">
        <v>0</v>
      </c>
      <c r="K2154" s="24">
        <v>0</v>
      </c>
      <c r="L2154" s="41">
        <f>Table2[[#This Row],[Column1]]+Table2[[#This Row],[Column2]]</f>
        <v>0</v>
      </c>
      <c r="M2154" s="42">
        <f>Table2[[#This Row],[OnHandQty]]-Table2[[#This Row],[Projection Nov/Dec]]</f>
        <v>1</v>
      </c>
      <c r="N2154" s="35">
        <f>Table2[[#This Row],[OverStock]]*Table2[[#This Row],[RepCost]]</f>
        <v>73.268799999999999</v>
      </c>
      <c r="O2154" s="25">
        <v>45799.589583333334</v>
      </c>
      <c r="P2154" s="26" t="s">
        <v>216</v>
      </c>
    </row>
    <row r="2155" spans="1:16" x14ac:dyDescent="0.25">
      <c r="A2155" s="20" t="s">
        <v>5211</v>
      </c>
      <c r="B2155" s="21">
        <v>636</v>
      </c>
      <c r="C2155" s="22" t="s">
        <v>143</v>
      </c>
      <c r="D2155" s="22" t="s">
        <v>1167</v>
      </c>
      <c r="E2155" s="22" t="str">
        <f>CONCATENATE(B2155,D2155)</f>
        <v>63674049-248</v>
      </c>
      <c r="F2155" s="22" t="s">
        <v>1168</v>
      </c>
      <c r="G2155" s="22" t="s">
        <v>19</v>
      </c>
      <c r="H2155" s="23">
        <v>134.76400000000001</v>
      </c>
      <c r="I2155" s="24">
        <v>1</v>
      </c>
      <c r="J2155" s="24">
        <v>0</v>
      </c>
      <c r="K2155" s="24">
        <v>0</v>
      </c>
      <c r="L2155" s="41">
        <f>Table2[[#This Row],[Column1]]+Table2[[#This Row],[Column2]]</f>
        <v>0</v>
      </c>
      <c r="M2155" s="42">
        <f>Table2[[#This Row],[OnHandQty]]-Table2[[#This Row],[Projection Nov/Dec]]</f>
        <v>1</v>
      </c>
      <c r="N2155" s="35">
        <f>Table2[[#This Row],[OverStock]]*Table2[[#This Row],[RepCost]]</f>
        <v>134.76400000000001</v>
      </c>
      <c r="O2155" s="25">
        <v>46107.522222222222</v>
      </c>
      <c r="P2155" s="26" t="s">
        <v>178</v>
      </c>
    </row>
    <row r="2156" spans="1:16" x14ac:dyDescent="0.25">
      <c r="A2156" s="20" t="s">
        <v>5211</v>
      </c>
      <c r="B2156" s="21">
        <v>636</v>
      </c>
      <c r="C2156" s="22" t="s">
        <v>143</v>
      </c>
      <c r="D2156" s="22" t="s">
        <v>1013</v>
      </c>
      <c r="E2156" s="22" t="str">
        <f>CONCATENATE(B2156,D2156)</f>
        <v>63674049-305</v>
      </c>
      <c r="F2156" s="27" t="s">
        <v>1014</v>
      </c>
      <c r="G2156" s="27" t="s">
        <v>58</v>
      </c>
      <c r="H2156" s="23">
        <v>142.10040000000001</v>
      </c>
      <c r="I2156" s="24">
        <v>2</v>
      </c>
      <c r="J2156" s="24">
        <v>0</v>
      </c>
      <c r="K2156" s="24">
        <v>0</v>
      </c>
      <c r="L2156" s="41">
        <f>Table2[[#This Row],[Column1]]+Table2[[#This Row],[Column2]]</f>
        <v>0</v>
      </c>
      <c r="M2156" s="42">
        <f>Table2[[#This Row],[OnHandQty]]-Table2[[#This Row],[Projection Nov/Dec]]</f>
        <v>2</v>
      </c>
      <c r="N2156" s="35">
        <f>Table2[[#This Row],[OverStock]]*Table2[[#This Row],[RepCost]]</f>
        <v>284.20080000000002</v>
      </c>
      <c r="O2156" s="25">
        <v>45755.318055555559</v>
      </c>
      <c r="P2156" s="26" t="s">
        <v>178</v>
      </c>
    </row>
    <row r="2157" spans="1:16" x14ac:dyDescent="0.25">
      <c r="A2157" s="20" t="s">
        <v>5211</v>
      </c>
      <c r="B2157" s="21">
        <v>714</v>
      </c>
      <c r="C2157" s="22" t="s">
        <v>143</v>
      </c>
      <c r="D2157" s="22" t="s">
        <v>1142</v>
      </c>
      <c r="E2157" s="22" t="str">
        <f>CONCATENATE(B2157,D2157)</f>
        <v>71474049-105</v>
      </c>
      <c r="F2157" s="22" t="s">
        <v>1143</v>
      </c>
      <c r="G2157" s="22" t="s">
        <v>23</v>
      </c>
      <c r="H2157" s="23">
        <v>34.521900000000002</v>
      </c>
      <c r="I2157" s="24">
        <v>12</v>
      </c>
      <c r="J2157" s="24">
        <v>0</v>
      </c>
      <c r="K2157" s="24">
        <v>0</v>
      </c>
      <c r="L2157" s="41">
        <f>Table2[[#This Row],[Column1]]+Table2[[#This Row],[Column2]]</f>
        <v>0</v>
      </c>
      <c r="M2157" s="42">
        <f>Table2[[#This Row],[OnHandQty]]-Table2[[#This Row],[Projection Nov/Dec]]</f>
        <v>12</v>
      </c>
      <c r="N2157" s="35">
        <f>Table2[[#This Row],[OverStock]]*Table2[[#This Row],[RepCost]]</f>
        <v>414.26280000000003</v>
      </c>
      <c r="O2157" s="25">
        <v>46231.491666666669</v>
      </c>
      <c r="P2157" s="26" t="s">
        <v>2066</v>
      </c>
    </row>
    <row r="2158" spans="1:16" x14ac:dyDescent="0.25">
      <c r="A2158" s="20" t="s">
        <v>5211</v>
      </c>
      <c r="B2158" s="21">
        <v>636</v>
      </c>
      <c r="C2158" s="22" t="s">
        <v>143</v>
      </c>
      <c r="D2158" s="22" t="s">
        <v>1190</v>
      </c>
      <c r="E2158" s="22" t="str">
        <f>CONCATENATE(B2158,D2158)</f>
        <v>63674065-248</v>
      </c>
      <c r="F2158" s="22" t="s">
        <v>1191</v>
      </c>
      <c r="G2158" s="22" t="s">
        <v>29</v>
      </c>
      <c r="H2158" s="23">
        <v>68.319800000000001</v>
      </c>
      <c r="I2158" s="24">
        <v>5</v>
      </c>
      <c r="J2158" s="24">
        <v>0</v>
      </c>
      <c r="K2158" s="24">
        <v>0</v>
      </c>
      <c r="L2158" s="41">
        <f>Table2[[#This Row],[Column1]]+Table2[[#This Row],[Column2]]</f>
        <v>0</v>
      </c>
      <c r="M2158" s="42">
        <f>Table2[[#This Row],[OnHandQty]]-Table2[[#This Row],[Projection Nov/Dec]]</f>
        <v>5</v>
      </c>
      <c r="N2158" s="35">
        <f>Table2[[#This Row],[OverStock]]*Table2[[#This Row],[RepCost]]</f>
        <v>341.59899999999999</v>
      </c>
      <c r="O2158" s="25">
        <v>45916.527083333334</v>
      </c>
      <c r="P2158" s="26" t="s">
        <v>216</v>
      </c>
    </row>
    <row r="2159" spans="1:16" x14ac:dyDescent="0.25">
      <c r="A2159" s="20" t="s">
        <v>5211</v>
      </c>
      <c r="B2159" s="21">
        <v>636</v>
      </c>
      <c r="C2159" s="22" t="s">
        <v>143</v>
      </c>
      <c r="D2159" s="22" t="s">
        <v>1050</v>
      </c>
      <c r="E2159" s="22" t="str">
        <f>CONCATENATE(B2159,D2159)</f>
        <v>63674065-305</v>
      </c>
      <c r="F2159" s="22" t="s">
        <v>1051</v>
      </c>
      <c r="G2159" s="22" t="s">
        <v>19</v>
      </c>
      <c r="H2159" s="23">
        <v>159.2105</v>
      </c>
      <c r="I2159" s="24">
        <v>1</v>
      </c>
      <c r="J2159" s="24">
        <v>0</v>
      </c>
      <c r="K2159" s="24">
        <v>0</v>
      </c>
      <c r="L2159" s="41">
        <f>Table2[[#This Row],[Column1]]+Table2[[#This Row],[Column2]]</f>
        <v>0</v>
      </c>
      <c r="M2159" s="42">
        <f>Table2[[#This Row],[OnHandQty]]-Table2[[#This Row],[Projection Nov/Dec]]</f>
        <v>1</v>
      </c>
      <c r="N2159" s="35">
        <f>Table2[[#This Row],[OverStock]]*Table2[[#This Row],[RepCost]]</f>
        <v>159.2105</v>
      </c>
      <c r="O2159" s="25">
        <v>46113.468055555553</v>
      </c>
      <c r="P2159" s="26" t="s">
        <v>486</v>
      </c>
    </row>
    <row r="2160" spans="1:16" x14ac:dyDescent="0.25">
      <c r="A2160" s="20" t="s">
        <v>5211</v>
      </c>
      <c r="B2160" s="21">
        <v>714</v>
      </c>
      <c r="C2160" s="22" t="s">
        <v>143</v>
      </c>
      <c r="D2160" s="22" t="s">
        <v>149</v>
      </c>
      <c r="E2160" s="22" t="str">
        <f>CONCATENATE(B2160,D2160)</f>
        <v>71474081-103</v>
      </c>
      <c r="F2160" s="27" t="s">
        <v>150</v>
      </c>
      <c r="G2160" s="27" t="s">
        <v>58</v>
      </c>
      <c r="H2160" s="23">
        <v>19.845500000000001</v>
      </c>
      <c r="I2160" s="24">
        <v>5</v>
      </c>
      <c r="J2160" s="24">
        <v>0</v>
      </c>
      <c r="K2160" s="24">
        <v>0</v>
      </c>
      <c r="L2160" s="41">
        <f>Table2[[#This Row],[Column1]]+Table2[[#This Row],[Column2]]</f>
        <v>0</v>
      </c>
      <c r="M2160" s="42">
        <f>Table2[[#This Row],[OnHandQty]]-Table2[[#This Row],[Projection Nov/Dec]]</f>
        <v>5</v>
      </c>
      <c r="N2160" s="35">
        <f>Table2[[#This Row],[OverStock]]*Table2[[#This Row],[RepCost]]</f>
        <v>99.227500000000006</v>
      </c>
      <c r="O2160" s="25">
        <v>45911.447222222225</v>
      </c>
      <c r="P2160" s="26" t="s">
        <v>40</v>
      </c>
    </row>
    <row r="2161" spans="1:16" x14ac:dyDescent="0.25">
      <c r="A2161" s="20" t="s">
        <v>5211</v>
      </c>
      <c r="B2161" s="21">
        <v>634</v>
      </c>
      <c r="C2161" s="22" t="s">
        <v>143</v>
      </c>
      <c r="D2161" s="22" t="s">
        <v>149</v>
      </c>
      <c r="E2161" s="22" t="str">
        <f>CONCATENATE(B2161,D2161)</f>
        <v>63474081-103</v>
      </c>
      <c r="F2161" s="22" t="s">
        <v>150</v>
      </c>
      <c r="G2161" s="22" t="s">
        <v>29</v>
      </c>
      <c r="H2161" s="23">
        <v>19.984100000000002</v>
      </c>
      <c r="I2161" s="24">
        <v>15</v>
      </c>
      <c r="J2161" s="24">
        <v>0</v>
      </c>
      <c r="K2161" s="24">
        <v>0</v>
      </c>
      <c r="L2161" s="41">
        <f>Table2[[#This Row],[Column1]]+Table2[[#This Row],[Column2]]</f>
        <v>0</v>
      </c>
      <c r="M2161" s="42">
        <f>Table2[[#This Row],[OnHandQty]]-Table2[[#This Row],[Projection Nov/Dec]]</f>
        <v>15</v>
      </c>
      <c r="N2161" s="35">
        <f>Table2[[#This Row],[OverStock]]*Table2[[#This Row],[RepCost]]</f>
        <v>299.76150000000001</v>
      </c>
      <c r="O2161" s="25">
        <v>46134.53125</v>
      </c>
      <c r="P2161" s="26" t="s">
        <v>40</v>
      </c>
    </row>
    <row r="2162" spans="1:16" x14ac:dyDescent="0.25">
      <c r="A2162" s="20" t="s">
        <v>5211</v>
      </c>
      <c r="B2162" s="21">
        <v>714</v>
      </c>
      <c r="C2162" s="22" t="s">
        <v>143</v>
      </c>
      <c r="D2162" s="22" t="s">
        <v>2300</v>
      </c>
      <c r="E2162" s="22" t="str">
        <f>CONCATENATE(B2162,D2162)</f>
        <v>71474081-107</v>
      </c>
      <c r="F2162" s="27" t="s">
        <v>2301</v>
      </c>
      <c r="G2162" s="27" t="s">
        <v>58</v>
      </c>
      <c r="H2162" s="23">
        <v>17.273099999999999</v>
      </c>
      <c r="I2162" s="24">
        <v>3</v>
      </c>
      <c r="J2162" s="24">
        <v>0</v>
      </c>
      <c r="K2162" s="24">
        <v>0</v>
      </c>
      <c r="L2162" s="41">
        <f>Table2[[#This Row],[Column1]]+Table2[[#This Row],[Column2]]</f>
        <v>0</v>
      </c>
      <c r="M2162" s="42">
        <f>Table2[[#This Row],[OnHandQty]]-Table2[[#This Row],[Projection Nov/Dec]]</f>
        <v>3</v>
      </c>
      <c r="N2162" s="35">
        <f>Table2[[#This Row],[OverStock]]*Table2[[#This Row],[RepCost]]</f>
        <v>51.819299999999998</v>
      </c>
      <c r="O2162" s="25">
        <v>45745.507638888892</v>
      </c>
      <c r="P2162" s="26" t="s">
        <v>360</v>
      </c>
    </row>
    <row r="2163" spans="1:16" x14ac:dyDescent="0.25">
      <c r="A2163" s="20" t="s">
        <v>5211</v>
      </c>
      <c r="B2163" s="21">
        <v>718</v>
      </c>
      <c r="C2163" s="22" t="s">
        <v>143</v>
      </c>
      <c r="D2163" s="22" t="s">
        <v>3719</v>
      </c>
      <c r="E2163" s="22" t="str">
        <f>CONCATENATE(B2163,D2163)</f>
        <v>71873983-236</v>
      </c>
      <c r="F2163" s="22" t="s">
        <v>3720</v>
      </c>
      <c r="G2163" s="22" t="s">
        <v>15</v>
      </c>
      <c r="H2163" s="23">
        <v>21.0443</v>
      </c>
      <c r="I2163" s="24">
        <v>1</v>
      </c>
      <c r="J2163" s="24">
        <v>0</v>
      </c>
      <c r="K2163" s="24">
        <v>0</v>
      </c>
      <c r="L2163" s="41">
        <f>Table2[[#This Row],[Column1]]+Table2[[#This Row],[Column2]]</f>
        <v>0</v>
      </c>
      <c r="M2163" s="42">
        <f>Table2[[#This Row],[OnHandQty]]-Table2[[#This Row],[Projection Nov/Dec]]</f>
        <v>1</v>
      </c>
      <c r="N2163" s="35">
        <f>Table2[[#This Row],[OverStock]]*Table2[[#This Row],[RepCost]]</f>
        <v>21.0443</v>
      </c>
      <c r="O2163" s="25">
        <v>45742.504861111112</v>
      </c>
      <c r="P2163" s="26" t="s">
        <v>2225</v>
      </c>
    </row>
    <row r="2164" spans="1:16" x14ac:dyDescent="0.25">
      <c r="A2164" s="20" t="s">
        <v>5211</v>
      </c>
      <c r="B2164" s="21">
        <v>634</v>
      </c>
      <c r="C2164" s="22" t="s">
        <v>143</v>
      </c>
      <c r="D2164" s="22" t="s">
        <v>313</v>
      </c>
      <c r="E2164" s="22" t="str">
        <f>CONCATENATE(B2164,D2164)</f>
        <v>63473983-305</v>
      </c>
      <c r="F2164" s="22" t="s">
        <v>314</v>
      </c>
      <c r="G2164" s="22" t="s">
        <v>29</v>
      </c>
      <c r="H2164" s="23">
        <v>92.535600000000002</v>
      </c>
      <c r="I2164" s="24">
        <v>3</v>
      </c>
      <c r="J2164" s="24">
        <v>0</v>
      </c>
      <c r="K2164" s="24">
        <v>0</v>
      </c>
      <c r="L2164" s="41">
        <f>Table2[[#This Row],[Column1]]+Table2[[#This Row],[Column2]]</f>
        <v>0</v>
      </c>
      <c r="M2164" s="42">
        <f>Table2[[#This Row],[OnHandQty]]-Table2[[#This Row],[Projection Nov/Dec]]</f>
        <v>3</v>
      </c>
      <c r="N2164" s="35">
        <f>Table2[[#This Row],[OverStock]]*Table2[[#This Row],[RepCost]]</f>
        <v>277.60680000000002</v>
      </c>
      <c r="O2164" s="25">
        <v>46126.436805555553</v>
      </c>
      <c r="P2164" s="26" t="s">
        <v>151</v>
      </c>
    </row>
    <row r="2165" spans="1:16" x14ac:dyDescent="0.25">
      <c r="A2165" s="20" t="s">
        <v>5211</v>
      </c>
      <c r="B2165" s="21">
        <v>636</v>
      </c>
      <c r="C2165" s="22" t="s">
        <v>143</v>
      </c>
      <c r="D2165" s="22" t="s">
        <v>1078</v>
      </c>
      <c r="E2165" s="22" t="str">
        <f>CONCATENATE(B2165,D2165)</f>
        <v>63673984-248</v>
      </c>
      <c r="F2165" s="22" t="s">
        <v>1079</v>
      </c>
      <c r="G2165" s="22" t="s">
        <v>19</v>
      </c>
      <c r="H2165" s="23">
        <v>132.38310000000001</v>
      </c>
      <c r="I2165" s="24">
        <v>3</v>
      </c>
      <c r="J2165" s="24">
        <v>0</v>
      </c>
      <c r="K2165" s="24">
        <v>0</v>
      </c>
      <c r="L2165" s="41">
        <f>Table2[[#This Row],[Column1]]+Table2[[#This Row],[Column2]]</f>
        <v>0</v>
      </c>
      <c r="M2165" s="42">
        <f>Table2[[#This Row],[OnHandQty]]-Table2[[#This Row],[Projection Nov/Dec]]</f>
        <v>3</v>
      </c>
      <c r="N2165" s="35">
        <f>Table2[[#This Row],[OverStock]]*Table2[[#This Row],[RepCost]]</f>
        <v>397.14930000000004</v>
      </c>
      <c r="O2165" s="25">
        <v>46119.725694444445</v>
      </c>
      <c r="P2165" s="26" t="s">
        <v>165</v>
      </c>
    </row>
    <row r="2166" spans="1:16" x14ac:dyDescent="0.25">
      <c r="A2166" s="20" t="s">
        <v>5211</v>
      </c>
      <c r="B2166" s="21">
        <v>634</v>
      </c>
      <c r="C2166" s="22" t="s">
        <v>143</v>
      </c>
      <c r="D2166" s="22" t="s">
        <v>217</v>
      </c>
      <c r="E2166" s="22" t="str">
        <f>CONCATENATE(B2166,D2166)</f>
        <v>63473984-305</v>
      </c>
      <c r="F2166" s="22" t="s">
        <v>218</v>
      </c>
      <c r="G2166" s="22" t="s">
        <v>23</v>
      </c>
      <c r="H2166" s="23">
        <v>183.5085</v>
      </c>
      <c r="I2166" s="24">
        <v>3</v>
      </c>
      <c r="J2166" s="24">
        <v>0</v>
      </c>
      <c r="K2166" s="24">
        <v>0</v>
      </c>
      <c r="L2166" s="41">
        <f>Table2[[#This Row],[Column1]]+Table2[[#This Row],[Column2]]</f>
        <v>0</v>
      </c>
      <c r="M2166" s="42">
        <f>Table2[[#This Row],[OnHandQty]]-Table2[[#This Row],[Projection Nov/Dec]]</f>
        <v>3</v>
      </c>
      <c r="N2166" s="35">
        <f>Table2[[#This Row],[OverStock]]*Table2[[#This Row],[RepCost]]</f>
        <v>550.52549999999997</v>
      </c>
      <c r="O2166" s="25">
        <v>46119.724999999999</v>
      </c>
      <c r="P2166" s="26" t="s">
        <v>165</v>
      </c>
    </row>
    <row r="2167" spans="1:16" x14ac:dyDescent="0.25">
      <c r="A2167" s="20" t="s">
        <v>5211</v>
      </c>
      <c r="B2167" s="21">
        <v>636</v>
      </c>
      <c r="C2167" s="22" t="s">
        <v>143</v>
      </c>
      <c r="D2167" s="22" t="s">
        <v>1136</v>
      </c>
      <c r="E2167" s="22" t="str">
        <f>CONCATENATE(B2167,D2167)</f>
        <v>63673985-305</v>
      </c>
      <c r="F2167" s="22" t="s">
        <v>1137</v>
      </c>
      <c r="G2167" s="22" t="s">
        <v>35</v>
      </c>
      <c r="H2167" s="23">
        <v>150.71019999999999</v>
      </c>
      <c r="I2167" s="24">
        <v>1</v>
      </c>
      <c r="J2167" s="24">
        <v>0</v>
      </c>
      <c r="K2167" s="24">
        <v>0</v>
      </c>
      <c r="L2167" s="41">
        <f>Table2[[#This Row],[Column1]]+Table2[[#This Row],[Column2]]</f>
        <v>0</v>
      </c>
      <c r="M2167" s="42">
        <f>Table2[[#This Row],[OnHandQty]]-Table2[[#This Row],[Projection Nov/Dec]]</f>
        <v>1</v>
      </c>
      <c r="N2167" s="35">
        <f>Table2[[#This Row],[OverStock]]*Table2[[#This Row],[RepCost]]</f>
        <v>150.71019999999999</v>
      </c>
      <c r="O2167" s="25">
        <v>45729.397916666669</v>
      </c>
      <c r="P2167" s="26" t="s">
        <v>178</v>
      </c>
    </row>
    <row r="2168" spans="1:16" x14ac:dyDescent="0.25">
      <c r="A2168" s="20" t="s">
        <v>5211</v>
      </c>
      <c r="B2168" s="21">
        <v>714</v>
      </c>
      <c r="C2168" s="22" t="s">
        <v>143</v>
      </c>
      <c r="D2168" s="22" t="s">
        <v>2770</v>
      </c>
      <c r="E2168" s="22" t="str">
        <f>CONCATENATE(B2168,D2168)</f>
        <v>71474060-107</v>
      </c>
      <c r="F2168" s="22" t="s">
        <v>2771</v>
      </c>
      <c r="G2168" s="22" t="s">
        <v>29</v>
      </c>
      <c r="H2168" s="23">
        <v>22.6311</v>
      </c>
      <c r="I2168" s="24">
        <v>1</v>
      </c>
      <c r="J2168" s="24">
        <v>0</v>
      </c>
      <c r="K2168" s="24">
        <v>0</v>
      </c>
      <c r="L2168" s="41">
        <f>Table2[[#This Row],[Column1]]+Table2[[#This Row],[Column2]]</f>
        <v>0</v>
      </c>
      <c r="M2168" s="42">
        <f>Table2[[#This Row],[OnHandQty]]-Table2[[#This Row],[Projection Nov/Dec]]</f>
        <v>1</v>
      </c>
      <c r="N2168" s="35">
        <f>Table2[[#This Row],[OverStock]]*Table2[[#This Row],[RepCost]]</f>
        <v>22.6311</v>
      </c>
      <c r="O2168" s="25">
        <v>45840.47152777778</v>
      </c>
      <c r="P2168" s="26" t="s">
        <v>159</v>
      </c>
    </row>
    <row r="2169" spans="1:16" x14ac:dyDescent="0.25">
      <c r="A2169" s="20" t="s">
        <v>5211</v>
      </c>
      <c r="B2169" s="21">
        <v>718</v>
      </c>
      <c r="C2169" s="22" t="s">
        <v>143</v>
      </c>
      <c r="D2169" s="22" t="s">
        <v>2778</v>
      </c>
      <c r="E2169" s="22" t="str">
        <f>CONCATENATE(B2169,D2169)</f>
        <v>71874062-236</v>
      </c>
      <c r="F2169" s="27" t="s">
        <v>2779</v>
      </c>
      <c r="G2169" s="27" t="s">
        <v>58</v>
      </c>
      <c r="H2169" s="23">
        <v>23.569600000000001</v>
      </c>
      <c r="I2169" s="24">
        <v>4</v>
      </c>
      <c r="J2169" s="24">
        <v>1</v>
      </c>
      <c r="K2169" s="24">
        <v>0</v>
      </c>
      <c r="L2169" s="41">
        <f>Table2[[#This Row],[Column1]]+Table2[[#This Row],[Column2]]</f>
        <v>1</v>
      </c>
      <c r="M2169" s="42">
        <f>Table2[[#This Row],[OnHandQty]]-Table2[[#This Row],[Projection Nov/Dec]]</f>
        <v>3</v>
      </c>
      <c r="N2169" s="35">
        <f>Table2[[#This Row],[OverStock]]*Table2[[#This Row],[RepCost]]</f>
        <v>70.708799999999997</v>
      </c>
      <c r="O2169" s="25">
        <v>45742.504861111112</v>
      </c>
      <c r="P2169" s="26" t="s">
        <v>2225</v>
      </c>
    </row>
    <row r="2170" spans="1:16" x14ac:dyDescent="0.25">
      <c r="A2170" s="20" t="s">
        <v>5211</v>
      </c>
      <c r="B2170" s="21">
        <v>636</v>
      </c>
      <c r="C2170" s="22" t="s">
        <v>143</v>
      </c>
      <c r="D2170" s="22" t="s">
        <v>918</v>
      </c>
      <c r="E2170" s="22" t="str">
        <f>CONCATENATE(B2170,D2170)</f>
        <v>63674062-248</v>
      </c>
      <c r="F2170" s="27" t="s">
        <v>919</v>
      </c>
      <c r="G2170" s="27" t="s">
        <v>58</v>
      </c>
      <c r="H2170" s="23">
        <v>103.1957</v>
      </c>
      <c r="I2170" s="24">
        <v>3</v>
      </c>
      <c r="J2170" s="24">
        <v>0</v>
      </c>
      <c r="K2170" s="24">
        <v>0</v>
      </c>
      <c r="L2170" s="41">
        <f>Table2[[#This Row],[Column1]]+Table2[[#This Row],[Column2]]</f>
        <v>0</v>
      </c>
      <c r="M2170" s="42">
        <f>Table2[[#This Row],[OnHandQty]]-Table2[[#This Row],[Projection Nov/Dec]]</f>
        <v>3</v>
      </c>
      <c r="N2170" s="35">
        <f>Table2[[#This Row],[OverStock]]*Table2[[#This Row],[RepCost]]</f>
        <v>309.58710000000002</v>
      </c>
      <c r="O2170" s="25">
        <v>45729.397916666669</v>
      </c>
      <c r="P2170" s="26" t="s">
        <v>178</v>
      </c>
    </row>
    <row r="2171" spans="1:16" x14ac:dyDescent="0.25">
      <c r="A2171" s="20" t="s">
        <v>5211</v>
      </c>
      <c r="B2171" s="21">
        <v>718</v>
      </c>
      <c r="C2171" s="22" t="s">
        <v>143</v>
      </c>
      <c r="D2171" s="22" t="s">
        <v>3721</v>
      </c>
      <c r="E2171" s="22" t="str">
        <f>CONCATENATE(B2171,D2171)</f>
        <v>71874062-105</v>
      </c>
      <c r="F2171" s="27" t="s">
        <v>3722</v>
      </c>
      <c r="G2171" s="27" t="s">
        <v>58</v>
      </c>
      <c r="H2171" s="23">
        <v>30.954499999999999</v>
      </c>
      <c r="I2171" s="24">
        <v>3</v>
      </c>
      <c r="J2171" s="24">
        <v>0</v>
      </c>
      <c r="K2171" s="24">
        <v>0</v>
      </c>
      <c r="L2171" s="41">
        <f>Table2[[#This Row],[Column1]]+Table2[[#This Row],[Column2]]</f>
        <v>0</v>
      </c>
      <c r="M2171" s="42">
        <f>Table2[[#This Row],[OnHandQty]]-Table2[[#This Row],[Projection Nov/Dec]]</f>
        <v>3</v>
      </c>
      <c r="N2171" s="35">
        <f>Table2[[#This Row],[OverStock]]*Table2[[#This Row],[RepCost]]</f>
        <v>92.863500000000002</v>
      </c>
      <c r="O2171" s="25">
        <v>45561.427083333336</v>
      </c>
      <c r="P2171" s="26" t="s">
        <v>195</v>
      </c>
    </row>
    <row r="2172" spans="1:16" x14ac:dyDescent="0.25">
      <c r="A2172" s="20" t="s">
        <v>5211</v>
      </c>
      <c r="B2172" s="21">
        <v>718</v>
      </c>
      <c r="C2172" s="22" t="s">
        <v>12</v>
      </c>
      <c r="D2172" s="22" t="s">
        <v>3613</v>
      </c>
      <c r="E2172" s="22" t="str">
        <f>CONCATENATE(B2172,D2172)</f>
        <v>71874091-1801</v>
      </c>
      <c r="F2172" s="22" t="s">
        <v>3614</v>
      </c>
      <c r="G2172" s="22" t="s">
        <v>29</v>
      </c>
      <c r="H2172" s="23">
        <v>43.5749</v>
      </c>
      <c r="I2172" s="24">
        <v>10</v>
      </c>
      <c r="J2172" s="24">
        <v>0</v>
      </c>
      <c r="K2172" s="24">
        <v>0</v>
      </c>
      <c r="L2172" s="41">
        <f>Table2[[#This Row],[Column1]]+Table2[[#This Row],[Column2]]</f>
        <v>0</v>
      </c>
      <c r="M2172" s="42">
        <f>Table2[[#This Row],[OnHandQty]]-Table2[[#This Row],[Projection Nov/Dec]]</f>
        <v>10</v>
      </c>
      <c r="N2172" s="35">
        <f>Table2[[#This Row],[OverStock]]*Table2[[#This Row],[RepCost]]</f>
        <v>435.74900000000002</v>
      </c>
      <c r="O2172" s="25">
        <v>46119.636111111111</v>
      </c>
      <c r="P2172" s="26" t="s">
        <v>573</v>
      </c>
    </row>
    <row r="2173" spans="1:16" x14ac:dyDescent="0.25">
      <c r="A2173" s="20" t="s">
        <v>5211</v>
      </c>
      <c r="B2173" s="21">
        <v>714</v>
      </c>
      <c r="C2173" s="22" t="s">
        <v>12</v>
      </c>
      <c r="D2173" s="22" t="s">
        <v>543</v>
      </c>
      <c r="E2173" s="22" t="str">
        <f>CONCATENATE(B2173,D2173)</f>
        <v>71474097-SP4</v>
      </c>
      <c r="F2173" s="22" t="s">
        <v>544</v>
      </c>
      <c r="G2173" s="22" t="s">
        <v>39</v>
      </c>
      <c r="H2173" s="23">
        <v>2.0099999999999998</v>
      </c>
      <c r="I2173" s="24">
        <v>113</v>
      </c>
      <c r="J2173" s="24">
        <v>0</v>
      </c>
      <c r="K2173" s="24">
        <v>0</v>
      </c>
      <c r="L2173" s="41">
        <f>Table2[[#This Row],[Column1]]+Table2[[#This Row],[Column2]]</f>
        <v>0</v>
      </c>
      <c r="M2173" s="42">
        <f>Table2[[#This Row],[OnHandQty]]-Table2[[#This Row],[Projection Nov/Dec]]</f>
        <v>113</v>
      </c>
      <c r="N2173" s="35">
        <f>Table2[[#This Row],[OverStock]]*Table2[[#This Row],[RepCost]]</f>
        <v>227.12999999999997</v>
      </c>
      <c r="O2173" s="25">
        <v>46135.507638888892</v>
      </c>
      <c r="P2173" s="26" t="s">
        <v>1932</v>
      </c>
    </row>
    <row r="2174" spans="1:16" x14ac:dyDescent="0.25">
      <c r="A2174" s="20" t="s">
        <v>5211</v>
      </c>
      <c r="B2174" s="21">
        <v>636</v>
      </c>
      <c r="C2174" s="22" t="s">
        <v>12</v>
      </c>
      <c r="D2174" s="22" t="s">
        <v>543</v>
      </c>
      <c r="E2174" s="22" t="str">
        <f>CONCATENATE(B2174,D2174)</f>
        <v>63674097-SP4</v>
      </c>
      <c r="F2174" s="22" t="s">
        <v>544</v>
      </c>
      <c r="G2174" s="22" t="s">
        <v>43</v>
      </c>
      <c r="H2174" s="23">
        <v>1.7851999999999999</v>
      </c>
      <c r="I2174" s="24">
        <v>136</v>
      </c>
      <c r="J2174" s="24">
        <v>0</v>
      </c>
      <c r="K2174" s="24">
        <v>0</v>
      </c>
      <c r="L2174" s="41">
        <f>Table2[[#This Row],[Column1]]+Table2[[#This Row],[Column2]]</f>
        <v>0</v>
      </c>
      <c r="M2174" s="42">
        <f>Table2[[#This Row],[OnHandQty]]-Table2[[#This Row],[Projection Nov/Dec]]</f>
        <v>136</v>
      </c>
      <c r="N2174" s="35">
        <f>Table2[[#This Row],[OverStock]]*Table2[[#This Row],[RepCost]]</f>
        <v>242.78719999999998</v>
      </c>
      <c r="O2174" s="25">
        <v>46163.313888888886</v>
      </c>
      <c r="P2174" s="26" t="s">
        <v>545</v>
      </c>
    </row>
    <row r="2175" spans="1:16" x14ac:dyDescent="0.25">
      <c r="A2175" s="20" t="s">
        <v>5211</v>
      </c>
      <c r="B2175" s="21">
        <v>718</v>
      </c>
      <c r="C2175" s="22" t="s">
        <v>12</v>
      </c>
      <c r="D2175" s="22" t="s">
        <v>543</v>
      </c>
      <c r="E2175" s="22" t="str">
        <f>CONCATENATE(B2175,D2175)</f>
        <v>71874097-SP4</v>
      </c>
      <c r="F2175" s="22" t="s">
        <v>544</v>
      </c>
      <c r="G2175" s="22" t="s">
        <v>39</v>
      </c>
      <c r="H2175" s="23">
        <v>1.91</v>
      </c>
      <c r="I2175" s="24">
        <v>147</v>
      </c>
      <c r="J2175" s="24">
        <v>0</v>
      </c>
      <c r="K2175" s="24">
        <v>0</v>
      </c>
      <c r="L2175" s="41">
        <f>Table2[[#This Row],[Column1]]+Table2[[#This Row],[Column2]]</f>
        <v>0</v>
      </c>
      <c r="M2175" s="42">
        <f>Table2[[#This Row],[OnHandQty]]-Table2[[#This Row],[Projection Nov/Dec]]</f>
        <v>147</v>
      </c>
      <c r="N2175" s="35">
        <f>Table2[[#This Row],[OverStock]]*Table2[[#This Row],[RepCost]]</f>
        <v>280.77</v>
      </c>
      <c r="O2175" s="25">
        <v>46163.370833333334</v>
      </c>
      <c r="P2175" s="26" t="s">
        <v>1932</v>
      </c>
    </row>
    <row r="2176" spans="1:16" x14ac:dyDescent="0.25">
      <c r="A2176" s="20" t="s">
        <v>5211</v>
      </c>
      <c r="B2176" s="21">
        <v>714</v>
      </c>
      <c r="C2176" s="22" t="s">
        <v>143</v>
      </c>
      <c r="D2176" s="22" t="s">
        <v>2630</v>
      </c>
      <c r="E2176" s="22" t="str">
        <f>CONCATENATE(B2176,D2176)</f>
        <v>71474167-105</v>
      </c>
      <c r="F2176" s="22" t="s">
        <v>2631</v>
      </c>
      <c r="G2176" s="22" t="s">
        <v>23</v>
      </c>
      <c r="H2176" s="23">
        <v>39.785800000000002</v>
      </c>
      <c r="I2176" s="24">
        <v>3</v>
      </c>
      <c r="J2176" s="24">
        <v>0</v>
      </c>
      <c r="K2176" s="24">
        <v>0</v>
      </c>
      <c r="L2176" s="41">
        <f>Table2[[#This Row],[Column1]]+Table2[[#This Row],[Column2]]</f>
        <v>0</v>
      </c>
      <c r="M2176" s="42">
        <f>Table2[[#This Row],[OnHandQty]]-Table2[[#This Row],[Projection Nov/Dec]]</f>
        <v>3</v>
      </c>
      <c r="N2176" s="35">
        <f>Table2[[#This Row],[OverStock]]*Table2[[#This Row],[RepCost]]</f>
        <v>119.35740000000001</v>
      </c>
      <c r="O2176" s="25">
        <v>46140.418749999997</v>
      </c>
      <c r="P2176" s="26" t="s">
        <v>67</v>
      </c>
    </row>
    <row r="2177" spans="1:16" x14ac:dyDescent="0.25">
      <c r="A2177" s="20" t="s">
        <v>5211</v>
      </c>
      <c r="B2177" s="21">
        <v>714</v>
      </c>
      <c r="C2177" s="22" t="s">
        <v>143</v>
      </c>
      <c r="D2177" s="22" t="s">
        <v>2628</v>
      </c>
      <c r="E2177" s="22" t="str">
        <f>CONCATENATE(B2177,D2177)</f>
        <v>71478976-110</v>
      </c>
      <c r="F2177" s="22" t="s">
        <v>2629</v>
      </c>
      <c r="G2177" s="22" t="s">
        <v>23</v>
      </c>
      <c r="H2177" s="23">
        <v>43.2592</v>
      </c>
      <c r="I2177" s="24">
        <v>13</v>
      </c>
      <c r="J2177" s="24">
        <v>0</v>
      </c>
      <c r="K2177" s="24">
        <v>0</v>
      </c>
      <c r="L2177" s="41">
        <f>Table2[[#This Row],[Column1]]+Table2[[#This Row],[Column2]]</f>
        <v>0</v>
      </c>
      <c r="M2177" s="42">
        <f>Table2[[#This Row],[OnHandQty]]-Table2[[#This Row],[Projection Nov/Dec]]</f>
        <v>13</v>
      </c>
      <c r="N2177" s="35">
        <f>Table2[[#This Row],[OverStock]]*Table2[[#This Row],[RepCost]]</f>
        <v>562.36959999999999</v>
      </c>
      <c r="O2177" s="25">
        <v>46188.35</v>
      </c>
      <c r="P2177" s="26" t="s">
        <v>26</v>
      </c>
    </row>
    <row r="2178" spans="1:16" x14ac:dyDescent="0.25">
      <c r="A2178" s="20" t="s">
        <v>5211</v>
      </c>
      <c r="B2178" s="21">
        <v>714</v>
      </c>
      <c r="C2178" s="22" t="s">
        <v>143</v>
      </c>
      <c r="D2178" s="22" t="s">
        <v>2278</v>
      </c>
      <c r="E2178" s="22" t="str">
        <f>CONCATENATE(B2178,D2178)</f>
        <v>71478976-115</v>
      </c>
      <c r="F2178" s="22" t="s">
        <v>2279</v>
      </c>
      <c r="G2178" s="22" t="s">
        <v>23</v>
      </c>
      <c r="H2178" s="23">
        <v>124.7483</v>
      </c>
      <c r="I2178" s="24">
        <v>13</v>
      </c>
      <c r="J2178" s="24">
        <v>0</v>
      </c>
      <c r="K2178" s="24">
        <v>0</v>
      </c>
      <c r="L2178" s="41">
        <f>Table2[[#This Row],[Column1]]+Table2[[#This Row],[Column2]]</f>
        <v>0</v>
      </c>
      <c r="M2178" s="42">
        <f>Table2[[#This Row],[OnHandQty]]-Table2[[#This Row],[Projection Nov/Dec]]</f>
        <v>13</v>
      </c>
      <c r="N2178" s="35">
        <f>Table2[[#This Row],[OverStock]]*Table2[[#This Row],[RepCost]]</f>
        <v>1621.7279000000001</v>
      </c>
      <c r="O2178" s="25">
        <v>46182.442361111112</v>
      </c>
      <c r="P2178" s="26" t="s">
        <v>1062</v>
      </c>
    </row>
    <row r="2179" spans="1:16" x14ac:dyDescent="0.25">
      <c r="A2179" s="20" t="s">
        <v>5211</v>
      </c>
      <c r="B2179" s="21">
        <v>714</v>
      </c>
      <c r="C2179" s="22" t="s">
        <v>143</v>
      </c>
      <c r="D2179" s="22" t="s">
        <v>2509</v>
      </c>
      <c r="E2179" s="22" t="str">
        <f>CONCATENATE(B2179,D2179)</f>
        <v>71478976-105</v>
      </c>
      <c r="F2179" s="22" t="s">
        <v>2510</v>
      </c>
      <c r="G2179" s="22" t="s">
        <v>112</v>
      </c>
      <c r="H2179" s="23">
        <v>22.258700000000001</v>
      </c>
      <c r="I2179" s="24">
        <v>10</v>
      </c>
      <c r="J2179" s="24">
        <v>0</v>
      </c>
      <c r="K2179" s="24">
        <v>0</v>
      </c>
      <c r="L2179" s="41">
        <f>Table2[[#This Row],[Column1]]+Table2[[#This Row],[Column2]]</f>
        <v>0</v>
      </c>
      <c r="M2179" s="42">
        <f>Table2[[#This Row],[OnHandQty]]-Table2[[#This Row],[Projection Nov/Dec]]</f>
        <v>10</v>
      </c>
      <c r="N2179" s="35">
        <f>Table2[[#This Row],[OverStock]]*Table2[[#This Row],[RepCost]]</f>
        <v>222.58700000000002</v>
      </c>
      <c r="O2179" s="25">
        <v>46188.35</v>
      </c>
      <c r="P2179" s="26" t="s">
        <v>26</v>
      </c>
    </row>
    <row r="2180" spans="1:16" x14ac:dyDescent="0.25">
      <c r="A2180" s="20" t="s">
        <v>5211</v>
      </c>
      <c r="B2180" s="21">
        <v>636</v>
      </c>
      <c r="C2180" s="22" t="s">
        <v>70</v>
      </c>
      <c r="D2180" s="22" t="s">
        <v>763</v>
      </c>
      <c r="E2180" s="22" t="str">
        <f>CONCATENATE(B2180,D2180)</f>
        <v>63677624-102</v>
      </c>
      <c r="F2180" s="22" t="s">
        <v>764</v>
      </c>
      <c r="G2180" s="22" t="s">
        <v>29</v>
      </c>
      <c r="H2180" s="23">
        <v>19.0411</v>
      </c>
      <c r="I2180" s="24">
        <v>10</v>
      </c>
      <c r="J2180" s="24">
        <v>0</v>
      </c>
      <c r="K2180" s="24">
        <v>0</v>
      </c>
      <c r="L2180" s="41">
        <f>Table2[[#This Row],[Column1]]+Table2[[#This Row],[Column2]]</f>
        <v>0</v>
      </c>
      <c r="M2180" s="42">
        <f>Table2[[#This Row],[OnHandQty]]-Table2[[#This Row],[Projection Nov/Dec]]</f>
        <v>10</v>
      </c>
      <c r="N2180" s="35">
        <f>Table2[[#This Row],[OverStock]]*Table2[[#This Row],[RepCost]]</f>
        <v>190.411</v>
      </c>
      <c r="O2180" s="25">
        <v>46135.408333333333</v>
      </c>
      <c r="P2180" s="26" t="s">
        <v>16</v>
      </c>
    </row>
    <row r="2181" spans="1:16" x14ac:dyDescent="0.25">
      <c r="A2181" s="20" t="s">
        <v>5211</v>
      </c>
      <c r="B2181" s="21">
        <v>636</v>
      </c>
      <c r="C2181" s="22" t="s">
        <v>70</v>
      </c>
      <c r="D2181" s="22" t="s">
        <v>763</v>
      </c>
      <c r="E2181" s="22" t="str">
        <f>CONCATENATE(B2181,D2181)</f>
        <v>63677624-102</v>
      </c>
      <c r="F2181" s="22" t="s">
        <v>764</v>
      </c>
      <c r="G2181" s="22" t="s">
        <v>29</v>
      </c>
      <c r="H2181" s="23">
        <v>19.0411</v>
      </c>
      <c r="I2181" s="24">
        <v>10</v>
      </c>
      <c r="J2181" s="24">
        <v>0</v>
      </c>
      <c r="K2181" s="24">
        <v>0</v>
      </c>
      <c r="L2181" s="41">
        <f>Table2[[#This Row],[Column1]]+Table2[[#This Row],[Column2]]</f>
        <v>0</v>
      </c>
      <c r="M2181" s="42">
        <f>Table2[[#This Row],[OnHandQty]]-Table2[[#This Row],[Projection Nov/Dec]]</f>
        <v>10</v>
      </c>
      <c r="N2181" s="35">
        <f>Table2[[#This Row],[OverStock]]*Table2[[#This Row],[RepCost]]</f>
        <v>190.411</v>
      </c>
      <c r="O2181" s="25">
        <v>46135.408333333333</v>
      </c>
      <c r="P2181" s="26" t="s">
        <v>16</v>
      </c>
    </row>
    <row r="2182" spans="1:16" x14ac:dyDescent="0.25">
      <c r="A2182" s="20" t="s">
        <v>5211</v>
      </c>
      <c r="B2182" s="21">
        <v>714</v>
      </c>
      <c r="C2182" s="22" t="s">
        <v>126</v>
      </c>
      <c r="D2182" s="22" t="s">
        <v>2190</v>
      </c>
      <c r="E2182" s="22" t="str">
        <f>CONCATENATE(B2182,D2182)</f>
        <v>71477623-TRL105PFO</v>
      </c>
      <c r="F2182" s="22" t="s">
        <v>2191</v>
      </c>
      <c r="G2182" s="22" t="s">
        <v>29</v>
      </c>
      <c r="H2182" s="23">
        <v>23.721900000000002</v>
      </c>
      <c r="I2182" s="24">
        <v>1</v>
      </c>
      <c r="J2182" s="24">
        <v>0</v>
      </c>
      <c r="K2182" s="24">
        <v>0</v>
      </c>
      <c r="L2182" s="41">
        <f>Table2[[#This Row],[Column1]]+Table2[[#This Row],[Column2]]</f>
        <v>0</v>
      </c>
      <c r="M2182" s="42">
        <f>Table2[[#This Row],[OnHandQty]]-Table2[[#This Row],[Projection Nov/Dec]]</f>
        <v>1</v>
      </c>
      <c r="N2182" s="35">
        <f>Table2[[#This Row],[OverStock]]*Table2[[#This Row],[RepCost]]</f>
        <v>23.721900000000002</v>
      </c>
      <c r="O2182" s="25">
        <v>46151.40347222222</v>
      </c>
      <c r="P2182" s="26" t="s">
        <v>140</v>
      </c>
    </row>
    <row r="2183" spans="1:16" x14ac:dyDescent="0.25">
      <c r="A2183" s="20" t="s">
        <v>5211</v>
      </c>
      <c r="B2183" s="21">
        <v>714</v>
      </c>
      <c r="C2183" s="22" t="s">
        <v>143</v>
      </c>
      <c r="D2183" s="22" t="s">
        <v>287</v>
      </c>
      <c r="E2183" s="22" t="str">
        <f>CONCATENATE(B2183,D2183)</f>
        <v>71479224-103</v>
      </c>
      <c r="F2183" s="22" t="s">
        <v>288</v>
      </c>
      <c r="G2183" s="22" t="s">
        <v>39</v>
      </c>
      <c r="H2183" s="23">
        <v>16.979700000000001</v>
      </c>
      <c r="I2183" s="24">
        <v>15</v>
      </c>
      <c r="J2183" s="24">
        <v>0</v>
      </c>
      <c r="K2183" s="24">
        <v>0</v>
      </c>
      <c r="L2183" s="41">
        <f>Table2[[#This Row],[Column1]]+Table2[[#This Row],[Column2]]</f>
        <v>0</v>
      </c>
      <c r="M2183" s="42">
        <f>Table2[[#This Row],[OnHandQty]]-Table2[[#This Row],[Projection Nov/Dec]]</f>
        <v>15</v>
      </c>
      <c r="N2183" s="35">
        <f>Table2[[#This Row],[OverStock]]*Table2[[#This Row],[RepCost]]</f>
        <v>254.69550000000001</v>
      </c>
      <c r="O2183" s="25">
        <v>46188.35</v>
      </c>
      <c r="P2183" s="26" t="s">
        <v>26</v>
      </c>
    </row>
    <row r="2184" spans="1:16" x14ac:dyDescent="0.25">
      <c r="A2184" s="20" t="s">
        <v>5211</v>
      </c>
      <c r="B2184" s="21">
        <v>714</v>
      </c>
      <c r="C2184" s="22" t="s">
        <v>143</v>
      </c>
      <c r="D2184" s="22" t="s">
        <v>2432</v>
      </c>
      <c r="E2184" s="22" t="str">
        <f>CONCATENATE(B2184,D2184)</f>
        <v>71493779-103</v>
      </c>
      <c r="F2184" s="22" t="s">
        <v>2433</v>
      </c>
      <c r="G2184" s="22" t="s">
        <v>29</v>
      </c>
      <c r="H2184" s="23">
        <v>14.63</v>
      </c>
      <c r="I2184" s="24">
        <v>9</v>
      </c>
      <c r="J2184" s="24">
        <v>0</v>
      </c>
      <c r="K2184" s="24">
        <v>0</v>
      </c>
      <c r="L2184" s="41">
        <f>Table2[[#This Row],[Column1]]+Table2[[#This Row],[Column2]]</f>
        <v>0</v>
      </c>
      <c r="M2184" s="42">
        <f>Table2[[#This Row],[OnHandQty]]-Table2[[#This Row],[Projection Nov/Dec]]</f>
        <v>9</v>
      </c>
      <c r="N2184" s="35">
        <f>Table2[[#This Row],[OverStock]]*Table2[[#This Row],[RepCost]]</f>
        <v>131.67000000000002</v>
      </c>
      <c r="O2184" s="25">
        <v>45838.636111111111</v>
      </c>
      <c r="P2184" s="26" t="s">
        <v>26</v>
      </c>
    </row>
    <row r="2185" spans="1:16" x14ac:dyDescent="0.25">
      <c r="A2185" s="20" t="s">
        <v>5211</v>
      </c>
      <c r="B2185" s="21">
        <v>714</v>
      </c>
      <c r="C2185" s="22" t="s">
        <v>12</v>
      </c>
      <c r="D2185" s="22" t="s">
        <v>1928</v>
      </c>
      <c r="E2185" s="22" t="str">
        <f>CONCATENATE(B2185,D2185)</f>
        <v>71474247-STK020</v>
      </c>
      <c r="F2185" s="22" t="s">
        <v>1929</v>
      </c>
      <c r="G2185" s="22" t="s">
        <v>19</v>
      </c>
      <c r="H2185" s="23">
        <v>614.1046</v>
      </c>
      <c r="I2185" s="24">
        <v>1</v>
      </c>
      <c r="J2185" s="24">
        <v>0</v>
      </c>
      <c r="K2185" s="24">
        <v>0</v>
      </c>
      <c r="L2185" s="41">
        <f>Table2[[#This Row],[Column1]]+Table2[[#This Row],[Column2]]</f>
        <v>0</v>
      </c>
      <c r="M2185" s="42">
        <f>Table2[[#This Row],[OnHandQty]]-Table2[[#This Row],[Projection Nov/Dec]]</f>
        <v>1</v>
      </c>
      <c r="N2185" s="35">
        <f>Table2[[#This Row],[OverStock]]*Table2[[#This Row],[RepCost]]</f>
        <v>614.1046</v>
      </c>
      <c r="O2185" s="25">
        <v>46104.46597222222</v>
      </c>
      <c r="P2185" s="26" t="s">
        <v>137</v>
      </c>
    </row>
    <row r="2186" spans="1:16" x14ac:dyDescent="0.25">
      <c r="A2186" s="20" t="s">
        <v>5211</v>
      </c>
      <c r="B2186" s="21">
        <v>636</v>
      </c>
      <c r="C2186" s="22" t="s">
        <v>12</v>
      </c>
      <c r="D2186" s="22" t="s">
        <v>499</v>
      </c>
      <c r="E2186" s="22" t="str">
        <f>CONCATENATE(B2186,D2186)</f>
        <v>63678051-106</v>
      </c>
      <c r="F2186" s="22" t="s">
        <v>500</v>
      </c>
      <c r="G2186" s="22" t="s">
        <v>29</v>
      </c>
      <c r="H2186" s="23">
        <v>100.2752</v>
      </c>
      <c r="I2186" s="24">
        <v>1</v>
      </c>
      <c r="J2186" s="24">
        <v>0</v>
      </c>
      <c r="K2186" s="24">
        <v>0</v>
      </c>
      <c r="L2186" s="41">
        <f>Table2[[#This Row],[Column1]]+Table2[[#This Row],[Column2]]</f>
        <v>0</v>
      </c>
      <c r="M2186" s="42">
        <f>Table2[[#This Row],[OnHandQty]]-Table2[[#This Row],[Projection Nov/Dec]]</f>
        <v>1</v>
      </c>
      <c r="N2186" s="35">
        <f>Table2[[#This Row],[OverStock]]*Table2[[#This Row],[RepCost]]</f>
        <v>100.2752</v>
      </c>
      <c r="O2186" s="25">
        <v>46140.29583333333</v>
      </c>
      <c r="P2186" s="26" t="s">
        <v>501</v>
      </c>
    </row>
    <row r="2187" spans="1:16" x14ac:dyDescent="0.25">
      <c r="A2187" s="20" t="s">
        <v>5211</v>
      </c>
      <c r="B2187" s="21">
        <v>636</v>
      </c>
      <c r="C2187" s="22" t="s">
        <v>12</v>
      </c>
      <c r="D2187" s="22" t="s">
        <v>551</v>
      </c>
      <c r="E2187" s="22" t="str">
        <f>CONCATENATE(B2187,D2187)</f>
        <v>63674248-110</v>
      </c>
      <c r="F2187" s="22" t="s">
        <v>552</v>
      </c>
      <c r="G2187" s="22" t="s">
        <v>29</v>
      </c>
      <c r="H2187" s="23">
        <v>105.72190000000001</v>
      </c>
      <c r="I2187" s="24">
        <v>2</v>
      </c>
      <c r="J2187" s="24">
        <v>0</v>
      </c>
      <c r="K2187" s="24">
        <v>0</v>
      </c>
      <c r="L2187" s="41">
        <f>Table2[[#This Row],[Column1]]+Table2[[#This Row],[Column2]]</f>
        <v>0</v>
      </c>
      <c r="M2187" s="42">
        <f>Table2[[#This Row],[OnHandQty]]-Table2[[#This Row],[Projection Nov/Dec]]</f>
        <v>2</v>
      </c>
      <c r="N2187" s="35">
        <f>Table2[[#This Row],[OverStock]]*Table2[[#This Row],[RepCost]]</f>
        <v>211.44380000000001</v>
      </c>
      <c r="O2187" s="25">
        <v>46198.460416666669</v>
      </c>
      <c r="P2187" s="26" t="s">
        <v>195</v>
      </c>
    </row>
    <row r="2188" spans="1:16" x14ac:dyDescent="0.25">
      <c r="A2188" s="20" t="s">
        <v>5211</v>
      </c>
      <c r="B2188" s="21">
        <v>718</v>
      </c>
      <c r="C2188" s="22" t="s">
        <v>12</v>
      </c>
      <c r="D2188" s="22" t="s">
        <v>3615</v>
      </c>
      <c r="E2188" s="22" t="str">
        <f>CONCATENATE(B2188,D2188)</f>
        <v>71874248-STK115</v>
      </c>
      <c r="F2188" s="22" t="s">
        <v>3616</v>
      </c>
      <c r="G2188" s="22" t="s">
        <v>29</v>
      </c>
      <c r="H2188" s="23">
        <v>79.717699999999994</v>
      </c>
      <c r="I2188" s="24">
        <v>3</v>
      </c>
      <c r="J2188" s="24">
        <v>0</v>
      </c>
      <c r="K2188" s="24">
        <v>0</v>
      </c>
      <c r="L2188" s="41">
        <f>Table2[[#This Row],[Column1]]+Table2[[#This Row],[Column2]]</f>
        <v>0</v>
      </c>
      <c r="M2188" s="42">
        <f>Table2[[#This Row],[OnHandQty]]-Table2[[#This Row],[Projection Nov/Dec]]</f>
        <v>3</v>
      </c>
      <c r="N2188" s="35">
        <f>Table2[[#This Row],[OverStock]]*Table2[[#This Row],[RepCost]]</f>
        <v>239.15309999999999</v>
      </c>
      <c r="O2188" s="25">
        <v>46139.576388888891</v>
      </c>
      <c r="P2188" s="26" t="s">
        <v>885</v>
      </c>
    </row>
    <row r="2189" spans="1:16" x14ac:dyDescent="0.25">
      <c r="A2189" s="20" t="s">
        <v>5211</v>
      </c>
      <c r="B2189" s="21">
        <v>636</v>
      </c>
      <c r="C2189" s="22" t="s">
        <v>70</v>
      </c>
      <c r="D2189" s="22" t="s">
        <v>741</v>
      </c>
      <c r="E2189" s="22" t="str">
        <f>CONCATENATE(B2189,D2189)</f>
        <v>63681520-101</v>
      </c>
      <c r="F2189" s="22" t="s">
        <v>742</v>
      </c>
      <c r="G2189" s="22" t="s">
        <v>29</v>
      </c>
      <c r="H2189" s="23">
        <v>8.0046999999999997</v>
      </c>
      <c r="I2189" s="24">
        <v>1</v>
      </c>
      <c r="J2189" s="24">
        <v>0</v>
      </c>
      <c r="K2189" s="24">
        <v>0</v>
      </c>
      <c r="L2189" s="41">
        <f>Table2[[#This Row],[Column1]]+Table2[[#This Row],[Column2]]</f>
        <v>0</v>
      </c>
      <c r="M2189" s="42">
        <f>Table2[[#This Row],[OnHandQty]]-Table2[[#This Row],[Projection Nov/Dec]]</f>
        <v>1</v>
      </c>
      <c r="N2189" s="35">
        <f>Table2[[#This Row],[OverStock]]*Table2[[#This Row],[RepCost]]</f>
        <v>8.0046999999999997</v>
      </c>
      <c r="O2189" s="25">
        <v>46155.623611111114</v>
      </c>
      <c r="P2189" s="26" t="s">
        <v>522</v>
      </c>
    </row>
    <row r="2190" spans="1:16" x14ac:dyDescent="0.25">
      <c r="A2190" s="20" t="s">
        <v>5211</v>
      </c>
      <c r="B2190" s="21">
        <v>714</v>
      </c>
      <c r="C2190" s="22" t="s">
        <v>1208</v>
      </c>
      <c r="D2190" s="22" t="s">
        <v>2810</v>
      </c>
      <c r="E2190" s="22" t="str">
        <f>CONCATENATE(B2190,D2190)</f>
        <v>71474284-105</v>
      </c>
      <c r="F2190" s="22" t="s">
        <v>2811</v>
      </c>
      <c r="G2190" s="22" t="s">
        <v>29</v>
      </c>
      <c r="H2190" s="23">
        <v>42.038499999999999</v>
      </c>
      <c r="I2190" s="24">
        <v>12</v>
      </c>
      <c r="J2190" s="24">
        <v>1</v>
      </c>
      <c r="K2190" s="24">
        <v>0</v>
      </c>
      <c r="L2190" s="41">
        <f>Table2[[#This Row],[Column1]]+Table2[[#This Row],[Column2]]</f>
        <v>1</v>
      </c>
      <c r="M2190" s="42">
        <f>Table2[[#This Row],[OnHandQty]]-Table2[[#This Row],[Projection Nov/Dec]]</f>
        <v>11</v>
      </c>
      <c r="N2190" s="35">
        <f>Table2[[#This Row],[OverStock]]*Table2[[#This Row],[RepCost]]</f>
        <v>462.42349999999999</v>
      </c>
      <c r="O2190" s="25">
        <v>46126.649305555555</v>
      </c>
      <c r="P2190" s="26" t="s">
        <v>67</v>
      </c>
    </row>
    <row r="2191" spans="1:16" x14ac:dyDescent="0.25">
      <c r="A2191" s="20" t="s">
        <v>5211</v>
      </c>
      <c r="B2191" s="21">
        <v>718</v>
      </c>
      <c r="C2191" s="22" t="s">
        <v>1208</v>
      </c>
      <c r="D2191" s="22" t="s">
        <v>3826</v>
      </c>
      <c r="E2191" s="22" t="str">
        <f>CONCATENATE(B2191,D2191)</f>
        <v>71878062-105</v>
      </c>
      <c r="F2191" s="22" t="s">
        <v>3827</v>
      </c>
      <c r="G2191" s="22" t="s">
        <v>29</v>
      </c>
      <c r="H2191" s="23">
        <v>32.928699999999999</v>
      </c>
      <c r="I2191" s="24">
        <v>9</v>
      </c>
      <c r="J2191" s="24">
        <v>0</v>
      </c>
      <c r="K2191" s="24">
        <v>0</v>
      </c>
      <c r="L2191" s="41">
        <f>Table2[[#This Row],[Column1]]+Table2[[#This Row],[Column2]]</f>
        <v>0</v>
      </c>
      <c r="M2191" s="42">
        <f>Table2[[#This Row],[OnHandQty]]-Table2[[#This Row],[Projection Nov/Dec]]</f>
        <v>9</v>
      </c>
      <c r="N2191" s="35">
        <f>Table2[[#This Row],[OverStock]]*Table2[[#This Row],[RepCost]]</f>
        <v>296.35829999999999</v>
      </c>
      <c r="O2191" s="25">
        <v>46147.688194444447</v>
      </c>
      <c r="P2191" s="26" t="s">
        <v>2066</v>
      </c>
    </row>
    <row r="2192" spans="1:16" x14ac:dyDescent="0.25">
      <c r="A2192" s="20" t="s">
        <v>5211</v>
      </c>
      <c r="B2192" s="21">
        <v>714</v>
      </c>
      <c r="C2192" s="22" t="s">
        <v>1208</v>
      </c>
      <c r="D2192" s="22" t="s">
        <v>2808</v>
      </c>
      <c r="E2192" s="22" t="str">
        <f>CONCATENATE(B2192,D2192)</f>
        <v>71474291-105</v>
      </c>
      <c r="F2192" s="22" t="s">
        <v>2809</v>
      </c>
      <c r="G2192" s="22" t="s">
        <v>23</v>
      </c>
      <c r="H2192" s="23">
        <v>42.673699999999997</v>
      </c>
      <c r="I2192" s="24">
        <v>4</v>
      </c>
      <c r="J2192" s="24">
        <v>0</v>
      </c>
      <c r="K2192" s="24">
        <v>0</v>
      </c>
      <c r="L2192" s="41">
        <f>Table2[[#This Row],[Column1]]+Table2[[#This Row],[Column2]]</f>
        <v>0</v>
      </c>
      <c r="M2192" s="42">
        <f>Table2[[#This Row],[OnHandQty]]-Table2[[#This Row],[Projection Nov/Dec]]</f>
        <v>4</v>
      </c>
      <c r="N2192" s="35">
        <f>Table2[[#This Row],[OverStock]]*Table2[[#This Row],[RepCost]]</f>
        <v>170.69479999999999</v>
      </c>
      <c r="O2192" s="25">
        <v>46198.373611111114</v>
      </c>
      <c r="P2192" s="26" t="s">
        <v>67</v>
      </c>
    </row>
    <row r="2193" spans="1:16" x14ac:dyDescent="0.25">
      <c r="A2193" s="20" t="s">
        <v>5211</v>
      </c>
      <c r="B2193" s="21">
        <v>636</v>
      </c>
      <c r="C2193" s="22" t="s">
        <v>1749</v>
      </c>
      <c r="D2193" s="22" t="s">
        <v>1768</v>
      </c>
      <c r="E2193" s="22" t="str">
        <f>CONCATENATE(B2193,D2193)</f>
        <v>63692170-0010</v>
      </c>
      <c r="F2193" s="22" t="s">
        <v>1769</v>
      </c>
      <c r="G2193" s="22" t="s">
        <v>39</v>
      </c>
      <c r="H2193" s="23">
        <v>39.019799999999996</v>
      </c>
      <c r="I2193" s="24">
        <v>3</v>
      </c>
      <c r="J2193" s="24">
        <v>0</v>
      </c>
      <c r="K2193" s="24">
        <v>0</v>
      </c>
      <c r="L2193" s="41">
        <f>Table2[[#This Row],[Column1]]+Table2[[#This Row],[Column2]]</f>
        <v>0</v>
      </c>
      <c r="M2193" s="42">
        <f>Table2[[#This Row],[OnHandQty]]-Table2[[#This Row],[Projection Nov/Dec]]</f>
        <v>3</v>
      </c>
      <c r="N2193" s="35">
        <f>Table2[[#This Row],[OverStock]]*Table2[[#This Row],[RepCost]]</f>
        <v>117.05939999999998</v>
      </c>
      <c r="O2193" s="25">
        <v>46114.597916666666</v>
      </c>
      <c r="P2193" s="26" t="s">
        <v>797</v>
      </c>
    </row>
    <row r="2194" spans="1:16" x14ac:dyDescent="0.25">
      <c r="A2194" s="20" t="s">
        <v>5211</v>
      </c>
      <c r="B2194" s="21">
        <v>634</v>
      </c>
      <c r="C2194" s="22" t="s">
        <v>323</v>
      </c>
      <c r="D2194" s="22" t="s">
        <v>407</v>
      </c>
      <c r="E2194" s="22" t="str">
        <f>CONCATENATE(B2194,D2194)</f>
        <v>63474322-020</v>
      </c>
      <c r="F2194" s="27" t="s">
        <v>408</v>
      </c>
      <c r="G2194" s="27" t="s">
        <v>58</v>
      </c>
      <c r="H2194" s="23">
        <v>125.72669999999999</v>
      </c>
      <c r="I2194" s="24">
        <v>3</v>
      </c>
      <c r="J2194" s="24">
        <v>0</v>
      </c>
      <c r="K2194" s="24">
        <v>0</v>
      </c>
      <c r="L2194" s="41">
        <f>Table2[[#This Row],[Column1]]+Table2[[#This Row],[Column2]]</f>
        <v>0</v>
      </c>
      <c r="M2194" s="42">
        <f>Table2[[#This Row],[OnHandQty]]-Table2[[#This Row],[Projection Nov/Dec]]</f>
        <v>3</v>
      </c>
      <c r="N2194" s="35">
        <f>Table2[[#This Row],[OverStock]]*Table2[[#This Row],[RepCost]]</f>
        <v>377.18009999999998</v>
      </c>
      <c r="O2194" s="25">
        <v>45744.493055555555</v>
      </c>
      <c r="P2194" s="26" t="s">
        <v>330</v>
      </c>
    </row>
    <row r="2195" spans="1:16" x14ac:dyDescent="0.25">
      <c r="A2195" s="20" t="s">
        <v>5211</v>
      </c>
      <c r="B2195" s="21">
        <v>636</v>
      </c>
      <c r="C2195" s="22" t="s">
        <v>323</v>
      </c>
      <c r="D2195" s="22" t="s">
        <v>1590</v>
      </c>
      <c r="E2195" s="22" t="str">
        <f>CONCATENATE(B2195,D2195)</f>
        <v>63674322-030</v>
      </c>
      <c r="F2195" s="22" t="s">
        <v>1591</v>
      </c>
      <c r="G2195" s="22" t="s">
        <v>29</v>
      </c>
      <c r="H2195" s="23">
        <v>209.5513</v>
      </c>
      <c r="I2195" s="24">
        <v>10</v>
      </c>
      <c r="J2195" s="24">
        <v>0</v>
      </c>
      <c r="K2195" s="24">
        <v>0</v>
      </c>
      <c r="L2195" s="41">
        <f>Table2[[#This Row],[Column1]]+Table2[[#This Row],[Column2]]</f>
        <v>0</v>
      </c>
      <c r="M2195" s="42">
        <f>Table2[[#This Row],[OnHandQty]]-Table2[[#This Row],[Projection Nov/Dec]]</f>
        <v>10</v>
      </c>
      <c r="N2195" s="35">
        <f>Table2[[#This Row],[OverStock]]*Table2[[#This Row],[RepCost]]</f>
        <v>2095.5129999999999</v>
      </c>
      <c r="O2195" s="25">
        <v>46106.444444444445</v>
      </c>
      <c r="P2195" s="26" t="s">
        <v>357</v>
      </c>
    </row>
    <row r="2196" spans="1:16" x14ac:dyDescent="0.25">
      <c r="A2196" s="28" t="s">
        <v>5211</v>
      </c>
      <c r="B2196" s="29">
        <v>714</v>
      </c>
      <c r="C2196" s="30" t="s">
        <v>323</v>
      </c>
      <c r="D2196" s="30" t="s">
        <v>3421</v>
      </c>
      <c r="E2196" s="30" t="str">
        <f>CONCATENATE(B2196,D2196)</f>
        <v>71478067-035</v>
      </c>
      <c r="F2196" s="30" t="s">
        <v>3422</v>
      </c>
      <c r="G2196" s="30" t="s">
        <v>19</v>
      </c>
      <c r="H2196" s="31">
        <v>233.0804</v>
      </c>
      <c r="I2196" s="32">
        <v>3</v>
      </c>
      <c r="J2196" s="32">
        <v>2</v>
      </c>
      <c r="K2196" s="32">
        <v>0</v>
      </c>
      <c r="L2196" s="41">
        <f>Table2[[#This Row],[Column1]]+Table2[[#This Row],[Column2]]</f>
        <v>2</v>
      </c>
      <c r="M2196" s="42">
        <f>Table2[[#This Row],[OnHandQty]]-Table2[[#This Row],[Projection Nov/Dec]]</f>
        <v>1</v>
      </c>
      <c r="N2196" s="35">
        <f>Table2[[#This Row],[OverStock]]*Table2[[#This Row],[RepCost]]</f>
        <v>233.0804</v>
      </c>
      <c r="O2196" s="33">
        <v>45646.494444444441</v>
      </c>
      <c r="P2196" s="34" t="s">
        <v>1229</v>
      </c>
    </row>
  </sheetData>
  <phoneticPr fontId="4" type="noConversion"/>
  <conditionalFormatting sqref="E1:E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B056-F14E-4EED-94CB-E3DFBB2E46CD}">
  <dimension ref="A1:N4619"/>
  <sheetViews>
    <sheetView topLeftCell="C1" workbookViewId="0">
      <selection activeCell="I1" sqref="I1"/>
    </sheetView>
  </sheetViews>
  <sheetFormatPr defaultRowHeight="15" x14ac:dyDescent="0.25"/>
  <cols>
    <col min="1" max="1" width="14.5703125" style="9" bestFit="1" customWidth="1"/>
    <col min="2" max="2" width="16.85546875" style="10" bestFit="1" customWidth="1"/>
    <col min="3" max="3" width="7.140625" style="10" bestFit="1" customWidth="1"/>
    <col min="4" max="4" width="18.5703125" bestFit="1" customWidth="1"/>
    <col min="5" max="5" width="64.42578125" customWidth="1"/>
    <col min="6" max="6" width="7.7109375" style="10" bestFit="1" customWidth="1"/>
    <col min="7" max="7" width="12.5703125" style="2" bestFit="1" customWidth="1"/>
    <col min="8" max="8" width="15.140625" style="13" bestFit="1" customWidth="1"/>
    <col min="9" max="9" width="18" style="13" bestFit="1" customWidth="1"/>
    <col min="10" max="10" width="20.28515625" style="13" bestFit="1" customWidth="1"/>
    <col min="11" max="11" width="12.5703125" style="10" bestFit="1" customWidth="1"/>
    <col min="12" max="12" width="15" style="2" bestFit="1" customWidth="1"/>
    <col min="13" max="13" width="15.5703125" bestFit="1" customWidth="1"/>
    <col min="14" max="14" width="46" bestFit="1" customWidth="1"/>
  </cols>
  <sheetData>
    <row r="1" spans="1:14" x14ac:dyDescent="0.25">
      <c r="A1" s="7" t="s">
        <v>0</v>
      </c>
      <c r="B1" s="8" t="s">
        <v>1</v>
      </c>
      <c r="C1" s="8" t="s">
        <v>2</v>
      </c>
      <c r="D1" s="4" t="s">
        <v>3</v>
      </c>
      <c r="E1" s="4" t="s">
        <v>4</v>
      </c>
      <c r="F1" s="8" t="s">
        <v>5</v>
      </c>
      <c r="G1" s="5" t="s">
        <v>6</v>
      </c>
      <c r="H1" s="12" t="s">
        <v>7</v>
      </c>
      <c r="I1" s="12" t="s">
        <v>3980</v>
      </c>
      <c r="J1" s="12" t="s">
        <v>3981</v>
      </c>
      <c r="K1" s="8" t="s">
        <v>8</v>
      </c>
      <c r="L1" s="5" t="s">
        <v>9</v>
      </c>
      <c r="M1" s="4" t="s">
        <v>10</v>
      </c>
      <c r="N1" s="4" t="s">
        <v>11</v>
      </c>
    </row>
    <row r="2" spans="1:14" x14ac:dyDescent="0.25">
      <c r="A2" s="9" t="s">
        <v>5211</v>
      </c>
      <c r="B2" s="10">
        <v>714</v>
      </c>
      <c r="C2" s="10" t="s">
        <v>323</v>
      </c>
      <c r="D2" t="s">
        <v>2928</v>
      </c>
      <c r="E2" t="s">
        <v>2929</v>
      </c>
      <c r="F2" s="10" t="s">
        <v>29</v>
      </c>
      <c r="G2" s="2">
        <v>17.047799999999999</v>
      </c>
      <c r="H2" s="13">
        <v>586</v>
      </c>
      <c r="I2" s="13">
        <v>0</v>
      </c>
      <c r="J2" s="13">
        <v>0</v>
      </c>
      <c r="K2" s="10">
        <v>586</v>
      </c>
      <c r="L2" s="2">
        <v>9990.0108</v>
      </c>
      <c r="M2" s="1">
        <v>46149.572222222225</v>
      </c>
      <c r="N2" t="s">
        <v>2930</v>
      </c>
    </row>
    <row r="3" spans="1:14" x14ac:dyDescent="0.25">
      <c r="A3" s="9" t="s">
        <v>5211</v>
      </c>
      <c r="B3" s="10">
        <v>714</v>
      </c>
      <c r="C3" s="10" t="s">
        <v>323</v>
      </c>
      <c r="D3" t="s">
        <v>3035</v>
      </c>
      <c r="E3" t="s">
        <v>3036</v>
      </c>
      <c r="F3" s="10" t="s">
        <v>29</v>
      </c>
      <c r="G3" s="2">
        <v>16.273</v>
      </c>
      <c r="H3" s="13">
        <v>320</v>
      </c>
      <c r="I3" s="13">
        <v>0</v>
      </c>
      <c r="J3" s="13">
        <v>0</v>
      </c>
      <c r="K3" s="10">
        <v>320</v>
      </c>
      <c r="L3" s="2">
        <v>5207.3599999999997</v>
      </c>
      <c r="M3" s="1">
        <v>46149.571527777778</v>
      </c>
      <c r="N3" t="s">
        <v>2930</v>
      </c>
    </row>
    <row r="4" spans="1:14" x14ac:dyDescent="0.25">
      <c r="A4" s="9" t="s">
        <v>5211</v>
      </c>
      <c r="B4" s="10">
        <v>714</v>
      </c>
      <c r="C4" s="10" t="s">
        <v>323</v>
      </c>
      <c r="D4" t="s">
        <v>2931</v>
      </c>
      <c r="E4" t="s">
        <v>2932</v>
      </c>
      <c r="F4" s="10" t="s">
        <v>29</v>
      </c>
      <c r="G4" s="2">
        <v>16.152699999999999</v>
      </c>
      <c r="H4" s="13">
        <v>304</v>
      </c>
      <c r="I4" s="13">
        <v>0</v>
      </c>
      <c r="J4" s="13">
        <v>0</v>
      </c>
      <c r="K4" s="10">
        <v>304</v>
      </c>
      <c r="L4" s="2">
        <v>4910.4207999999999</v>
      </c>
      <c r="M4" s="1">
        <v>46149.571527777778</v>
      </c>
      <c r="N4" t="s">
        <v>2930</v>
      </c>
    </row>
    <row r="5" spans="1:14" x14ac:dyDescent="0.25">
      <c r="A5" s="9" t="s">
        <v>5211</v>
      </c>
      <c r="B5" s="10">
        <v>714</v>
      </c>
      <c r="C5" s="10" t="s">
        <v>323</v>
      </c>
      <c r="D5" t="s">
        <v>3166</v>
      </c>
      <c r="E5" t="s">
        <v>3167</v>
      </c>
      <c r="F5" s="10" t="s">
        <v>29</v>
      </c>
      <c r="G5" s="2">
        <v>22.505400000000002</v>
      </c>
      <c r="H5" s="13">
        <v>269</v>
      </c>
      <c r="I5" s="13">
        <v>0</v>
      </c>
      <c r="J5" s="13">
        <v>0</v>
      </c>
      <c r="K5" s="10">
        <v>269</v>
      </c>
      <c r="L5" s="2">
        <v>6053.9525999999996</v>
      </c>
      <c r="M5" s="1">
        <v>46149.570138888892</v>
      </c>
      <c r="N5" t="s">
        <v>2930</v>
      </c>
    </row>
    <row r="6" spans="1:14" x14ac:dyDescent="0.25">
      <c r="A6" s="9" t="s">
        <v>5211</v>
      </c>
      <c r="B6" s="10">
        <v>714</v>
      </c>
      <c r="C6" s="10" t="s">
        <v>323</v>
      </c>
      <c r="D6" t="s">
        <v>3378</v>
      </c>
      <c r="E6" t="s">
        <v>3379</v>
      </c>
      <c r="F6" s="10" t="s">
        <v>29</v>
      </c>
      <c r="G6" s="2">
        <v>16.152699999999999</v>
      </c>
      <c r="H6" s="13">
        <v>250</v>
      </c>
      <c r="I6" s="13">
        <v>0</v>
      </c>
      <c r="J6" s="13">
        <v>0</v>
      </c>
      <c r="K6" s="10">
        <v>250</v>
      </c>
      <c r="L6" s="2">
        <v>4038.1750000000002</v>
      </c>
      <c r="M6" s="1">
        <v>46149.571527777778</v>
      </c>
      <c r="N6" t="s">
        <v>2930</v>
      </c>
    </row>
    <row r="7" spans="1:14" x14ac:dyDescent="0.25">
      <c r="A7" s="9" t="s">
        <v>5211</v>
      </c>
      <c r="B7" s="10">
        <v>634</v>
      </c>
      <c r="C7" s="10" t="s">
        <v>12</v>
      </c>
      <c r="D7" t="s">
        <v>41</v>
      </c>
      <c r="E7" t="s">
        <v>42</v>
      </c>
      <c r="F7" s="10" t="s">
        <v>43</v>
      </c>
      <c r="G7" s="2">
        <v>4.6844000000000001</v>
      </c>
      <c r="H7" s="13">
        <v>237</v>
      </c>
      <c r="I7" s="13">
        <v>0</v>
      </c>
      <c r="J7" s="13">
        <v>0</v>
      </c>
      <c r="K7" s="10">
        <v>237</v>
      </c>
      <c r="L7" s="2">
        <v>1110.2028</v>
      </c>
      <c r="M7" s="1">
        <v>46148.584027777775</v>
      </c>
      <c r="N7" t="s">
        <v>44</v>
      </c>
    </row>
    <row r="8" spans="1:14" x14ac:dyDescent="0.25">
      <c r="A8" s="9" t="s">
        <v>5211</v>
      </c>
      <c r="B8" s="10">
        <v>714</v>
      </c>
      <c r="C8" s="10" t="s">
        <v>323</v>
      </c>
      <c r="D8" t="s">
        <v>3077</v>
      </c>
      <c r="E8" t="s">
        <v>3078</v>
      </c>
      <c r="F8" s="10" t="s">
        <v>29</v>
      </c>
      <c r="G8" s="2">
        <v>16.879000000000001</v>
      </c>
      <c r="H8" s="13">
        <v>226</v>
      </c>
      <c r="I8" s="13">
        <v>0</v>
      </c>
      <c r="J8" s="13">
        <v>0</v>
      </c>
      <c r="K8" s="10">
        <v>226</v>
      </c>
      <c r="L8" s="2">
        <v>3814.654</v>
      </c>
      <c r="M8" s="1">
        <v>46149.570138888892</v>
      </c>
      <c r="N8" t="s">
        <v>2930</v>
      </c>
    </row>
    <row r="9" spans="1:14" x14ac:dyDescent="0.25">
      <c r="A9" s="9" t="s">
        <v>5211</v>
      </c>
      <c r="B9" s="10">
        <v>714</v>
      </c>
      <c r="C9" s="10" t="s">
        <v>323</v>
      </c>
      <c r="D9" t="s">
        <v>2981</v>
      </c>
      <c r="E9" t="s">
        <v>2982</v>
      </c>
      <c r="F9" s="10" t="s">
        <v>29</v>
      </c>
      <c r="G9" s="2">
        <v>16.152699999999999</v>
      </c>
      <c r="H9" s="13">
        <v>220</v>
      </c>
      <c r="I9" s="13">
        <v>0</v>
      </c>
      <c r="J9" s="13">
        <v>0</v>
      </c>
      <c r="K9" s="10">
        <v>220</v>
      </c>
      <c r="L9" s="2">
        <v>3553.5940000000001</v>
      </c>
      <c r="M9" s="1">
        <v>46149.571527777778</v>
      </c>
      <c r="N9" t="s">
        <v>2930</v>
      </c>
    </row>
    <row r="10" spans="1:14" x14ac:dyDescent="0.25">
      <c r="A10" s="9" t="s">
        <v>5211</v>
      </c>
      <c r="B10" s="10">
        <v>634</v>
      </c>
      <c r="C10" s="10" t="s">
        <v>12</v>
      </c>
      <c r="D10" t="s">
        <v>3987</v>
      </c>
      <c r="E10" t="s">
        <v>3988</v>
      </c>
      <c r="F10" s="10" t="s">
        <v>23</v>
      </c>
      <c r="G10" s="2">
        <v>7.0865</v>
      </c>
      <c r="H10" s="13">
        <v>196</v>
      </c>
      <c r="I10" s="13">
        <v>179</v>
      </c>
      <c r="J10" s="13">
        <v>-179</v>
      </c>
      <c r="K10" s="10">
        <v>196</v>
      </c>
      <c r="L10" s="2">
        <v>1388.954</v>
      </c>
      <c r="M10" s="1">
        <v>46177.4</v>
      </c>
      <c r="N10" t="s">
        <v>16</v>
      </c>
    </row>
    <row r="11" spans="1:14" x14ac:dyDescent="0.25">
      <c r="A11" s="9" t="s">
        <v>5211</v>
      </c>
      <c r="B11" s="10">
        <v>714</v>
      </c>
      <c r="C11" s="10" t="s">
        <v>143</v>
      </c>
      <c r="D11" t="s">
        <v>2788</v>
      </c>
      <c r="E11" t="s">
        <v>2789</v>
      </c>
      <c r="F11" s="10" t="s">
        <v>158</v>
      </c>
      <c r="G11" s="2">
        <v>42.561300000000003</v>
      </c>
      <c r="H11" s="13">
        <v>175</v>
      </c>
      <c r="I11" s="13">
        <v>100</v>
      </c>
      <c r="J11" s="13">
        <v>-100</v>
      </c>
      <c r="K11" s="10">
        <v>175</v>
      </c>
      <c r="L11" s="2">
        <v>7448.2275</v>
      </c>
      <c r="M11" s="1">
        <v>45960.647222222222</v>
      </c>
      <c r="N11" t="s">
        <v>195</v>
      </c>
    </row>
    <row r="12" spans="1:14" x14ac:dyDescent="0.25">
      <c r="A12" s="9" t="s">
        <v>5211</v>
      </c>
      <c r="B12" s="10">
        <v>718</v>
      </c>
      <c r="C12" s="10" t="s">
        <v>12</v>
      </c>
      <c r="D12" t="s">
        <v>543</v>
      </c>
      <c r="E12" t="s">
        <v>544</v>
      </c>
      <c r="F12" s="10" t="s">
        <v>39</v>
      </c>
      <c r="G12" s="2">
        <v>1.91</v>
      </c>
      <c r="H12" s="13">
        <v>147</v>
      </c>
      <c r="I12" s="13">
        <v>-8</v>
      </c>
      <c r="J12" s="13">
        <v>8</v>
      </c>
      <c r="K12" s="10">
        <v>147</v>
      </c>
      <c r="L12" s="2">
        <v>280.77</v>
      </c>
      <c r="M12" s="1">
        <v>46163.370833333334</v>
      </c>
      <c r="N12" t="s">
        <v>1932</v>
      </c>
    </row>
    <row r="13" spans="1:14" x14ac:dyDescent="0.25">
      <c r="A13" s="9" t="s">
        <v>5211</v>
      </c>
      <c r="B13" s="10">
        <v>718</v>
      </c>
      <c r="C13" s="10" t="s">
        <v>70</v>
      </c>
      <c r="D13" t="s">
        <v>3641</v>
      </c>
      <c r="E13" t="s">
        <v>3642</v>
      </c>
      <c r="F13" s="10" t="s">
        <v>112</v>
      </c>
      <c r="G13" s="2">
        <v>2.21</v>
      </c>
      <c r="H13" s="13">
        <v>145</v>
      </c>
      <c r="I13" s="13">
        <v>0</v>
      </c>
      <c r="J13" s="13">
        <v>0</v>
      </c>
      <c r="K13" s="10">
        <v>145</v>
      </c>
      <c r="L13" s="2">
        <v>320.45</v>
      </c>
      <c r="M13" s="1">
        <v>46163.370833333334</v>
      </c>
      <c r="N13" t="s">
        <v>1932</v>
      </c>
    </row>
    <row r="14" spans="1:14" x14ac:dyDescent="0.25">
      <c r="A14" s="9" t="s">
        <v>5211</v>
      </c>
      <c r="B14" s="10">
        <v>714</v>
      </c>
      <c r="C14" s="10" t="s">
        <v>12</v>
      </c>
      <c r="D14" t="s">
        <v>1914</v>
      </c>
      <c r="E14" t="s">
        <v>1915</v>
      </c>
      <c r="F14" s="10" t="s">
        <v>39</v>
      </c>
      <c r="G14" s="2">
        <v>3.08</v>
      </c>
      <c r="H14" s="13">
        <v>142</v>
      </c>
      <c r="I14" s="13">
        <v>0</v>
      </c>
      <c r="J14" s="13">
        <v>0</v>
      </c>
      <c r="K14" s="10">
        <v>142</v>
      </c>
      <c r="L14" s="2">
        <v>437.36</v>
      </c>
      <c r="M14" s="1">
        <v>46188.359027777777</v>
      </c>
      <c r="N14" t="s">
        <v>522</v>
      </c>
    </row>
    <row r="15" spans="1:14" x14ac:dyDescent="0.25">
      <c r="A15" s="9" t="s">
        <v>5211</v>
      </c>
      <c r="B15" s="10">
        <v>634</v>
      </c>
      <c r="C15" s="10" t="s">
        <v>143</v>
      </c>
      <c r="D15" t="s">
        <v>144</v>
      </c>
      <c r="E15" t="s">
        <v>145</v>
      </c>
      <c r="F15" s="10" t="s">
        <v>43</v>
      </c>
      <c r="G15" s="2">
        <v>14.85</v>
      </c>
      <c r="H15" s="13">
        <v>139</v>
      </c>
      <c r="I15" s="13">
        <v>53</v>
      </c>
      <c r="J15" s="13">
        <v>-53</v>
      </c>
      <c r="K15" s="10">
        <v>139</v>
      </c>
      <c r="L15" s="2">
        <v>2064.15</v>
      </c>
      <c r="M15" s="1">
        <v>46093.371527777781</v>
      </c>
      <c r="N15" t="s">
        <v>146</v>
      </c>
    </row>
    <row r="16" spans="1:14" x14ac:dyDescent="0.25">
      <c r="A16" s="9" t="s">
        <v>5211</v>
      </c>
      <c r="B16" s="10">
        <v>636</v>
      </c>
      <c r="C16" s="10" t="s">
        <v>12</v>
      </c>
      <c r="D16" t="s">
        <v>543</v>
      </c>
      <c r="E16" t="s">
        <v>544</v>
      </c>
      <c r="F16" s="10" t="s">
        <v>43</v>
      </c>
      <c r="G16" s="2">
        <v>1.7851999999999999</v>
      </c>
      <c r="H16" s="13">
        <v>136</v>
      </c>
      <c r="I16" s="13">
        <v>-8</v>
      </c>
      <c r="J16" s="13">
        <v>8</v>
      </c>
      <c r="K16" s="10">
        <v>136</v>
      </c>
      <c r="L16" s="2">
        <v>242.78720000000001</v>
      </c>
      <c r="M16" s="1">
        <v>46163.313888888886</v>
      </c>
      <c r="N16" t="s">
        <v>545</v>
      </c>
    </row>
    <row r="17" spans="1:14" x14ac:dyDescent="0.25">
      <c r="A17" s="9" t="s">
        <v>5211</v>
      </c>
      <c r="B17" s="10">
        <v>636</v>
      </c>
      <c r="C17" s="10" t="s">
        <v>126</v>
      </c>
      <c r="D17" t="s">
        <v>870</v>
      </c>
      <c r="E17" t="s">
        <v>871</v>
      </c>
      <c r="F17" s="10" t="s">
        <v>112</v>
      </c>
      <c r="G17" s="2">
        <v>6.4440999999999997</v>
      </c>
      <c r="H17" s="13">
        <v>125</v>
      </c>
      <c r="I17" s="13">
        <v>0</v>
      </c>
      <c r="J17" s="13">
        <v>0</v>
      </c>
      <c r="K17" s="10">
        <v>125</v>
      </c>
      <c r="L17" s="2">
        <v>805.51250000000005</v>
      </c>
      <c r="M17" s="1">
        <v>46184.540277777778</v>
      </c>
      <c r="N17" t="s">
        <v>16</v>
      </c>
    </row>
    <row r="18" spans="1:14" x14ac:dyDescent="0.25">
      <c r="A18" s="9" t="s">
        <v>5211</v>
      </c>
      <c r="B18" s="10">
        <v>714</v>
      </c>
      <c r="C18" s="10" t="s">
        <v>323</v>
      </c>
      <c r="D18" t="s">
        <v>3490</v>
      </c>
      <c r="E18" t="s">
        <v>3491</v>
      </c>
      <c r="F18" s="10" t="s">
        <v>29</v>
      </c>
      <c r="G18" s="2">
        <v>16.879000000000001</v>
      </c>
      <c r="H18" s="13">
        <v>115</v>
      </c>
      <c r="I18" s="13">
        <v>0</v>
      </c>
      <c r="J18" s="13">
        <v>0</v>
      </c>
      <c r="K18" s="10">
        <v>115</v>
      </c>
      <c r="L18" s="2">
        <v>1941.085</v>
      </c>
      <c r="M18" s="1">
        <v>46149.570138888892</v>
      </c>
      <c r="N18" t="s">
        <v>2930</v>
      </c>
    </row>
    <row r="19" spans="1:14" x14ac:dyDescent="0.25">
      <c r="A19" s="9" t="s">
        <v>5211</v>
      </c>
      <c r="B19" s="10">
        <v>714</v>
      </c>
      <c r="C19" s="10" t="s">
        <v>12</v>
      </c>
      <c r="D19" t="s">
        <v>543</v>
      </c>
      <c r="E19" t="s">
        <v>544</v>
      </c>
      <c r="F19" s="10" t="s">
        <v>39</v>
      </c>
      <c r="G19" s="2">
        <v>2.0099999999999998</v>
      </c>
      <c r="H19" s="13">
        <v>113</v>
      </c>
      <c r="I19" s="13">
        <v>-8</v>
      </c>
      <c r="J19" s="13">
        <v>8</v>
      </c>
      <c r="K19" s="10">
        <v>113</v>
      </c>
      <c r="L19" s="2">
        <v>227.13</v>
      </c>
      <c r="M19" s="1">
        <v>46135.507638888892</v>
      </c>
      <c r="N19" t="s">
        <v>1932</v>
      </c>
    </row>
    <row r="20" spans="1:14" x14ac:dyDescent="0.25">
      <c r="A20" s="9" t="s">
        <v>5211</v>
      </c>
      <c r="B20" s="10">
        <v>718</v>
      </c>
      <c r="C20" s="10" t="s">
        <v>12</v>
      </c>
      <c r="D20" t="s">
        <v>3999</v>
      </c>
      <c r="E20" t="s">
        <v>4000</v>
      </c>
      <c r="F20" s="10" t="s">
        <v>43</v>
      </c>
      <c r="G20" s="2">
        <v>20</v>
      </c>
      <c r="H20" s="13">
        <v>105</v>
      </c>
      <c r="I20" s="13">
        <v>281</v>
      </c>
      <c r="J20" s="13">
        <v>-281</v>
      </c>
      <c r="K20" s="10">
        <v>105</v>
      </c>
      <c r="L20" s="2">
        <v>2100</v>
      </c>
      <c r="M20" s="1">
        <v>46217.363194444442</v>
      </c>
      <c r="N20" t="s">
        <v>4001</v>
      </c>
    </row>
    <row r="21" spans="1:14" x14ac:dyDescent="0.25">
      <c r="A21" s="9" t="s">
        <v>5211</v>
      </c>
      <c r="B21" s="10">
        <v>714</v>
      </c>
      <c r="C21" s="10" t="s">
        <v>143</v>
      </c>
      <c r="D21" t="s">
        <v>2573</v>
      </c>
      <c r="E21" t="s">
        <v>2574</v>
      </c>
      <c r="F21" s="10" t="s">
        <v>29</v>
      </c>
      <c r="G21" s="2">
        <v>13.6805</v>
      </c>
      <c r="H21" s="13">
        <v>102</v>
      </c>
      <c r="I21" s="13">
        <v>16</v>
      </c>
      <c r="J21" s="13">
        <v>-16</v>
      </c>
      <c r="K21" s="10">
        <v>102</v>
      </c>
      <c r="L21" s="2">
        <v>1395.4110000000001</v>
      </c>
      <c r="M21" s="1">
        <v>45959.689583333333</v>
      </c>
      <c r="N21" t="s">
        <v>40</v>
      </c>
    </row>
    <row r="22" spans="1:14" x14ac:dyDescent="0.25">
      <c r="A22" s="9" t="s">
        <v>5211</v>
      </c>
      <c r="B22" s="10">
        <v>636</v>
      </c>
      <c r="C22" s="10" t="s">
        <v>143</v>
      </c>
      <c r="D22" t="s">
        <v>953</v>
      </c>
      <c r="E22" t="s">
        <v>954</v>
      </c>
      <c r="F22" s="10" t="s">
        <v>23</v>
      </c>
      <c r="G22" s="2">
        <v>13.6601</v>
      </c>
      <c r="H22" s="13">
        <v>96</v>
      </c>
      <c r="I22" s="13">
        <v>11</v>
      </c>
      <c r="J22" s="13">
        <v>-11</v>
      </c>
      <c r="K22" s="10">
        <v>96</v>
      </c>
      <c r="L22" s="2">
        <v>1311.3696</v>
      </c>
      <c r="M22" s="1">
        <v>46127.302777777775</v>
      </c>
      <c r="N22" t="s">
        <v>162</v>
      </c>
    </row>
    <row r="23" spans="1:14" x14ac:dyDescent="0.25">
      <c r="A23" s="9" t="s">
        <v>5211</v>
      </c>
      <c r="B23" s="10">
        <v>636</v>
      </c>
      <c r="C23" s="10" t="s">
        <v>12</v>
      </c>
      <c r="D23" t="s">
        <v>507</v>
      </c>
      <c r="E23" t="s">
        <v>508</v>
      </c>
      <c r="F23" s="10" t="s">
        <v>29</v>
      </c>
      <c r="G23" s="2">
        <v>1.5609999999999999</v>
      </c>
      <c r="H23" s="13">
        <v>95</v>
      </c>
      <c r="I23" s="13">
        <v>50</v>
      </c>
      <c r="J23" s="13">
        <v>-50</v>
      </c>
      <c r="K23" s="10">
        <v>95</v>
      </c>
      <c r="L23" s="2">
        <v>148.29499999999999</v>
      </c>
      <c r="M23" s="1">
        <v>46178.450694444444</v>
      </c>
      <c r="N23" t="s">
        <v>509</v>
      </c>
    </row>
    <row r="24" spans="1:14" x14ac:dyDescent="0.25">
      <c r="A24" s="9" t="s">
        <v>5211</v>
      </c>
      <c r="B24" s="10">
        <v>714</v>
      </c>
      <c r="C24" s="10" t="s">
        <v>70</v>
      </c>
      <c r="D24" t="s">
        <v>4723</v>
      </c>
      <c r="E24" t="s">
        <v>4724</v>
      </c>
      <c r="F24" s="10" t="s">
        <v>112</v>
      </c>
      <c r="G24" s="2">
        <v>7.1844999999999999</v>
      </c>
      <c r="H24" s="13">
        <v>95</v>
      </c>
      <c r="I24" s="13">
        <v>-1</v>
      </c>
      <c r="J24" s="13">
        <v>1</v>
      </c>
      <c r="K24" s="10">
        <v>95</v>
      </c>
      <c r="L24" s="2">
        <v>682.52750000000003</v>
      </c>
      <c r="M24" s="1">
        <v>46218.660416666666</v>
      </c>
      <c r="N24" t="s">
        <v>16</v>
      </c>
    </row>
    <row r="25" spans="1:14" x14ac:dyDescent="0.25">
      <c r="A25" s="9" t="s">
        <v>5211</v>
      </c>
      <c r="B25" s="10">
        <v>718</v>
      </c>
      <c r="C25" s="10" t="s">
        <v>12</v>
      </c>
      <c r="D25" t="s">
        <v>4405</v>
      </c>
      <c r="E25" t="s">
        <v>4406</v>
      </c>
      <c r="F25" s="10" t="s">
        <v>23</v>
      </c>
      <c r="G25" s="2">
        <v>7.1513</v>
      </c>
      <c r="H25" s="13">
        <v>93</v>
      </c>
      <c r="I25" s="13">
        <v>140</v>
      </c>
      <c r="J25" s="13">
        <v>-140</v>
      </c>
      <c r="K25" s="10">
        <v>93</v>
      </c>
      <c r="L25" s="2">
        <v>665.07090000000005</v>
      </c>
      <c r="M25" s="1">
        <v>46183.404861111114</v>
      </c>
      <c r="N25" t="s">
        <v>40</v>
      </c>
    </row>
    <row r="26" spans="1:14" x14ac:dyDescent="0.25">
      <c r="A26" s="9" t="s">
        <v>5211</v>
      </c>
      <c r="B26" s="10">
        <v>714</v>
      </c>
      <c r="C26" s="10" t="s">
        <v>70</v>
      </c>
      <c r="D26" t="s">
        <v>2113</v>
      </c>
      <c r="E26" t="s">
        <v>2114</v>
      </c>
      <c r="F26" s="10" t="s">
        <v>39</v>
      </c>
      <c r="G26" s="2">
        <v>9.0633999999999997</v>
      </c>
      <c r="H26" s="13">
        <v>86</v>
      </c>
      <c r="I26" s="13">
        <v>0</v>
      </c>
      <c r="J26" s="13">
        <v>0</v>
      </c>
      <c r="K26" s="10">
        <v>86</v>
      </c>
      <c r="L26" s="2">
        <v>779.45240000000001</v>
      </c>
      <c r="M26" s="1">
        <v>46213.455555555556</v>
      </c>
      <c r="N26" t="s">
        <v>573</v>
      </c>
    </row>
    <row r="27" spans="1:14" x14ac:dyDescent="0.25">
      <c r="A27" s="9" t="s">
        <v>5211</v>
      </c>
      <c r="B27" s="10">
        <v>714</v>
      </c>
      <c r="C27" s="10" t="s">
        <v>70</v>
      </c>
      <c r="D27" t="s">
        <v>4046</v>
      </c>
      <c r="E27" t="s">
        <v>4047</v>
      </c>
      <c r="F27" s="10" t="s">
        <v>43</v>
      </c>
      <c r="G27" s="2">
        <v>5.7053000000000003</v>
      </c>
      <c r="H27" s="13">
        <v>86</v>
      </c>
      <c r="I27" s="13">
        <v>77</v>
      </c>
      <c r="J27" s="13">
        <v>-77</v>
      </c>
      <c r="K27" s="10">
        <v>86</v>
      </c>
      <c r="L27" s="2">
        <v>490.6558</v>
      </c>
      <c r="M27" s="1">
        <v>46218.660416666666</v>
      </c>
      <c r="N27" t="s">
        <v>16</v>
      </c>
    </row>
    <row r="28" spans="1:14" x14ac:dyDescent="0.25">
      <c r="A28" s="9" t="s">
        <v>5211</v>
      </c>
      <c r="B28" s="10">
        <v>718</v>
      </c>
      <c r="C28" s="10" t="s">
        <v>143</v>
      </c>
      <c r="D28" t="s">
        <v>2479</v>
      </c>
      <c r="E28" t="s">
        <v>2480</v>
      </c>
      <c r="F28" s="10" t="s">
        <v>112</v>
      </c>
      <c r="G28" s="2">
        <v>13.710800000000001</v>
      </c>
      <c r="H28" s="13">
        <v>85</v>
      </c>
      <c r="I28" s="13">
        <v>0</v>
      </c>
      <c r="J28" s="13">
        <v>0</v>
      </c>
      <c r="K28" s="10">
        <v>85</v>
      </c>
      <c r="L28" s="2">
        <v>1165.4179999999999</v>
      </c>
      <c r="M28" s="1">
        <v>46199.635416666664</v>
      </c>
      <c r="N28" t="s">
        <v>26</v>
      </c>
    </row>
    <row r="29" spans="1:14" x14ac:dyDescent="0.25">
      <c r="A29" s="9" t="s">
        <v>5211</v>
      </c>
      <c r="B29" s="10">
        <v>714</v>
      </c>
      <c r="C29" s="10" t="s">
        <v>70</v>
      </c>
      <c r="D29" t="s">
        <v>4028</v>
      </c>
      <c r="E29" t="s">
        <v>4029</v>
      </c>
      <c r="F29" s="10" t="s">
        <v>43</v>
      </c>
      <c r="G29" s="2">
        <v>5.2725</v>
      </c>
      <c r="H29" s="13">
        <v>85</v>
      </c>
      <c r="I29" s="13">
        <v>71</v>
      </c>
      <c r="J29" s="13">
        <v>-71</v>
      </c>
      <c r="K29" s="10">
        <v>85</v>
      </c>
      <c r="L29" s="2">
        <v>448.16250000000002</v>
      </c>
      <c r="M29" s="1">
        <v>46234.623611111114</v>
      </c>
      <c r="N29" t="s">
        <v>16</v>
      </c>
    </row>
    <row r="30" spans="1:14" x14ac:dyDescent="0.25">
      <c r="A30" s="9" t="s">
        <v>5211</v>
      </c>
      <c r="B30" s="10">
        <v>636</v>
      </c>
      <c r="C30" s="10" t="s">
        <v>143</v>
      </c>
      <c r="D30" t="s">
        <v>897</v>
      </c>
      <c r="E30" t="s">
        <v>898</v>
      </c>
      <c r="F30" s="10" t="s">
        <v>43</v>
      </c>
      <c r="G30" s="2">
        <v>40.2361</v>
      </c>
      <c r="H30" s="13">
        <v>83</v>
      </c>
      <c r="I30" s="13">
        <v>-6</v>
      </c>
      <c r="J30" s="13">
        <v>6</v>
      </c>
      <c r="K30" s="10">
        <v>83</v>
      </c>
      <c r="L30" s="2">
        <v>3339.5963000000002</v>
      </c>
      <c r="M30" s="1">
        <v>46123.402083333334</v>
      </c>
      <c r="N30" t="s">
        <v>216</v>
      </c>
    </row>
    <row r="31" spans="1:14" x14ac:dyDescent="0.25">
      <c r="A31" s="9" t="s">
        <v>5211</v>
      </c>
      <c r="B31" s="10">
        <v>714</v>
      </c>
      <c r="C31" s="10" t="s">
        <v>143</v>
      </c>
      <c r="D31" t="s">
        <v>4491</v>
      </c>
      <c r="E31" t="s">
        <v>4492</v>
      </c>
      <c r="F31" s="10" t="s">
        <v>43</v>
      </c>
      <c r="G31" s="2">
        <v>12.643000000000001</v>
      </c>
      <c r="H31" s="13">
        <v>80</v>
      </c>
      <c r="I31" s="13">
        <v>47</v>
      </c>
      <c r="J31" s="13">
        <v>-47</v>
      </c>
      <c r="K31" s="10">
        <v>80</v>
      </c>
      <c r="L31" s="2">
        <v>1011.44</v>
      </c>
      <c r="M31" s="1">
        <v>46204.573611111111</v>
      </c>
      <c r="N31" t="s">
        <v>2225</v>
      </c>
    </row>
    <row r="32" spans="1:14" x14ac:dyDescent="0.25">
      <c r="A32" s="9" t="s">
        <v>5211</v>
      </c>
      <c r="B32" s="10">
        <v>634</v>
      </c>
      <c r="C32" s="10" t="s">
        <v>70</v>
      </c>
      <c r="D32" t="s">
        <v>4012</v>
      </c>
      <c r="E32" t="s">
        <v>4013</v>
      </c>
      <c r="F32" s="10" t="s">
        <v>29</v>
      </c>
      <c r="G32" s="2">
        <v>9.3020999999999994</v>
      </c>
      <c r="H32" s="13">
        <v>80</v>
      </c>
      <c r="I32" s="13">
        <v>-12</v>
      </c>
      <c r="J32" s="13">
        <v>12</v>
      </c>
      <c r="K32" s="10">
        <v>80</v>
      </c>
      <c r="L32" s="2">
        <v>744.16800000000001</v>
      </c>
      <c r="M32" s="1">
        <v>46212.55</v>
      </c>
      <c r="N32" t="s">
        <v>40</v>
      </c>
    </row>
    <row r="33" spans="1:14" x14ac:dyDescent="0.25">
      <c r="A33" s="9" t="s">
        <v>5211</v>
      </c>
      <c r="B33" s="10">
        <v>714</v>
      </c>
      <c r="C33" s="10" t="s">
        <v>70</v>
      </c>
      <c r="D33" t="s">
        <v>4411</v>
      </c>
      <c r="E33" t="s">
        <v>4412</v>
      </c>
      <c r="F33" s="10" t="s">
        <v>43</v>
      </c>
      <c r="G33" s="2">
        <v>6.9192999999999998</v>
      </c>
      <c r="H33" s="13">
        <v>79</v>
      </c>
      <c r="I33" s="13">
        <v>32</v>
      </c>
      <c r="J33" s="13">
        <v>-32</v>
      </c>
      <c r="K33" s="10">
        <v>79</v>
      </c>
      <c r="L33" s="2">
        <v>546.62469999999996</v>
      </c>
      <c r="M33" s="1">
        <v>46200.384027777778</v>
      </c>
      <c r="N33" t="s">
        <v>94</v>
      </c>
    </row>
    <row r="34" spans="1:14" x14ac:dyDescent="0.25">
      <c r="A34" s="9" t="s">
        <v>5211</v>
      </c>
      <c r="B34" s="10">
        <v>718</v>
      </c>
      <c r="C34" s="10" t="s">
        <v>143</v>
      </c>
      <c r="D34" t="s">
        <v>4076</v>
      </c>
      <c r="E34" t="s">
        <v>4077</v>
      </c>
      <c r="F34" s="10" t="s">
        <v>43</v>
      </c>
      <c r="G34" s="2">
        <v>16.003799999999998</v>
      </c>
      <c r="H34" s="13">
        <v>77</v>
      </c>
      <c r="I34" s="13">
        <v>49</v>
      </c>
      <c r="J34" s="13">
        <v>-49</v>
      </c>
      <c r="K34" s="10">
        <v>77</v>
      </c>
      <c r="L34" s="2">
        <v>1232.2926</v>
      </c>
      <c r="M34" s="1">
        <v>46196.34375</v>
      </c>
      <c r="N34" t="s">
        <v>2225</v>
      </c>
    </row>
    <row r="35" spans="1:14" x14ac:dyDescent="0.25">
      <c r="A35" s="9" t="s">
        <v>5211</v>
      </c>
      <c r="B35" s="10">
        <v>636</v>
      </c>
      <c r="C35" s="10" t="s">
        <v>70</v>
      </c>
      <c r="D35" t="s">
        <v>751</v>
      </c>
      <c r="E35" t="s">
        <v>752</v>
      </c>
      <c r="F35" s="10" t="s">
        <v>43</v>
      </c>
      <c r="G35" s="2">
        <v>2.5987</v>
      </c>
      <c r="H35" s="13">
        <v>77</v>
      </c>
      <c r="I35" s="13">
        <v>0</v>
      </c>
      <c r="J35" s="13">
        <v>0</v>
      </c>
      <c r="K35" s="10">
        <v>77</v>
      </c>
      <c r="L35" s="2">
        <v>200.09989999999999</v>
      </c>
      <c r="M35" s="1">
        <v>46216.310416666667</v>
      </c>
      <c r="N35" t="s">
        <v>99</v>
      </c>
    </row>
    <row r="36" spans="1:14" x14ac:dyDescent="0.25">
      <c r="A36" s="9" t="s">
        <v>5211</v>
      </c>
      <c r="B36" s="10">
        <v>636</v>
      </c>
      <c r="C36" s="10" t="s">
        <v>70</v>
      </c>
      <c r="D36" t="s">
        <v>3663</v>
      </c>
      <c r="E36" t="s">
        <v>3664</v>
      </c>
      <c r="F36" s="10" t="s">
        <v>43</v>
      </c>
      <c r="G36" s="2">
        <v>5.6692999999999998</v>
      </c>
      <c r="H36" s="13">
        <v>74</v>
      </c>
      <c r="I36" s="13">
        <v>57</v>
      </c>
      <c r="J36" s="13">
        <v>-57</v>
      </c>
      <c r="K36" s="10">
        <v>74</v>
      </c>
      <c r="L36" s="2">
        <v>419.52820000000003</v>
      </c>
      <c r="M36" s="1">
        <v>46212.466666666667</v>
      </c>
      <c r="N36" t="s">
        <v>26</v>
      </c>
    </row>
    <row r="37" spans="1:14" x14ac:dyDescent="0.25">
      <c r="A37" s="9" t="s">
        <v>5211</v>
      </c>
      <c r="B37" s="10">
        <v>718</v>
      </c>
      <c r="C37" s="10" t="s">
        <v>70</v>
      </c>
      <c r="D37" t="s">
        <v>581</v>
      </c>
      <c r="E37" t="s">
        <v>582</v>
      </c>
      <c r="F37" s="10" t="s">
        <v>112</v>
      </c>
      <c r="G37" s="2">
        <v>5.9116</v>
      </c>
      <c r="H37" s="13">
        <v>73</v>
      </c>
      <c r="I37" s="13">
        <v>5</v>
      </c>
      <c r="J37" s="13">
        <v>-5</v>
      </c>
      <c r="K37" s="10">
        <v>73</v>
      </c>
      <c r="L37" s="2">
        <v>431.54680000000002</v>
      </c>
      <c r="M37" s="1">
        <v>46213.618750000001</v>
      </c>
      <c r="N37" t="s">
        <v>16</v>
      </c>
    </row>
    <row r="38" spans="1:14" x14ac:dyDescent="0.25">
      <c r="A38" s="9" t="s">
        <v>5211</v>
      </c>
      <c r="B38" s="10">
        <v>718</v>
      </c>
      <c r="C38" s="10" t="s">
        <v>70</v>
      </c>
      <c r="D38" t="s">
        <v>4020</v>
      </c>
      <c r="E38" t="s">
        <v>4021</v>
      </c>
      <c r="F38" s="10" t="s">
        <v>39</v>
      </c>
      <c r="G38" s="2">
        <v>5.9013999999999998</v>
      </c>
      <c r="H38" s="13">
        <v>68</v>
      </c>
      <c r="I38" s="13">
        <v>14</v>
      </c>
      <c r="J38" s="13">
        <v>-14</v>
      </c>
      <c r="K38" s="10">
        <v>68</v>
      </c>
      <c r="L38" s="2">
        <v>401.29520000000002</v>
      </c>
      <c r="M38" s="1">
        <v>46193.592361111114</v>
      </c>
      <c r="N38" t="s">
        <v>26</v>
      </c>
    </row>
    <row r="39" spans="1:14" x14ac:dyDescent="0.25">
      <c r="A39" s="9" t="s">
        <v>5211</v>
      </c>
      <c r="B39" s="10">
        <v>634</v>
      </c>
      <c r="C39" s="10" t="s">
        <v>12</v>
      </c>
      <c r="D39" t="s">
        <v>3989</v>
      </c>
      <c r="E39" t="s">
        <v>3990</v>
      </c>
      <c r="F39" s="10" t="s">
        <v>43</v>
      </c>
      <c r="G39" s="2">
        <v>24.3642</v>
      </c>
      <c r="H39" s="13">
        <v>67</v>
      </c>
      <c r="I39" s="13">
        <v>70</v>
      </c>
      <c r="J39" s="13">
        <v>-70</v>
      </c>
      <c r="K39" s="10">
        <v>67</v>
      </c>
      <c r="L39" s="2">
        <v>1632.4014</v>
      </c>
      <c r="M39" s="1">
        <v>46120.450694444444</v>
      </c>
      <c r="N39" t="s">
        <v>3982</v>
      </c>
    </row>
    <row r="40" spans="1:14" x14ac:dyDescent="0.25">
      <c r="A40" s="9" t="s">
        <v>5211</v>
      </c>
      <c r="B40" s="10">
        <v>714</v>
      </c>
      <c r="C40" s="10" t="s">
        <v>143</v>
      </c>
      <c r="D40" t="s">
        <v>2395</v>
      </c>
      <c r="E40" t="s">
        <v>2396</v>
      </c>
      <c r="F40" s="10" t="s">
        <v>29</v>
      </c>
      <c r="G40" s="2">
        <v>16.956900000000001</v>
      </c>
      <c r="H40" s="13">
        <v>66</v>
      </c>
      <c r="I40" s="13">
        <v>0</v>
      </c>
      <c r="J40" s="13">
        <v>0</v>
      </c>
      <c r="K40" s="10">
        <v>66</v>
      </c>
      <c r="L40" s="2">
        <v>1119.1554000000001</v>
      </c>
      <c r="M40" s="1">
        <v>46143.37222222222</v>
      </c>
      <c r="N40" t="s">
        <v>878</v>
      </c>
    </row>
    <row r="41" spans="1:14" x14ac:dyDescent="0.25">
      <c r="A41" s="9" t="s">
        <v>5211</v>
      </c>
      <c r="B41" s="10">
        <v>636</v>
      </c>
      <c r="C41" s="10" t="s">
        <v>70</v>
      </c>
      <c r="D41" t="s">
        <v>591</v>
      </c>
      <c r="E41" t="s">
        <v>592</v>
      </c>
      <c r="F41" s="10" t="s">
        <v>39</v>
      </c>
      <c r="G41" s="2">
        <v>7.5923999999999996</v>
      </c>
      <c r="H41" s="13">
        <v>64</v>
      </c>
      <c r="I41" s="13">
        <v>10</v>
      </c>
      <c r="J41" s="13">
        <v>-10</v>
      </c>
      <c r="K41" s="10">
        <v>64</v>
      </c>
      <c r="L41" s="2">
        <v>485.91359999999997</v>
      </c>
      <c r="M41" s="1">
        <v>46196.405555555553</v>
      </c>
      <c r="N41" t="s">
        <v>16</v>
      </c>
    </row>
    <row r="42" spans="1:14" x14ac:dyDescent="0.25">
      <c r="A42" s="9" t="s">
        <v>5211</v>
      </c>
      <c r="B42" s="10">
        <v>714</v>
      </c>
      <c r="C42" s="10" t="s">
        <v>143</v>
      </c>
      <c r="D42" t="s">
        <v>2527</v>
      </c>
      <c r="E42" t="s">
        <v>2528</v>
      </c>
      <c r="F42" s="10" t="s">
        <v>158</v>
      </c>
      <c r="G42" s="2">
        <v>42.551499999999997</v>
      </c>
      <c r="H42" s="13">
        <v>64</v>
      </c>
      <c r="I42" s="13">
        <v>4</v>
      </c>
      <c r="J42" s="13">
        <v>-4</v>
      </c>
      <c r="K42" s="10">
        <v>64</v>
      </c>
      <c r="L42" s="2">
        <v>2723.2959999999998</v>
      </c>
      <c r="M42" s="1">
        <v>46204.5625</v>
      </c>
      <c r="N42" t="s">
        <v>195</v>
      </c>
    </row>
    <row r="43" spans="1:14" x14ac:dyDescent="0.25">
      <c r="A43" s="9" t="s">
        <v>5211</v>
      </c>
      <c r="B43" s="10">
        <v>714</v>
      </c>
      <c r="C43" s="10" t="s">
        <v>70</v>
      </c>
      <c r="D43" t="s">
        <v>2097</v>
      </c>
      <c r="E43" t="s">
        <v>2098</v>
      </c>
      <c r="F43" s="10" t="s">
        <v>29</v>
      </c>
      <c r="G43" s="2">
        <v>5.2306999999999997</v>
      </c>
      <c r="H43" s="13">
        <v>64</v>
      </c>
      <c r="I43" s="13">
        <v>0</v>
      </c>
      <c r="J43" s="13">
        <v>0</v>
      </c>
      <c r="K43" s="10">
        <v>64</v>
      </c>
      <c r="L43" s="2">
        <v>334.76479999999998</v>
      </c>
      <c r="M43" s="1">
        <v>46227.602777777778</v>
      </c>
      <c r="N43" t="s">
        <v>94</v>
      </c>
    </row>
    <row r="44" spans="1:14" x14ac:dyDescent="0.25">
      <c r="A44" s="9" t="s">
        <v>5211</v>
      </c>
      <c r="B44" s="10">
        <v>714</v>
      </c>
      <c r="C44" s="10" t="s">
        <v>143</v>
      </c>
      <c r="D44" t="s">
        <v>2491</v>
      </c>
      <c r="E44" t="s">
        <v>2492</v>
      </c>
      <c r="F44" s="10" t="s">
        <v>29</v>
      </c>
      <c r="G44" s="2">
        <v>5.7523999999999997</v>
      </c>
      <c r="H44" s="13">
        <v>63</v>
      </c>
      <c r="I44" s="13">
        <v>0</v>
      </c>
      <c r="J44" s="13">
        <v>0</v>
      </c>
      <c r="K44" s="10">
        <v>63</v>
      </c>
      <c r="L44" s="2">
        <v>362.40120000000002</v>
      </c>
      <c r="M44" s="1">
        <v>46195.50277777778</v>
      </c>
      <c r="N44" t="s">
        <v>665</v>
      </c>
    </row>
    <row r="45" spans="1:14" x14ac:dyDescent="0.25">
      <c r="A45" s="9" t="s">
        <v>5211</v>
      </c>
      <c r="B45" s="10">
        <v>714</v>
      </c>
      <c r="C45" s="10" t="s">
        <v>12</v>
      </c>
      <c r="D45" t="s">
        <v>1906</v>
      </c>
      <c r="E45" t="s">
        <v>1907</v>
      </c>
      <c r="F45" s="10" t="s">
        <v>19</v>
      </c>
      <c r="G45" s="2">
        <v>7.2785000000000002</v>
      </c>
      <c r="H45" s="13">
        <v>62</v>
      </c>
      <c r="I45" s="13">
        <v>-51</v>
      </c>
      <c r="J45" s="13">
        <v>51</v>
      </c>
      <c r="K45" s="10">
        <v>62</v>
      </c>
      <c r="L45" s="2">
        <v>451.267</v>
      </c>
      <c r="M45" s="1">
        <v>46119.337500000001</v>
      </c>
      <c r="N45" t="s">
        <v>94</v>
      </c>
    </row>
    <row r="46" spans="1:14" x14ac:dyDescent="0.25">
      <c r="A46" s="9" t="s">
        <v>5211</v>
      </c>
      <c r="B46" s="10">
        <v>714</v>
      </c>
      <c r="C46" s="10" t="s">
        <v>143</v>
      </c>
      <c r="D46" t="s">
        <v>4076</v>
      </c>
      <c r="E46" t="s">
        <v>4077</v>
      </c>
      <c r="F46" s="10" t="s">
        <v>43</v>
      </c>
      <c r="G46" s="2">
        <v>18.274699999999999</v>
      </c>
      <c r="H46" s="13">
        <v>60</v>
      </c>
      <c r="I46" s="13">
        <v>49</v>
      </c>
      <c r="J46" s="13">
        <v>-49</v>
      </c>
      <c r="K46" s="10">
        <v>60</v>
      </c>
      <c r="L46" s="2">
        <v>1096.482</v>
      </c>
      <c r="M46" s="1">
        <v>46240.32708333333</v>
      </c>
      <c r="N46" t="s">
        <v>2225</v>
      </c>
    </row>
    <row r="47" spans="1:14" x14ac:dyDescent="0.25">
      <c r="A47" s="9" t="s">
        <v>5211</v>
      </c>
      <c r="B47" s="10">
        <v>718</v>
      </c>
      <c r="C47" s="10" t="s">
        <v>70</v>
      </c>
      <c r="D47" t="s">
        <v>3649</v>
      </c>
      <c r="E47" t="s">
        <v>3650</v>
      </c>
      <c r="F47" s="10" t="s">
        <v>43</v>
      </c>
      <c r="G47" s="2">
        <v>6.9897999999999998</v>
      </c>
      <c r="H47" s="13">
        <v>59</v>
      </c>
      <c r="I47" s="13">
        <v>-1</v>
      </c>
      <c r="J47" s="13">
        <v>1</v>
      </c>
      <c r="K47" s="10">
        <v>59</v>
      </c>
      <c r="L47" s="2">
        <v>412.39819999999997</v>
      </c>
      <c r="M47" s="1">
        <v>46246.392361111109</v>
      </c>
      <c r="N47" t="s">
        <v>40</v>
      </c>
    </row>
    <row r="48" spans="1:14" x14ac:dyDescent="0.25">
      <c r="A48" s="9" t="s">
        <v>5211</v>
      </c>
      <c r="B48" s="10">
        <v>634</v>
      </c>
      <c r="C48" s="10" t="s">
        <v>143</v>
      </c>
      <c r="D48" t="s">
        <v>4224</v>
      </c>
      <c r="E48" t="s">
        <v>4225</v>
      </c>
      <c r="F48" s="10" t="s">
        <v>43</v>
      </c>
      <c r="G48" s="2">
        <v>29.574400000000001</v>
      </c>
      <c r="H48" s="13">
        <v>58</v>
      </c>
      <c r="I48" s="13">
        <v>-13</v>
      </c>
      <c r="J48" s="13">
        <v>13</v>
      </c>
      <c r="K48" s="10">
        <v>58</v>
      </c>
      <c r="L48" s="2">
        <v>1715.3152</v>
      </c>
      <c r="M48" s="1">
        <v>46134.613888888889</v>
      </c>
      <c r="N48" t="s">
        <v>1062</v>
      </c>
    </row>
    <row r="49" spans="1:14" x14ac:dyDescent="0.25">
      <c r="A49" s="9" t="s">
        <v>5211</v>
      </c>
      <c r="B49" s="10">
        <v>714</v>
      </c>
      <c r="C49" s="10" t="s">
        <v>143</v>
      </c>
      <c r="D49" t="s">
        <v>2359</v>
      </c>
      <c r="E49" t="s">
        <v>2360</v>
      </c>
      <c r="F49" s="10" t="s">
        <v>19</v>
      </c>
      <c r="G49" s="2">
        <v>4.0247000000000002</v>
      </c>
      <c r="H49" s="13">
        <v>58</v>
      </c>
      <c r="I49" s="13">
        <v>0</v>
      </c>
      <c r="J49" s="13">
        <v>0</v>
      </c>
      <c r="K49" s="10">
        <v>58</v>
      </c>
      <c r="L49" s="2">
        <v>233.43260000000001</v>
      </c>
      <c r="M49" s="1">
        <v>46213.45</v>
      </c>
      <c r="N49" t="s">
        <v>1877</v>
      </c>
    </row>
    <row r="50" spans="1:14" x14ac:dyDescent="0.25">
      <c r="A50" s="9" t="s">
        <v>5211</v>
      </c>
      <c r="B50" s="10">
        <v>714</v>
      </c>
      <c r="C50" s="10" t="s">
        <v>70</v>
      </c>
      <c r="D50" t="s">
        <v>2170</v>
      </c>
      <c r="E50" t="s">
        <v>2171</v>
      </c>
      <c r="F50" s="10" t="s">
        <v>112</v>
      </c>
      <c r="G50" s="2">
        <v>7.3357000000000001</v>
      </c>
      <c r="H50" s="13">
        <v>57</v>
      </c>
      <c r="I50" s="13">
        <v>0</v>
      </c>
      <c r="J50" s="13">
        <v>0</v>
      </c>
      <c r="K50" s="10">
        <v>57</v>
      </c>
      <c r="L50" s="2">
        <v>418.13490000000002</v>
      </c>
      <c r="M50" s="1">
        <v>46198.40902777778</v>
      </c>
      <c r="N50" t="s">
        <v>573</v>
      </c>
    </row>
    <row r="51" spans="1:14" x14ac:dyDescent="0.25">
      <c r="A51" s="9" t="s">
        <v>5211</v>
      </c>
      <c r="B51" s="10">
        <v>714</v>
      </c>
      <c r="C51" s="10" t="s">
        <v>12</v>
      </c>
      <c r="D51" t="s">
        <v>4377</v>
      </c>
      <c r="E51" t="s">
        <v>4378</v>
      </c>
      <c r="F51" s="10" t="s">
        <v>43</v>
      </c>
      <c r="G51" s="2">
        <v>13.2552</v>
      </c>
      <c r="H51" s="13">
        <v>57</v>
      </c>
      <c r="I51" s="13">
        <v>127</v>
      </c>
      <c r="J51" s="13">
        <v>-127</v>
      </c>
      <c r="K51" s="10">
        <v>57</v>
      </c>
      <c r="L51" s="2">
        <v>755.54639999999995</v>
      </c>
      <c r="M51" s="1">
        <v>46227.602777777778</v>
      </c>
      <c r="N51" t="s">
        <v>94</v>
      </c>
    </row>
    <row r="52" spans="1:14" x14ac:dyDescent="0.25">
      <c r="A52" s="9" t="s">
        <v>5211</v>
      </c>
      <c r="B52" s="10">
        <v>636</v>
      </c>
      <c r="C52" s="10" t="s">
        <v>143</v>
      </c>
      <c r="D52" t="s">
        <v>4174</v>
      </c>
      <c r="E52" t="s">
        <v>4175</v>
      </c>
      <c r="F52" s="10" t="s">
        <v>23</v>
      </c>
      <c r="G52" s="2">
        <v>18.906300000000002</v>
      </c>
      <c r="H52" s="13">
        <v>56</v>
      </c>
      <c r="I52" s="13">
        <v>26</v>
      </c>
      <c r="J52" s="13">
        <v>-26</v>
      </c>
      <c r="K52" s="10">
        <v>56</v>
      </c>
      <c r="L52" s="2">
        <v>1058.7528</v>
      </c>
      <c r="M52" s="1">
        <v>46122.48333333333</v>
      </c>
      <c r="N52" t="s">
        <v>40</v>
      </c>
    </row>
    <row r="53" spans="1:14" x14ac:dyDescent="0.25">
      <c r="A53" s="9" t="s">
        <v>5211</v>
      </c>
      <c r="B53" s="10">
        <v>714</v>
      </c>
      <c r="C53" s="10" t="s">
        <v>143</v>
      </c>
      <c r="D53" t="s">
        <v>2772</v>
      </c>
      <c r="E53" t="s">
        <v>2773</v>
      </c>
      <c r="F53" s="10" t="s">
        <v>23</v>
      </c>
      <c r="G53" s="2">
        <v>25.273099999999999</v>
      </c>
      <c r="H53" s="13">
        <v>56</v>
      </c>
      <c r="I53" s="13">
        <v>0</v>
      </c>
      <c r="J53" s="13">
        <v>0</v>
      </c>
      <c r="K53" s="10">
        <v>56</v>
      </c>
      <c r="L53" s="2">
        <v>1415.2936</v>
      </c>
      <c r="M53" s="1">
        <v>46136.467361111114</v>
      </c>
      <c r="N53" t="s">
        <v>40</v>
      </c>
    </row>
    <row r="54" spans="1:14" x14ac:dyDescent="0.25">
      <c r="A54" s="9" t="s">
        <v>5211</v>
      </c>
      <c r="B54" s="10">
        <v>714</v>
      </c>
      <c r="C54" s="10" t="s">
        <v>1749</v>
      </c>
      <c r="D54" t="s">
        <v>3550</v>
      </c>
      <c r="E54" t="s">
        <v>3551</v>
      </c>
      <c r="F54" s="10" t="s">
        <v>112</v>
      </c>
      <c r="G54" s="2">
        <v>7.6928999999999998</v>
      </c>
      <c r="H54" s="13">
        <v>55</v>
      </c>
      <c r="I54" s="13">
        <v>0</v>
      </c>
      <c r="J54" s="13">
        <v>0</v>
      </c>
      <c r="K54" s="10">
        <v>55</v>
      </c>
      <c r="L54" s="2">
        <v>423.10950000000003</v>
      </c>
      <c r="M54" s="1">
        <v>46203.393055555556</v>
      </c>
      <c r="N54" t="s">
        <v>1951</v>
      </c>
    </row>
    <row r="55" spans="1:14" x14ac:dyDescent="0.25">
      <c r="A55" s="9" t="s">
        <v>5211</v>
      </c>
      <c r="B55" s="10">
        <v>718</v>
      </c>
      <c r="C55" s="10" t="s">
        <v>12</v>
      </c>
      <c r="D55" t="s">
        <v>3599</v>
      </c>
      <c r="E55" t="s">
        <v>3600</v>
      </c>
      <c r="F55" s="10" t="s">
        <v>29</v>
      </c>
      <c r="G55" s="2">
        <v>5.8958000000000004</v>
      </c>
      <c r="H55" s="13">
        <v>54</v>
      </c>
      <c r="I55" s="13">
        <v>0</v>
      </c>
      <c r="J55" s="13">
        <v>0</v>
      </c>
      <c r="K55" s="10">
        <v>54</v>
      </c>
      <c r="L55" s="2">
        <v>318.3732</v>
      </c>
      <c r="M55" s="1">
        <v>46150.461111111108</v>
      </c>
      <c r="N55" t="s">
        <v>94</v>
      </c>
    </row>
    <row r="56" spans="1:14" x14ac:dyDescent="0.25">
      <c r="A56" s="9" t="s">
        <v>5211</v>
      </c>
      <c r="B56" s="10">
        <v>718</v>
      </c>
      <c r="C56" s="10" t="s">
        <v>12</v>
      </c>
      <c r="D56" t="s">
        <v>5125</v>
      </c>
      <c r="E56" t="s">
        <v>5126</v>
      </c>
      <c r="F56" s="10" t="s">
        <v>29</v>
      </c>
      <c r="G56" s="2">
        <v>6.0448000000000004</v>
      </c>
      <c r="H56" s="13">
        <v>54</v>
      </c>
      <c r="I56" s="13">
        <v>48</v>
      </c>
      <c r="J56" s="13">
        <v>-48</v>
      </c>
      <c r="K56" s="10">
        <v>54</v>
      </c>
      <c r="L56" s="2">
        <v>326.41919999999999</v>
      </c>
      <c r="M56" s="1">
        <v>46197.523611111108</v>
      </c>
      <c r="N56" t="s">
        <v>40</v>
      </c>
    </row>
    <row r="57" spans="1:14" x14ac:dyDescent="0.25">
      <c r="A57" s="9" t="s">
        <v>5211</v>
      </c>
      <c r="B57" s="10">
        <v>718</v>
      </c>
      <c r="C57" s="10" t="s">
        <v>143</v>
      </c>
      <c r="D57" t="s">
        <v>2598</v>
      </c>
      <c r="E57" t="s">
        <v>2599</v>
      </c>
      <c r="F57" s="10" t="s">
        <v>29</v>
      </c>
      <c r="G57" s="2">
        <v>16.495699999999999</v>
      </c>
      <c r="H57" s="13">
        <v>54</v>
      </c>
      <c r="I57" s="13">
        <v>0</v>
      </c>
      <c r="J57" s="13">
        <v>0</v>
      </c>
      <c r="K57" s="10">
        <v>54</v>
      </c>
      <c r="L57" s="2">
        <v>890.76779999999997</v>
      </c>
      <c r="M57" s="1">
        <v>46199.635416666664</v>
      </c>
      <c r="N57" t="s">
        <v>26</v>
      </c>
    </row>
    <row r="58" spans="1:14" x14ac:dyDescent="0.25">
      <c r="A58" s="9" t="s">
        <v>5211</v>
      </c>
      <c r="B58" s="10">
        <v>636</v>
      </c>
      <c r="C58" s="10" t="s">
        <v>143</v>
      </c>
      <c r="D58" t="s">
        <v>4577</v>
      </c>
      <c r="E58" t="s">
        <v>4578</v>
      </c>
      <c r="F58" s="10" t="s">
        <v>23</v>
      </c>
      <c r="G58" s="2">
        <v>14.9414</v>
      </c>
      <c r="H58" s="13">
        <v>53</v>
      </c>
      <c r="I58" s="13">
        <v>6</v>
      </c>
      <c r="J58" s="13">
        <v>-6</v>
      </c>
      <c r="K58" s="10">
        <v>53</v>
      </c>
      <c r="L58" s="2">
        <v>791.89419999999996</v>
      </c>
      <c r="M58" s="1">
        <v>46216.52847222222</v>
      </c>
      <c r="N58" t="s">
        <v>40</v>
      </c>
    </row>
    <row r="59" spans="1:14" x14ac:dyDescent="0.25">
      <c r="A59" s="9" t="s">
        <v>5211</v>
      </c>
      <c r="B59" s="10">
        <v>714</v>
      </c>
      <c r="C59" s="10" t="s">
        <v>70</v>
      </c>
      <c r="D59" t="s">
        <v>2153</v>
      </c>
      <c r="E59" t="s">
        <v>2154</v>
      </c>
      <c r="F59" s="10" t="s">
        <v>39</v>
      </c>
      <c r="G59" s="2">
        <v>3.8835999999999999</v>
      </c>
      <c r="H59" s="13">
        <v>52</v>
      </c>
      <c r="I59" s="13">
        <v>0</v>
      </c>
      <c r="J59" s="13">
        <v>0</v>
      </c>
      <c r="K59" s="10">
        <v>52</v>
      </c>
      <c r="L59" s="2">
        <v>201.94720000000001</v>
      </c>
      <c r="M59" s="1">
        <v>46197.400694444441</v>
      </c>
      <c r="N59" t="s">
        <v>506</v>
      </c>
    </row>
    <row r="60" spans="1:14" x14ac:dyDescent="0.25">
      <c r="A60" s="9" t="s">
        <v>5211</v>
      </c>
      <c r="B60" s="10">
        <v>718</v>
      </c>
      <c r="C60" s="10" t="s">
        <v>12</v>
      </c>
      <c r="D60" t="s">
        <v>1880</v>
      </c>
      <c r="E60" t="s">
        <v>1881</v>
      </c>
      <c r="F60" s="10" t="s">
        <v>43</v>
      </c>
      <c r="G60" s="2">
        <v>26.518899999999999</v>
      </c>
      <c r="H60" s="13">
        <v>52</v>
      </c>
      <c r="I60" s="13">
        <v>0</v>
      </c>
      <c r="J60" s="13">
        <v>0</v>
      </c>
      <c r="K60" s="10">
        <v>52</v>
      </c>
      <c r="L60" s="2">
        <v>1378.9828</v>
      </c>
      <c r="M60" s="1">
        <v>46199.611111111109</v>
      </c>
      <c r="N60" t="s">
        <v>1062</v>
      </c>
    </row>
    <row r="61" spans="1:14" x14ac:dyDescent="0.25">
      <c r="A61" s="9" t="s">
        <v>5211</v>
      </c>
      <c r="B61" s="10">
        <v>718</v>
      </c>
      <c r="C61" s="10" t="s">
        <v>12</v>
      </c>
      <c r="D61" t="s">
        <v>4681</v>
      </c>
      <c r="E61" t="s">
        <v>4682</v>
      </c>
      <c r="F61" s="10" t="s">
        <v>23</v>
      </c>
      <c r="G61" s="2">
        <v>12.921200000000001</v>
      </c>
      <c r="H61" s="13">
        <v>52</v>
      </c>
      <c r="I61" s="13">
        <v>12</v>
      </c>
      <c r="J61" s="13">
        <v>-12</v>
      </c>
      <c r="K61" s="10">
        <v>52</v>
      </c>
      <c r="L61" s="2">
        <v>671.90239999999994</v>
      </c>
      <c r="M61" s="1">
        <v>46199.635416666664</v>
      </c>
      <c r="N61" t="s">
        <v>26</v>
      </c>
    </row>
    <row r="62" spans="1:14" x14ac:dyDescent="0.25">
      <c r="A62" s="9" t="s">
        <v>5211</v>
      </c>
      <c r="B62" s="10">
        <v>714</v>
      </c>
      <c r="C62" s="10" t="s">
        <v>323</v>
      </c>
      <c r="D62" t="s">
        <v>4363</v>
      </c>
      <c r="E62" t="s">
        <v>4364</v>
      </c>
      <c r="F62" s="10" t="s">
        <v>35</v>
      </c>
      <c r="G62" s="2">
        <v>102.125</v>
      </c>
      <c r="H62" s="13">
        <v>51</v>
      </c>
      <c r="I62" s="13">
        <v>13</v>
      </c>
      <c r="J62" s="13">
        <v>-13</v>
      </c>
      <c r="K62" s="10">
        <v>51</v>
      </c>
      <c r="L62" s="2">
        <v>5208.375</v>
      </c>
      <c r="M62" s="1">
        <v>46143.35833333333</v>
      </c>
      <c r="N62" t="s">
        <v>229</v>
      </c>
    </row>
    <row r="63" spans="1:14" x14ac:dyDescent="0.25">
      <c r="A63" s="9" t="s">
        <v>5211</v>
      </c>
      <c r="B63" s="10">
        <v>718</v>
      </c>
      <c r="C63" s="10" t="s">
        <v>70</v>
      </c>
      <c r="D63" t="s">
        <v>3667</v>
      </c>
      <c r="E63" t="s">
        <v>3668</v>
      </c>
      <c r="F63" s="10" t="s">
        <v>112</v>
      </c>
      <c r="G63" s="2">
        <v>6.8102999999999998</v>
      </c>
      <c r="H63" s="13">
        <v>51</v>
      </c>
      <c r="I63" s="13">
        <v>3</v>
      </c>
      <c r="J63" s="13">
        <v>-3</v>
      </c>
      <c r="K63" s="10">
        <v>51</v>
      </c>
      <c r="L63" s="2">
        <v>347.32530000000003</v>
      </c>
      <c r="M63" s="1">
        <v>46169.443055555559</v>
      </c>
      <c r="N63" t="s">
        <v>94</v>
      </c>
    </row>
    <row r="64" spans="1:14" x14ac:dyDescent="0.25">
      <c r="A64" s="9" t="s">
        <v>5211</v>
      </c>
      <c r="B64" s="10">
        <v>636</v>
      </c>
      <c r="C64" s="10" t="s">
        <v>143</v>
      </c>
      <c r="D64" t="s">
        <v>4511</v>
      </c>
      <c r="E64" t="s">
        <v>4512</v>
      </c>
      <c r="F64" s="10" t="s">
        <v>158</v>
      </c>
      <c r="G64" s="2">
        <v>16.526599999999998</v>
      </c>
      <c r="H64" s="13">
        <v>50</v>
      </c>
      <c r="I64" s="13">
        <v>97</v>
      </c>
      <c r="J64" s="13">
        <v>-97</v>
      </c>
      <c r="K64" s="10">
        <v>50</v>
      </c>
      <c r="L64" s="2">
        <v>826.33</v>
      </c>
      <c r="M64" s="1">
        <v>46134.6</v>
      </c>
      <c r="N64" t="s">
        <v>2225</v>
      </c>
    </row>
    <row r="65" spans="1:14" x14ac:dyDescent="0.25">
      <c r="A65" s="9" t="s">
        <v>5211</v>
      </c>
      <c r="B65" s="10">
        <v>718</v>
      </c>
      <c r="C65" s="10" t="s">
        <v>143</v>
      </c>
      <c r="D65" t="s">
        <v>2738</v>
      </c>
      <c r="E65" t="s">
        <v>2739</v>
      </c>
      <c r="F65" s="10" t="s">
        <v>19</v>
      </c>
      <c r="G65" s="2">
        <v>109.5377</v>
      </c>
      <c r="H65" s="13">
        <v>50</v>
      </c>
      <c r="I65" s="13">
        <v>4</v>
      </c>
      <c r="J65" s="13">
        <v>-4</v>
      </c>
      <c r="K65" s="10">
        <v>50</v>
      </c>
      <c r="L65" s="2">
        <v>5476.8850000000002</v>
      </c>
      <c r="M65" s="1">
        <v>46135.509027777778</v>
      </c>
      <c r="N65" t="s">
        <v>2423</v>
      </c>
    </row>
    <row r="66" spans="1:14" x14ac:dyDescent="0.25">
      <c r="A66" s="9" t="s">
        <v>5211</v>
      </c>
      <c r="B66" s="10">
        <v>714</v>
      </c>
      <c r="C66" s="10" t="s">
        <v>143</v>
      </c>
      <c r="D66" t="s">
        <v>2701</v>
      </c>
      <c r="E66" t="s">
        <v>2702</v>
      </c>
      <c r="F66" s="10" t="s">
        <v>158</v>
      </c>
      <c r="G66" s="2">
        <v>109.1901</v>
      </c>
      <c r="H66" s="13">
        <v>50</v>
      </c>
      <c r="I66" s="13">
        <v>0</v>
      </c>
      <c r="J66" s="13">
        <v>0</v>
      </c>
      <c r="K66" s="10">
        <v>50</v>
      </c>
      <c r="L66" s="2">
        <v>5459.5050000000001</v>
      </c>
      <c r="M66" s="1">
        <v>46153.668749999997</v>
      </c>
      <c r="N66" t="s">
        <v>2271</v>
      </c>
    </row>
    <row r="67" spans="1:14" x14ac:dyDescent="0.25">
      <c r="A67" s="9" t="s">
        <v>5211</v>
      </c>
      <c r="B67" s="10">
        <v>714</v>
      </c>
      <c r="C67" s="10" t="s">
        <v>12</v>
      </c>
      <c r="D67" t="s">
        <v>1875</v>
      </c>
      <c r="E67" t="s">
        <v>1876</v>
      </c>
      <c r="F67" s="10" t="s">
        <v>29</v>
      </c>
      <c r="G67" s="2">
        <v>2.6604000000000001</v>
      </c>
      <c r="H67" s="13">
        <v>50</v>
      </c>
      <c r="I67" s="13">
        <v>0</v>
      </c>
      <c r="J67" s="13">
        <v>0</v>
      </c>
      <c r="K67" s="10">
        <v>50</v>
      </c>
      <c r="L67" s="2">
        <v>133.02000000000001</v>
      </c>
      <c r="M67" s="1">
        <v>46213.45</v>
      </c>
      <c r="N67" t="s">
        <v>1877</v>
      </c>
    </row>
    <row r="68" spans="1:14" x14ac:dyDescent="0.25">
      <c r="A68" s="9" t="s">
        <v>5211</v>
      </c>
      <c r="B68" s="10">
        <v>714</v>
      </c>
      <c r="C68" s="10" t="s">
        <v>70</v>
      </c>
      <c r="D68" t="s">
        <v>2182</v>
      </c>
      <c r="E68" t="s">
        <v>2183</v>
      </c>
      <c r="F68" s="10" t="s">
        <v>29</v>
      </c>
      <c r="G68" s="2">
        <v>6.6635</v>
      </c>
      <c r="H68" s="13">
        <v>49</v>
      </c>
      <c r="I68" s="13">
        <v>0</v>
      </c>
      <c r="J68" s="13">
        <v>0</v>
      </c>
      <c r="K68" s="10">
        <v>49</v>
      </c>
      <c r="L68" s="2">
        <v>326.51150000000001</v>
      </c>
      <c r="M68" s="1">
        <v>46155.429166666669</v>
      </c>
      <c r="N68" t="s">
        <v>44</v>
      </c>
    </row>
    <row r="69" spans="1:14" x14ac:dyDescent="0.25">
      <c r="A69" s="9" t="s">
        <v>5211</v>
      </c>
      <c r="B69" s="10">
        <v>636</v>
      </c>
      <c r="C69" s="10" t="s">
        <v>323</v>
      </c>
      <c r="D69" t="s">
        <v>1361</v>
      </c>
      <c r="E69" t="s">
        <v>1362</v>
      </c>
      <c r="F69" s="10" t="s">
        <v>158</v>
      </c>
      <c r="G69" s="2">
        <v>184.61340000000001</v>
      </c>
      <c r="H69" s="13">
        <v>49</v>
      </c>
      <c r="I69" s="13">
        <v>1</v>
      </c>
      <c r="J69" s="13">
        <v>-1</v>
      </c>
      <c r="K69" s="10">
        <v>49</v>
      </c>
      <c r="L69" s="2">
        <v>9046.0565999999999</v>
      </c>
      <c r="M69" s="1">
        <v>46157.602083333331</v>
      </c>
      <c r="N69" t="s">
        <v>1224</v>
      </c>
    </row>
    <row r="70" spans="1:14" x14ac:dyDescent="0.25">
      <c r="A70" s="9" t="s">
        <v>5211</v>
      </c>
      <c r="B70" s="10">
        <v>714</v>
      </c>
      <c r="C70" s="10" t="s">
        <v>70</v>
      </c>
      <c r="D70" t="s">
        <v>2091</v>
      </c>
      <c r="E70" t="s">
        <v>2092</v>
      </c>
      <c r="F70" s="10" t="s">
        <v>112</v>
      </c>
      <c r="G70" s="2">
        <v>7.3951000000000002</v>
      </c>
      <c r="H70" s="13">
        <v>49</v>
      </c>
      <c r="I70" s="13">
        <v>6</v>
      </c>
      <c r="J70" s="13">
        <v>-6</v>
      </c>
      <c r="K70" s="10">
        <v>49</v>
      </c>
      <c r="L70" s="2">
        <v>362.35989999999998</v>
      </c>
      <c r="M70" s="1">
        <v>46176.375</v>
      </c>
      <c r="N70" t="s">
        <v>40</v>
      </c>
    </row>
    <row r="71" spans="1:14" x14ac:dyDescent="0.25">
      <c r="A71" s="9" t="s">
        <v>5211</v>
      </c>
      <c r="B71" s="10">
        <v>718</v>
      </c>
      <c r="C71" s="10" t="s">
        <v>143</v>
      </c>
      <c r="D71" t="s">
        <v>4224</v>
      </c>
      <c r="E71" t="s">
        <v>4225</v>
      </c>
      <c r="F71" s="10" t="s">
        <v>43</v>
      </c>
      <c r="G71" s="2">
        <v>30.841000000000001</v>
      </c>
      <c r="H71" s="13">
        <v>49</v>
      </c>
      <c r="I71" s="13">
        <v>-13</v>
      </c>
      <c r="J71" s="13">
        <v>13</v>
      </c>
      <c r="K71" s="10">
        <v>49</v>
      </c>
      <c r="L71" s="2">
        <v>1511.2090000000001</v>
      </c>
      <c r="M71" s="1">
        <v>46196.648611111108</v>
      </c>
      <c r="N71" t="s">
        <v>67</v>
      </c>
    </row>
    <row r="72" spans="1:14" x14ac:dyDescent="0.25">
      <c r="A72" s="9" t="s">
        <v>5211</v>
      </c>
      <c r="B72" s="10">
        <v>714</v>
      </c>
      <c r="C72" s="10" t="s">
        <v>70</v>
      </c>
      <c r="D72" t="s">
        <v>2129</v>
      </c>
      <c r="E72" t="s">
        <v>2130</v>
      </c>
      <c r="F72" s="10" t="s">
        <v>29</v>
      </c>
      <c r="G72" s="2">
        <v>8.6212</v>
      </c>
      <c r="H72" s="13">
        <v>49</v>
      </c>
      <c r="I72" s="13">
        <v>0</v>
      </c>
      <c r="J72" s="13">
        <v>0</v>
      </c>
      <c r="K72" s="10">
        <v>49</v>
      </c>
      <c r="L72" s="2">
        <v>422.43880000000001</v>
      </c>
      <c r="M72" s="1">
        <v>46213.455555555556</v>
      </c>
      <c r="N72" t="s">
        <v>573</v>
      </c>
    </row>
    <row r="73" spans="1:14" x14ac:dyDescent="0.25">
      <c r="A73" s="9" t="s">
        <v>5211</v>
      </c>
      <c r="B73" s="10">
        <v>636</v>
      </c>
      <c r="C73" s="10" t="s">
        <v>143</v>
      </c>
      <c r="D73" t="s">
        <v>1152</v>
      </c>
      <c r="E73" t="s">
        <v>1153</v>
      </c>
      <c r="F73" s="10" t="s">
        <v>29</v>
      </c>
      <c r="G73" s="2">
        <v>13.098000000000001</v>
      </c>
      <c r="H73" s="13">
        <v>48</v>
      </c>
      <c r="I73" s="13">
        <v>0</v>
      </c>
      <c r="J73" s="13">
        <v>0</v>
      </c>
      <c r="K73" s="10">
        <v>48</v>
      </c>
      <c r="L73" s="2">
        <v>628.70399999999995</v>
      </c>
      <c r="M73" s="1">
        <v>44616.540277777778</v>
      </c>
      <c r="N73" t="s">
        <v>1154</v>
      </c>
    </row>
    <row r="74" spans="1:14" x14ac:dyDescent="0.25">
      <c r="A74" s="9" t="s">
        <v>5211</v>
      </c>
      <c r="B74" s="10">
        <v>636</v>
      </c>
      <c r="C74" s="10" t="s">
        <v>143</v>
      </c>
      <c r="D74" t="s">
        <v>1065</v>
      </c>
      <c r="E74" t="s">
        <v>1066</v>
      </c>
      <c r="F74" s="10" t="s">
        <v>23</v>
      </c>
      <c r="G74" s="2">
        <v>14.6873</v>
      </c>
      <c r="H74" s="13">
        <v>48</v>
      </c>
      <c r="I74" s="13">
        <v>0</v>
      </c>
      <c r="J74" s="13">
        <v>0</v>
      </c>
      <c r="K74" s="10">
        <v>48</v>
      </c>
      <c r="L74" s="2">
        <v>704.99040000000002</v>
      </c>
      <c r="M74" s="1">
        <v>46122.341666666667</v>
      </c>
      <c r="N74" t="s">
        <v>1067</v>
      </c>
    </row>
    <row r="75" spans="1:14" x14ac:dyDescent="0.25">
      <c r="A75" s="9" t="s">
        <v>5211</v>
      </c>
      <c r="B75" s="10">
        <v>636</v>
      </c>
      <c r="C75" s="10" t="s">
        <v>143</v>
      </c>
      <c r="D75" t="s">
        <v>4106</v>
      </c>
      <c r="E75" t="s">
        <v>4107</v>
      </c>
      <c r="F75" s="10" t="s">
        <v>43</v>
      </c>
      <c r="G75" s="2">
        <v>51.029600000000002</v>
      </c>
      <c r="H75" s="13">
        <v>48</v>
      </c>
      <c r="I75" s="13">
        <v>49</v>
      </c>
      <c r="J75" s="13">
        <v>-49</v>
      </c>
      <c r="K75" s="10">
        <v>48</v>
      </c>
      <c r="L75" s="2">
        <v>2449.4207999999999</v>
      </c>
      <c r="M75" s="1">
        <v>46126.396527777775</v>
      </c>
      <c r="N75" t="s">
        <v>175</v>
      </c>
    </row>
    <row r="76" spans="1:14" x14ac:dyDescent="0.25">
      <c r="A76" s="9" t="s">
        <v>5211</v>
      </c>
      <c r="B76" s="10">
        <v>636</v>
      </c>
      <c r="C76" s="10" t="s">
        <v>70</v>
      </c>
      <c r="D76" t="s">
        <v>612</v>
      </c>
      <c r="E76" t="s">
        <v>613</v>
      </c>
      <c r="F76" s="10" t="s">
        <v>39</v>
      </c>
      <c r="G76" s="2">
        <v>3.1724000000000001</v>
      </c>
      <c r="H76" s="13">
        <v>48</v>
      </c>
      <c r="I76" s="13">
        <v>0</v>
      </c>
      <c r="J76" s="13">
        <v>0</v>
      </c>
      <c r="K76" s="10">
        <v>48</v>
      </c>
      <c r="L76" s="2">
        <v>152.27520000000001</v>
      </c>
      <c r="M76" s="1">
        <v>46148.397916666669</v>
      </c>
      <c r="N76" t="s">
        <v>16</v>
      </c>
    </row>
    <row r="77" spans="1:14" x14ac:dyDescent="0.25">
      <c r="A77" s="9" t="s">
        <v>5211</v>
      </c>
      <c r="B77" s="10">
        <v>636</v>
      </c>
      <c r="C77" s="10" t="s">
        <v>126</v>
      </c>
      <c r="D77" t="s">
        <v>127</v>
      </c>
      <c r="E77" t="s">
        <v>128</v>
      </c>
      <c r="F77" s="10" t="s">
        <v>39</v>
      </c>
      <c r="G77" s="2">
        <v>6.7240000000000002</v>
      </c>
      <c r="H77" s="13">
        <v>48</v>
      </c>
      <c r="I77" s="13">
        <v>-7</v>
      </c>
      <c r="J77" s="13">
        <v>7</v>
      </c>
      <c r="K77" s="10">
        <v>48</v>
      </c>
      <c r="L77" s="2">
        <v>322.75200000000001</v>
      </c>
      <c r="M77" s="1">
        <v>46225.4</v>
      </c>
      <c r="N77" t="s">
        <v>16</v>
      </c>
    </row>
    <row r="78" spans="1:14" x14ac:dyDescent="0.25">
      <c r="A78" s="9" t="s">
        <v>5211</v>
      </c>
      <c r="B78" s="10">
        <v>718</v>
      </c>
      <c r="C78" s="10" t="s">
        <v>70</v>
      </c>
      <c r="D78" t="s">
        <v>4721</v>
      </c>
      <c r="E78" t="s">
        <v>4722</v>
      </c>
      <c r="F78" s="10" t="s">
        <v>112</v>
      </c>
      <c r="G78" s="2">
        <v>5.6824000000000003</v>
      </c>
      <c r="H78" s="13">
        <v>47</v>
      </c>
      <c r="I78" s="13">
        <v>-37</v>
      </c>
      <c r="J78" s="13">
        <v>37</v>
      </c>
      <c r="K78" s="10">
        <v>47</v>
      </c>
      <c r="L78" s="2">
        <v>267.07279999999997</v>
      </c>
      <c r="M78" s="1">
        <v>46199.635416666664</v>
      </c>
      <c r="N78" t="s">
        <v>26</v>
      </c>
    </row>
    <row r="79" spans="1:14" x14ac:dyDescent="0.25">
      <c r="A79" s="9" t="s">
        <v>5211</v>
      </c>
      <c r="B79" s="10">
        <v>718</v>
      </c>
      <c r="C79" s="10" t="s">
        <v>70</v>
      </c>
      <c r="D79" t="s">
        <v>4016</v>
      </c>
      <c r="E79" t="s">
        <v>4017</v>
      </c>
      <c r="F79" s="10" t="s">
        <v>23</v>
      </c>
      <c r="G79" s="2">
        <v>6.4040999999999997</v>
      </c>
      <c r="H79" s="13">
        <v>47</v>
      </c>
      <c r="I79" s="13">
        <v>124</v>
      </c>
      <c r="J79" s="13">
        <v>-124</v>
      </c>
      <c r="K79" s="10">
        <v>47</v>
      </c>
      <c r="L79" s="2">
        <v>300.99270000000001</v>
      </c>
      <c r="M79" s="1">
        <v>46204.361805555556</v>
      </c>
      <c r="N79" t="s">
        <v>878</v>
      </c>
    </row>
    <row r="80" spans="1:14" x14ac:dyDescent="0.25">
      <c r="A80" s="9" t="s">
        <v>5211</v>
      </c>
      <c r="B80" s="10">
        <v>718</v>
      </c>
      <c r="C80" s="10" t="s">
        <v>12</v>
      </c>
      <c r="D80" t="s">
        <v>3603</v>
      </c>
      <c r="E80" t="s">
        <v>3604</v>
      </c>
      <c r="F80" s="10" t="s">
        <v>29</v>
      </c>
      <c r="G80" s="2">
        <v>6.7948000000000004</v>
      </c>
      <c r="H80" s="13">
        <v>47</v>
      </c>
      <c r="I80" s="13">
        <v>0</v>
      </c>
      <c r="J80" s="13">
        <v>0</v>
      </c>
      <c r="K80" s="10">
        <v>47</v>
      </c>
      <c r="L80" s="2">
        <v>319.35559999999998</v>
      </c>
      <c r="M80" s="1">
        <v>46218.347916666666</v>
      </c>
      <c r="N80" t="s">
        <v>3590</v>
      </c>
    </row>
    <row r="81" spans="1:14" x14ac:dyDescent="0.25">
      <c r="A81" s="9" t="s">
        <v>5211</v>
      </c>
      <c r="B81" s="10">
        <v>714</v>
      </c>
      <c r="C81" s="10" t="s">
        <v>70</v>
      </c>
      <c r="D81" t="s">
        <v>2125</v>
      </c>
      <c r="E81" t="s">
        <v>2126</v>
      </c>
      <c r="F81" s="10" t="s">
        <v>39</v>
      </c>
      <c r="G81" s="2">
        <v>2.3395999999999999</v>
      </c>
      <c r="H81" s="13">
        <v>46</v>
      </c>
      <c r="I81" s="13">
        <v>0</v>
      </c>
      <c r="J81" s="13">
        <v>0</v>
      </c>
      <c r="K81" s="10">
        <v>46</v>
      </c>
      <c r="L81" s="2">
        <v>107.6216</v>
      </c>
      <c r="M81" s="1">
        <v>46157.635416666664</v>
      </c>
      <c r="N81" t="s">
        <v>1836</v>
      </c>
    </row>
    <row r="82" spans="1:14" x14ac:dyDescent="0.25">
      <c r="A82" s="9" t="s">
        <v>5211</v>
      </c>
      <c r="B82" s="10">
        <v>714</v>
      </c>
      <c r="C82" s="10" t="s">
        <v>70</v>
      </c>
      <c r="D82" t="s">
        <v>644</v>
      </c>
      <c r="E82" t="s">
        <v>645</v>
      </c>
      <c r="F82" s="10" t="s">
        <v>112</v>
      </c>
      <c r="G82" s="2">
        <v>8.1005000000000003</v>
      </c>
      <c r="H82" s="13">
        <v>46</v>
      </c>
      <c r="I82" s="13">
        <v>9</v>
      </c>
      <c r="J82" s="13">
        <v>-9</v>
      </c>
      <c r="K82" s="10">
        <v>46</v>
      </c>
      <c r="L82" s="2">
        <v>372.62299999999999</v>
      </c>
      <c r="M82" s="1">
        <v>46191.474999999999</v>
      </c>
      <c r="N82" t="s">
        <v>16</v>
      </c>
    </row>
    <row r="83" spans="1:14" x14ac:dyDescent="0.25">
      <c r="A83" s="9" t="s">
        <v>5211</v>
      </c>
      <c r="B83" s="10">
        <v>714</v>
      </c>
      <c r="C83" s="10" t="s">
        <v>70</v>
      </c>
      <c r="D83" t="s">
        <v>4721</v>
      </c>
      <c r="E83" t="s">
        <v>4722</v>
      </c>
      <c r="F83" s="10" t="s">
        <v>23</v>
      </c>
      <c r="G83" s="2">
        <v>6.7911999999999999</v>
      </c>
      <c r="H83" s="13">
        <v>46</v>
      </c>
      <c r="I83" s="13">
        <v>-37</v>
      </c>
      <c r="J83" s="13">
        <v>37</v>
      </c>
      <c r="K83" s="10">
        <v>46</v>
      </c>
      <c r="L83" s="2">
        <v>312.39519999999999</v>
      </c>
      <c r="M83" s="1">
        <v>46193.431250000001</v>
      </c>
      <c r="N83" t="s">
        <v>26</v>
      </c>
    </row>
    <row r="84" spans="1:14" x14ac:dyDescent="0.25">
      <c r="A84" s="9" t="s">
        <v>5211</v>
      </c>
      <c r="B84" s="10">
        <v>714</v>
      </c>
      <c r="C84" s="10" t="s">
        <v>126</v>
      </c>
      <c r="D84" t="s">
        <v>870</v>
      </c>
      <c r="E84" t="s">
        <v>871</v>
      </c>
      <c r="F84" s="10" t="s">
        <v>112</v>
      </c>
      <c r="G84" s="2">
        <v>6.9904999999999999</v>
      </c>
      <c r="H84" s="13">
        <v>46</v>
      </c>
      <c r="I84" s="13">
        <v>0</v>
      </c>
      <c r="J84" s="13">
        <v>0</v>
      </c>
      <c r="K84" s="10">
        <v>46</v>
      </c>
      <c r="L84" s="2">
        <v>321.56299999999999</v>
      </c>
      <c r="M84" s="1">
        <v>46199.499305555553</v>
      </c>
      <c r="N84" t="s">
        <v>16</v>
      </c>
    </row>
    <row r="85" spans="1:14" x14ac:dyDescent="0.25">
      <c r="A85" s="9" t="s">
        <v>5211</v>
      </c>
      <c r="B85" s="10">
        <v>636</v>
      </c>
      <c r="C85" s="10" t="s">
        <v>70</v>
      </c>
      <c r="D85" t="s">
        <v>121</v>
      </c>
      <c r="E85" t="s">
        <v>122</v>
      </c>
      <c r="F85" s="10" t="s">
        <v>112</v>
      </c>
      <c r="G85" s="2">
        <v>4.9665999999999997</v>
      </c>
      <c r="H85" s="13">
        <v>46</v>
      </c>
      <c r="I85" s="13">
        <v>-37</v>
      </c>
      <c r="J85" s="13">
        <v>37</v>
      </c>
      <c r="K85" s="10">
        <v>46</v>
      </c>
      <c r="L85" s="2">
        <v>228.46360000000001</v>
      </c>
      <c r="M85" s="1">
        <v>46247.311111111114</v>
      </c>
      <c r="N85" t="s">
        <v>268</v>
      </c>
    </row>
    <row r="86" spans="1:14" x14ac:dyDescent="0.25">
      <c r="A86" s="9" t="s">
        <v>5211</v>
      </c>
      <c r="B86" s="10">
        <v>718</v>
      </c>
      <c r="C86" s="10" t="s">
        <v>70</v>
      </c>
      <c r="D86" t="s">
        <v>753</v>
      </c>
      <c r="E86" t="s">
        <v>754</v>
      </c>
      <c r="F86" s="10" t="s">
        <v>39</v>
      </c>
      <c r="G86" s="2">
        <v>6.3392999999999997</v>
      </c>
      <c r="H86" s="13">
        <v>45</v>
      </c>
      <c r="I86" s="13">
        <v>0</v>
      </c>
      <c r="J86" s="13">
        <v>0</v>
      </c>
      <c r="K86" s="10">
        <v>45</v>
      </c>
      <c r="L86" s="2">
        <v>285.26850000000002</v>
      </c>
      <c r="M86" s="1">
        <v>46193.592361111114</v>
      </c>
      <c r="N86" t="s">
        <v>26</v>
      </c>
    </row>
    <row r="87" spans="1:14" x14ac:dyDescent="0.25">
      <c r="A87" s="9" t="s">
        <v>5211</v>
      </c>
      <c r="B87" s="10">
        <v>718</v>
      </c>
      <c r="C87" s="10" t="s">
        <v>70</v>
      </c>
      <c r="D87" t="s">
        <v>4018</v>
      </c>
      <c r="E87" t="s">
        <v>4019</v>
      </c>
      <c r="F87" s="10" t="s">
        <v>112</v>
      </c>
      <c r="G87" s="2">
        <v>6.6970999999999998</v>
      </c>
      <c r="H87" s="13">
        <v>45</v>
      </c>
      <c r="I87" s="13">
        <v>51</v>
      </c>
      <c r="J87" s="13">
        <v>-51</v>
      </c>
      <c r="K87" s="10">
        <v>45</v>
      </c>
      <c r="L87" s="2">
        <v>301.36950000000002</v>
      </c>
      <c r="M87" s="1">
        <v>46195.661111111112</v>
      </c>
      <c r="N87" t="s">
        <v>878</v>
      </c>
    </row>
    <row r="88" spans="1:14" x14ac:dyDescent="0.25">
      <c r="A88" s="9" t="s">
        <v>5211</v>
      </c>
      <c r="B88" s="10">
        <v>714</v>
      </c>
      <c r="C88" s="10" t="s">
        <v>70</v>
      </c>
      <c r="D88" t="s">
        <v>2079</v>
      </c>
      <c r="E88" t="s">
        <v>2080</v>
      </c>
      <c r="F88" s="10" t="s">
        <v>39</v>
      </c>
      <c r="G88" s="2">
        <v>6.7224000000000004</v>
      </c>
      <c r="H88" s="13">
        <v>45</v>
      </c>
      <c r="I88" s="13">
        <v>0</v>
      </c>
      <c r="J88" s="13">
        <v>0</v>
      </c>
      <c r="K88" s="10">
        <v>45</v>
      </c>
      <c r="L88" s="2">
        <v>302.50799999999998</v>
      </c>
      <c r="M88" s="1">
        <v>46198.40902777778</v>
      </c>
      <c r="N88" t="s">
        <v>573</v>
      </c>
    </row>
    <row r="89" spans="1:14" x14ac:dyDescent="0.25">
      <c r="A89" s="9" t="s">
        <v>5211</v>
      </c>
      <c r="B89" s="10">
        <v>714</v>
      </c>
      <c r="C89" s="10" t="s">
        <v>1749</v>
      </c>
      <c r="D89" t="s">
        <v>3574</v>
      </c>
      <c r="E89" t="s">
        <v>3575</v>
      </c>
      <c r="F89" s="10" t="s">
        <v>112</v>
      </c>
      <c r="G89" s="2">
        <v>4.3765000000000001</v>
      </c>
      <c r="H89" s="13">
        <v>45</v>
      </c>
      <c r="I89" s="13">
        <v>0</v>
      </c>
      <c r="J89" s="13">
        <v>0</v>
      </c>
      <c r="K89" s="10">
        <v>45</v>
      </c>
      <c r="L89" s="2">
        <v>196.9425</v>
      </c>
      <c r="M89" s="1">
        <v>46203.393055555556</v>
      </c>
      <c r="N89" t="s">
        <v>1951</v>
      </c>
    </row>
    <row r="90" spans="1:14" x14ac:dyDescent="0.25">
      <c r="A90" s="9" t="s">
        <v>5211</v>
      </c>
      <c r="B90" s="10">
        <v>714</v>
      </c>
      <c r="C90" s="10" t="s">
        <v>143</v>
      </c>
      <c r="D90" t="s">
        <v>2636</v>
      </c>
      <c r="E90" t="s">
        <v>2637</v>
      </c>
      <c r="F90" s="10" t="s">
        <v>19</v>
      </c>
      <c r="G90" s="2">
        <v>24.386099999999999</v>
      </c>
      <c r="H90" s="13">
        <v>45</v>
      </c>
      <c r="I90" s="13">
        <v>0</v>
      </c>
      <c r="J90" s="13">
        <v>0</v>
      </c>
      <c r="K90" s="10">
        <v>45</v>
      </c>
      <c r="L90" s="2">
        <v>1097.3744999999999</v>
      </c>
      <c r="M90" s="1">
        <v>46224.59652777778</v>
      </c>
      <c r="N90" t="s">
        <v>36</v>
      </c>
    </row>
    <row r="91" spans="1:14" x14ac:dyDescent="0.25">
      <c r="A91" s="9" t="s">
        <v>5211</v>
      </c>
      <c r="B91" s="10">
        <v>636</v>
      </c>
      <c r="C91" s="10" t="s">
        <v>143</v>
      </c>
      <c r="D91" t="s">
        <v>4479</v>
      </c>
      <c r="E91" t="s">
        <v>4480</v>
      </c>
      <c r="F91" s="10" t="s">
        <v>158</v>
      </c>
      <c r="G91" s="2">
        <v>42.0505</v>
      </c>
      <c r="H91" s="13">
        <v>44</v>
      </c>
      <c r="I91" s="13">
        <v>132</v>
      </c>
      <c r="J91" s="13">
        <v>-132</v>
      </c>
      <c r="K91" s="10">
        <v>44</v>
      </c>
      <c r="L91" s="2">
        <v>1850.222</v>
      </c>
      <c r="M91" s="1">
        <v>46123.402083333334</v>
      </c>
      <c r="N91" t="s">
        <v>216</v>
      </c>
    </row>
    <row r="92" spans="1:14" x14ac:dyDescent="0.25">
      <c r="A92" s="9" t="s">
        <v>5211</v>
      </c>
      <c r="B92" s="10">
        <v>714</v>
      </c>
      <c r="C92" s="10" t="s">
        <v>143</v>
      </c>
      <c r="D92" t="s">
        <v>2328</v>
      </c>
      <c r="E92" t="s">
        <v>2329</v>
      </c>
      <c r="F92" s="10" t="s">
        <v>29</v>
      </c>
      <c r="G92" s="2">
        <v>15.7888</v>
      </c>
      <c r="H92" s="13">
        <v>44</v>
      </c>
      <c r="I92" s="13">
        <v>0</v>
      </c>
      <c r="J92" s="13">
        <v>0</v>
      </c>
      <c r="K92" s="10">
        <v>44</v>
      </c>
      <c r="L92" s="2">
        <v>694.70719999999994</v>
      </c>
      <c r="M92" s="1">
        <v>46188.356249999997</v>
      </c>
      <c r="N92" t="s">
        <v>509</v>
      </c>
    </row>
    <row r="93" spans="1:14" x14ac:dyDescent="0.25">
      <c r="A93" s="9" t="s">
        <v>5211</v>
      </c>
      <c r="B93" s="10">
        <v>636</v>
      </c>
      <c r="C93" s="10" t="s">
        <v>143</v>
      </c>
      <c r="D93" t="s">
        <v>4202</v>
      </c>
      <c r="E93" t="s">
        <v>4203</v>
      </c>
      <c r="F93" s="10" t="s">
        <v>43</v>
      </c>
      <c r="G93" s="2">
        <v>137.90889999999999</v>
      </c>
      <c r="H93" s="13">
        <v>44</v>
      </c>
      <c r="I93" s="13">
        <v>84</v>
      </c>
      <c r="J93" s="13">
        <v>-84</v>
      </c>
      <c r="K93" s="10">
        <v>44</v>
      </c>
      <c r="L93" s="2">
        <v>6067.9916000000003</v>
      </c>
      <c r="M93" s="1">
        <v>46225.477083333331</v>
      </c>
      <c r="N93" t="s">
        <v>402</v>
      </c>
    </row>
    <row r="94" spans="1:14" x14ac:dyDescent="0.25">
      <c r="A94" s="9" t="s">
        <v>5211</v>
      </c>
      <c r="B94" s="10">
        <v>636</v>
      </c>
      <c r="C94" s="10" t="s">
        <v>70</v>
      </c>
      <c r="D94" t="s">
        <v>666</v>
      </c>
      <c r="E94" t="s">
        <v>667</v>
      </c>
      <c r="F94" s="10" t="s">
        <v>112</v>
      </c>
      <c r="G94" s="2">
        <v>3.1873</v>
      </c>
      <c r="H94" s="13">
        <v>43</v>
      </c>
      <c r="I94" s="13">
        <v>0</v>
      </c>
      <c r="J94" s="13">
        <v>0</v>
      </c>
      <c r="K94" s="10">
        <v>43</v>
      </c>
      <c r="L94" s="2">
        <v>137.0539</v>
      </c>
      <c r="M94" s="1">
        <v>46111.487500000003</v>
      </c>
      <c r="N94" t="s">
        <v>545</v>
      </c>
    </row>
    <row r="95" spans="1:14" x14ac:dyDescent="0.25">
      <c r="A95" s="9" t="s">
        <v>5211</v>
      </c>
      <c r="B95" s="10">
        <v>634</v>
      </c>
      <c r="C95" s="10" t="s">
        <v>323</v>
      </c>
      <c r="D95" t="s">
        <v>4363</v>
      </c>
      <c r="E95" t="s">
        <v>4364</v>
      </c>
      <c r="F95" s="10" t="s">
        <v>43</v>
      </c>
      <c r="G95" s="2">
        <v>51.931800000000003</v>
      </c>
      <c r="H95" s="13">
        <v>43</v>
      </c>
      <c r="I95" s="13">
        <v>13</v>
      </c>
      <c r="J95" s="13">
        <v>-13</v>
      </c>
      <c r="K95" s="10">
        <v>43</v>
      </c>
      <c r="L95" s="2">
        <v>2233.0673999999999</v>
      </c>
      <c r="M95" s="1">
        <v>46184.432638888888</v>
      </c>
      <c r="N95" t="s">
        <v>146</v>
      </c>
    </row>
    <row r="96" spans="1:14" x14ac:dyDescent="0.25">
      <c r="A96" s="9" t="s">
        <v>5211</v>
      </c>
      <c r="B96" s="10">
        <v>718</v>
      </c>
      <c r="C96" s="10" t="s">
        <v>70</v>
      </c>
      <c r="D96" t="s">
        <v>1987</v>
      </c>
      <c r="E96" t="s">
        <v>1988</v>
      </c>
      <c r="F96" s="10" t="s">
        <v>39</v>
      </c>
      <c r="G96" s="2">
        <v>6.3131000000000004</v>
      </c>
      <c r="H96" s="13">
        <v>43</v>
      </c>
      <c r="I96" s="13">
        <v>-5</v>
      </c>
      <c r="J96" s="13">
        <v>5</v>
      </c>
      <c r="K96" s="10">
        <v>43</v>
      </c>
      <c r="L96" s="2">
        <v>271.4633</v>
      </c>
      <c r="M96" s="1">
        <v>46193.592361111114</v>
      </c>
      <c r="N96" t="s">
        <v>26</v>
      </c>
    </row>
    <row r="97" spans="1:14" x14ac:dyDescent="0.25">
      <c r="A97" s="9" t="s">
        <v>5211</v>
      </c>
      <c r="B97" s="10">
        <v>636</v>
      </c>
      <c r="C97" s="10" t="s">
        <v>70</v>
      </c>
      <c r="D97" t="s">
        <v>755</v>
      </c>
      <c r="E97" t="s">
        <v>756</v>
      </c>
      <c r="F97" s="10" t="s">
        <v>39</v>
      </c>
      <c r="G97" s="2">
        <v>8.2673000000000005</v>
      </c>
      <c r="H97" s="13">
        <v>43</v>
      </c>
      <c r="I97" s="13">
        <v>0</v>
      </c>
      <c r="J97" s="13">
        <v>0</v>
      </c>
      <c r="K97" s="10">
        <v>43</v>
      </c>
      <c r="L97" s="2">
        <v>355.4939</v>
      </c>
      <c r="M97" s="1">
        <v>46199.375</v>
      </c>
      <c r="N97" t="s">
        <v>16</v>
      </c>
    </row>
    <row r="98" spans="1:14" x14ac:dyDescent="0.25">
      <c r="A98" s="9" t="s">
        <v>5211</v>
      </c>
      <c r="B98" s="10">
        <v>714</v>
      </c>
      <c r="C98" s="10" t="s">
        <v>70</v>
      </c>
      <c r="D98" t="s">
        <v>2174</v>
      </c>
      <c r="E98" t="s">
        <v>2175</v>
      </c>
      <c r="F98" s="10" t="s">
        <v>29</v>
      </c>
      <c r="G98" s="2">
        <v>7.8945999999999996</v>
      </c>
      <c r="H98" s="13">
        <v>43</v>
      </c>
      <c r="I98" s="13">
        <v>0</v>
      </c>
      <c r="J98" s="13">
        <v>0</v>
      </c>
      <c r="K98" s="10">
        <v>43</v>
      </c>
      <c r="L98" s="2">
        <v>339.46780000000001</v>
      </c>
      <c r="M98" s="1">
        <v>46239.595833333333</v>
      </c>
      <c r="N98" t="s">
        <v>40</v>
      </c>
    </row>
    <row r="99" spans="1:14" x14ac:dyDescent="0.25">
      <c r="A99" s="9" t="s">
        <v>5211</v>
      </c>
      <c r="B99" s="10">
        <v>714</v>
      </c>
      <c r="C99" s="10" t="s">
        <v>143</v>
      </c>
      <c r="D99" t="s">
        <v>1206</v>
      </c>
      <c r="E99" t="s">
        <v>1207</v>
      </c>
      <c r="F99" s="10" t="s">
        <v>23</v>
      </c>
      <c r="G99" s="2">
        <v>31.8233</v>
      </c>
      <c r="H99" s="13">
        <v>42</v>
      </c>
      <c r="I99" s="13">
        <v>-13</v>
      </c>
      <c r="J99" s="13">
        <v>13</v>
      </c>
      <c r="K99" s="10">
        <v>42</v>
      </c>
      <c r="L99" s="2">
        <v>1336.5786000000001</v>
      </c>
      <c r="M99" s="1">
        <v>45958.450694444444</v>
      </c>
      <c r="N99" t="s">
        <v>1870</v>
      </c>
    </row>
    <row r="100" spans="1:14" x14ac:dyDescent="0.25">
      <c r="A100" s="9" t="s">
        <v>5211</v>
      </c>
      <c r="B100" s="10">
        <v>714</v>
      </c>
      <c r="C100" s="10" t="s">
        <v>70</v>
      </c>
      <c r="D100" t="s">
        <v>2081</v>
      </c>
      <c r="E100" t="s">
        <v>2082</v>
      </c>
      <c r="F100" s="10" t="s">
        <v>23</v>
      </c>
      <c r="G100" s="2">
        <v>5.92</v>
      </c>
      <c r="H100" s="13">
        <v>42</v>
      </c>
      <c r="I100" s="13">
        <v>-9</v>
      </c>
      <c r="J100" s="13">
        <v>9</v>
      </c>
      <c r="K100" s="10">
        <v>42</v>
      </c>
      <c r="L100" s="2">
        <v>248.64</v>
      </c>
      <c r="M100" s="1">
        <v>46177.484722222223</v>
      </c>
      <c r="N100" t="s">
        <v>878</v>
      </c>
    </row>
    <row r="101" spans="1:14" x14ac:dyDescent="0.25">
      <c r="A101" s="9" t="s">
        <v>5211</v>
      </c>
      <c r="B101" s="10">
        <v>714</v>
      </c>
      <c r="C101" s="10" t="s">
        <v>70</v>
      </c>
      <c r="D101" t="s">
        <v>1968</v>
      </c>
      <c r="E101" t="s">
        <v>1969</v>
      </c>
      <c r="F101" s="10" t="s">
        <v>112</v>
      </c>
      <c r="G101" s="2">
        <v>2.9106000000000001</v>
      </c>
      <c r="H101" s="13">
        <v>42</v>
      </c>
      <c r="I101" s="13">
        <v>0</v>
      </c>
      <c r="J101" s="13">
        <v>0</v>
      </c>
      <c r="K101" s="10">
        <v>42</v>
      </c>
      <c r="L101" s="2">
        <v>122.2452</v>
      </c>
      <c r="M101" s="1">
        <v>46197.400694444441</v>
      </c>
      <c r="N101" t="s">
        <v>506</v>
      </c>
    </row>
    <row r="102" spans="1:14" x14ac:dyDescent="0.25">
      <c r="A102" s="9" t="s">
        <v>5211</v>
      </c>
      <c r="B102" s="10">
        <v>714</v>
      </c>
      <c r="C102" s="10" t="s">
        <v>143</v>
      </c>
      <c r="D102" t="s">
        <v>4521</v>
      </c>
      <c r="E102" t="s">
        <v>4522</v>
      </c>
      <c r="F102" s="10" t="s">
        <v>23</v>
      </c>
      <c r="G102" s="2">
        <v>12.337400000000001</v>
      </c>
      <c r="H102" s="13">
        <v>42</v>
      </c>
      <c r="I102" s="13">
        <v>7</v>
      </c>
      <c r="J102" s="13">
        <v>-7</v>
      </c>
      <c r="K102" s="10">
        <v>42</v>
      </c>
      <c r="L102" s="2">
        <v>518.17079999999999</v>
      </c>
      <c r="M102" s="1">
        <v>46200.333333333336</v>
      </c>
      <c r="N102" t="s">
        <v>1154</v>
      </c>
    </row>
    <row r="103" spans="1:14" x14ac:dyDescent="0.25">
      <c r="A103" s="9" t="s">
        <v>5211</v>
      </c>
      <c r="B103" s="10">
        <v>636</v>
      </c>
      <c r="C103" s="10" t="s">
        <v>143</v>
      </c>
      <c r="D103" t="s">
        <v>1052</v>
      </c>
      <c r="E103" t="s">
        <v>1053</v>
      </c>
      <c r="F103" s="10" t="s">
        <v>39</v>
      </c>
      <c r="G103" s="2">
        <v>14.084899999999999</v>
      </c>
      <c r="H103" s="13">
        <v>41</v>
      </c>
      <c r="I103" s="13">
        <v>0</v>
      </c>
      <c r="J103" s="13">
        <v>0</v>
      </c>
      <c r="K103" s="10">
        <v>41</v>
      </c>
      <c r="L103" s="2">
        <v>577.48090000000002</v>
      </c>
      <c r="M103" s="1">
        <v>46125.395833333336</v>
      </c>
      <c r="N103" t="s">
        <v>40</v>
      </c>
    </row>
    <row r="104" spans="1:14" x14ac:dyDescent="0.25">
      <c r="A104" s="9" t="s">
        <v>5211</v>
      </c>
      <c r="B104" s="10">
        <v>718</v>
      </c>
      <c r="C104" s="10" t="s">
        <v>70</v>
      </c>
      <c r="D104" t="s">
        <v>3659</v>
      </c>
      <c r="E104" t="s">
        <v>3660</v>
      </c>
      <c r="F104" s="10" t="s">
        <v>39</v>
      </c>
      <c r="G104" s="2">
        <v>5.3041</v>
      </c>
      <c r="H104" s="13">
        <v>41</v>
      </c>
      <c r="I104" s="13">
        <v>-13</v>
      </c>
      <c r="J104" s="13">
        <v>13</v>
      </c>
      <c r="K104" s="10">
        <v>41</v>
      </c>
      <c r="L104" s="2">
        <v>217.46809999999999</v>
      </c>
      <c r="M104" s="1">
        <v>46193.592361111114</v>
      </c>
      <c r="N104" t="s">
        <v>26</v>
      </c>
    </row>
    <row r="105" spans="1:14" x14ac:dyDescent="0.25">
      <c r="A105" s="9" t="s">
        <v>5211</v>
      </c>
      <c r="B105" s="10">
        <v>636</v>
      </c>
      <c r="C105" s="10" t="s">
        <v>143</v>
      </c>
      <c r="D105" t="s">
        <v>4158</v>
      </c>
      <c r="E105" t="s">
        <v>4159</v>
      </c>
      <c r="F105" s="10" t="s">
        <v>43</v>
      </c>
      <c r="G105" s="2">
        <v>15.389200000000001</v>
      </c>
      <c r="H105" s="13">
        <v>40</v>
      </c>
      <c r="I105" s="13">
        <v>11</v>
      </c>
      <c r="J105" s="13">
        <v>-11</v>
      </c>
      <c r="K105" s="10">
        <v>40</v>
      </c>
      <c r="L105" s="2">
        <v>615.56799999999998</v>
      </c>
      <c r="M105" s="1">
        <v>46132.693749999999</v>
      </c>
      <c r="N105" t="s">
        <v>26</v>
      </c>
    </row>
    <row r="106" spans="1:14" x14ac:dyDescent="0.25">
      <c r="A106" s="9" t="s">
        <v>5211</v>
      </c>
      <c r="B106" s="10">
        <v>718</v>
      </c>
      <c r="C106" s="10" t="s">
        <v>12</v>
      </c>
      <c r="D106" t="s">
        <v>4693</v>
      </c>
      <c r="E106" t="s">
        <v>4694</v>
      </c>
      <c r="F106" s="10" t="s">
        <v>112</v>
      </c>
      <c r="G106" s="2">
        <v>0.621</v>
      </c>
      <c r="H106" s="13">
        <v>40</v>
      </c>
      <c r="I106" s="13">
        <v>0</v>
      </c>
      <c r="J106" s="13">
        <v>0</v>
      </c>
      <c r="K106" s="10">
        <v>40</v>
      </c>
      <c r="L106" s="2">
        <v>24.84</v>
      </c>
      <c r="M106" s="1">
        <v>46156.38958333333</v>
      </c>
      <c r="N106" t="s">
        <v>1932</v>
      </c>
    </row>
    <row r="107" spans="1:14" x14ac:dyDescent="0.25">
      <c r="A107" s="9" t="s">
        <v>5211</v>
      </c>
      <c r="B107" s="10">
        <v>714</v>
      </c>
      <c r="C107" s="10" t="s">
        <v>143</v>
      </c>
      <c r="D107" t="s">
        <v>4899</v>
      </c>
      <c r="E107" t="s">
        <v>4900</v>
      </c>
      <c r="F107" s="10" t="s">
        <v>29</v>
      </c>
      <c r="G107" s="2">
        <v>8.3321000000000005</v>
      </c>
      <c r="H107" s="13">
        <v>40</v>
      </c>
      <c r="I107" s="13">
        <v>0</v>
      </c>
      <c r="J107" s="13">
        <v>0</v>
      </c>
      <c r="K107" s="10">
        <v>40</v>
      </c>
      <c r="L107" s="2">
        <v>333.28399999999999</v>
      </c>
      <c r="M107" s="1">
        <v>46174.404166666667</v>
      </c>
      <c r="N107" t="s">
        <v>26</v>
      </c>
    </row>
    <row r="108" spans="1:14" x14ac:dyDescent="0.25">
      <c r="A108" s="9" t="s">
        <v>5211</v>
      </c>
      <c r="B108" s="10">
        <v>718</v>
      </c>
      <c r="C108" s="10" t="s">
        <v>143</v>
      </c>
      <c r="D108" t="s">
        <v>3713</v>
      </c>
      <c r="E108" t="s">
        <v>3714</v>
      </c>
      <c r="F108" s="10" t="s">
        <v>19</v>
      </c>
      <c r="G108" s="2">
        <v>19.282499999999999</v>
      </c>
      <c r="H108" s="13">
        <v>40</v>
      </c>
      <c r="I108" s="13">
        <v>0</v>
      </c>
      <c r="J108" s="13">
        <v>0</v>
      </c>
      <c r="K108" s="10">
        <v>40</v>
      </c>
      <c r="L108" s="2">
        <v>771.3</v>
      </c>
      <c r="M108" s="1">
        <v>46183.404861111114</v>
      </c>
      <c r="N108" t="s">
        <v>40</v>
      </c>
    </row>
    <row r="109" spans="1:14" x14ac:dyDescent="0.25">
      <c r="A109" s="9" t="s">
        <v>5211</v>
      </c>
      <c r="B109" s="10">
        <v>714</v>
      </c>
      <c r="C109" s="10" t="s">
        <v>143</v>
      </c>
      <c r="D109" t="s">
        <v>196</v>
      </c>
      <c r="E109" t="s">
        <v>197</v>
      </c>
      <c r="F109" s="10" t="s">
        <v>112</v>
      </c>
      <c r="G109" s="2">
        <v>16.6387</v>
      </c>
      <c r="H109" s="13">
        <v>40</v>
      </c>
      <c r="I109" s="13">
        <v>7</v>
      </c>
      <c r="J109" s="13">
        <v>-7</v>
      </c>
      <c r="K109" s="10">
        <v>40</v>
      </c>
      <c r="L109" s="2">
        <v>665.548</v>
      </c>
      <c r="M109" s="1">
        <v>46188.35</v>
      </c>
      <c r="N109" t="s">
        <v>26</v>
      </c>
    </row>
    <row r="110" spans="1:14" x14ac:dyDescent="0.25">
      <c r="A110" s="9" t="s">
        <v>5211</v>
      </c>
      <c r="B110" s="10">
        <v>714</v>
      </c>
      <c r="C110" s="10" t="s">
        <v>143</v>
      </c>
      <c r="D110" t="s">
        <v>4855</v>
      </c>
      <c r="E110" t="s">
        <v>4856</v>
      </c>
      <c r="F110" s="10" t="s">
        <v>39</v>
      </c>
      <c r="G110" s="2">
        <v>16.440000000000001</v>
      </c>
      <c r="H110" s="13">
        <v>40</v>
      </c>
      <c r="I110" s="13">
        <v>0</v>
      </c>
      <c r="J110" s="13">
        <v>0</v>
      </c>
      <c r="K110" s="10">
        <v>40</v>
      </c>
      <c r="L110" s="2">
        <v>657.6</v>
      </c>
      <c r="M110" s="1">
        <v>46190.568055555559</v>
      </c>
      <c r="N110" t="s">
        <v>40</v>
      </c>
    </row>
    <row r="111" spans="1:14" x14ac:dyDescent="0.25">
      <c r="A111" s="9" t="s">
        <v>5211</v>
      </c>
      <c r="B111" s="10">
        <v>718</v>
      </c>
      <c r="C111" s="10" t="s">
        <v>143</v>
      </c>
      <c r="D111" t="s">
        <v>1065</v>
      </c>
      <c r="E111" t="s">
        <v>1066</v>
      </c>
      <c r="F111" s="10" t="s">
        <v>112</v>
      </c>
      <c r="G111" s="2">
        <v>13.6152</v>
      </c>
      <c r="H111" s="13">
        <v>40</v>
      </c>
      <c r="I111" s="13">
        <v>0</v>
      </c>
      <c r="J111" s="13">
        <v>0</v>
      </c>
      <c r="K111" s="10">
        <v>40</v>
      </c>
      <c r="L111" s="2">
        <v>544.60799999999995</v>
      </c>
      <c r="M111" s="1">
        <v>46193.592361111114</v>
      </c>
      <c r="N111" t="s">
        <v>26</v>
      </c>
    </row>
    <row r="112" spans="1:14" x14ac:dyDescent="0.25">
      <c r="A112" s="9" t="s">
        <v>5211</v>
      </c>
      <c r="B112" s="10">
        <v>714</v>
      </c>
      <c r="C112" s="10" t="s">
        <v>143</v>
      </c>
      <c r="D112" t="s">
        <v>2213</v>
      </c>
      <c r="E112" t="s">
        <v>2214</v>
      </c>
      <c r="F112" s="10" t="s">
        <v>29</v>
      </c>
      <c r="G112" s="2">
        <v>5.3890000000000002</v>
      </c>
      <c r="H112" s="13">
        <v>40</v>
      </c>
      <c r="I112" s="13">
        <v>0</v>
      </c>
      <c r="J112" s="13">
        <v>0</v>
      </c>
      <c r="K112" s="10">
        <v>40</v>
      </c>
      <c r="L112" s="2">
        <v>215.56</v>
      </c>
      <c r="M112" s="1">
        <v>46213.45</v>
      </c>
      <c r="N112" t="s">
        <v>1877</v>
      </c>
    </row>
    <row r="113" spans="1:14" x14ac:dyDescent="0.25">
      <c r="A113" s="9" t="s">
        <v>5211</v>
      </c>
      <c r="B113" s="10">
        <v>718</v>
      </c>
      <c r="C113" s="10" t="s">
        <v>70</v>
      </c>
      <c r="D113" t="s">
        <v>2147</v>
      </c>
      <c r="E113" t="s">
        <v>2148</v>
      </c>
      <c r="F113" s="10" t="s">
        <v>112</v>
      </c>
      <c r="G113" s="2">
        <v>7.2092999999999998</v>
      </c>
      <c r="H113" s="13">
        <v>40</v>
      </c>
      <c r="I113" s="13">
        <v>6</v>
      </c>
      <c r="J113" s="13">
        <v>-6</v>
      </c>
      <c r="K113" s="10">
        <v>40</v>
      </c>
      <c r="L113" s="2">
        <v>288.37200000000001</v>
      </c>
      <c r="M113" s="1">
        <v>46225.595138888886</v>
      </c>
      <c r="N113" t="s">
        <v>40</v>
      </c>
    </row>
    <row r="114" spans="1:14" x14ac:dyDescent="0.25">
      <c r="A114" s="9" t="s">
        <v>5211</v>
      </c>
      <c r="B114" s="10">
        <v>714</v>
      </c>
      <c r="C114" s="10" t="s">
        <v>12</v>
      </c>
      <c r="D114" t="s">
        <v>516</v>
      </c>
      <c r="E114" t="s">
        <v>517</v>
      </c>
      <c r="F114" s="10" t="s">
        <v>29</v>
      </c>
      <c r="G114" s="2">
        <v>6.2336999999999998</v>
      </c>
      <c r="H114" s="13">
        <v>40</v>
      </c>
      <c r="I114" s="13">
        <v>-6</v>
      </c>
      <c r="J114" s="13">
        <v>6</v>
      </c>
      <c r="K114" s="10">
        <v>40</v>
      </c>
      <c r="L114" s="2">
        <v>249.34800000000001</v>
      </c>
      <c r="M114" s="1">
        <v>46231.486805555556</v>
      </c>
      <c r="N114" t="s">
        <v>94</v>
      </c>
    </row>
    <row r="115" spans="1:14" x14ac:dyDescent="0.25">
      <c r="A115" s="9" t="s">
        <v>5211</v>
      </c>
      <c r="B115" s="10">
        <v>718</v>
      </c>
      <c r="C115" s="10" t="s">
        <v>70</v>
      </c>
      <c r="D115" t="s">
        <v>3687</v>
      </c>
      <c r="E115" t="s">
        <v>3688</v>
      </c>
      <c r="F115" s="10" t="s">
        <v>39</v>
      </c>
      <c r="G115" s="2">
        <v>13.377800000000001</v>
      </c>
      <c r="H115" s="13">
        <v>40</v>
      </c>
      <c r="I115" s="13">
        <v>0</v>
      </c>
      <c r="J115" s="13">
        <v>0</v>
      </c>
      <c r="K115" s="10">
        <v>40</v>
      </c>
      <c r="L115" s="2">
        <v>535.11199999999997</v>
      </c>
      <c r="M115" s="1">
        <v>46232.446527777778</v>
      </c>
      <c r="N115" t="s">
        <v>40</v>
      </c>
    </row>
    <row r="116" spans="1:14" x14ac:dyDescent="0.25">
      <c r="A116" s="9" t="s">
        <v>5211</v>
      </c>
      <c r="B116" s="10">
        <v>714</v>
      </c>
      <c r="C116" s="10" t="s">
        <v>126</v>
      </c>
      <c r="D116" t="s">
        <v>874</v>
      </c>
      <c r="E116" t="s">
        <v>875</v>
      </c>
      <c r="F116" s="10" t="s">
        <v>23</v>
      </c>
      <c r="G116" s="2">
        <v>17.381799999999998</v>
      </c>
      <c r="H116" s="13">
        <v>40</v>
      </c>
      <c r="I116" s="13">
        <v>18</v>
      </c>
      <c r="J116" s="13">
        <v>-18</v>
      </c>
      <c r="K116" s="10">
        <v>40</v>
      </c>
      <c r="L116" s="2">
        <v>695.27200000000005</v>
      </c>
      <c r="M116" s="1">
        <v>46248.383333333331</v>
      </c>
      <c r="N116" t="s">
        <v>140</v>
      </c>
    </row>
    <row r="117" spans="1:14" x14ac:dyDescent="0.25">
      <c r="A117" s="9" t="s">
        <v>5211</v>
      </c>
      <c r="B117" s="10">
        <v>714</v>
      </c>
      <c r="C117" s="10" t="s">
        <v>12</v>
      </c>
      <c r="D117" t="s">
        <v>1894</v>
      </c>
      <c r="E117" t="s">
        <v>1895</v>
      </c>
      <c r="F117" s="10" t="s">
        <v>112</v>
      </c>
      <c r="G117" s="2">
        <v>12.7857</v>
      </c>
      <c r="H117" s="13">
        <v>39</v>
      </c>
      <c r="I117" s="13">
        <v>0</v>
      </c>
      <c r="J117" s="13">
        <v>0</v>
      </c>
      <c r="K117" s="10">
        <v>39</v>
      </c>
      <c r="L117" s="2">
        <v>498.64229999999998</v>
      </c>
      <c r="M117" s="1">
        <v>46147.684027777781</v>
      </c>
      <c r="N117" t="s">
        <v>1814</v>
      </c>
    </row>
    <row r="118" spans="1:14" x14ac:dyDescent="0.25">
      <c r="A118" s="9" t="s">
        <v>5211</v>
      </c>
      <c r="B118" s="10">
        <v>714</v>
      </c>
      <c r="C118" s="10" t="s">
        <v>70</v>
      </c>
      <c r="D118" t="s">
        <v>2149</v>
      </c>
      <c r="E118" t="s">
        <v>2150</v>
      </c>
      <c r="F118" s="10" t="s">
        <v>39</v>
      </c>
      <c r="G118" s="2">
        <v>6.2893999999999997</v>
      </c>
      <c r="H118" s="13">
        <v>39</v>
      </c>
      <c r="I118" s="13">
        <v>0</v>
      </c>
      <c r="J118" s="13">
        <v>0</v>
      </c>
      <c r="K118" s="10">
        <v>39</v>
      </c>
      <c r="L118" s="2">
        <v>245.28659999999999</v>
      </c>
      <c r="M118" s="1">
        <v>46176.70416666667</v>
      </c>
      <c r="N118" t="s">
        <v>94</v>
      </c>
    </row>
    <row r="119" spans="1:14" x14ac:dyDescent="0.25">
      <c r="A119" s="9" t="s">
        <v>5211</v>
      </c>
      <c r="B119" s="10">
        <v>714</v>
      </c>
      <c r="C119" s="10" t="s">
        <v>143</v>
      </c>
      <c r="D119" t="s">
        <v>4236</v>
      </c>
      <c r="E119" t="s">
        <v>4237</v>
      </c>
      <c r="F119" s="10" t="s">
        <v>43</v>
      </c>
      <c r="G119" s="2">
        <v>12.9842</v>
      </c>
      <c r="H119" s="13">
        <v>39</v>
      </c>
      <c r="I119" s="13">
        <v>94</v>
      </c>
      <c r="J119" s="13">
        <v>-94</v>
      </c>
      <c r="K119" s="10">
        <v>39</v>
      </c>
      <c r="L119" s="2">
        <v>506.38380000000001</v>
      </c>
      <c r="M119" s="1">
        <v>46195.50277777778</v>
      </c>
      <c r="N119" t="s">
        <v>665</v>
      </c>
    </row>
    <row r="120" spans="1:14" x14ac:dyDescent="0.25">
      <c r="A120" s="9" t="s">
        <v>5211</v>
      </c>
      <c r="B120" s="10">
        <v>714</v>
      </c>
      <c r="C120" s="10" t="s">
        <v>143</v>
      </c>
      <c r="D120" t="s">
        <v>4074</v>
      </c>
      <c r="E120" t="s">
        <v>4075</v>
      </c>
      <c r="F120" s="10" t="s">
        <v>43</v>
      </c>
      <c r="G120" s="2">
        <v>15.7331</v>
      </c>
      <c r="H120" s="13">
        <v>38</v>
      </c>
      <c r="I120" s="13">
        <v>46</v>
      </c>
      <c r="J120" s="13">
        <v>-46</v>
      </c>
      <c r="K120" s="10">
        <v>38</v>
      </c>
      <c r="L120" s="2">
        <v>597.8578</v>
      </c>
      <c r="M120" s="1">
        <v>46204.464583333334</v>
      </c>
      <c r="N120" t="s">
        <v>878</v>
      </c>
    </row>
    <row r="121" spans="1:14" x14ac:dyDescent="0.25">
      <c r="A121" s="9" t="s">
        <v>5211</v>
      </c>
      <c r="B121" s="10">
        <v>714</v>
      </c>
      <c r="C121" s="10" t="s">
        <v>12</v>
      </c>
      <c r="D121" t="s">
        <v>504</v>
      </c>
      <c r="E121" t="s">
        <v>505</v>
      </c>
      <c r="F121" s="10" t="s">
        <v>23</v>
      </c>
      <c r="G121" s="2">
        <v>6.5772000000000004</v>
      </c>
      <c r="H121" s="13">
        <v>38</v>
      </c>
      <c r="I121" s="13">
        <v>0</v>
      </c>
      <c r="J121" s="13">
        <v>0</v>
      </c>
      <c r="K121" s="10">
        <v>38</v>
      </c>
      <c r="L121" s="2">
        <v>249.93360000000001</v>
      </c>
      <c r="M121" s="1">
        <v>46239.576388888891</v>
      </c>
      <c r="N121" t="s">
        <v>573</v>
      </c>
    </row>
    <row r="122" spans="1:14" x14ac:dyDescent="0.25">
      <c r="A122" s="9" t="s">
        <v>5211</v>
      </c>
      <c r="B122" s="10">
        <v>714</v>
      </c>
      <c r="C122" s="10" t="s">
        <v>143</v>
      </c>
      <c r="D122" t="s">
        <v>4819</v>
      </c>
      <c r="E122" t="s">
        <v>4820</v>
      </c>
      <c r="F122" s="10" t="s">
        <v>23</v>
      </c>
      <c r="G122" s="2">
        <v>12.4124</v>
      </c>
      <c r="H122" s="13">
        <v>37</v>
      </c>
      <c r="I122" s="13">
        <v>19</v>
      </c>
      <c r="J122" s="13">
        <v>-19</v>
      </c>
      <c r="K122" s="10">
        <v>37</v>
      </c>
      <c r="L122" s="2">
        <v>459.25880000000001</v>
      </c>
      <c r="M122" s="1">
        <v>46112.315972222219</v>
      </c>
      <c r="N122" t="s">
        <v>36</v>
      </c>
    </row>
    <row r="123" spans="1:14" x14ac:dyDescent="0.25">
      <c r="A123" s="9" t="s">
        <v>5211</v>
      </c>
      <c r="B123" s="10">
        <v>714</v>
      </c>
      <c r="C123" s="10" t="s">
        <v>143</v>
      </c>
      <c r="D123" t="s">
        <v>2738</v>
      </c>
      <c r="E123" t="s">
        <v>2739</v>
      </c>
      <c r="F123" s="10" t="s">
        <v>19</v>
      </c>
      <c r="G123" s="2">
        <v>127.0788</v>
      </c>
      <c r="H123" s="13">
        <v>37</v>
      </c>
      <c r="I123" s="13">
        <v>4</v>
      </c>
      <c r="J123" s="13">
        <v>-4</v>
      </c>
      <c r="K123" s="10">
        <v>37</v>
      </c>
      <c r="L123" s="2">
        <v>4701.9156000000003</v>
      </c>
      <c r="M123" s="1">
        <v>46154.454861111109</v>
      </c>
      <c r="N123" t="s">
        <v>137</v>
      </c>
    </row>
    <row r="124" spans="1:14" x14ac:dyDescent="0.25">
      <c r="A124" s="9" t="s">
        <v>5211</v>
      </c>
      <c r="B124" s="10">
        <v>718</v>
      </c>
      <c r="C124" s="10" t="s">
        <v>70</v>
      </c>
      <c r="D124" t="s">
        <v>3651</v>
      </c>
      <c r="E124" t="s">
        <v>3652</v>
      </c>
      <c r="F124" s="10" t="s">
        <v>112</v>
      </c>
      <c r="G124" s="2">
        <v>10.75</v>
      </c>
      <c r="H124" s="13">
        <v>37</v>
      </c>
      <c r="I124" s="13">
        <v>0</v>
      </c>
      <c r="J124" s="13">
        <v>0</v>
      </c>
      <c r="K124" s="10">
        <v>37</v>
      </c>
      <c r="L124" s="2">
        <v>397.75</v>
      </c>
      <c r="M124" s="1">
        <v>46163.370833333334</v>
      </c>
      <c r="N124" t="s">
        <v>1932</v>
      </c>
    </row>
    <row r="125" spans="1:14" x14ac:dyDescent="0.25">
      <c r="A125" s="9" t="s">
        <v>5211</v>
      </c>
      <c r="B125" s="10">
        <v>714</v>
      </c>
      <c r="C125" s="10" t="s">
        <v>12</v>
      </c>
      <c r="D125" t="s">
        <v>1880</v>
      </c>
      <c r="E125" t="s">
        <v>1881</v>
      </c>
      <c r="F125" s="10" t="s">
        <v>43</v>
      </c>
      <c r="G125" s="2">
        <v>26.738099999999999</v>
      </c>
      <c r="H125" s="13">
        <v>37</v>
      </c>
      <c r="I125" s="13">
        <v>0</v>
      </c>
      <c r="J125" s="13">
        <v>0</v>
      </c>
      <c r="K125" s="10">
        <v>37</v>
      </c>
      <c r="L125" s="2">
        <v>989.30970000000002</v>
      </c>
      <c r="M125" s="1">
        <v>46200.382638888892</v>
      </c>
      <c r="N125" t="s">
        <v>1062</v>
      </c>
    </row>
    <row r="126" spans="1:14" x14ac:dyDescent="0.25">
      <c r="A126" s="9" t="s">
        <v>5211</v>
      </c>
      <c r="B126" s="10">
        <v>718</v>
      </c>
      <c r="C126" s="10" t="s">
        <v>70</v>
      </c>
      <c r="D126" t="s">
        <v>644</v>
      </c>
      <c r="E126" t="s">
        <v>645</v>
      </c>
      <c r="F126" s="10" t="s">
        <v>112</v>
      </c>
      <c r="G126" s="2">
        <v>8.1685999999999996</v>
      </c>
      <c r="H126" s="13">
        <v>37</v>
      </c>
      <c r="I126" s="13">
        <v>9</v>
      </c>
      <c r="J126" s="13">
        <v>-9</v>
      </c>
      <c r="K126" s="10">
        <v>37</v>
      </c>
      <c r="L126" s="2">
        <v>302.23820000000001</v>
      </c>
      <c r="M126" s="1">
        <v>46213.618750000001</v>
      </c>
      <c r="N126" t="s">
        <v>16</v>
      </c>
    </row>
    <row r="127" spans="1:14" x14ac:dyDescent="0.25">
      <c r="A127" s="9" t="s">
        <v>5211</v>
      </c>
      <c r="B127" s="10">
        <v>636</v>
      </c>
      <c r="C127" s="10" t="s">
        <v>70</v>
      </c>
      <c r="D127" t="s">
        <v>686</v>
      </c>
      <c r="E127" t="s">
        <v>687</v>
      </c>
      <c r="F127" s="10" t="s">
        <v>39</v>
      </c>
      <c r="G127" s="2">
        <v>8.5512999999999995</v>
      </c>
      <c r="H127" s="13">
        <v>36</v>
      </c>
      <c r="I127" s="13">
        <v>0</v>
      </c>
      <c r="J127" s="13">
        <v>0</v>
      </c>
      <c r="K127" s="10">
        <v>36</v>
      </c>
      <c r="L127" s="2">
        <v>307.84679999999997</v>
      </c>
      <c r="M127" s="1">
        <v>45793.375694444447</v>
      </c>
      <c r="N127" t="s">
        <v>542</v>
      </c>
    </row>
    <row r="128" spans="1:14" x14ac:dyDescent="0.25">
      <c r="A128" s="9" t="s">
        <v>5211</v>
      </c>
      <c r="B128" s="10">
        <v>714</v>
      </c>
      <c r="C128" s="10" t="s">
        <v>143</v>
      </c>
      <c r="D128" t="s">
        <v>2507</v>
      </c>
      <c r="E128" t="s">
        <v>2508</v>
      </c>
      <c r="F128" s="10" t="s">
        <v>23</v>
      </c>
      <c r="G128" s="2">
        <v>30.5044</v>
      </c>
      <c r="H128" s="13">
        <v>36</v>
      </c>
      <c r="I128" s="13">
        <v>-2</v>
      </c>
      <c r="J128" s="13">
        <v>2</v>
      </c>
      <c r="K128" s="10">
        <v>36</v>
      </c>
      <c r="L128" s="2">
        <v>1098.1584</v>
      </c>
      <c r="M128" s="1">
        <v>46112.315972222219</v>
      </c>
      <c r="N128" t="s">
        <v>36</v>
      </c>
    </row>
    <row r="129" spans="1:14" x14ac:dyDescent="0.25">
      <c r="A129" s="9" t="s">
        <v>5211</v>
      </c>
      <c r="B129" s="10">
        <v>636</v>
      </c>
      <c r="C129" s="10" t="s">
        <v>323</v>
      </c>
      <c r="D129" t="s">
        <v>4280</v>
      </c>
      <c r="E129" t="s">
        <v>4281</v>
      </c>
      <c r="F129" s="10" t="s">
        <v>158</v>
      </c>
      <c r="G129" s="2">
        <v>311.41090000000003</v>
      </c>
      <c r="H129" s="13">
        <v>36</v>
      </c>
      <c r="I129" s="13">
        <v>41</v>
      </c>
      <c r="J129" s="13">
        <v>-41</v>
      </c>
      <c r="K129" s="10">
        <v>36</v>
      </c>
      <c r="L129" s="2">
        <v>11210.7924</v>
      </c>
      <c r="M129" s="1">
        <v>46147.588194444441</v>
      </c>
      <c r="N129" t="s">
        <v>146</v>
      </c>
    </row>
    <row r="130" spans="1:14" x14ac:dyDescent="0.25">
      <c r="A130" s="9" t="s">
        <v>5211</v>
      </c>
      <c r="B130" s="10">
        <v>636</v>
      </c>
      <c r="C130" s="10" t="s">
        <v>70</v>
      </c>
      <c r="D130" t="s">
        <v>588</v>
      </c>
      <c r="E130" t="s">
        <v>589</v>
      </c>
      <c r="F130" s="10" t="s">
        <v>29</v>
      </c>
      <c r="G130" s="2">
        <v>5.5228000000000002</v>
      </c>
      <c r="H130" s="13">
        <v>36</v>
      </c>
      <c r="I130" s="13">
        <v>0</v>
      </c>
      <c r="J130" s="13">
        <v>0</v>
      </c>
      <c r="K130" s="10">
        <v>36</v>
      </c>
      <c r="L130" s="2">
        <v>198.82079999999999</v>
      </c>
      <c r="M130" s="1">
        <v>46177.399305555555</v>
      </c>
      <c r="N130" t="s">
        <v>16</v>
      </c>
    </row>
    <row r="131" spans="1:14" x14ac:dyDescent="0.25">
      <c r="A131" s="9" t="s">
        <v>5211</v>
      </c>
      <c r="B131" s="10">
        <v>718</v>
      </c>
      <c r="C131" s="10" t="s">
        <v>70</v>
      </c>
      <c r="D131" t="s">
        <v>77</v>
      </c>
      <c r="E131" t="s">
        <v>78</v>
      </c>
      <c r="F131" s="10" t="s">
        <v>81</v>
      </c>
      <c r="G131" s="2">
        <v>6.7211999999999996</v>
      </c>
      <c r="H131" s="13">
        <v>36</v>
      </c>
      <c r="I131" s="13">
        <v>-2</v>
      </c>
      <c r="J131" s="13">
        <v>2</v>
      </c>
      <c r="K131" s="10">
        <v>36</v>
      </c>
      <c r="L131" s="2">
        <v>241.9632</v>
      </c>
      <c r="M131" s="1">
        <v>46193.592361111114</v>
      </c>
      <c r="N131" t="s">
        <v>26</v>
      </c>
    </row>
    <row r="132" spans="1:14" x14ac:dyDescent="0.25">
      <c r="A132" s="9" t="s">
        <v>5211</v>
      </c>
      <c r="B132" s="10">
        <v>634</v>
      </c>
      <c r="C132" s="10" t="s">
        <v>12</v>
      </c>
      <c r="D132" t="s">
        <v>45</v>
      </c>
      <c r="E132" t="s">
        <v>46</v>
      </c>
      <c r="F132" s="10" t="s">
        <v>15</v>
      </c>
      <c r="G132" s="2">
        <v>6.0334000000000003</v>
      </c>
      <c r="H132" s="13">
        <v>35</v>
      </c>
      <c r="I132" s="13">
        <v>-7</v>
      </c>
      <c r="J132" s="13">
        <v>7</v>
      </c>
      <c r="K132" s="10">
        <v>35</v>
      </c>
      <c r="L132" s="2">
        <v>211.16900000000001</v>
      </c>
      <c r="M132" s="1">
        <v>45807.574999999997</v>
      </c>
      <c r="N132" t="s">
        <v>47</v>
      </c>
    </row>
    <row r="133" spans="1:14" x14ac:dyDescent="0.25">
      <c r="A133" s="9" t="s">
        <v>5211</v>
      </c>
      <c r="B133" s="10">
        <v>714</v>
      </c>
      <c r="C133" s="10" t="s">
        <v>323</v>
      </c>
      <c r="D133" t="s">
        <v>2864</v>
      </c>
      <c r="E133" t="s">
        <v>2865</v>
      </c>
      <c r="F133" s="10" t="s">
        <v>43</v>
      </c>
      <c r="G133" s="2">
        <v>104.0947</v>
      </c>
      <c r="H133" s="13">
        <v>35</v>
      </c>
      <c r="I133" s="13">
        <v>-3</v>
      </c>
      <c r="J133" s="13">
        <v>3</v>
      </c>
      <c r="K133" s="10">
        <v>35</v>
      </c>
      <c r="L133" s="2">
        <v>3643.3145</v>
      </c>
      <c r="M133" s="1">
        <v>46086.458333333336</v>
      </c>
      <c r="N133" t="s">
        <v>151</v>
      </c>
    </row>
    <row r="134" spans="1:14" x14ac:dyDescent="0.25">
      <c r="A134" s="9" t="s">
        <v>5211</v>
      </c>
      <c r="B134" s="10">
        <v>714</v>
      </c>
      <c r="C134" s="10" t="s">
        <v>143</v>
      </c>
      <c r="D134" t="s">
        <v>4885</v>
      </c>
      <c r="E134" t="s">
        <v>4886</v>
      </c>
      <c r="F134" s="10" t="s">
        <v>43</v>
      </c>
      <c r="G134" s="2">
        <v>31.003699999999998</v>
      </c>
      <c r="H134" s="13">
        <v>35</v>
      </c>
      <c r="I134" s="13">
        <v>0</v>
      </c>
      <c r="J134" s="13">
        <v>0</v>
      </c>
      <c r="K134" s="10">
        <v>35</v>
      </c>
      <c r="L134" s="2">
        <v>1085.1295</v>
      </c>
      <c r="M134" s="1">
        <v>46154.626388888886</v>
      </c>
      <c r="N134" t="s">
        <v>36</v>
      </c>
    </row>
    <row r="135" spans="1:14" x14ac:dyDescent="0.25">
      <c r="A135" s="9" t="s">
        <v>5211</v>
      </c>
      <c r="B135" s="10">
        <v>714</v>
      </c>
      <c r="C135" s="10" t="s">
        <v>143</v>
      </c>
      <c r="D135" t="s">
        <v>4124</v>
      </c>
      <c r="E135" t="s">
        <v>4125</v>
      </c>
      <c r="F135" s="10" t="s">
        <v>23</v>
      </c>
      <c r="G135" s="2">
        <v>13.955299999999999</v>
      </c>
      <c r="H135" s="13">
        <v>35</v>
      </c>
      <c r="I135" s="13">
        <v>28</v>
      </c>
      <c r="J135" s="13">
        <v>-28</v>
      </c>
      <c r="K135" s="10">
        <v>35</v>
      </c>
      <c r="L135" s="2">
        <v>488.43549999999999</v>
      </c>
      <c r="M135" s="1">
        <v>46164.634027777778</v>
      </c>
      <c r="N135" t="s">
        <v>162</v>
      </c>
    </row>
    <row r="136" spans="1:14" x14ac:dyDescent="0.25">
      <c r="A136" s="9" t="s">
        <v>5211</v>
      </c>
      <c r="B136" s="10">
        <v>714</v>
      </c>
      <c r="C136" s="10" t="s">
        <v>70</v>
      </c>
      <c r="D136" t="s">
        <v>2145</v>
      </c>
      <c r="E136" t="s">
        <v>2146</v>
      </c>
      <c r="F136" s="10" t="s">
        <v>39</v>
      </c>
      <c r="G136" s="2">
        <v>4.8959000000000001</v>
      </c>
      <c r="H136" s="13">
        <v>35</v>
      </c>
      <c r="I136" s="13">
        <v>0</v>
      </c>
      <c r="J136" s="13">
        <v>0</v>
      </c>
      <c r="K136" s="10">
        <v>35</v>
      </c>
      <c r="L136" s="2">
        <v>171.35650000000001</v>
      </c>
      <c r="M136" s="1">
        <v>46165.525000000001</v>
      </c>
      <c r="N136" t="s">
        <v>16</v>
      </c>
    </row>
    <row r="137" spans="1:14" x14ac:dyDescent="0.25">
      <c r="A137" s="9" t="s">
        <v>5211</v>
      </c>
      <c r="B137" s="10">
        <v>718</v>
      </c>
      <c r="C137" s="10" t="s">
        <v>70</v>
      </c>
      <c r="D137" t="s">
        <v>3633</v>
      </c>
      <c r="E137" t="s">
        <v>3634</v>
      </c>
      <c r="F137" s="10" t="s">
        <v>81</v>
      </c>
      <c r="G137" s="2">
        <v>6.7333999999999996</v>
      </c>
      <c r="H137" s="13">
        <v>35</v>
      </c>
      <c r="I137" s="13">
        <v>6</v>
      </c>
      <c r="J137" s="13">
        <v>-6</v>
      </c>
      <c r="K137" s="10">
        <v>35</v>
      </c>
      <c r="L137" s="2">
        <v>235.66900000000001</v>
      </c>
      <c r="M137" s="1">
        <v>46185.338888888888</v>
      </c>
      <c r="N137" t="s">
        <v>16</v>
      </c>
    </row>
    <row r="138" spans="1:14" x14ac:dyDescent="0.25">
      <c r="A138" s="9" t="s">
        <v>5211</v>
      </c>
      <c r="B138" s="10">
        <v>636</v>
      </c>
      <c r="C138" s="10" t="s">
        <v>143</v>
      </c>
      <c r="D138" t="s">
        <v>926</v>
      </c>
      <c r="E138" t="s">
        <v>927</v>
      </c>
      <c r="F138" s="10" t="s">
        <v>112</v>
      </c>
      <c r="G138" s="2">
        <v>15.7615</v>
      </c>
      <c r="H138" s="13">
        <v>35</v>
      </c>
      <c r="I138" s="13">
        <v>7</v>
      </c>
      <c r="J138" s="13">
        <v>-7</v>
      </c>
      <c r="K138" s="10">
        <v>35</v>
      </c>
      <c r="L138" s="2">
        <v>551.65250000000003</v>
      </c>
      <c r="M138" s="1">
        <v>46192.487500000003</v>
      </c>
      <c r="N138" t="s">
        <v>162</v>
      </c>
    </row>
    <row r="139" spans="1:14" x14ac:dyDescent="0.25">
      <c r="A139" s="9" t="s">
        <v>5211</v>
      </c>
      <c r="B139" s="10">
        <v>718</v>
      </c>
      <c r="C139" s="10" t="s">
        <v>70</v>
      </c>
      <c r="D139" t="s">
        <v>3673</v>
      </c>
      <c r="E139" t="s">
        <v>3674</v>
      </c>
      <c r="F139" s="10" t="s">
        <v>112</v>
      </c>
      <c r="G139" s="2">
        <v>6.3160999999999996</v>
      </c>
      <c r="H139" s="13">
        <v>35</v>
      </c>
      <c r="I139" s="13">
        <v>16</v>
      </c>
      <c r="J139" s="13">
        <v>-16</v>
      </c>
      <c r="K139" s="10">
        <v>35</v>
      </c>
      <c r="L139" s="2">
        <v>221.0635</v>
      </c>
      <c r="M139" s="1">
        <v>46193.592361111114</v>
      </c>
      <c r="N139" t="s">
        <v>26</v>
      </c>
    </row>
    <row r="140" spans="1:14" x14ac:dyDescent="0.25">
      <c r="A140" s="9" t="s">
        <v>5211</v>
      </c>
      <c r="B140" s="10">
        <v>718</v>
      </c>
      <c r="C140" s="10" t="s">
        <v>70</v>
      </c>
      <c r="D140" t="s">
        <v>777</v>
      </c>
      <c r="E140" t="s">
        <v>778</v>
      </c>
      <c r="F140" s="10" t="s">
        <v>112</v>
      </c>
      <c r="G140" s="2">
        <v>5.1369999999999996</v>
      </c>
      <c r="H140" s="13">
        <v>35</v>
      </c>
      <c r="I140" s="13">
        <v>0</v>
      </c>
      <c r="J140" s="13">
        <v>0</v>
      </c>
      <c r="K140" s="10">
        <v>35</v>
      </c>
      <c r="L140" s="2">
        <v>179.79499999999999</v>
      </c>
      <c r="M140" s="1">
        <v>46193.592361111114</v>
      </c>
      <c r="N140" t="s">
        <v>26</v>
      </c>
    </row>
    <row r="141" spans="1:14" x14ac:dyDescent="0.25">
      <c r="A141" s="9" t="s">
        <v>5211</v>
      </c>
      <c r="B141" s="10">
        <v>714</v>
      </c>
      <c r="C141" s="10" t="s">
        <v>143</v>
      </c>
      <c r="D141" t="s">
        <v>4481</v>
      </c>
      <c r="E141" t="s">
        <v>4482</v>
      </c>
      <c r="F141" s="10" t="s">
        <v>43</v>
      </c>
      <c r="G141" s="2">
        <v>43.36</v>
      </c>
      <c r="H141" s="13">
        <v>35</v>
      </c>
      <c r="I141" s="13">
        <v>29</v>
      </c>
      <c r="J141" s="13">
        <v>-29</v>
      </c>
      <c r="K141" s="10">
        <v>35</v>
      </c>
      <c r="L141" s="2">
        <v>1517.6</v>
      </c>
      <c r="M141" s="1">
        <v>46217.458333333336</v>
      </c>
      <c r="N141" t="s">
        <v>2066</v>
      </c>
    </row>
    <row r="142" spans="1:14" x14ac:dyDescent="0.25">
      <c r="A142" s="9" t="s">
        <v>5211</v>
      </c>
      <c r="B142" s="10">
        <v>718</v>
      </c>
      <c r="C142" s="10" t="s">
        <v>12</v>
      </c>
      <c r="D142" t="s">
        <v>3588</v>
      </c>
      <c r="E142" t="s">
        <v>3589</v>
      </c>
      <c r="F142" s="10" t="s">
        <v>35</v>
      </c>
      <c r="G142" s="2">
        <v>6.3635000000000002</v>
      </c>
      <c r="H142" s="13">
        <v>35</v>
      </c>
      <c r="I142" s="13">
        <v>0</v>
      </c>
      <c r="J142" s="13">
        <v>0</v>
      </c>
      <c r="K142" s="10">
        <v>35</v>
      </c>
      <c r="L142" s="2">
        <v>222.7225</v>
      </c>
      <c r="M142" s="1">
        <v>46218.347916666666</v>
      </c>
      <c r="N142" t="s">
        <v>3590</v>
      </c>
    </row>
    <row r="143" spans="1:14" x14ac:dyDescent="0.25">
      <c r="A143" s="9" t="s">
        <v>5211</v>
      </c>
      <c r="B143" s="10">
        <v>714</v>
      </c>
      <c r="C143" s="10" t="s">
        <v>323</v>
      </c>
      <c r="D143" t="s">
        <v>4337</v>
      </c>
      <c r="E143" t="s">
        <v>4338</v>
      </c>
      <c r="F143" s="10" t="s">
        <v>158</v>
      </c>
      <c r="G143" s="2">
        <v>256.13150000000002</v>
      </c>
      <c r="H143" s="13">
        <v>34</v>
      </c>
      <c r="I143" s="13">
        <v>46</v>
      </c>
      <c r="J143" s="13">
        <v>-46</v>
      </c>
      <c r="K143" s="10">
        <v>34</v>
      </c>
      <c r="L143" s="2">
        <v>8708.4709999999995</v>
      </c>
      <c r="M143" s="1">
        <v>46112.363194444442</v>
      </c>
      <c r="N143" t="s">
        <v>1500</v>
      </c>
    </row>
    <row r="144" spans="1:14" x14ac:dyDescent="0.25">
      <c r="A144" s="9" t="s">
        <v>5211</v>
      </c>
      <c r="B144" s="10">
        <v>636</v>
      </c>
      <c r="C144" s="10" t="s">
        <v>143</v>
      </c>
      <c r="D144" t="s">
        <v>4519</v>
      </c>
      <c r="E144" t="s">
        <v>4520</v>
      </c>
      <c r="F144" s="10" t="s">
        <v>39</v>
      </c>
      <c r="G144" s="2">
        <v>14.0327</v>
      </c>
      <c r="H144" s="13">
        <v>34</v>
      </c>
      <c r="I144" s="13">
        <v>11</v>
      </c>
      <c r="J144" s="13">
        <v>-11</v>
      </c>
      <c r="K144" s="10">
        <v>34</v>
      </c>
      <c r="L144" s="2">
        <v>477.11180000000002</v>
      </c>
      <c r="M144" s="1">
        <v>46122.341666666667</v>
      </c>
      <c r="N144" t="s">
        <v>1067</v>
      </c>
    </row>
    <row r="145" spans="1:14" x14ac:dyDescent="0.25">
      <c r="A145" s="9" t="s">
        <v>5211</v>
      </c>
      <c r="B145" s="10">
        <v>714</v>
      </c>
      <c r="C145" s="10" t="s">
        <v>143</v>
      </c>
      <c r="D145" t="s">
        <v>4571</v>
      </c>
      <c r="E145" t="s">
        <v>4572</v>
      </c>
      <c r="F145" s="10" t="s">
        <v>43</v>
      </c>
      <c r="G145" s="2">
        <v>28.763200000000001</v>
      </c>
      <c r="H145" s="13">
        <v>34</v>
      </c>
      <c r="I145" s="13">
        <v>60</v>
      </c>
      <c r="J145" s="13">
        <v>-60</v>
      </c>
      <c r="K145" s="10">
        <v>34</v>
      </c>
      <c r="L145" s="2">
        <v>977.94880000000001</v>
      </c>
      <c r="M145" s="1">
        <v>46164.538888888892</v>
      </c>
      <c r="N145" t="s">
        <v>903</v>
      </c>
    </row>
    <row r="146" spans="1:14" x14ac:dyDescent="0.25">
      <c r="A146" s="9" t="s">
        <v>5211</v>
      </c>
      <c r="B146" s="10">
        <v>636</v>
      </c>
      <c r="C146" s="10" t="s">
        <v>70</v>
      </c>
      <c r="D146" t="s">
        <v>678</v>
      </c>
      <c r="E146" t="s">
        <v>679</v>
      </c>
      <c r="F146" s="10" t="s">
        <v>29</v>
      </c>
      <c r="G146" s="2">
        <v>5.4676999999999998</v>
      </c>
      <c r="H146" s="13">
        <v>34</v>
      </c>
      <c r="I146" s="13">
        <v>0</v>
      </c>
      <c r="J146" s="13">
        <v>0</v>
      </c>
      <c r="K146" s="10">
        <v>34</v>
      </c>
      <c r="L146" s="2">
        <v>185.90180000000001</v>
      </c>
      <c r="M146" s="1">
        <v>46177.399305555555</v>
      </c>
      <c r="N146" t="s">
        <v>16</v>
      </c>
    </row>
    <row r="147" spans="1:14" x14ac:dyDescent="0.25">
      <c r="A147" s="9" t="s">
        <v>5211</v>
      </c>
      <c r="B147" s="10">
        <v>714</v>
      </c>
      <c r="C147" s="10" t="s">
        <v>143</v>
      </c>
      <c r="D147" t="s">
        <v>1090</v>
      </c>
      <c r="E147" t="s">
        <v>1091</v>
      </c>
      <c r="F147" s="10" t="s">
        <v>39</v>
      </c>
      <c r="G147" s="2">
        <v>13.6418</v>
      </c>
      <c r="H147" s="13">
        <v>34</v>
      </c>
      <c r="I147" s="13">
        <v>0</v>
      </c>
      <c r="J147" s="13">
        <v>0</v>
      </c>
      <c r="K147" s="10">
        <v>34</v>
      </c>
      <c r="L147" s="2">
        <v>463.82119999999998</v>
      </c>
      <c r="M147" s="1">
        <v>46188.35</v>
      </c>
      <c r="N147" t="s">
        <v>26</v>
      </c>
    </row>
    <row r="148" spans="1:14" x14ac:dyDescent="0.25">
      <c r="A148" s="9" t="s">
        <v>5211</v>
      </c>
      <c r="B148" s="10">
        <v>636</v>
      </c>
      <c r="C148" s="10" t="s">
        <v>143</v>
      </c>
      <c r="D148" t="s">
        <v>4098</v>
      </c>
      <c r="E148" t="s">
        <v>4099</v>
      </c>
      <c r="F148" s="10" t="s">
        <v>39</v>
      </c>
      <c r="G148" s="2">
        <v>11.679399999999999</v>
      </c>
      <c r="H148" s="13">
        <v>34</v>
      </c>
      <c r="I148" s="13">
        <v>11</v>
      </c>
      <c r="J148" s="13">
        <v>-11</v>
      </c>
      <c r="K148" s="10">
        <v>34</v>
      </c>
      <c r="L148" s="2">
        <v>397.09960000000001</v>
      </c>
      <c r="M148" s="1">
        <v>46199.425694444442</v>
      </c>
      <c r="N148" t="s">
        <v>1154</v>
      </c>
    </row>
    <row r="149" spans="1:14" x14ac:dyDescent="0.25">
      <c r="A149" s="9" t="s">
        <v>5211</v>
      </c>
      <c r="B149" s="10">
        <v>636</v>
      </c>
      <c r="C149" s="10" t="s">
        <v>143</v>
      </c>
      <c r="D149" t="s">
        <v>999</v>
      </c>
      <c r="E149" t="s">
        <v>1000</v>
      </c>
      <c r="F149" s="10" t="s">
        <v>39</v>
      </c>
      <c r="G149" s="2">
        <v>98.947400000000002</v>
      </c>
      <c r="H149" s="13">
        <v>33</v>
      </c>
      <c r="I149" s="13">
        <v>0</v>
      </c>
      <c r="J149" s="13">
        <v>0</v>
      </c>
      <c r="K149" s="10">
        <v>33</v>
      </c>
      <c r="L149" s="2">
        <v>3265.2642000000001</v>
      </c>
      <c r="M149" s="1">
        <v>46164.288194444445</v>
      </c>
      <c r="N149" t="s">
        <v>170</v>
      </c>
    </row>
    <row r="150" spans="1:14" x14ac:dyDescent="0.25">
      <c r="A150" s="9" t="s">
        <v>5211</v>
      </c>
      <c r="B150" s="10">
        <v>714</v>
      </c>
      <c r="C150" s="10" t="s">
        <v>143</v>
      </c>
      <c r="D150" t="s">
        <v>2436</v>
      </c>
      <c r="E150" t="s">
        <v>2437</v>
      </c>
      <c r="F150" s="10" t="s">
        <v>29</v>
      </c>
      <c r="G150" s="2">
        <v>12.6896</v>
      </c>
      <c r="H150" s="13">
        <v>33</v>
      </c>
      <c r="I150" s="13">
        <v>0</v>
      </c>
      <c r="J150" s="13">
        <v>0</v>
      </c>
      <c r="K150" s="10">
        <v>33</v>
      </c>
      <c r="L150" s="2">
        <v>418.7568</v>
      </c>
      <c r="M150" s="1">
        <v>46188.35</v>
      </c>
      <c r="N150" t="s">
        <v>26</v>
      </c>
    </row>
    <row r="151" spans="1:14" x14ac:dyDescent="0.25">
      <c r="A151" s="9" t="s">
        <v>5211</v>
      </c>
      <c r="B151" s="10">
        <v>714</v>
      </c>
      <c r="C151" s="10" t="s">
        <v>143</v>
      </c>
      <c r="D151" t="s">
        <v>2587</v>
      </c>
      <c r="E151" t="s">
        <v>2588</v>
      </c>
      <c r="F151" s="10" t="s">
        <v>112</v>
      </c>
      <c r="G151" s="2">
        <v>14.472899999999999</v>
      </c>
      <c r="H151" s="13">
        <v>33</v>
      </c>
      <c r="I151" s="13">
        <v>1</v>
      </c>
      <c r="J151" s="13">
        <v>-1</v>
      </c>
      <c r="K151" s="10">
        <v>33</v>
      </c>
      <c r="L151" s="2">
        <v>477.60570000000001</v>
      </c>
      <c r="M151" s="1">
        <v>46188.35</v>
      </c>
      <c r="N151" t="s">
        <v>26</v>
      </c>
    </row>
    <row r="152" spans="1:14" x14ac:dyDescent="0.25">
      <c r="A152" s="9" t="s">
        <v>5211</v>
      </c>
      <c r="B152" s="10">
        <v>718</v>
      </c>
      <c r="C152" s="10" t="s">
        <v>143</v>
      </c>
      <c r="D152" t="s">
        <v>2230</v>
      </c>
      <c r="E152" t="s">
        <v>2231</v>
      </c>
      <c r="F152" s="10" t="s">
        <v>23</v>
      </c>
      <c r="G152" s="2">
        <v>15.672000000000001</v>
      </c>
      <c r="H152" s="13">
        <v>33</v>
      </c>
      <c r="I152" s="13">
        <v>0</v>
      </c>
      <c r="J152" s="13">
        <v>0</v>
      </c>
      <c r="K152" s="10">
        <v>33</v>
      </c>
      <c r="L152" s="2">
        <v>517.17600000000004</v>
      </c>
      <c r="M152" s="1">
        <v>46189.48333333333</v>
      </c>
      <c r="N152" t="s">
        <v>40</v>
      </c>
    </row>
    <row r="153" spans="1:14" x14ac:dyDescent="0.25">
      <c r="A153" s="9" t="s">
        <v>5211</v>
      </c>
      <c r="B153" s="10">
        <v>718</v>
      </c>
      <c r="C153" s="10" t="s">
        <v>143</v>
      </c>
      <c r="D153" t="s">
        <v>4256</v>
      </c>
      <c r="E153" t="s">
        <v>4257</v>
      </c>
      <c r="F153" s="10" t="s">
        <v>112</v>
      </c>
      <c r="G153" s="2">
        <v>18.369900000000001</v>
      </c>
      <c r="H153" s="13">
        <v>33</v>
      </c>
      <c r="I153" s="13">
        <v>43</v>
      </c>
      <c r="J153" s="13">
        <v>-43</v>
      </c>
      <c r="K153" s="10">
        <v>33</v>
      </c>
      <c r="L153" s="2">
        <v>606.20669999999996</v>
      </c>
      <c r="M153" s="1">
        <v>46191.444444444445</v>
      </c>
      <c r="N153" t="s">
        <v>40</v>
      </c>
    </row>
    <row r="154" spans="1:14" x14ac:dyDescent="0.25">
      <c r="A154" s="9" t="s">
        <v>5211</v>
      </c>
      <c r="B154" s="10">
        <v>714</v>
      </c>
      <c r="C154" s="10" t="s">
        <v>143</v>
      </c>
      <c r="D154" t="s">
        <v>4845</v>
      </c>
      <c r="E154" t="s">
        <v>4846</v>
      </c>
      <c r="F154" s="10" t="s">
        <v>158</v>
      </c>
      <c r="G154" s="2">
        <v>61.952599999999997</v>
      </c>
      <c r="H154" s="13">
        <v>33</v>
      </c>
      <c r="I154" s="13">
        <v>18</v>
      </c>
      <c r="J154" s="13">
        <v>-18</v>
      </c>
      <c r="K154" s="10">
        <v>33</v>
      </c>
      <c r="L154" s="2">
        <v>2044.4358</v>
      </c>
      <c r="M154" s="1">
        <v>46191.602083333331</v>
      </c>
      <c r="N154" t="s">
        <v>903</v>
      </c>
    </row>
    <row r="155" spans="1:14" x14ac:dyDescent="0.25">
      <c r="A155" s="9" t="s">
        <v>5211</v>
      </c>
      <c r="B155" s="10">
        <v>714</v>
      </c>
      <c r="C155" s="10" t="s">
        <v>70</v>
      </c>
      <c r="D155" t="s">
        <v>661</v>
      </c>
      <c r="E155" t="s">
        <v>662</v>
      </c>
      <c r="F155" s="10" t="s">
        <v>112</v>
      </c>
      <c r="G155" s="2">
        <v>6.4866999999999999</v>
      </c>
      <c r="H155" s="13">
        <v>33</v>
      </c>
      <c r="I155" s="13">
        <v>-2</v>
      </c>
      <c r="J155" s="13">
        <v>2</v>
      </c>
      <c r="K155" s="10">
        <v>33</v>
      </c>
      <c r="L155" s="2">
        <v>214.06110000000001</v>
      </c>
      <c r="M155" s="1">
        <v>46198.40902777778</v>
      </c>
      <c r="N155" t="s">
        <v>573</v>
      </c>
    </row>
    <row r="156" spans="1:14" x14ac:dyDescent="0.25">
      <c r="A156" s="9" t="s">
        <v>5211</v>
      </c>
      <c r="B156" s="10">
        <v>714</v>
      </c>
      <c r="C156" s="10" t="s">
        <v>143</v>
      </c>
      <c r="D156" t="s">
        <v>2230</v>
      </c>
      <c r="E156" t="s">
        <v>2231</v>
      </c>
      <c r="F156" s="10" t="s">
        <v>39</v>
      </c>
      <c r="G156" s="2">
        <v>18.537199999999999</v>
      </c>
      <c r="H156" s="13">
        <v>33</v>
      </c>
      <c r="I156" s="13">
        <v>0</v>
      </c>
      <c r="J156" s="13">
        <v>0</v>
      </c>
      <c r="K156" s="10">
        <v>33</v>
      </c>
      <c r="L156" s="2">
        <v>611.72760000000005</v>
      </c>
      <c r="M156" s="1">
        <v>46224.477083333331</v>
      </c>
      <c r="N156" t="s">
        <v>36</v>
      </c>
    </row>
    <row r="157" spans="1:14" x14ac:dyDescent="0.25">
      <c r="A157" s="9" t="s">
        <v>5211</v>
      </c>
      <c r="B157" s="10">
        <v>636</v>
      </c>
      <c r="C157" s="10" t="s">
        <v>70</v>
      </c>
      <c r="D157" t="s">
        <v>4421</v>
      </c>
      <c r="E157" t="s">
        <v>4422</v>
      </c>
      <c r="F157" s="10" t="s">
        <v>112</v>
      </c>
      <c r="G157" s="2">
        <v>5.9379</v>
      </c>
      <c r="H157" s="13">
        <v>33</v>
      </c>
      <c r="I157" s="13">
        <v>28</v>
      </c>
      <c r="J157" s="13">
        <v>-28</v>
      </c>
      <c r="K157" s="10">
        <v>33</v>
      </c>
      <c r="L157" s="2">
        <v>195.95070000000001</v>
      </c>
      <c r="M157" s="1">
        <v>46226.376388888886</v>
      </c>
      <c r="N157" t="s">
        <v>94</v>
      </c>
    </row>
    <row r="158" spans="1:14" x14ac:dyDescent="0.25">
      <c r="A158" s="9" t="s">
        <v>5211</v>
      </c>
      <c r="B158" s="10">
        <v>714</v>
      </c>
      <c r="C158" s="10" t="s">
        <v>143</v>
      </c>
      <c r="D158" t="s">
        <v>2762</v>
      </c>
      <c r="E158" s="6" t="s">
        <v>2763</v>
      </c>
      <c r="F158" s="11" t="s">
        <v>58</v>
      </c>
      <c r="G158" s="2">
        <v>21.655000000000001</v>
      </c>
      <c r="H158" s="13">
        <v>32</v>
      </c>
      <c r="I158" s="13">
        <v>0</v>
      </c>
      <c r="J158" s="13">
        <v>0</v>
      </c>
      <c r="K158" s="10">
        <v>32</v>
      </c>
      <c r="L158" s="2">
        <v>692.96</v>
      </c>
      <c r="M158" s="1">
        <v>45460.37777777778</v>
      </c>
      <c r="N158" t="s">
        <v>1062</v>
      </c>
    </row>
    <row r="159" spans="1:14" x14ac:dyDescent="0.25">
      <c r="A159" s="9" t="s">
        <v>5211</v>
      </c>
      <c r="B159" s="10">
        <v>718</v>
      </c>
      <c r="C159" s="10" t="s">
        <v>12</v>
      </c>
      <c r="D159" t="s">
        <v>1926</v>
      </c>
      <c r="E159" t="s">
        <v>1927</v>
      </c>
      <c r="F159" s="10" t="s">
        <v>39</v>
      </c>
      <c r="G159" s="2">
        <v>7.6626000000000003</v>
      </c>
      <c r="H159" s="13">
        <v>32</v>
      </c>
      <c r="I159" s="13">
        <v>-30</v>
      </c>
      <c r="J159" s="13">
        <v>30</v>
      </c>
      <c r="K159" s="10">
        <v>32</v>
      </c>
      <c r="L159" s="2">
        <v>245.20320000000001</v>
      </c>
      <c r="M159" s="1">
        <v>46119.636111111111</v>
      </c>
      <c r="N159" t="s">
        <v>573</v>
      </c>
    </row>
    <row r="160" spans="1:14" x14ac:dyDescent="0.25">
      <c r="A160" s="9" t="s">
        <v>5211</v>
      </c>
      <c r="B160" s="10">
        <v>714</v>
      </c>
      <c r="C160" s="10" t="s">
        <v>143</v>
      </c>
      <c r="D160" t="s">
        <v>2361</v>
      </c>
      <c r="E160" t="s">
        <v>2362</v>
      </c>
      <c r="F160" s="10" t="s">
        <v>158</v>
      </c>
      <c r="G160" s="2">
        <v>51.372700000000002</v>
      </c>
      <c r="H160" s="13">
        <v>32</v>
      </c>
      <c r="I160" s="13">
        <v>0</v>
      </c>
      <c r="J160" s="13">
        <v>0</v>
      </c>
      <c r="K160" s="10">
        <v>32</v>
      </c>
      <c r="L160" s="2">
        <v>1643.9264000000001</v>
      </c>
      <c r="M160" s="1">
        <v>46191.602083333331</v>
      </c>
      <c r="N160" t="s">
        <v>903</v>
      </c>
    </row>
    <row r="161" spans="1:14" x14ac:dyDescent="0.25">
      <c r="A161" s="9" t="s">
        <v>5211</v>
      </c>
      <c r="B161" s="10">
        <v>714</v>
      </c>
      <c r="C161" s="10" t="s">
        <v>143</v>
      </c>
      <c r="D161" t="s">
        <v>2671</v>
      </c>
      <c r="E161" t="s">
        <v>2672</v>
      </c>
      <c r="F161" s="10" t="s">
        <v>23</v>
      </c>
      <c r="G161" s="2">
        <v>15.9117</v>
      </c>
      <c r="H161" s="13">
        <v>32</v>
      </c>
      <c r="I161" s="13">
        <v>3</v>
      </c>
      <c r="J161" s="13">
        <v>-3</v>
      </c>
      <c r="K161" s="10">
        <v>32</v>
      </c>
      <c r="L161" s="2">
        <v>509.17439999999999</v>
      </c>
      <c r="M161" s="1">
        <v>46193.431250000001</v>
      </c>
      <c r="N161" t="s">
        <v>26</v>
      </c>
    </row>
    <row r="162" spans="1:14" x14ac:dyDescent="0.25">
      <c r="A162" s="9" t="s">
        <v>5211</v>
      </c>
      <c r="B162" s="10">
        <v>636</v>
      </c>
      <c r="C162" s="10" t="s">
        <v>12</v>
      </c>
      <c r="D162" t="s">
        <v>534</v>
      </c>
      <c r="E162" t="s">
        <v>535</v>
      </c>
      <c r="F162" s="10" t="s">
        <v>39</v>
      </c>
      <c r="G162" s="2">
        <v>6.6136999999999997</v>
      </c>
      <c r="H162" s="13">
        <v>32</v>
      </c>
      <c r="I162" s="13">
        <v>0</v>
      </c>
      <c r="J162" s="13">
        <v>0</v>
      </c>
      <c r="K162" s="10">
        <v>32</v>
      </c>
      <c r="L162" s="2">
        <v>211.63839999999999</v>
      </c>
      <c r="M162" s="1">
        <v>46212.4375</v>
      </c>
      <c r="N162" t="s">
        <v>16</v>
      </c>
    </row>
    <row r="163" spans="1:14" x14ac:dyDescent="0.25">
      <c r="A163" s="9" t="s">
        <v>5211</v>
      </c>
      <c r="B163" s="10">
        <v>636</v>
      </c>
      <c r="C163" s="10" t="s">
        <v>70</v>
      </c>
      <c r="D163" t="s">
        <v>4038</v>
      </c>
      <c r="E163" t="s">
        <v>4039</v>
      </c>
      <c r="F163" s="10" t="s">
        <v>43</v>
      </c>
      <c r="G163" s="2">
        <v>6.1459999999999999</v>
      </c>
      <c r="H163" s="13">
        <v>32</v>
      </c>
      <c r="I163" s="13">
        <v>10</v>
      </c>
      <c r="J163" s="13">
        <v>-10</v>
      </c>
      <c r="K163" s="10">
        <v>32</v>
      </c>
      <c r="L163" s="2">
        <v>196.672</v>
      </c>
      <c r="M163" s="1">
        <v>46226.376388888886</v>
      </c>
      <c r="N163" t="s">
        <v>94</v>
      </c>
    </row>
    <row r="164" spans="1:14" x14ac:dyDescent="0.25">
      <c r="A164" s="9" t="s">
        <v>5211</v>
      </c>
      <c r="B164" s="10">
        <v>636</v>
      </c>
      <c r="C164" s="10" t="s">
        <v>70</v>
      </c>
      <c r="D164" t="s">
        <v>759</v>
      </c>
      <c r="E164" t="s">
        <v>760</v>
      </c>
      <c r="F164" s="10" t="s">
        <v>39</v>
      </c>
      <c r="G164" s="2">
        <v>8.1960999999999995</v>
      </c>
      <c r="H164" s="13">
        <v>32</v>
      </c>
      <c r="I164" s="13">
        <v>0</v>
      </c>
      <c r="J164" s="13">
        <v>0</v>
      </c>
      <c r="K164" s="10">
        <v>32</v>
      </c>
      <c r="L164" s="2">
        <v>262.27519999999998</v>
      </c>
      <c r="M164" s="1">
        <v>46246.46875</v>
      </c>
      <c r="N164" t="s">
        <v>195</v>
      </c>
    </row>
    <row r="165" spans="1:14" x14ac:dyDescent="0.25">
      <c r="A165" s="9" t="s">
        <v>5211</v>
      </c>
      <c r="B165" s="10">
        <v>714</v>
      </c>
      <c r="C165" s="10" t="s">
        <v>12</v>
      </c>
      <c r="D165" t="s">
        <v>1849</v>
      </c>
      <c r="E165" t="s">
        <v>1850</v>
      </c>
      <c r="F165" s="10" t="s">
        <v>29</v>
      </c>
      <c r="G165" s="2">
        <v>8</v>
      </c>
      <c r="H165" s="13">
        <v>31</v>
      </c>
      <c r="I165" s="13">
        <v>0</v>
      </c>
      <c r="J165" s="13">
        <v>0</v>
      </c>
      <c r="K165" s="10">
        <v>31</v>
      </c>
      <c r="L165" s="2">
        <v>248</v>
      </c>
      <c r="M165" s="1">
        <v>44679.68472222222</v>
      </c>
      <c r="N165" t="s">
        <v>140</v>
      </c>
    </row>
    <row r="166" spans="1:14" x14ac:dyDescent="0.25">
      <c r="A166" s="9" t="s">
        <v>5211</v>
      </c>
      <c r="B166" s="10">
        <v>714</v>
      </c>
      <c r="C166" s="10" t="s">
        <v>323</v>
      </c>
      <c r="D166" t="s">
        <v>2875</v>
      </c>
      <c r="E166" t="s">
        <v>2876</v>
      </c>
      <c r="F166" s="10" t="s">
        <v>158</v>
      </c>
      <c r="G166" s="2">
        <v>183.261</v>
      </c>
      <c r="H166" s="13">
        <v>31</v>
      </c>
      <c r="I166" s="13">
        <v>2</v>
      </c>
      <c r="J166" s="13">
        <v>-2</v>
      </c>
      <c r="K166" s="10">
        <v>31</v>
      </c>
      <c r="L166" s="2">
        <v>5681.0910000000003</v>
      </c>
      <c r="M166" s="1">
        <v>46073.629861111112</v>
      </c>
      <c r="N166" t="s">
        <v>159</v>
      </c>
    </row>
    <row r="167" spans="1:14" x14ac:dyDescent="0.25">
      <c r="A167" s="9" t="s">
        <v>5211</v>
      </c>
      <c r="B167" s="10">
        <v>714</v>
      </c>
      <c r="C167" s="10" t="s">
        <v>143</v>
      </c>
      <c r="D167" t="s">
        <v>4198</v>
      </c>
      <c r="E167" t="s">
        <v>4199</v>
      </c>
      <c r="F167" s="10" t="s">
        <v>43</v>
      </c>
      <c r="G167" s="2">
        <v>121.36369999999999</v>
      </c>
      <c r="H167" s="13">
        <v>31</v>
      </c>
      <c r="I167" s="13">
        <v>41</v>
      </c>
      <c r="J167" s="13">
        <v>-41</v>
      </c>
      <c r="K167" s="10">
        <v>31</v>
      </c>
      <c r="L167" s="2">
        <v>3762.2746999999999</v>
      </c>
      <c r="M167" s="1">
        <v>46151.407638888886</v>
      </c>
      <c r="N167" t="s">
        <v>175</v>
      </c>
    </row>
    <row r="168" spans="1:14" x14ac:dyDescent="0.25">
      <c r="A168" s="9" t="s">
        <v>5211</v>
      </c>
      <c r="B168" s="10">
        <v>714</v>
      </c>
      <c r="C168" s="10" t="s">
        <v>143</v>
      </c>
      <c r="D168" t="s">
        <v>2612</v>
      </c>
      <c r="E168" t="s">
        <v>2613</v>
      </c>
      <c r="F168" s="10" t="s">
        <v>158</v>
      </c>
      <c r="G168" s="2">
        <v>29.787199999999999</v>
      </c>
      <c r="H168" s="13">
        <v>31</v>
      </c>
      <c r="I168" s="13">
        <v>0</v>
      </c>
      <c r="J168" s="13">
        <v>0</v>
      </c>
      <c r="K168" s="10">
        <v>31</v>
      </c>
      <c r="L168" s="2">
        <v>923.40319999999997</v>
      </c>
      <c r="M168" s="1">
        <v>46174.37777777778</v>
      </c>
      <c r="N168" t="s">
        <v>310</v>
      </c>
    </row>
    <row r="169" spans="1:14" x14ac:dyDescent="0.25">
      <c r="A169" s="9" t="s">
        <v>5211</v>
      </c>
      <c r="B169" s="10">
        <v>714</v>
      </c>
      <c r="C169" s="10" t="s">
        <v>1749</v>
      </c>
      <c r="D169" t="s">
        <v>3542</v>
      </c>
      <c r="E169" t="s">
        <v>3543</v>
      </c>
      <c r="F169" s="10" t="s">
        <v>39</v>
      </c>
      <c r="G169" s="2">
        <v>17.1633</v>
      </c>
      <c r="H169" s="13">
        <v>31</v>
      </c>
      <c r="I169" s="13">
        <v>0</v>
      </c>
      <c r="J169" s="13">
        <v>0</v>
      </c>
      <c r="K169" s="10">
        <v>31</v>
      </c>
      <c r="L169" s="2">
        <v>532.06230000000005</v>
      </c>
      <c r="M169" s="1">
        <v>46185.630555555559</v>
      </c>
      <c r="N169" t="s">
        <v>1825</v>
      </c>
    </row>
    <row r="170" spans="1:14" x14ac:dyDescent="0.25">
      <c r="A170" s="9" t="s">
        <v>5211</v>
      </c>
      <c r="B170" s="10">
        <v>634</v>
      </c>
      <c r="C170" s="10" t="s">
        <v>143</v>
      </c>
      <c r="D170" t="s">
        <v>196</v>
      </c>
      <c r="E170" t="s">
        <v>197</v>
      </c>
      <c r="F170" s="10" t="s">
        <v>23</v>
      </c>
      <c r="G170" s="2">
        <v>18.7728</v>
      </c>
      <c r="H170" s="13">
        <v>31</v>
      </c>
      <c r="I170" s="13">
        <v>7</v>
      </c>
      <c r="J170" s="13">
        <v>-7</v>
      </c>
      <c r="K170" s="10">
        <v>31</v>
      </c>
      <c r="L170" s="2">
        <v>581.95680000000004</v>
      </c>
      <c r="M170" s="1">
        <v>46192.486111111109</v>
      </c>
      <c r="N170" t="s">
        <v>26</v>
      </c>
    </row>
    <row r="171" spans="1:14" x14ac:dyDescent="0.25">
      <c r="A171" s="9" t="s">
        <v>5211</v>
      </c>
      <c r="B171" s="10">
        <v>714</v>
      </c>
      <c r="C171" s="10" t="s">
        <v>12</v>
      </c>
      <c r="D171" t="s">
        <v>62</v>
      </c>
      <c r="E171" t="s">
        <v>63</v>
      </c>
      <c r="F171" s="10" t="s">
        <v>39</v>
      </c>
      <c r="G171" s="2">
        <v>12.2889</v>
      </c>
      <c r="H171" s="13">
        <v>31</v>
      </c>
      <c r="I171" s="13">
        <v>2</v>
      </c>
      <c r="J171" s="13">
        <v>-2</v>
      </c>
      <c r="K171" s="10">
        <v>31</v>
      </c>
      <c r="L171" s="2">
        <v>380.95589999999999</v>
      </c>
      <c r="M171" s="1">
        <v>46193.431250000001</v>
      </c>
      <c r="N171" t="s">
        <v>26</v>
      </c>
    </row>
    <row r="172" spans="1:14" x14ac:dyDescent="0.25">
      <c r="A172" s="9" t="s">
        <v>5211</v>
      </c>
      <c r="B172" s="10">
        <v>714</v>
      </c>
      <c r="C172" s="10" t="s">
        <v>70</v>
      </c>
      <c r="D172" t="s">
        <v>4741</v>
      </c>
      <c r="E172" t="s">
        <v>4742</v>
      </c>
      <c r="F172" s="10" t="s">
        <v>23</v>
      </c>
      <c r="G172" s="2">
        <v>6.7835000000000001</v>
      </c>
      <c r="H172" s="13">
        <v>31</v>
      </c>
      <c r="I172" s="13">
        <v>74</v>
      </c>
      <c r="J172" s="13">
        <v>-74</v>
      </c>
      <c r="K172" s="10">
        <v>31</v>
      </c>
      <c r="L172" s="2">
        <v>210.2885</v>
      </c>
      <c r="M172" s="1">
        <v>46198.40902777778</v>
      </c>
      <c r="N172" t="s">
        <v>573</v>
      </c>
    </row>
    <row r="173" spans="1:14" x14ac:dyDescent="0.25">
      <c r="A173" s="9" t="s">
        <v>5211</v>
      </c>
      <c r="B173" s="10">
        <v>718</v>
      </c>
      <c r="C173" s="10" t="s">
        <v>126</v>
      </c>
      <c r="D173" t="s">
        <v>129</v>
      </c>
      <c r="E173" t="s">
        <v>130</v>
      </c>
      <c r="F173" s="10" t="s">
        <v>112</v>
      </c>
      <c r="G173" s="2">
        <v>8.1949000000000005</v>
      </c>
      <c r="H173" s="13">
        <v>31</v>
      </c>
      <c r="I173" s="13">
        <v>2</v>
      </c>
      <c r="J173" s="13">
        <v>-2</v>
      </c>
      <c r="K173" s="10">
        <v>31</v>
      </c>
      <c r="L173" s="2">
        <v>254.0419</v>
      </c>
      <c r="M173" s="1">
        <v>46211.615277777775</v>
      </c>
      <c r="N173" t="s">
        <v>16</v>
      </c>
    </row>
    <row r="174" spans="1:14" x14ac:dyDescent="0.25">
      <c r="A174" s="9" t="s">
        <v>5211</v>
      </c>
      <c r="B174" s="10">
        <v>718</v>
      </c>
      <c r="C174" s="10" t="s">
        <v>70</v>
      </c>
      <c r="D174" t="s">
        <v>4048</v>
      </c>
      <c r="E174" t="s">
        <v>4049</v>
      </c>
      <c r="F174" s="10" t="s">
        <v>23</v>
      </c>
      <c r="G174" s="2">
        <v>8.5243000000000002</v>
      </c>
      <c r="H174" s="13">
        <v>31</v>
      </c>
      <c r="I174" s="13">
        <v>50</v>
      </c>
      <c r="J174" s="13">
        <v>-50</v>
      </c>
      <c r="K174" s="10">
        <v>31</v>
      </c>
      <c r="L174" s="2">
        <v>264.25330000000002</v>
      </c>
      <c r="M174" s="1">
        <v>46212.438888888886</v>
      </c>
      <c r="N174" t="s">
        <v>40</v>
      </c>
    </row>
    <row r="175" spans="1:14" x14ac:dyDescent="0.25">
      <c r="A175" s="9" t="s">
        <v>5211</v>
      </c>
      <c r="B175" s="10">
        <v>718</v>
      </c>
      <c r="C175" s="10" t="s">
        <v>143</v>
      </c>
      <c r="D175" t="s">
        <v>5174</v>
      </c>
      <c r="E175" t="s">
        <v>5175</v>
      </c>
      <c r="F175" s="10" t="s">
        <v>43</v>
      </c>
      <c r="G175" s="2">
        <v>81.5548</v>
      </c>
      <c r="H175" s="13">
        <v>31</v>
      </c>
      <c r="I175" s="13">
        <v>39</v>
      </c>
      <c r="J175" s="13">
        <v>-39</v>
      </c>
      <c r="K175" s="10">
        <v>31</v>
      </c>
      <c r="L175" s="2">
        <v>2528.1988000000001</v>
      </c>
      <c r="M175" s="1">
        <v>46213.429861111108</v>
      </c>
      <c r="N175" t="s">
        <v>175</v>
      </c>
    </row>
    <row r="176" spans="1:14" x14ac:dyDescent="0.25">
      <c r="A176" s="9" t="s">
        <v>5211</v>
      </c>
      <c r="B176" s="10">
        <v>636</v>
      </c>
      <c r="C176" s="10" t="s">
        <v>126</v>
      </c>
      <c r="D176" t="s">
        <v>874</v>
      </c>
      <c r="E176" t="s">
        <v>875</v>
      </c>
      <c r="F176" s="10" t="s">
        <v>23</v>
      </c>
      <c r="G176" s="2">
        <v>17.011700000000001</v>
      </c>
      <c r="H176" s="13">
        <v>31</v>
      </c>
      <c r="I176" s="13">
        <v>18</v>
      </c>
      <c r="J176" s="13">
        <v>-18</v>
      </c>
      <c r="K176" s="10">
        <v>31</v>
      </c>
      <c r="L176" s="2">
        <v>527.36270000000002</v>
      </c>
      <c r="M176" s="1">
        <v>46225.344444444447</v>
      </c>
      <c r="N176" t="s">
        <v>140</v>
      </c>
    </row>
    <row r="177" spans="1:14" x14ac:dyDescent="0.25">
      <c r="A177" s="9" t="s">
        <v>5211</v>
      </c>
      <c r="B177" s="10">
        <v>718</v>
      </c>
      <c r="C177" s="10" t="s">
        <v>70</v>
      </c>
      <c r="D177" t="s">
        <v>86</v>
      </c>
      <c r="E177" t="s">
        <v>87</v>
      </c>
      <c r="F177" s="10" t="s">
        <v>39</v>
      </c>
      <c r="G177" s="2">
        <v>6.2187999999999999</v>
      </c>
      <c r="H177" s="13">
        <v>31</v>
      </c>
      <c r="I177" s="13">
        <v>0</v>
      </c>
      <c r="J177" s="13">
        <v>0</v>
      </c>
      <c r="K177" s="10">
        <v>31</v>
      </c>
      <c r="L177" s="2">
        <v>192.78280000000001</v>
      </c>
      <c r="M177" s="1">
        <v>46234.345138888886</v>
      </c>
      <c r="N177" t="s">
        <v>16</v>
      </c>
    </row>
    <row r="178" spans="1:14" x14ac:dyDescent="0.25">
      <c r="A178" s="9" t="s">
        <v>5211</v>
      </c>
      <c r="B178" s="10">
        <v>636</v>
      </c>
      <c r="C178" s="10" t="s">
        <v>143</v>
      </c>
      <c r="D178" t="s">
        <v>1001</v>
      </c>
      <c r="E178" t="s">
        <v>1002</v>
      </c>
      <c r="F178" s="10" t="s">
        <v>23</v>
      </c>
      <c r="G178" s="2">
        <v>30.197600000000001</v>
      </c>
      <c r="H178" s="13">
        <v>31</v>
      </c>
      <c r="I178" s="13">
        <v>0</v>
      </c>
      <c r="J178" s="13">
        <v>0</v>
      </c>
      <c r="K178" s="10">
        <v>31</v>
      </c>
      <c r="L178" s="2">
        <v>936.12559999999996</v>
      </c>
      <c r="M178" s="1">
        <v>46246.46875</v>
      </c>
      <c r="N178" t="s">
        <v>195</v>
      </c>
    </row>
    <row r="179" spans="1:14" x14ac:dyDescent="0.25">
      <c r="A179" s="9" t="s">
        <v>5211</v>
      </c>
      <c r="B179" s="10">
        <v>714</v>
      </c>
      <c r="C179" s="10" t="s">
        <v>143</v>
      </c>
      <c r="D179" t="s">
        <v>2705</v>
      </c>
      <c r="E179" t="s">
        <v>2706</v>
      </c>
      <c r="F179" s="10" t="s">
        <v>15</v>
      </c>
      <c r="G179" s="2">
        <v>13.624499999999999</v>
      </c>
      <c r="H179" s="13">
        <v>30</v>
      </c>
      <c r="I179" s="13">
        <v>0</v>
      </c>
      <c r="J179" s="13">
        <v>0</v>
      </c>
      <c r="K179" s="10">
        <v>30</v>
      </c>
      <c r="L179" s="2">
        <v>408.73500000000001</v>
      </c>
      <c r="M179" s="1">
        <v>45444.660416666666</v>
      </c>
      <c r="N179" t="s">
        <v>2225</v>
      </c>
    </row>
    <row r="180" spans="1:14" x14ac:dyDescent="0.25">
      <c r="A180" s="9" t="s">
        <v>5211</v>
      </c>
      <c r="B180" s="10">
        <v>714</v>
      </c>
      <c r="C180" s="10" t="s">
        <v>12</v>
      </c>
      <c r="D180" t="s">
        <v>1902</v>
      </c>
      <c r="E180" s="6" t="s">
        <v>1903</v>
      </c>
      <c r="F180" s="11" t="s">
        <v>58</v>
      </c>
      <c r="G180" s="2">
        <v>6.1813000000000002</v>
      </c>
      <c r="H180" s="13">
        <v>30</v>
      </c>
      <c r="I180" s="13">
        <v>0</v>
      </c>
      <c r="J180" s="13">
        <v>0</v>
      </c>
      <c r="K180" s="10">
        <v>30</v>
      </c>
      <c r="L180" s="2">
        <v>185.43899999999999</v>
      </c>
      <c r="M180" s="1">
        <v>45469.572916666664</v>
      </c>
      <c r="N180" t="s">
        <v>44</v>
      </c>
    </row>
    <row r="181" spans="1:14" x14ac:dyDescent="0.25">
      <c r="A181" s="9" t="s">
        <v>5211</v>
      </c>
      <c r="B181" s="10">
        <v>714</v>
      </c>
      <c r="C181" s="10" t="s">
        <v>143</v>
      </c>
      <c r="D181" t="s">
        <v>4787</v>
      </c>
      <c r="E181" t="s">
        <v>4788</v>
      </c>
      <c r="F181" s="10" t="s">
        <v>23</v>
      </c>
      <c r="G181" s="2">
        <v>12.196400000000001</v>
      </c>
      <c r="H181" s="13">
        <v>30</v>
      </c>
      <c r="I181" s="13">
        <v>93</v>
      </c>
      <c r="J181" s="13">
        <v>-93</v>
      </c>
      <c r="K181" s="10">
        <v>30</v>
      </c>
      <c r="L181" s="2">
        <v>365.892</v>
      </c>
      <c r="M181" s="1">
        <v>46126.522222222222</v>
      </c>
      <c r="N181" t="s">
        <v>2268</v>
      </c>
    </row>
    <row r="182" spans="1:14" x14ac:dyDescent="0.25">
      <c r="A182" s="9" t="s">
        <v>5211</v>
      </c>
      <c r="B182" s="10">
        <v>634</v>
      </c>
      <c r="C182" s="10" t="s">
        <v>323</v>
      </c>
      <c r="D182" t="s">
        <v>4304</v>
      </c>
      <c r="E182" t="s">
        <v>4305</v>
      </c>
      <c r="F182" s="10" t="s">
        <v>158</v>
      </c>
      <c r="G182" s="2">
        <v>160.7123</v>
      </c>
      <c r="H182" s="13">
        <v>30</v>
      </c>
      <c r="I182" s="13">
        <v>27</v>
      </c>
      <c r="J182" s="13">
        <v>-27</v>
      </c>
      <c r="K182" s="10">
        <v>30</v>
      </c>
      <c r="L182" s="2">
        <v>4821.3689999999997</v>
      </c>
      <c r="M182" s="1">
        <v>46170.62777777778</v>
      </c>
      <c r="N182" t="s">
        <v>402</v>
      </c>
    </row>
    <row r="183" spans="1:14" x14ac:dyDescent="0.25">
      <c r="A183" s="9" t="s">
        <v>5211</v>
      </c>
      <c r="B183" s="10">
        <v>634</v>
      </c>
      <c r="C183" s="10" t="s">
        <v>323</v>
      </c>
      <c r="D183" t="s">
        <v>4298</v>
      </c>
      <c r="E183" t="s">
        <v>4299</v>
      </c>
      <c r="F183" s="10" t="s">
        <v>43</v>
      </c>
      <c r="G183" s="2">
        <v>199.81479999999999</v>
      </c>
      <c r="H183" s="13">
        <v>30</v>
      </c>
      <c r="I183" s="13">
        <v>141</v>
      </c>
      <c r="J183" s="13">
        <v>-141</v>
      </c>
      <c r="K183" s="10">
        <v>30</v>
      </c>
      <c r="L183" s="2">
        <v>5994.4440000000004</v>
      </c>
      <c r="M183" s="1">
        <v>46170.62777777778</v>
      </c>
      <c r="N183" t="s">
        <v>402</v>
      </c>
    </row>
    <row r="184" spans="1:14" x14ac:dyDescent="0.25">
      <c r="A184" s="9" t="s">
        <v>5211</v>
      </c>
      <c r="B184" s="10">
        <v>634</v>
      </c>
      <c r="C184" s="10" t="s">
        <v>70</v>
      </c>
      <c r="D184" t="s">
        <v>102</v>
      </c>
      <c r="E184" t="s">
        <v>103</v>
      </c>
      <c r="F184" s="10" t="s">
        <v>23</v>
      </c>
      <c r="G184" s="2">
        <v>2.9622000000000002</v>
      </c>
      <c r="H184" s="13">
        <v>30</v>
      </c>
      <c r="I184" s="13">
        <v>0</v>
      </c>
      <c r="J184" s="13">
        <v>0</v>
      </c>
      <c r="K184" s="10">
        <v>30</v>
      </c>
      <c r="L184" s="2">
        <v>88.866</v>
      </c>
      <c r="M184" s="1">
        <v>46178.65347222222</v>
      </c>
      <c r="N184" t="s">
        <v>99</v>
      </c>
    </row>
    <row r="185" spans="1:14" x14ac:dyDescent="0.25">
      <c r="A185" s="9" t="s">
        <v>5211</v>
      </c>
      <c r="B185" s="10">
        <v>714</v>
      </c>
      <c r="C185" s="10" t="s">
        <v>1749</v>
      </c>
      <c r="D185" t="s">
        <v>3560</v>
      </c>
      <c r="E185" t="s">
        <v>3561</v>
      </c>
      <c r="F185" s="10" t="s">
        <v>43</v>
      </c>
      <c r="G185" s="2">
        <v>13.7659</v>
      </c>
      <c r="H185" s="13">
        <v>30</v>
      </c>
      <c r="I185" s="13">
        <v>0</v>
      </c>
      <c r="J185" s="13">
        <v>0</v>
      </c>
      <c r="K185" s="10">
        <v>30</v>
      </c>
      <c r="L185" s="2">
        <v>412.97699999999998</v>
      </c>
      <c r="M185" s="1">
        <v>46185.630555555559</v>
      </c>
      <c r="N185" t="s">
        <v>1825</v>
      </c>
    </row>
    <row r="186" spans="1:14" x14ac:dyDescent="0.25">
      <c r="A186" s="9" t="s">
        <v>5211</v>
      </c>
      <c r="B186" s="10">
        <v>714</v>
      </c>
      <c r="C186" s="10" t="s">
        <v>12</v>
      </c>
      <c r="D186" t="s">
        <v>1952</v>
      </c>
      <c r="E186" t="s">
        <v>1953</v>
      </c>
      <c r="F186" s="10" t="s">
        <v>39</v>
      </c>
      <c r="G186" s="2">
        <v>12.7506</v>
      </c>
      <c r="H186" s="13">
        <v>30</v>
      </c>
      <c r="I186" s="13">
        <v>0</v>
      </c>
      <c r="J186" s="13">
        <v>0</v>
      </c>
      <c r="K186" s="10">
        <v>30</v>
      </c>
      <c r="L186" s="2">
        <v>382.51799999999997</v>
      </c>
      <c r="M186" s="1">
        <v>46188.352083333331</v>
      </c>
      <c r="N186" t="s">
        <v>26</v>
      </c>
    </row>
    <row r="187" spans="1:14" x14ac:dyDescent="0.25">
      <c r="A187" s="9" t="s">
        <v>5211</v>
      </c>
      <c r="B187" s="10">
        <v>718</v>
      </c>
      <c r="C187" s="10" t="s">
        <v>143</v>
      </c>
      <c r="D187" t="s">
        <v>4863</v>
      </c>
      <c r="E187" t="s">
        <v>4864</v>
      </c>
      <c r="F187" s="10" t="s">
        <v>23</v>
      </c>
      <c r="G187" s="2">
        <v>36.738300000000002</v>
      </c>
      <c r="H187" s="13">
        <v>30</v>
      </c>
      <c r="I187" s="13">
        <v>76</v>
      </c>
      <c r="J187" s="13">
        <v>-76</v>
      </c>
      <c r="K187" s="10">
        <v>30</v>
      </c>
      <c r="L187" s="2">
        <v>1102.1489999999999</v>
      </c>
      <c r="M187" s="1">
        <v>46191.520138888889</v>
      </c>
      <c r="N187" t="s">
        <v>3740</v>
      </c>
    </row>
    <row r="188" spans="1:14" x14ac:dyDescent="0.25">
      <c r="A188" s="9" t="s">
        <v>5211</v>
      </c>
      <c r="B188" s="10">
        <v>714</v>
      </c>
      <c r="C188" s="10" t="s">
        <v>70</v>
      </c>
      <c r="D188" t="s">
        <v>2172</v>
      </c>
      <c r="E188" t="s">
        <v>2173</v>
      </c>
      <c r="F188" s="10" t="s">
        <v>43</v>
      </c>
      <c r="G188" s="2">
        <v>6.3441999999999998</v>
      </c>
      <c r="H188" s="13">
        <v>30</v>
      </c>
      <c r="I188" s="13">
        <v>10</v>
      </c>
      <c r="J188" s="13">
        <v>-10</v>
      </c>
      <c r="K188" s="10">
        <v>30</v>
      </c>
      <c r="L188" s="2">
        <v>190.32599999999999</v>
      </c>
      <c r="M188" s="1">
        <v>46193.431250000001</v>
      </c>
      <c r="N188" t="s">
        <v>26</v>
      </c>
    </row>
    <row r="189" spans="1:14" x14ac:dyDescent="0.25">
      <c r="A189" s="9" t="s">
        <v>5211</v>
      </c>
      <c r="B189" s="10">
        <v>714</v>
      </c>
      <c r="C189" s="10" t="s">
        <v>12</v>
      </c>
      <c r="D189" t="s">
        <v>13</v>
      </c>
      <c r="E189" t="s">
        <v>14</v>
      </c>
      <c r="F189" s="10" t="s">
        <v>15</v>
      </c>
      <c r="G189" s="2">
        <v>5.7274000000000003</v>
      </c>
      <c r="H189" s="13">
        <v>30</v>
      </c>
      <c r="I189" s="13">
        <v>0</v>
      </c>
      <c r="J189" s="13">
        <v>0</v>
      </c>
      <c r="K189" s="10">
        <v>30</v>
      </c>
      <c r="L189" s="2">
        <v>171.822</v>
      </c>
      <c r="M189" s="1">
        <v>46200.333333333336</v>
      </c>
      <c r="N189" t="s">
        <v>1154</v>
      </c>
    </row>
    <row r="190" spans="1:14" x14ac:dyDescent="0.25">
      <c r="A190" s="9" t="s">
        <v>5211</v>
      </c>
      <c r="B190" s="10">
        <v>714</v>
      </c>
      <c r="C190" s="10" t="s">
        <v>143</v>
      </c>
      <c r="D190" t="s">
        <v>1056</v>
      </c>
      <c r="E190" t="s">
        <v>1057</v>
      </c>
      <c r="F190" s="10" t="s">
        <v>39</v>
      </c>
      <c r="G190" s="2">
        <v>48.336100000000002</v>
      </c>
      <c r="H190" s="13">
        <v>30</v>
      </c>
      <c r="I190" s="13">
        <v>-23</v>
      </c>
      <c r="J190" s="13">
        <v>23</v>
      </c>
      <c r="K190" s="10">
        <v>30</v>
      </c>
      <c r="L190" s="2">
        <v>1450.0830000000001</v>
      </c>
      <c r="M190" s="1">
        <v>46200.382638888892</v>
      </c>
      <c r="N190" t="s">
        <v>1062</v>
      </c>
    </row>
    <row r="191" spans="1:14" x14ac:dyDescent="0.25">
      <c r="A191" s="9" t="s">
        <v>5211</v>
      </c>
      <c r="B191" s="10">
        <v>636</v>
      </c>
      <c r="C191" s="10" t="s">
        <v>143</v>
      </c>
      <c r="D191" t="s">
        <v>1194</v>
      </c>
      <c r="E191" t="s">
        <v>1195</v>
      </c>
      <c r="F191" s="10" t="s">
        <v>29</v>
      </c>
      <c r="G191" s="2">
        <v>13.385300000000001</v>
      </c>
      <c r="H191" s="13">
        <v>30</v>
      </c>
      <c r="I191" s="13">
        <v>0</v>
      </c>
      <c r="J191" s="13">
        <v>0</v>
      </c>
      <c r="K191" s="10">
        <v>30</v>
      </c>
      <c r="L191" s="2">
        <v>401.55900000000003</v>
      </c>
      <c r="M191" s="1">
        <v>46216.52847222222</v>
      </c>
      <c r="N191" t="s">
        <v>40</v>
      </c>
    </row>
    <row r="192" spans="1:14" x14ac:dyDescent="0.25">
      <c r="A192" s="9" t="s">
        <v>5211</v>
      </c>
      <c r="B192" s="10">
        <v>714</v>
      </c>
      <c r="C192" s="10" t="s">
        <v>126</v>
      </c>
      <c r="D192" t="s">
        <v>868</v>
      </c>
      <c r="E192" t="s">
        <v>869</v>
      </c>
      <c r="F192" s="10" t="s">
        <v>112</v>
      </c>
      <c r="G192" s="2">
        <v>8.2163000000000004</v>
      </c>
      <c r="H192" s="13">
        <v>30</v>
      </c>
      <c r="I192" s="13">
        <v>-46</v>
      </c>
      <c r="J192" s="13">
        <v>46</v>
      </c>
      <c r="K192" s="10">
        <v>30</v>
      </c>
      <c r="L192" s="2">
        <v>246.489</v>
      </c>
      <c r="M192" s="1">
        <v>46218.660416666666</v>
      </c>
      <c r="N192" t="s">
        <v>16</v>
      </c>
    </row>
    <row r="193" spans="1:14" x14ac:dyDescent="0.25">
      <c r="A193" s="9" t="s">
        <v>5211</v>
      </c>
      <c r="B193" s="10">
        <v>636</v>
      </c>
      <c r="C193" s="10" t="s">
        <v>70</v>
      </c>
      <c r="D193" t="s">
        <v>845</v>
      </c>
      <c r="E193" t="s">
        <v>846</v>
      </c>
      <c r="F193" s="10" t="s">
        <v>39</v>
      </c>
      <c r="G193" s="2">
        <v>6.0274999999999999</v>
      </c>
      <c r="H193" s="13">
        <v>30</v>
      </c>
      <c r="I193" s="13">
        <v>5</v>
      </c>
      <c r="J193" s="13">
        <v>-5</v>
      </c>
      <c r="K193" s="10">
        <v>30</v>
      </c>
      <c r="L193" s="2">
        <v>180.82499999999999</v>
      </c>
      <c r="M193" s="1">
        <v>46225.4</v>
      </c>
      <c r="N193" t="s">
        <v>16</v>
      </c>
    </row>
    <row r="194" spans="1:14" x14ac:dyDescent="0.25">
      <c r="A194" s="9" t="s">
        <v>5211</v>
      </c>
      <c r="B194" s="10">
        <v>718</v>
      </c>
      <c r="C194" s="10" t="s">
        <v>323</v>
      </c>
      <c r="D194" t="s">
        <v>3952</v>
      </c>
      <c r="E194" t="s">
        <v>3953</v>
      </c>
      <c r="F194" s="10" t="s">
        <v>43</v>
      </c>
      <c r="G194" s="2">
        <v>43.585500000000003</v>
      </c>
      <c r="H194" s="13">
        <v>30</v>
      </c>
      <c r="I194" s="13">
        <v>-14</v>
      </c>
      <c r="J194" s="13">
        <v>14</v>
      </c>
      <c r="K194" s="10">
        <v>30</v>
      </c>
      <c r="L194" s="2">
        <v>1307.5650000000001</v>
      </c>
      <c r="M194" s="1">
        <v>46246.515972222223</v>
      </c>
      <c r="N194" t="s">
        <v>159</v>
      </c>
    </row>
    <row r="195" spans="1:14" x14ac:dyDescent="0.25">
      <c r="A195" s="9" t="s">
        <v>5211</v>
      </c>
      <c r="B195" s="10">
        <v>636</v>
      </c>
      <c r="C195" s="10" t="s">
        <v>70</v>
      </c>
      <c r="D195" t="s">
        <v>3675</v>
      </c>
      <c r="E195" t="s">
        <v>3676</v>
      </c>
      <c r="F195" s="10" t="s">
        <v>112</v>
      </c>
      <c r="G195" s="2">
        <v>5.7725</v>
      </c>
      <c r="H195" s="13">
        <v>30</v>
      </c>
      <c r="I195" s="13">
        <v>8</v>
      </c>
      <c r="J195" s="13">
        <v>-8</v>
      </c>
      <c r="K195" s="10">
        <v>30</v>
      </c>
      <c r="L195" s="2">
        <v>173.17500000000001</v>
      </c>
      <c r="M195" s="1">
        <v>46248.418749999997</v>
      </c>
      <c r="N195" t="s">
        <v>26</v>
      </c>
    </row>
    <row r="196" spans="1:14" x14ac:dyDescent="0.25">
      <c r="A196" s="9" t="s">
        <v>5211</v>
      </c>
      <c r="B196" s="10">
        <v>714</v>
      </c>
      <c r="C196" s="10" t="s">
        <v>12</v>
      </c>
      <c r="D196" t="s">
        <v>3985</v>
      </c>
      <c r="E196" t="s">
        <v>3986</v>
      </c>
      <c r="F196" s="10" t="s">
        <v>35</v>
      </c>
      <c r="G196" s="2">
        <v>20.237100000000002</v>
      </c>
      <c r="H196" s="13">
        <v>29</v>
      </c>
      <c r="I196" s="13">
        <v>-1</v>
      </c>
      <c r="J196" s="13">
        <v>1</v>
      </c>
      <c r="K196" s="10">
        <v>29</v>
      </c>
      <c r="L196" s="2">
        <v>586.8759</v>
      </c>
      <c r="M196" s="1">
        <v>45764.503472222219</v>
      </c>
      <c r="N196" t="s">
        <v>3982</v>
      </c>
    </row>
    <row r="197" spans="1:14" x14ac:dyDescent="0.25">
      <c r="A197" s="9" t="s">
        <v>5211</v>
      </c>
      <c r="B197" s="10">
        <v>636</v>
      </c>
      <c r="C197" s="10" t="s">
        <v>143</v>
      </c>
      <c r="D197" t="s">
        <v>251</v>
      </c>
      <c r="E197" t="s">
        <v>252</v>
      </c>
      <c r="F197" s="10" t="s">
        <v>39</v>
      </c>
      <c r="G197" s="2">
        <v>21.154800000000002</v>
      </c>
      <c r="H197" s="13">
        <v>29</v>
      </c>
      <c r="I197" s="13">
        <v>8</v>
      </c>
      <c r="J197" s="13">
        <v>-8</v>
      </c>
      <c r="K197" s="10">
        <v>29</v>
      </c>
      <c r="L197" s="2">
        <v>613.48919999999998</v>
      </c>
      <c r="M197" s="1">
        <v>46108.40347222222</v>
      </c>
      <c r="N197" t="s">
        <v>26</v>
      </c>
    </row>
    <row r="198" spans="1:14" x14ac:dyDescent="0.25">
      <c r="A198" s="9" t="s">
        <v>5211</v>
      </c>
      <c r="B198" s="10">
        <v>636</v>
      </c>
      <c r="C198" s="10" t="s">
        <v>143</v>
      </c>
      <c r="D198" t="s">
        <v>1140</v>
      </c>
      <c r="E198" t="s">
        <v>1141</v>
      </c>
      <c r="F198" s="10" t="s">
        <v>29</v>
      </c>
      <c r="G198" s="2">
        <v>14.084899999999999</v>
      </c>
      <c r="H198" s="13">
        <v>29</v>
      </c>
      <c r="I198" s="13">
        <v>0</v>
      </c>
      <c r="J198" s="13">
        <v>0</v>
      </c>
      <c r="K198" s="10">
        <v>29</v>
      </c>
      <c r="L198" s="2">
        <v>408.46210000000002</v>
      </c>
      <c r="M198" s="1">
        <v>46125.395833333336</v>
      </c>
      <c r="N198" t="s">
        <v>40</v>
      </c>
    </row>
    <row r="199" spans="1:14" x14ac:dyDescent="0.25">
      <c r="A199" s="9" t="s">
        <v>5211</v>
      </c>
      <c r="B199" s="10">
        <v>714</v>
      </c>
      <c r="C199" s="10" t="s">
        <v>323</v>
      </c>
      <c r="D199" t="s">
        <v>5003</v>
      </c>
      <c r="E199" t="s">
        <v>5004</v>
      </c>
      <c r="F199" s="10" t="s">
        <v>158</v>
      </c>
      <c r="G199" s="2">
        <v>99.8172</v>
      </c>
      <c r="H199" s="13">
        <v>29</v>
      </c>
      <c r="I199" s="13">
        <v>38</v>
      </c>
      <c r="J199" s="13">
        <v>-38</v>
      </c>
      <c r="K199" s="10">
        <v>29</v>
      </c>
      <c r="L199" s="2">
        <v>2894.6988000000001</v>
      </c>
      <c r="M199" s="1">
        <v>46128.709722222222</v>
      </c>
      <c r="N199" t="s">
        <v>195</v>
      </c>
    </row>
    <row r="200" spans="1:14" x14ac:dyDescent="0.25">
      <c r="A200" s="9" t="s">
        <v>5211</v>
      </c>
      <c r="B200" s="10">
        <v>714</v>
      </c>
      <c r="C200" s="10" t="s">
        <v>12</v>
      </c>
      <c r="D200" t="s">
        <v>525</v>
      </c>
      <c r="E200" t="s">
        <v>526</v>
      </c>
      <c r="F200" s="10" t="s">
        <v>29</v>
      </c>
      <c r="G200" s="2">
        <v>28.6829</v>
      </c>
      <c r="H200" s="13">
        <v>29</v>
      </c>
      <c r="I200" s="13">
        <v>0</v>
      </c>
      <c r="J200" s="13">
        <v>0</v>
      </c>
      <c r="K200" s="10">
        <v>29</v>
      </c>
      <c r="L200" s="2">
        <v>831.80409999999995</v>
      </c>
      <c r="M200" s="1">
        <v>46157.474999999999</v>
      </c>
      <c r="N200" t="s">
        <v>67</v>
      </c>
    </row>
    <row r="201" spans="1:14" x14ac:dyDescent="0.25">
      <c r="A201" s="9" t="s">
        <v>5211</v>
      </c>
      <c r="B201" s="10">
        <v>634</v>
      </c>
      <c r="C201" s="10" t="s">
        <v>323</v>
      </c>
      <c r="D201" t="s">
        <v>4318</v>
      </c>
      <c r="E201" t="s">
        <v>4319</v>
      </c>
      <c r="F201" s="10" t="s">
        <v>43</v>
      </c>
      <c r="G201" s="2">
        <v>108.387</v>
      </c>
      <c r="H201" s="13">
        <v>29</v>
      </c>
      <c r="I201" s="13">
        <v>232</v>
      </c>
      <c r="J201" s="13">
        <v>-232</v>
      </c>
      <c r="K201" s="10">
        <v>29</v>
      </c>
      <c r="L201" s="2">
        <v>3143.223</v>
      </c>
      <c r="M201" s="1">
        <v>46170.62777777778</v>
      </c>
      <c r="N201" t="s">
        <v>402</v>
      </c>
    </row>
    <row r="202" spans="1:14" x14ac:dyDescent="0.25">
      <c r="A202" s="9" t="s">
        <v>5211</v>
      </c>
      <c r="B202" s="10">
        <v>636</v>
      </c>
      <c r="C202" s="10" t="s">
        <v>70</v>
      </c>
      <c r="D202" t="s">
        <v>624</v>
      </c>
      <c r="E202" t="s">
        <v>625</v>
      </c>
      <c r="F202" s="10" t="s">
        <v>29</v>
      </c>
      <c r="G202" s="2">
        <v>6.65</v>
      </c>
      <c r="H202" s="13">
        <v>29</v>
      </c>
      <c r="I202" s="13">
        <v>0</v>
      </c>
      <c r="J202" s="13">
        <v>0</v>
      </c>
      <c r="K202" s="10">
        <v>29</v>
      </c>
      <c r="L202" s="2">
        <v>192.85</v>
      </c>
      <c r="M202" s="1">
        <v>46176.416666666664</v>
      </c>
      <c r="N202" t="s">
        <v>531</v>
      </c>
    </row>
    <row r="203" spans="1:14" x14ac:dyDescent="0.25">
      <c r="A203" s="9" t="s">
        <v>5211</v>
      </c>
      <c r="B203" s="10">
        <v>636</v>
      </c>
      <c r="C203" s="10" t="s">
        <v>70</v>
      </c>
      <c r="D203" t="s">
        <v>704</v>
      </c>
      <c r="E203" t="s">
        <v>705</v>
      </c>
      <c r="F203" s="10" t="s">
        <v>43</v>
      </c>
      <c r="G203" s="2">
        <v>8.8657000000000004</v>
      </c>
      <c r="H203" s="13">
        <v>29</v>
      </c>
      <c r="I203" s="13">
        <v>0</v>
      </c>
      <c r="J203" s="13">
        <v>0</v>
      </c>
      <c r="K203" s="10">
        <v>29</v>
      </c>
      <c r="L203" s="2">
        <v>257.1053</v>
      </c>
      <c r="M203" s="1">
        <v>46176.499305555553</v>
      </c>
      <c r="N203" t="s">
        <v>576</v>
      </c>
    </row>
    <row r="204" spans="1:14" x14ac:dyDescent="0.25">
      <c r="A204" s="9" t="s">
        <v>5211</v>
      </c>
      <c r="B204" s="10">
        <v>718</v>
      </c>
      <c r="C204" s="10" t="s">
        <v>126</v>
      </c>
      <c r="D204" t="s">
        <v>3701</v>
      </c>
      <c r="E204" t="s">
        <v>3702</v>
      </c>
      <c r="F204" s="10" t="s">
        <v>112</v>
      </c>
      <c r="G204" s="2">
        <v>7.2240000000000002</v>
      </c>
      <c r="H204" s="13">
        <v>29</v>
      </c>
      <c r="I204" s="13">
        <v>-5</v>
      </c>
      <c r="J204" s="13">
        <v>5</v>
      </c>
      <c r="K204" s="10">
        <v>29</v>
      </c>
      <c r="L204" s="2">
        <v>209.49600000000001</v>
      </c>
      <c r="M204" s="1">
        <v>46185.338888888888</v>
      </c>
      <c r="N204" t="s">
        <v>16</v>
      </c>
    </row>
    <row r="205" spans="1:14" x14ac:dyDescent="0.25">
      <c r="A205" s="9" t="s">
        <v>5211</v>
      </c>
      <c r="B205" s="10">
        <v>718</v>
      </c>
      <c r="C205" s="10" t="s">
        <v>143</v>
      </c>
      <c r="D205" t="s">
        <v>2503</v>
      </c>
      <c r="E205" t="s">
        <v>2504</v>
      </c>
      <c r="F205" s="10" t="s">
        <v>112</v>
      </c>
      <c r="G205" s="2">
        <v>25.941299999999998</v>
      </c>
      <c r="H205" s="13">
        <v>29</v>
      </c>
      <c r="I205" s="13">
        <v>0</v>
      </c>
      <c r="J205" s="13">
        <v>0</v>
      </c>
      <c r="K205" s="10">
        <v>29</v>
      </c>
      <c r="L205" s="2">
        <v>752.29769999999996</v>
      </c>
      <c r="M205" s="1">
        <v>46196.648611111108</v>
      </c>
      <c r="N205" t="s">
        <v>67</v>
      </c>
    </row>
    <row r="206" spans="1:14" x14ac:dyDescent="0.25">
      <c r="A206" s="9" t="s">
        <v>5211</v>
      </c>
      <c r="B206" s="10">
        <v>714</v>
      </c>
      <c r="C206" s="10" t="s">
        <v>126</v>
      </c>
      <c r="D206" t="s">
        <v>2197</v>
      </c>
      <c r="E206" t="s">
        <v>2198</v>
      </c>
      <c r="F206" s="10" t="s">
        <v>29</v>
      </c>
      <c r="G206" s="2">
        <v>4.3686999999999996</v>
      </c>
      <c r="H206" s="13">
        <v>29</v>
      </c>
      <c r="I206" s="13">
        <v>0</v>
      </c>
      <c r="J206" s="13">
        <v>0</v>
      </c>
      <c r="K206" s="10">
        <v>29</v>
      </c>
      <c r="L206" s="2">
        <v>126.6923</v>
      </c>
      <c r="M206" s="1">
        <v>46204.464583333334</v>
      </c>
      <c r="N206" t="s">
        <v>878</v>
      </c>
    </row>
    <row r="207" spans="1:14" x14ac:dyDescent="0.25">
      <c r="A207" s="9" t="s">
        <v>5211</v>
      </c>
      <c r="B207" s="10">
        <v>714</v>
      </c>
      <c r="C207" s="10" t="s">
        <v>70</v>
      </c>
      <c r="D207" t="s">
        <v>2159</v>
      </c>
      <c r="E207" t="s">
        <v>2160</v>
      </c>
      <c r="F207" s="10" t="s">
        <v>39</v>
      </c>
      <c r="G207" s="2">
        <v>7.2346000000000004</v>
      </c>
      <c r="H207" s="13">
        <v>29</v>
      </c>
      <c r="I207" s="13">
        <v>0</v>
      </c>
      <c r="J207" s="13">
        <v>0</v>
      </c>
      <c r="K207" s="10">
        <v>29</v>
      </c>
      <c r="L207" s="2">
        <v>209.80340000000001</v>
      </c>
      <c r="M207" s="1">
        <v>46213.455555555556</v>
      </c>
      <c r="N207" t="s">
        <v>573</v>
      </c>
    </row>
    <row r="208" spans="1:14" x14ac:dyDescent="0.25">
      <c r="A208" s="9" t="s">
        <v>5211</v>
      </c>
      <c r="B208" s="10">
        <v>718</v>
      </c>
      <c r="C208" s="10" t="s">
        <v>12</v>
      </c>
      <c r="D208" t="s">
        <v>516</v>
      </c>
      <c r="E208" t="s">
        <v>517</v>
      </c>
      <c r="F208" s="10" t="s">
        <v>39</v>
      </c>
      <c r="G208" s="2">
        <v>6.1574999999999998</v>
      </c>
      <c r="H208" s="13">
        <v>29</v>
      </c>
      <c r="I208" s="13">
        <v>-6</v>
      </c>
      <c r="J208" s="13">
        <v>6</v>
      </c>
      <c r="K208" s="10">
        <v>29</v>
      </c>
      <c r="L208" s="2">
        <v>178.5675</v>
      </c>
      <c r="M208" s="1">
        <v>46232.6</v>
      </c>
      <c r="N208" t="s">
        <v>573</v>
      </c>
    </row>
    <row r="209" spans="1:14" x14ac:dyDescent="0.25">
      <c r="A209" s="9" t="s">
        <v>5211</v>
      </c>
      <c r="B209" s="10">
        <v>714</v>
      </c>
      <c r="C209" s="10" t="s">
        <v>323</v>
      </c>
      <c r="D209" t="s">
        <v>3419</v>
      </c>
      <c r="E209" t="s">
        <v>3420</v>
      </c>
      <c r="F209" s="10" t="s">
        <v>158</v>
      </c>
      <c r="G209" s="2">
        <v>123.9431</v>
      </c>
      <c r="H209" s="13">
        <v>28</v>
      </c>
      <c r="I209" s="13">
        <v>3</v>
      </c>
      <c r="J209" s="13">
        <v>-3</v>
      </c>
      <c r="K209" s="10">
        <v>28</v>
      </c>
      <c r="L209" s="2">
        <v>3470.4068000000002</v>
      </c>
      <c r="M209" s="1">
        <v>46086.458333333336</v>
      </c>
      <c r="N209" t="s">
        <v>151</v>
      </c>
    </row>
    <row r="210" spans="1:14" x14ac:dyDescent="0.25">
      <c r="A210" s="9" t="s">
        <v>5211</v>
      </c>
      <c r="B210" s="10">
        <v>636</v>
      </c>
      <c r="C210" s="10" t="s">
        <v>323</v>
      </c>
      <c r="D210" t="s">
        <v>4282</v>
      </c>
      <c r="E210" t="s">
        <v>4283</v>
      </c>
      <c r="F210" s="10" t="s">
        <v>158</v>
      </c>
      <c r="G210" s="2">
        <v>185.31649999999999</v>
      </c>
      <c r="H210" s="13">
        <v>28</v>
      </c>
      <c r="I210" s="13">
        <v>-6</v>
      </c>
      <c r="J210" s="13">
        <v>6</v>
      </c>
      <c r="K210" s="10">
        <v>28</v>
      </c>
      <c r="L210" s="2">
        <v>5188.8620000000001</v>
      </c>
      <c r="M210" s="1">
        <v>46143.609722222223</v>
      </c>
      <c r="N210" t="s">
        <v>151</v>
      </c>
    </row>
    <row r="211" spans="1:14" x14ac:dyDescent="0.25">
      <c r="A211" s="9" t="s">
        <v>5211</v>
      </c>
      <c r="B211" s="10">
        <v>714</v>
      </c>
      <c r="C211" s="10" t="s">
        <v>143</v>
      </c>
      <c r="D211" t="s">
        <v>4755</v>
      </c>
      <c r="E211" t="s">
        <v>4756</v>
      </c>
      <c r="F211" s="10" t="s">
        <v>29</v>
      </c>
      <c r="G211" s="2">
        <v>21.092600000000001</v>
      </c>
      <c r="H211" s="13">
        <v>28</v>
      </c>
      <c r="I211" s="13">
        <v>86</v>
      </c>
      <c r="J211" s="13">
        <v>-86</v>
      </c>
      <c r="K211" s="10">
        <v>28</v>
      </c>
      <c r="L211" s="2">
        <v>590.59280000000001</v>
      </c>
      <c r="M211" s="1">
        <v>46154.629861111112</v>
      </c>
      <c r="N211" t="s">
        <v>30</v>
      </c>
    </row>
    <row r="212" spans="1:14" x14ac:dyDescent="0.25">
      <c r="A212" s="9" t="s">
        <v>5211</v>
      </c>
      <c r="B212" s="10">
        <v>634</v>
      </c>
      <c r="C212" s="10" t="s">
        <v>70</v>
      </c>
      <c r="D212" t="s">
        <v>4014</v>
      </c>
      <c r="E212" t="s">
        <v>4015</v>
      </c>
      <c r="F212" s="10" t="s">
        <v>112</v>
      </c>
      <c r="G212" s="2">
        <v>5.4880000000000004</v>
      </c>
      <c r="H212" s="13">
        <v>28</v>
      </c>
      <c r="I212" s="13">
        <v>-9</v>
      </c>
      <c r="J212" s="13">
        <v>9</v>
      </c>
      <c r="K212" s="10">
        <v>28</v>
      </c>
      <c r="L212" s="2">
        <v>153.66399999999999</v>
      </c>
      <c r="M212" s="1">
        <v>46164.474999999999</v>
      </c>
      <c r="N212" t="s">
        <v>40</v>
      </c>
    </row>
    <row r="213" spans="1:14" x14ac:dyDescent="0.25">
      <c r="A213" s="9" t="s">
        <v>5211</v>
      </c>
      <c r="B213" s="10">
        <v>714</v>
      </c>
      <c r="C213" s="10" t="s">
        <v>12</v>
      </c>
      <c r="D213" t="s">
        <v>1863</v>
      </c>
      <c r="E213" t="s">
        <v>1864</v>
      </c>
      <c r="F213" s="10" t="s">
        <v>43</v>
      </c>
      <c r="G213" s="2">
        <v>1.8958999999999999</v>
      </c>
      <c r="H213" s="13">
        <v>28</v>
      </c>
      <c r="I213" s="13">
        <v>-26</v>
      </c>
      <c r="J213" s="13">
        <v>26</v>
      </c>
      <c r="K213" s="10">
        <v>28</v>
      </c>
      <c r="L213" s="2">
        <v>53.0852</v>
      </c>
      <c r="M213" s="1">
        <v>46181.373611111114</v>
      </c>
      <c r="N213" t="s">
        <v>545</v>
      </c>
    </row>
    <row r="214" spans="1:14" x14ac:dyDescent="0.25">
      <c r="A214" s="9" t="s">
        <v>5211</v>
      </c>
      <c r="B214" s="10">
        <v>714</v>
      </c>
      <c r="C214" s="10" t="s">
        <v>143</v>
      </c>
      <c r="D214" t="s">
        <v>2632</v>
      </c>
      <c r="E214" t="s">
        <v>2633</v>
      </c>
      <c r="F214" s="10" t="s">
        <v>39</v>
      </c>
      <c r="G214" s="2">
        <v>22.989799999999999</v>
      </c>
      <c r="H214" s="13">
        <v>28</v>
      </c>
      <c r="I214" s="13">
        <v>0</v>
      </c>
      <c r="J214" s="13">
        <v>0</v>
      </c>
      <c r="K214" s="10">
        <v>28</v>
      </c>
      <c r="L214" s="2">
        <v>643.71439999999996</v>
      </c>
      <c r="M214" s="1">
        <v>46188.35</v>
      </c>
      <c r="N214" t="s">
        <v>26</v>
      </c>
    </row>
    <row r="215" spans="1:14" x14ac:dyDescent="0.25">
      <c r="A215" s="9" t="s">
        <v>5211</v>
      </c>
      <c r="B215" s="10">
        <v>636</v>
      </c>
      <c r="C215" s="10" t="s">
        <v>70</v>
      </c>
      <c r="D215" t="s">
        <v>640</v>
      </c>
      <c r="E215" t="s">
        <v>641</v>
      </c>
      <c r="F215" s="10" t="s">
        <v>39</v>
      </c>
      <c r="G215" s="2">
        <v>10.8002</v>
      </c>
      <c r="H215" s="13">
        <v>28</v>
      </c>
      <c r="I215" s="13">
        <v>0</v>
      </c>
      <c r="J215" s="13">
        <v>0</v>
      </c>
      <c r="K215" s="10">
        <v>28</v>
      </c>
      <c r="L215" s="2">
        <v>302.40559999999999</v>
      </c>
      <c r="M215" s="1">
        <v>46189.418749999997</v>
      </c>
      <c r="N215" t="s">
        <v>16</v>
      </c>
    </row>
    <row r="216" spans="1:14" x14ac:dyDescent="0.25">
      <c r="A216" s="9" t="s">
        <v>5211</v>
      </c>
      <c r="B216" s="10">
        <v>714</v>
      </c>
      <c r="C216" s="10" t="s">
        <v>143</v>
      </c>
      <c r="D216" t="s">
        <v>2243</v>
      </c>
      <c r="E216" t="s">
        <v>2244</v>
      </c>
      <c r="F216" s="10" t="s">
        <v>23</v>
      </c>
      <c r="G216" s="2">
        <v>27.644400000000001</v>
      </c>
      <c r="H216" s="13">
        <v>28</v>
      </c>
      <c r="I216" s="13">
        <v>9</v>
      </c>
      <c r="J216" s="13">
        <v>-9</v>
      </c>
      <c r="K216" s="10">
        <v>28</v>
      </c>
      <c r="L216" s="2">
        <v>774.04319999999996</v>
      </c>
      <c r="M216" s="1">
        <v>46200.382638888892</v>
      </c>
      <c r="N216" t="s">
        <v>1062</v>
      </c>
    </row>
    <row r="217" spans="1:14" x14ac:dyDescent="0.25">
      <c r="A217" s="9" t="s">
        <v>5211</v>
      </c>
      <c r="B217" s="10">
        <v>636</v>
      </c>
      <c r="C217" s="10" t="s">
        <v>70</v>
      </c>
      <c r="D217" t="s">
        <v>614</v>
      </c>
      <c r="E217" t="s">
        <v>615</v>
      </c>
      <c r="F217" s="10" t="s">
        <v>39</v>
      </c>
      <c r="G217" s="2">
        <v>8.3114000000000008</v>
      </c>
      <c r="H217" s="13">
        <v>28</v>
      </c>
      <c r="I217" s="13">
        <v>-4</v>
      </c>
      <c r="J217" s="13">
        <v>4</v>
      </c>
      <c r="K217" s="10">
        <v>28</v>
      </c>
      <c r="L217" s="2">
        <v>232.7192</v>
      </c>
      <c r="M217" s="1">
        <v>46216.52847222222</v>
      </c>
      <c r="N217" t="s">
        <v>40</v>
      </c>
    </row>
    <row r="218" spans="1:14" x14ac:dyDescent="0.25">
      <c r="A218" s="9" t="s">
        <v>5211</v>
      </c>
      <c r="B218" s="10">
        <v>714</v>
      </c>
      <c r="C218" s="10" t="s">
        <v>70</v>
      </c>
      <c r="D218" t="s">
        <v>4715</v>
      </c>
      <c r="E218" t="s">
        <v>4716</v>
      </c>
      <c r="F218" s="10" t="s">
        <v>112</v>
      </c>
      <c r="G218" s="2">
        <v>6.1406000000000001</v>
      </c>
      <c r="H218" s="13">
        <v>28</v>
      </c>
      <c r="I218" s="13">
        <v>20</v>
      </c>
      <c r="J218" s="13">
        <v>-20</v>
      </c>
      <c r="K218" s="10">
        <v>28</v>
      </c>
      <c r="L218" s="2">
        <v>171.93680000000001</v>
      </c>
      <c r="M218" s="1">
        <v>46234.476388888892</v>
      </c>
      <c r="N218" t="s">
        <v>26</v>
      </c>
    </row>
    <row r="219" spans="1:14" x14ac:dyDescent="0.25">
      <c r="A219" s="9" t="s">
        <v>5211</v>
      </c>
      <c r="B219" s="10">
        <v>634</v>
      </c>
      <c r="C219" s="10" t="s">
        <v>12</v>
      </c>
      <c r="D219" t="s">
        <v>3997</v>
      </c>
      <c r="E219" t="s">
        <v>3998</v>
      </c>
      <c r="F219" s="10" t="s">
        <v>23</v>
      </c>
      <c r="G219" s="2">
        <v>10.7142</v>
      </c>
      <c r="H219" s="13">
        <v>28</v>
      </c>
      <c r="I219" s="13">
        <v>39</v>
      </c>
      <c r="J219" s="13">
        <v>-39</v>
      </c>
      <c r="K219" s="10">
        <v>28</v>
      </c>
      <c r="L219" s="2">
        <v>299.99759999999998</v>
      </c>
      <c r="M219" s="1">
        <v>46237.726388888892</v>
      </c>
      <c r="N219" t="s">
        <v>26</v>
      </c>
    </row>
    <row r="220" spans="1:14" x14ac:dyDescent="0.25">
      <c r="A220" s="9" t="s">
        <v>5211</v>
      </c>
      <c r="B220" s="10">
        <v>714</v>
      </c>
      <c r="C220" s="10" t="s">
        <v>143</v>
      </c>
      <c r="D220" t="s">
        <v>2754</v>
      </c>
      <c r="E220" t="s">
        <v>2755</v>
      </c>
      <c r="F220" s="10" t="s">
        <v>23</v>
      </c>
      <c r="G220" s="2">
        <v>19.791799999999999</v>
      </c>
      <c r="H220" s="13">
        <v>28</v>
      </c>
      <c r="I220" s="13">
        <v>9</v>
      </c>
      <c r="J220" s="13">
        <v>-9</v>
      </c>
      <c r="K220" s="10">
        <v>28</v>
      </c>
      <c r="L220" s="2">
        <v>554.17039999999997</v>
      </c>
      <c r="M220" s="1">
        <v>46245.463194444441</v>
      </c>
      <c r="N220" t="s">
        <v>195</v>
      </c>
    </row>
    <row r="221" spans="1:14" x14ac:dyDescent="0.25">
      <c r="A221" s="9" t="s">
        <v>5211</v>
      </c>
      <c r="B221" s="10">
        <v>718</v>
      </c>
      <c r="C221" s="10" t="s">
        <v>12</v>
      </c>
      <c r="D221" t="s">
        <v>3625</v>
      </c>
      <c r="E221" t="s">
        <v>3626</v>
      </c>
      <c r="F221" s="10" t="s">
        <v>29</v>
      </c>
      <c r="G221" s="2">
        <v>28.49</v>
      </c>
      <c r="H221" s="13">
        <v>27</v>
      </c>
      <c r="I221" s="13">
        <v>0</v>
      </c>
      <c r="J221" s="13">
        <v>0</v>
      </c>
      <c r="K221" s="10">
        <v>27</v>
      </c>
      <c r="L221" s="2">
        <v>769.23</v>
      </c>
      <c r="M221" s="1">
        <v>45769.668749999997</v>
      </c>
      <c r="N221" t="s">
        <v>26</v>
      </c>
    </row>
    <row r="222" spans="1:14" x14ac:dyDescent="0.25">
      <c r="A222" s="9" t="s">
        <v>5211</v>
      </c>
      <c r="B222" s="10">
        <v>714</v>
      </c>
      <c r="C222" s="10" t="s">
        <v>70</v>
      </c>
      <c r="D222" t="s">
        <v>2119</v>
      </c>
      <c r="E222" t="s">
        <v>2120</v>
      </c>
      <c r="F222" s="10" t="s">
        <v>39</v>
      </c>
      <c r="G222" s="2">
        <v>8.1747999999999994</v>
      </c>
      <c r="H222" s="13">
        <v>27</v>
      </c>
      <c r="I222" s="13">
        <v>0</v>
      </c>
      <c r="J222" s="13">
        <v>0</v>
      </c>
      <c r="K222" s="10">
        <v>27</v>
      </c>
      <c r="L222" s="2">
        <v>220.71960000000001</v>
      </c>
      <c r="M222" s="1">
        <v>46100.536805555559</v>
      </c>
      <c r="N222" t="s">
        <v>40</v>
      </c>
    </row>
    <row r="223" spans="1:14" x14ac:dyDescent="0.25">
      <c r="A223" s="9" t="s">
        <v>5211</v>
      </c>
      <c r="B223" s="10">
        <v>634</v>
      </c>
      <c r="C223" s="10" t="s">
        <v>143</v>
      </c>
      <c r="D223" t="s">
        <v>247</v>
      </c>
      <c r="E223" t="s">
        <v>248</v>
      </c>
      <c r="F223" s="10" t="s">
        <v>35</v>
      </c>
      <c r="G223" s="2">
        <v>19.1145</v>
      </c>
      <c r="H223" s="13">
        <v>27</v>
      </c>
      <c r="I223" s="13">
        <v>0</v>
      </c>
      <c r="J223" s="13">
        <v>0</v>
      </c>
      <c r="K223" s="10">
        <v>27</v>
      </c>
      <c r="L223" s="2">
        <v>516.0915</v>
      </c>
      <c r="M223" s="1">
        <v>46134.53125</v>
      </c>
      <c r="N223" t="s">
        <v>40</v>
      </c>
    </row>
    <row r="224" spans="1:14" x14ac:dyDescent="0.25">
      <c r="A224" s="9" t="s">
        <v>5211</v>
      </c>
      <c r="B224" s="10">
        <v>718</v>
      </c>
      <c r="C224" s="10" t="s">
        <v>323</v>
      </c>
      <c r="D224" t="s">
        <v>3891</v>
      </c>
      <c r="E224" t="s">
        <v>3892</v>
      </c>
      <c r="F224" s="10" t="s">
        <v>23</v>
      </c>
      <c r="G224" s="2">
        <v>50.604999999999997</v>
      </c>
      <c r="H224" s="13">
        <v>27</v>
      </c>
      <c r="I224" s="13">
        <v>0</v>
      </c>
      <c r="J224" s="13">
        <v>0</v>
      </c>
      <c r="K224" s="10">
        <v>27</v>
      </c>
      <c r="L224" s="2">
        <v>1366.335</v>
      </c>
      <c r="M224" s="1">
        <v>46175.657638888886</v>
      </c>
      <c r="N224" t="s">
        <v>3755</v>
      </c>
    </row>
    <row r="225" spans="1:14" x14ac:dyDescent="0.25">
      <c r="A225" s="9" t="s">
        <v>5211</v>
      </c>
      <c r="B225" s="10">
        <v>714</v>
      </c>
      <c r="C225" s="10" t="s">
        <v>143</v>
      </c>
      <c r="D225" t="s">
        <v>4134</v>
      </c>
      <c r="E225" t="s">
        <v>4135</v>
      </c>
      <c r="F225" s="10" t="s">
        <v>158</v>
      </c>
      <c r="G225" s="2">
        <v>46.673999999999999</v>
      </c>
      <c r="H225" s="13">
        <v>27</v>
      </c>
      <c r="I225" s="13">
        <v>46</v>
      </c>
      <c r="J225" s="13">
        <v>-46</v>
      </c>
      <c r="K225" s="10">
        <v>27</v>
      </c>
      <c r="L225" s="2">
        <v>1260.1980000000001</v>
      </c>
      <c r="M225" s="1">
        <v>46183.468055555553</v>
      </c>
      <c r="N225" t="s">
        <v>175</v>
      </c>
    </row>
    <row r="226" spans="1:14" x14ac:dyDescent="0.25">
      <c r="A226" s="9" t="s">
        <v>5211</v>
      </c>
      <c r="B226" s="10">
        <v>718</v>
      </c>
      <c r="C226" s="10" t="s">
        <v>70</v>
      </c>
      <c r="D226" t="s">
        <v>4435</v>
      </c>
      <c r="E226" t="s">
        <v>4436</v>
      </c>
      <c r="F226" s="10" t="s">
        <v>39</v>
      </c>
      <c r="G226" s="2">
        <v>5.6565000000000003</v>
      </c>
      <c r="H226" s="13">
        <v>27</v>
      </c>
      <c r="I226" s="13">
        <v>7</v>
      </c>
      <c r="J226" s="13">
        <v>-7</v>
      </c>
      <c r="K226" s="10">
        <v>27</v>
      </c>
      <c r="L226" s="2">
        <v>152.72550000000001</v>
      </c>
      <c r="M226" s="1">
        <v>46189.48333333333</v>
      </c>
      <c r="N226" t="s">
        <v>40</v>
      </c>
    </row>
    <row r="227" spans="1:14" x14ac:dyDescent="0.25">
      <c r="A227" s="9" t="s">
        <v>5211</v>
      </c>
      <c r="B227" s="10">
        <v>718</v>
      </c>
      <c r="C227" s="10" t="s">
        <v>70</v>
      </c>
      <c r="D227" t="s">
        <v>4719</v>
      </c>
      <c r="E227" t="s">
        <v>4720</v>
      </c>
      <c r="F227" s="10" t="s">
        <v>39</v>
      </c>
      <c r="G227" s="2">
        <v>6.8788999999999998</v>
      </c>
      <c r="H227" s="13">
        <v>27</v>
      </c>
      <c r="I227" s="13">
        <v>1223</v>
      </c>
      <c r="J227" s="13">
        <v>-1223</v>
      </c>
      <c r="K227" s="10">
        <v>27</v>
      </c>
      <c r="L227" s="2">
        <v>185.7303</v>
      </c>
      <c r="M227" s="1">
        <v>46189.48333333333</v>
      </c>
      <c r="N227" t="s">
        <v>40</v>
      </c>
    </row>
    <row r="228" spans="1:14" x14ac:dyDescent="0.25">
      <c r="A228" s="9" t="s">
        <v>5211</v>
      </c>
      <c r="B228" s="10">
        <v>714</v>
      </c>
      <c r="C228" s="10" t="s">
        <v>70</v>
      </c>
      <c r="D228" t="s">
        <v>1991</v>
      </c>
      <c r="E228" t="s">
        <v>1992</v>
      </c>
      <c r="F228" s="10" t="s">
        <v>29</v>
      </c>
      <c r="G228" s="2">
        <v>6.3433999999999999</v>
      </c>
      <c r="H228" s="13">
        <v>27</v>
      </c>
      <c r="I228" s="13">
        <v>0</v>
      </c>
      <c r="J228" s="13">
        <v>0</v>
      </c>
      <c r="K228" s="10">
        <v>27</v>
      </c>
      <c r="L228" s="2">
        <v>171.27180000000001</v>
      </c>
      <c r="M228" s="1">
        <v>46193.431250000001</v>
      </c>
      <c r="N228" t="s">
        <v>26</v>
      </c>
    </row>
    <row r="229" spans="1:14" x14ac:dyDescent="0.25">
      <c r="A229" s="9" t="s">
        <v>5211</v>
      </c>
      <c r="B229" s="10">
        <v>718</v>
      </c>
      <c r="C229" s="10" t="s">
        <v>70</v>
      </c>
      <c r="D229" t="s">
        <v>1993</v>
      </c>
      <c r="E229" t="s">
        <v>1994</v>
      </c>
      <c r="F229" s="10" t="s">
        <v>81</v>
      </c>
      <c r="G229" s="2">
        <v>6.3055000000000003</v>
      </c>
      <c r="H229" s="13">
        <v>27</v>
      </c>
      <c r="I229" s="13">
        <v>0</v>
      </c>
      <c r="J229" s="13">
        <v>0</v>
      </c>
      <c r="K229" s="10">
        <v>27</v>
      </c>
      <c r="L229" s="2">
        <v>170.24850000000001</v>
      </c>
      <c r="M229" s="1">
        <v>46193.592361111114</v>
      </c>
      <c r="N229" t="s">
        <v>26</v>
      </c>
    </row>
    <row r="230" spans="1:14" x14ac:dyDescent="0.25">
      <c r="A230" s="9" t="s">
        <v>5211</v>
      </c>
      <c r="B230" s="10">
        <v>636</v>
      </c>
      <c r="C230" s="10" t="s">
        <v>70</v>
      </c>
      <c r="D230" t="s">
        <v>674</v>
      </c>
      <c r="E230" t="s">
        <v>675</v>
      </c>
      <c r="F230" s="10" t="s">
        <v>39</v>
      </c>
      <c r="G230" s="2">
        <v>6.6074999999999999</v>
      </c>
      <c r="H230" s="13">
        <v>27</v>
      </c>
      <c r="I230" s="13">
        <v>-3</v>
      </c>
      <c r="J230" s="13">
        <v>3</v>
      </c>
      <c r="K230" s="10">
        <v>27</v>
      </c>
      <c r="L230" s="2">
        <v>178.4025</v>
      </c>
      <c r="M230" s="1">
        <v>46212.4375</v>
      </c>
      <c r="N230" t="s">
        <v>16</v>
      </c>
    </row>
    <row r="231" spans="1:14" x14ac:dyDescent="0.25">
      <c r="A231" s="9" t="s">
        <v>5211</v>
      </c>
      <c r="B231" s="10">
        <v>636</v>
      </c>
      <c r="C231" s="10" t="s">
        <v>70</v>
      </c>
      <c r="D231" t="s">
        <v>820</v>
      </c>
      <c r="E231" t="s">
        <v>821</v>
      </c>
      <c r="F231" s="10" t="s">
        <v>112</v>
      </c>
      <c r="G231" s="2">
        <v>3.2486999999999999</v>
      </c>
      <c r="H231" s="13">
        <v>27</v>
      </c>
      <c r="I231" s="13">
        <v>0</v>
      </c>
      <c r="J231" s="13">
        <v>0</v>
      </c>
      <c r="K231" s="10">
        <v>27</v>
      </c>
      <c r="L231" s="2">
        <v>87.7149</v>
      </c>
      <c r="M231" s="1">
        <v>46216.310416666667</v>
      </c>
      <c r="N231" t="s">
        <v>99</v>
      </c>
    </row>
    <row r="232" spans="1:14" x14ac:dyDescent="0.25">
      <c r="A232" s="9" t="s">
        <v>5211</v>
      </c>
      <c r="B232" s="10">
        <v>718</v>
      </c>
      <c r="C232" s="10" t="s">
        <v>70</v>
      </c>
      <c r="D232" t="s">
        <v>4004</v>
      </c>
      <c r="E232" t="s">
        <v>4005</v>
      </c>
      <c r="F232" s="10" t="s">
        <v>29</v>
      </c>
      <c r="G232" s="2">
        <v>6.0987999999999998</v>
      </c>
      <c r="H232" s="13">
        <v>27</v>
      </c>
      <c r="I232" s="13">
        <v>102</v>
      </c>
      <c r="J232" s="13">
        <v>-102</v>
      </c>
      <c r="K232" s="10">
        <v>27</v>
      </c>
      <c r="L232" s="2">
        <v>164.66759999999999</v>
      </c>
      <c r="M232" s="1">
        <v>46218.409722222219</v>
      </c>
      <c r="N232" t="s">
        <v>16</v>
      </c>
    </row>
    <row r="233" spans="1:14" x14ac:dyDescent="0.25">
      <c r="A233" s="9" t="s">
        <v>5211</v>
      </c>
      <c r="B233" s="10">
        <v>718</v>
      </c>
      <c r="C233" s="10" t="s">
        <v>126</v>
      </c>
      <c r="D233" t="s">
        <v>4064</v>
      </c>
      <c r="E233" t="s">
        <v>4065</v>
      </c>
      <c r="F233" s="10" t="s">
        <v>112</v>
      </c>
      <c r="G233" s="2">
        <v>7.4443999999999999</v>
      </c>
      <c r="H233" s="13">
        <v>27</v>
      </c>
      <c r="I233" s="13">
        <v>16</v>
      </c>
      <c r="J233" s="13">
        <v>-16</v>
      </c>
      <c r="K233" s="10">
        <v>27</v>
      </c>
      <c r="L233" s="2">
        <v>200.99879999999999</v>
      </c>
      <c r="M233" s="1">
        <v>46218.409722222219</v>
      </c>
      <c r="N233" t="s">
        <v>16</v>
      </c>
    </row>
    <row r="234" spans="1:14" x14ac:dyDescent="0.25">
      <c r="A234" s="9" t="s">
        <v>5211</v>
      </c>
      <c r="B234" s="10">
        <v>634</v>
      </c>
      <c r="C234" s="10" t="s">
        <v>143</v>
      </c>
      <c r="D234" t="s">
        <v>4202</v>
      </c>
      <c r="E234" t="s">
        <v>4203</v>
      </c>
      <c r="F234" s="10" t="s">
        <v>158</v>
      </c>
      <c r="G234" s="2">
        <v>172.83860000000001</v>
      </c>
      <c r="H234" s="13">
        <v>27</v>
      </c>
      <c r="I234" s="13">
        <v>84</v>
      </c>
      <c r="J234" s="13">
        <v>-84</v>
      </c>
      <c r="K234" s="10">
        <v>27</v>
      </c>
      <c r="L234" s="2">
        <v>4666.6422000000002</v>
      </c>
      <c r="M234" s="1">
        <v>46219.720138888886</v>
      </c>
      <c r="N234" t="s">
        <v>402</v>
      </c>
    </row>
    <row r="235" spans="1:14" x14ac:dyDescent="0.25">
      <c r="A235" s="9" t="s">
        <v>5211</v>
      </c>
      <c r="B235" s="10">
        <v>718</v>
      </c>
      <c r="C235" s="10" t="s">
        <v>70</v>
      </c>
      <c r="D235" t="s">
        <v>2149</v>
      </c>
      <c r="E235" t="s">
        <v>2150</v>
      </c>
      <c r="F235" s="10" t="s">
        <v>15</v>
      </c>
      <c r="G235" s="2">
        <v>6.4371</v>
      </c>
      <c r="H235" s="13">
        <v>27</v>
      </c>
      <c r="I235" s="13">
        <v>0</v>
      </c>
      <c r="J235" s="13">
        <v>0</v>
      </c>
      <c r="K235" s="10">
        <v>27</v>
      </c>
      <c r="L235" s="2">
        <v>173.80170000000001</v>
      </c>
      <c r="M235" s="1">
        <v>46232.6</v>
      </c>
      <c r="N235" t="s">
        <v>573</v>
      </c>
    </row>
    <row r="236" spans="1:14" x14ac:dyDescent="0.25">
      <c r="A236" s="9" t="s">
        <v>5211</v>
      </c>
      <c r="B236" s="10">
        <v>636</v>
      </c>
      <c r="C236" s="10" t="s">
        <v>323</v>
      </c>
      <c r="D236" t="s">
        <v>416</v>
      </c>
      <c r="E236" t="s">
        <v>417</v>
      </c>
      <c r="F236" s="10" t="s">
        <v>23</v>
      </c>
      <c r="G236" s="2">
        <v>146.96950000000001</v>
      </c>
      <c r="H236" s="13">
        <v>26</v>
      </c>
      <c r="I236" s="13">
        <v>1</v>
      </c>
      <c r="J236" s="13">
        <v>-1</v>
      </c>
      <c r="K236" s="10">
        <v>26</v>
      </c>
      <c r="L236" s="2">
        <v>3821.2069999999999</v>
      </c>
      <c r="M236" s="1">
        <v>46085.617361111108</v>
      </c>
      <c r="N236" t="s">
        <v>159</v>
      </c>
    </row>
    <row r="237" spans="1:14" x14ac:dyDescent="0.25">
      <c r="A237" s="9" t="s">
        <v>5211</v>
      </c>
      <c r="B237" s="10">
        <v>636</v>
      </c>
      <c r="C237" s="10" t="s">
        <v>143</v>
      </c>
      <c r="D237" t="s">
        <v>4138</v>
      </c>
      <c r="E237" t="s">
        <v>4139</v>
      </c>
      <c r="F237" s="10" t="s">
        <v>112</v>
      </c>
      <c r="G237" s="2">
        <v>18.508700000000001</v>
      </c>
      <c r="H237" s="13">
        <v>26</v>
      </c>
      <c r="I237" s="13">
        <v>36</v>
      </c>
      <c r="J237" s="13">
        <v>-36</v>
      </c>
      <c r="K237" s="10">
        <v>26</v>
      </c>
      <c r="L237" s="2">
        <v>481.22620000000001</v>
      </c>
      <c r="M237" s="1">
        <v>46121.68472222222</v>
      </c>
      <c r="N237" t="s">
        <v>47</v>
      </c>
    </row>
    <row r="238" spans="1:14" x14ac:dyDescent="0.25">
      <c r="A238" s="9" t="s">
        <v>5211</v>
      </c>
      <c r="B238" s="10">
        <v>636</v>
      </c>
      <c r="C238" s="10" t="s">
        <v>143</v>
      </c>
      <c r="D238" t="s">
        <v>4146</v>
      </c>
      <c r="E238" t="s">
        <v>4147</v>
      </c>
      <c r="F238" s="10" t="s">
        <v>112</v>
      </c>
      <c r="G238" s="2">
        <v>14.3246</v>
      </c>
      <c r="H238" s="13">
        <v>26</v>
      </c>
      <c r="I238" s="13">
        <v>12</v>
      </c>
      <c r="J238" s="13">
        <v>-12</v>
      </c>
      <c r="K238" s="10">
        <v>26</v>
      </c>
      <c r="L238" s="2">
        <v>372.43959999999998</v>
      </c>
      <c r="M238" s="1">
        <v>46127.302777777775</v>
      </c>
      <c r="N238" t="s">
        <v>162</v>
      </c>
    </row>
    <row r="239" spans="1:14" x14ac:dyDescent="0.25">
      <c r="A239" s="9" t="s">
        <v>5211</v>
      </c>
      <c r="B239" s="10">
        <v>714</v>
      </c>
      <c r="C239" s="10" t="s">
        <v>323</v>
      </c>
      <c r="D239" t="s">
        <v>3423</v>
      </c>
      <c r="E239" t="s">
        <v>3424</v>
      </c>
      <c r="F239" s="10" t="s">
        <v>158</v>
      </c>
      <c r="G239" s="2">
        <v>262</v>
      </c>
      <c r="H239" s="13">
        <v>26</v>
      </c>
      <c r="I239" s="13">
        <v>0</v>
      </c>
      <c r="J239" s="13">
        <v>0</v>
      </c>
      <c r="K239" s="10">
        <v>26</v>
      </c>
      <c r="L239" s="2">
        <v>6812</v>
      </c>
      <c r="M239" s="1">
        <v>46135.587500000001</v>
      </c>
      <c r="N239" t="s">
        <v>402</v>
      </c>
    </row>
    <row r="240" spans="1:14" x14ac:dyDescent="0.25">
      <c r="A240" s="9" t="s">
        <v>5211</v>
      </c>
      <c r="B240" s="10">
        <v>636</v>
      </c>
      <c r="C240" s="10" t="s">
        <v>143</v>
      </c>
      <c r="D240" t="s">
        <v>185</v>
      </c>
      <c r="E240" t="s">
        <v>186</v>
      </c>
      <c r="F240" s="10" t="s">
        <v>112</v>
      </c>
      <c r="G240" s="2">
        <v>19.383199999999999</v>
      </c>
      <c r="H240" s="13">
        <v>26</v>
      </c>
      <c r="I240" s="13">
        <v>0</v>
      </c>
      <c r="J240" s="13">
        <v>0</v>
      </c>
      <c r="K240" s="10">
        <v>26</v>
      </c>
      <c r="L240" s="2">
        <v>503.96319999999997</v>
      </c>
      <c r="M240" s="1">
        <v>46143.293055555558</v>
      </c>
      <c r="N240" t="s">
        <v>26</v>
      </c>
    </row>
    <row r="241" spans="1:14" x14ac:dyDescent="0.25">
      <c r="A241" s="9" t="s">
        <v>5211</v>
      </c>
      <c r="B241" s="10">
        <v>718</v>
      </c>
      <c r="C241" s="10" t="s">
        <v>70</v>
      </c>
      <c r="D241" t="s">
        <v>110</v>
      </c>
      <c r="E241" t="s">
        <v>111</v>
      </c>
      <c r="F241" s="10" t="s">
        <v>112</v>
      </c>
      <c r="G241" s="2">
        <v>7.1783000000000001</v>
      </c>
      <c r="H241" s="13">
        <v>26</v>
      </c>
      <c r="I241" s="13">
        <v>0</v>
      </c>
      <c r="J241" s="13">
        <v>0</v>
      </c>
      <c r="K241" s="10">
        <v>26</v>
      </c>
      <c r="L241" s="2">
        <v>186.63579999999999</v>
      </c>
      <c r="M241" s="1">
        <v>46169.443055555559</v>
      </c>
      <c r="N241" t="s">
        <v>94</v>
      </c>
    </row>
    <row r="242" spans="1:14" x14ac:dyDescent="0.25">
      <c r="A242" s="9" t="s">
        <v>5211</v>
      </c>
      <c r="B242" s="10">
        <v>636</v>
      </c>
      <c r="C242" s="10" t="s">
        <v>143</v>
      </c>
      <c r="D242" t="s">
        <v>1023</v>
      </c>
      <c r="E242" t="s">
        <v>1024</v>
      </c>
      <c r="F242" s="10" t="s">
        <v>29</v>
      </c>
      <c r="G242" s="2">
        <v>14.4</v>
      </c>
      <c r="H242" s="13">
        <v>26</v>
      </c>
      <c r="I242" s="13">
        <v>0</v>
      </c>
      <c r="J242" s="13">
        <v>0</v>
      </c>
      <c r="K242" s="10">
        <v>26</v>
      </c>
      <c r="L242" s="2">
        <v>374.4</v>
      </c>
      <c r="M242" s="1">
        <v>46171.609027777777</v>
      </c>
      <c r="N242" t="s">
        <v>61</v>
      </c>
    </row>
    <row r="243" spans="1:14" x14ac:dyDescent="0.25">
      <c r="A243" s="9" t="s">
        <v>5211</v>
      </c>
      <c r="B243" s="10">
        <v>634</v>
      </c>
      <c r="C243" s="10" t="s">
        <v>70</v>
      </c>
      <c r="D243" t="s">
        <v>104</v>
      </c>
      <c r="E243" t="s">
        <v>105</v>
      </c>
      <c r="F243" s="10" t="s">
        <v>23</v>
      </c>
      <c r="G243" s="2">
        <v>8.8199000000000005</v>
      </c>
      <c r="H243" s="13">
        <v>26</v>
      </c>
      <c r="I243" s="13">
        <v>14</v>
      </c>
      <c r="J243" s="13">
        <v>-14</v>
      </c>
      <c r="K243" s="10">
        <v>26</v>
      </c>
      <c r="L243" s="2">
        <v>229.31739999999999</v>
      </c>
      <c r="M243" s="1">
        <v>46177.4</v>
      </c>
      <c r="N243" t="s">
        <v>16</v>
      </c>
    </row>
    <row r="244" spans="1:14" x14ac:dyDescent="0.25">
      <c r="A244" s="9" t="s">
        <v>5211</v>
      </c>
      <c r="B244" s="10">
        <v>714</v>
      </c>
      <c r="C244" s="10" t="s">
        <v>12</v>
      </c>
      <c r="D244" t="s">
        <v>1926</v>
      </c>
      <c r="E244" t="s">
        <v>1927</v>
      </c>
      <c r="F244" s="10" t="s">
        <v>39</v>
      </c>
      <c r="G244" s="2">
        <v>6.3840000000000003</v>
      </c>
      <c r="H244" s="13">
        <v>26</v>
      </c>
      <c r="I244" s="13">
        <v>-30</v>
      </c>
      <c r="J244" s="13">
        <v>30</v>
      </c>
      <c r="K244" s="10">
        <v>26</v>
      </c>
      <c r="L244" s="2">
        <v>165.98400000000001</v>
      </c>
      <c r="M244" s="1">
        <v>46178.753472222219</v>
      </c>
      <c r="N244" t="s">
        <v>40</v>
      </c>
    </row>
    <row r="245" spans="1:14" x14ac:dyDescent="0.25">
      <c r="A245" s="9" t="s">
        <v>5211</v>
      </c>
      <c r="B245" s="10">
        <v>714</v>
      </c>
      <c r="C245" s="10" t="s">
        <v>12</v>
      </c>
      <c r="D245" t="s">
        <v>1853</v>
      </c>
      <c r="E245" t="s">
        <v>1854</v>
      </c>
      <c r="F245" s="10" t="s">
        <v>23</v>
      </c>
      <c r="G245" s="2">
        <v>12.1922</v>
      </c>
      <c r="H245" s="13">
        <v>26</v>
      </c>
      <c r="I245" s="13">
        <v>0</v>
      </c>
      <c r="J245" s="13">
        <v>0</v>
      </c>
      <c r="K245" s="10">
        <v>26</v>
      </c>
      <c r="L245" s="2">
        <v>316.99720000000002</v>
      </c>
      <c r="M245" s="1">
        <v>46193.431250000001</v>
      </c>
      <c r="N245" t="s">
        <v>26</v>
      </c>
    </row>
    <row r="246" spans="1:14" x14ac:dyDescent="0.25">
      <c r="A246" s="9" t="s">
        <v>5211</v>
      </c>
      <c r="B246" s="10">
        <v>718</v>
      </c>
      <c r="C246" s="10" t="s">
        <v>70</v>
      </c>
      <c r="D246" t="s">
        <v>2101</v>
      </c>
      <c r="E246" t="s">
        <v>2102</v>
      </c>
      <c r="F246" s="10" t="s">
        <v>29</v>
      </c>
      <c r="G246" s="2">
        <v>6.4473000000000003</v>
      </c>
      <c r="H246" s="13">
        <v>26</v>
      </c>
      <c r="I246" s="13">
        <v>-1</v>
      </c>
      <c r="J246" s="13">
        <v>1</v>
      </c>
      <c r="K246" s="10">
        <v>26</v>
      </c>
      <c r="L246" s="2">
        <v>167.62979999999999</v>
      </c>
      <c r="M246" s="1">
        <v>46213.567361111112</v>
      </c>
      <c r="N246" t="s">
        <v>26</v>
      </c>
    </row>
    <row r="247" spans="1:14" x14ac:dyDescent="0.25">
      <c r="A247" s="9" t="s">
        <v>5211</v>
      </c>
      <c r="B247" s="10">
        <v>634</v>
      </c>
      <c r="C247" s="10" t="s">
        <v>143</v>
      </c>
      <c r="D247" t="s">
        <v>895</v>
      </c>
      <c r="E247" t="s">
        <v>896</v>
      </c>
      <c r="F247" s="10" t="s">
        <v>43</v>
      </c>
      <c r="G247" s="2">
        <v>208.88</v>
      </c>
      <c r="H247" s="13">
        <v>26</v>
      </c>
      <c r="I247" s="13">
        <v>12</v>
      </c>
      <c r="J247" s="13">
        <v>-12</v>
      </c>
      <c r="K247" s="10">
        <v>26</v>
      </c>
      <c r="L247" s="2">
        <v>5430.88</v>
      </c>
      <c r="M247" s="1">
        <v>46219.720138888886</v>
      </c>
      <c r="N247" t="s">
        <v>402</v>
      </c>
    </row>
    <row r="248" spans="1:14" x14ac:dyDescent="0.25">
      <c r="A248" s="9" t="s">
        <v>5211</v>
      </c>
      <c r="B248" s="10">
        <v>636</v>
      </c>
      <c r="C248" s="10" t="s">
        <v>12</v>
      </c>
      <c r="D248" t="s">
        <v>546</v>
      </c>
      <c r="E248" t="s">
        <v>547</v>
      </c>
      <c r="F248" s="10" t="s">
        <v>39</v>
      </c>
      <c r="G248" s="2">
        <v>12.042299999999999</v>
      </c>
      <c r="H248" s="13">
        <v>26</v>
      </c>
      <c r="I248" s="13">
        <v>1</v>
      </c>
      <c r="J248" s="13">
        <v>-1</v>
      </c>
      <c r="K248" s="10">
        <v>26</v>
      </c>
      <c r="L248" s="2">
        <v>313.09980000000002</v>
      </c>
      <c r="M248" s="1">
        <v>46233.500694444447</v>
      </c>
      <c r="N248" t="s">
        <v>40</v>
      </c>
    </row>
    <row r="249" spans="1:14" x14ac:dyDescent="0.25">
      <c r="A249" s="9" t="s">
        <v>5211</v>
      </c>
      <c r="B249" s="10">
        <v>718</v>
      </c>
      <c r="C249" s="10" t="s">
        <v>12</v>
      </c>
      <c r="D249" t="s">
        <v>3591</v>
      </c>
      <c r="E249" t="s">
        <v>3592</v>
      </c>
      <c r="F249" s="10" t="s">
        <v>112</v>
      </c>
      <c r="G249" s="2">
        <v>6.6454000000000004</v>
      </c>
      <c r="H249" s="13">
        <v>25</v>
      </c>
      <c r="I249" s="13">
        <v>0</v>
      </c>
      <c r="J249" s="13">
        <v>0</v>
      </c>
      <c r="K249" s="10">
        <v>25</v>
      </c>
      <c r="L249" s="2">
        <v>166.13499999999999</v>
      </c>
      <c r="M249" s="1">
        <v>45980.375694444447</v>
      </c>
      <c r="N249" t="s">
        <v>40</v>
      </c>
    </row>
    <row r="250" spans="1:14" x14ac:dyDescent="0.25">
      <c r="A250" s="9" t="s">
        <v>5211</v>
      </c>
      <c r="B250" s="10">
        <v>714</v>
      </c>
      <c r="C250" s="10" t="s">
        <v>12</v>
      </c>
      <c r="D250" t="s">
        <v>1855</v>
      </c>
      <c r="E250" t="s">
        <v>1856</v>
      </c>
      <c r="F250" s="10" t="s">
        <v>29</v>
      </c>
      <c r="G250" s="2">
        <v>8.7363999999999997</v>
      </c>
      <c r="H250" s="13">
        <v>25</v>
      </c>
      <c r="I250" s="13">
        <v>0</v>
      </c>
      <c r="J250" s="13">
        <v>0</v>
      </c>
      <c r="K250" s="10">
        <v>25</v>
      </c>
      <c r="L250" s="2">
        <v>218.41</v>
      </c>
      <c r="M250" s="1">
        <v>46120.630555555559</v>
      </c>
      <c r="N250" t="s">
        <v>44</v>
      </c>
    </row>
    <row r="251" spans="1:14" x14ac:dyDescent="0.25">
      <c r="A251" s="9" t="s">
        <v>5211</v>
      </c>
      <c r="B251" s="10">
        <v>634</v>
      </c>
      <c r="C251" s="10" t="s">
        <v>143</v>
      </c>
      <c r="D251" t="s">
        <v>4216</v>
      </c>
      <c r="E251" t="s">
        <v>4217</v>
      </c>
      <c r="F251" s="10" t="s">
        <v>23</v>
      </c>
      <c r="G251" s="2">
        <v>20.676500000000001</v>
      </c>
      <c r="H251" s="13">
        <v>25</v>
      </c>
      <c r="I251" s="13">
        <v>13</v>
      </c>
      <c r="J251" s="13">
        <v>-13</v>
      </c>
      <c r="K251" s="10">
        <v>25</v>
      </c>
      <c r="L251" s="2">
        <v>516.91250000000002</v>
      </c>
      <c r="M251" s="1">
        <v>46126.546527777777</v>
      </c>
      <c r="N251" t="s">
        <v>162</v>
      </c>
    </row>
    <row r="252" spans="1:14" x14ac:dyDescent="0.25">
      <c r="A252" s="9" t="s">
        <v>5211</v>
      </c>
      <c r="B252" s="10">
        <v>634</v>
      </c>
      <c r="C252" s="10" t="s">
        <v>143</v>
      </c>
      <c r="D252" t="s">
        <v>4106</v>
      </c>
      <c r="E252" t="s">
        <v>4107</v>
      </c>
      <c r="F252" s="10" t="s">
        <v>29</v>
      </c>
      <c r="G252" s="2">
        <v>43.346899999999998</v>
      </c>
      <c r="H252" s="13">
        <v>25</v>
      </c>
      <c r="I252" s="13">
        <v>49</v>
      </c>
      <c r="J252" s="13">
        <v>-49</v>
      </c>
      <c r="K252" s="10">
        <v>25</v>
      </c>
      <c r="L252" s="2">
        <v>1083.6724999999999</v>
      </c>
      <c r="M252" s="1">
        <v>46128.623611111114</v>
      </c>
      <c r="N252" t="s">
        <v>175</v>
      </c>
    </row>
    <row r="253" spans="1:14" x14ac:dyDescent="0.25">
      <c r="A253" s="9" t="s">
        <v>5211</v>
      </c>
      <c r="B253" s="10">
        <v>714</v>
      </c>
      <c r="C253" s="10" t="s">
        <v>1749</v>
      </c>
      <c r="D253" t="s">
        <v>3556</v>
      </c>
      <c r="E253" t="s">
        <v>3557</v>
      </c>
      <c r="F253" s="10" t="s">
        <v>112</v>
      </c>
      <c r="G253" s="2">
        <v>9.0951000000000004</v>
      </c>
      <c r="H253" s="13">
        <v>25</v>
      </c>
      <c r="I253" s="13">
        <v>0</v>
      </c>
      <c r="J253" s="13">
        <v>0</v>
      </c>
      <c r="K253" s="10">
        <v>25</v>
      </c>
      <c r="L253" s="2">
        <v>227.3775</v>
      </c>
      <c r="M253" s="1">
        <v>46140.479166666664</v>
      </c>
      <c r="N253" t="s">
        <v>1841</v>
      </c>
    </row>
    <row r="254" spans="1:14" x14ac:dyDescent="0.25">
      <c r="A254" s="9" t="s">
        <v>5211</v>
      </c>
      <c r="B254" s="10">
        <v>714</v>
      </c>
      <c r="C254" s="10" t="s">
        <v>323</v>
      </c>
      <c r="D254" t="s">
        <v>2989</v>
      </c>
      <c r="E254" t="s">
        <v>2990</v>
      </c>
      <c r="F254" s="10" t="s">
        <v>19</v>
      </c>
      <c r="G254" s="2">
        <v>191.16329999999999</v>
      </c>
      <c r="H254" s="13">
        <v>25</v>
      </c>
      <c r="I254" s="13">
        <v>1</v>
      </c>
      <c r="J254" s="13">
        <v>-1</v>
      </c>
      <c r="K254" s="10">
        <v>25</v>
      </c>
      <c r="L254" s="2">
        <v>4779.0825000000004</v>
      </c>
      <c r="M254" s="1">
        <v>46141.705555555556</v>
      </c>
      <c r="N254" t="s">
        <v>1224</v>
      </c>
    </row>
    <row r="255" spans="1:14" x14ac:dyDescent="0.25">
      <c r="A255" s="9" t="s">
        <v>5211</v>
      </c>
      <c r="B255" s="10">
        <v>634</v>
      </c>
      <c r="C255" s="10" t="s">
        <v>70</v>
      </c>
      <c r="D255" t="s">
        <v>79</v>
      </c>
      <c r="E255" t="s">
        <v>80</v>
      </c>
      <c r="F255" s="10" t="s">
        <v>81</v>
      </c>
      <c r="G255" s="2">
        <v>5.4170999999999996</v>
      </c>
      <c r="H255" s="13">
        <v>25</v>
      </c>
      <c r="I255" s="13">
        <v>0</v>
      </c>
      <c r="J255" s="13">
        <v>0</v>
      </c>
      <c r="K255" s="10">
        <v>25</v>
      </c>
      <c r="L255" s="2">
        <v>135.42750000000001</v>
      </c>
      <c r="M255" s="1">
        <v>46143.454861111109</v>
      </c>
      <c r="N255" t="s">
        <v>40</v>
      </c>
    </row>
    <row r="256" spans="1:14" x14ac:dyDescent="0.25">
      <c r="A256" s="9" t="s">
        <v>5211</v>
      </c>
      <c r="B256" s="10">
        <v>714</v>
      </c>
      <c r="C256" s="10" t="s">
        <v>70</v>
      </c>
      <c r="D256" t="s">
        <v>2020</v>
      </c>
      <c r="E256" t="s">
        <v>2021</v>
      </c>
      <c r="F256" s="10" t="s">
        <v>23</v>
      </c>
      <c r="G256" s="2">
        <v>10.788</v>
      </c>
      <c r="H256" s="13">
        <v>25</v>
      </c>
      <c r="I256" s="13">
        <v>0</v>
      </c>
      <c r="J256" s="13">
        <v>0</v>
      </c>
      <c r="K256" s="10">
        <v>25</v>
      </c>
      <c r="L256" s="2">
        <v>269.7</v>
      </c>
      <c r="M256" s="1">
        <v>46149.429861111108</v>
      </c>
      <c r="N256" t="s">
        <v>1062</v>
      </c>
    </row>
    <row r="257" spans="1:14" x14ac:dyDescent="0.25">
      <c r="A257" s="9" t="s">
        <v>5211</v>
      </c>
      <c r="B257" s="10">
        <v>636</v>
      </c>
      <c r="C257" s="10" t="s">
        <v>126</v>
      </c>
      <c r="D257" t="s">
        <v>133</v>
      </c>
      <c r="E257" t="s">
        <v>134</v>
      </c>
      <c r="F257" s="10" t="s">
        <v>39</v>
      </c>
      <c r="G257" s="2">
        <v>6.9713000000000003</v>
      </c>
      <c r="H257" s="13">
        <v>25</v>
      </c>
      <c r="I257" s="13">
        <v>0</v>
      </c>
      <c r="J257" s="13">
        <v>0</v>
      </c>
      <c r="K257" s="10">
        <v>25</v>
      </c>
      <c r="L257" s="2">
        <v>174.2825</v>
      </c>
      <c r="M257" s="1">
        <v>46164.400694444441</v>
      </c>
      <c r="N257" t="s">
        <v>16</v>
      </c>
    </row>
    <row r="258" spans="1:14" x14ac:dyDescent="0.25">
      <c r="A258" s="9" t="s">
        <v>5211</v>
      </c>
      <c r="B258" s="10">
        <v>634</v>
      </c>
      <c r="C258" s="10" t="s">
        <v>143</v>
      </c>
      <c r="D258" t="s">
        <v>4212</v>
      </c>
      <c r="E258" t="s">
        <v>4213</v>
      </c>
      <c r="F258" s="10" t="s">
        <v>29</v>
      </c>
      <c r="G258" s="2">
        <v>10.7606</v>
      </c>
      <c r="H258" s="13">
        <v>25</v>
      </c>
      <c r="I258" s="13">
        <v>60</v>
      </c>
      <c r="J258" s="13">
        <v>-60</v>
      </c>
      <c r="K258" s="10">
        <v>25</v>
      </c>
      <c r="L258" s="2">
        <v>269.01499999999999</v>
      </c>
      <c r="M258" s="1">
        <v>46171.646527777775</v>
      </c>
      <c r="N258" t="s">
        <v>40</v>
      </c>
    </row>
    <row r="259" spans="1:14" x14ac:dyDescent="0.25">
      <c r="A259" s="9" t="s">
        <v>5211</v>
      </c>
      <c r="B259" s="10">
        <v>714</v>
      </c>
      <c r="C259" s="10" t="s">
        <v>70</v>
      </c>
      <c r="D259" t="s">
        <v>2184</v>
      </c>
      <c r="E259" t="s">
        <v>2185</v>
      </c>
      <c r="F259" s="10" t="s">
        <v>23</v>
      </c>
      <c r="G259" s="2">
        <v>7.2794999999999996</v>
      </c>
      <c r="H259" s="13">
        <v>25</v>
      </c>
      <c r="I259" s="13">
        <v>0</v>
      </c>
      <c r="J259" s="13">
        <v>0</v>
      </c>
      <c r="K259" s="10">
        <v>25</v>
      </c>
      <c r="L259" s="2">
        <v>181.98750000000001</v>
      </c>
      <c r="M259" s="1">
        <v>46176.70416666667</v>
      </c>
      <c r="N259" t="s">
        <v>94</v>
      </c>
    </row>
    <row r="260" spans="1:14" x14ac:dyDescent="0.25">
      <c r="A260" s="9" t="s">
        <v>5211</v>
      </c>
      <c r="B260" s="10">
        <v>714</v>
      </c>
      <c r="C260" s="10" t="s">
        <v>143</v>
      </c>
      <c r="D260" t="s">
        <v>4487</v>
      </c>
      <c r="E260" t="s">
        <v>4488</v>
      </c>
      <c r="F260" s="10" t="s">
        <v>43</v>
      </c>
      <c r="G260" s="2">
        <v>23.292200000000001</v>
      </c>
      <c r="H260" s="13">
        <v>25</v>
      </c>
      <c r="I260" s="13">
        <v>91</v>
      </c>
      <c r="J260" s="13">
        <v>-91</v>
      </c>
      <c r="K260" s="10">
        <v>25</v>
      </c>
      <c r="L260" s="2">
        <v>582.30499999999995</v>
      </c>
      <c r="M260" s="1">
        <v>46178.38958333333</v>
      </c>
      <c r="N260" t="s">
        <v>195</v>
      </c>
    </row>
    <row r="261" spans="1:14" x14ac:dyDescent="0.25">
      <c r="A261" s="9" t="s">
        <v>5211</v>
      </c>
      <c r="B261" s="10">
        <v>634</v>
      </c>
      <c r="C261" s="10" t="s">
        <v>143</v>
      </c>
      <c r="D261" t="s">
        <v>4168</v>
      </c>
      <c r="E261" t="s">
        <v>4169</v>
      </c>
      <c r="F261" s="10" t="s">
        <v>158</v>
      </c>
      <c r="G261" s="2">
        <v>51.189100000000003</v>
      </c>
      <c r="H261" s="13">
        <v>25</v>
      </c>
      <c r="I261" s="13">
        <v>35</v>
      </c>
      <c r="J261" s="13">
        <v>-35</v>
      </c>
      <c r="K261" s="10">
        <v>25</v>
      </c>
      <c r="L261" s="2">
        <v>1279.7275</v>
      </c>
      <c r="M261" s="1">
        <v>46178.629166666666</v>
      </c>
      <c r="N261" t="s">
        <v>216</v>
      </c>
    </row>
    <row r="262" spans="1:14" x14ac:dyDescent="0.25">
      <c r="A262" s="9" t="s">
        <v>5211</v>
      </c>
      <c r="B262" s="10">
        <v>714</v>
      </c>
      <c r="C262" s="10" t="s">
        <v>143</v>
      </c>
      <c r="D262" t="s">
        <v>2266</v>
      </c>
      <c r="E262" t="s">
        <v>2267</v>
      </c>
      <c r="F262" s="10" t="s">
        <v>158</v>
      </c>
      <c r="G262" s="2">
        <v>45.125500000000002</v>
      </c>
      <c r="H262" s="13">
        <v>25</v>
      </c>
      <c r="I262" s="13">
        <v>0</v>
      </c>
      <c r="J262" s="13">
        <v>0</v>
      </c>
      <c r="K262" s="10">
        <v>25</v>
      </c>
      <c r="L262" s="2">
        <v>1128.1375</v>
      </c>
      <c r="M262" s="1">
        <v>46183.601388888892</v>
      </c>
      <c r="N262" t="s">
        <v>2268</v>
      </c>
    </row>
    <row r="263" spans="1:14" x14ac:dyDescent="0.25">
      <c r="A263" s="9" t="s">
        <v>5211</v>
      </c>
      <c r="B263" s="10">
        <v>714</v>
      </c>
      <c r="C263" s="10" t="s">
        <v>1749</v>
      </c>
      <c r="D263" t="s">
        <v>3544</v>
      </c>
      <c r="E263" t="s">
        <v>3545</v>
      </c>
      <c r="F263" s="10" t="s">
        <v>112</v>
      </c>
      <c r="G263" s="2">
        <v>19.909700000000001</v>
      </c>
      <c r="H263" s="13">
        <v>25</v>
      </c>
      <c r="I263" s="13">
        <v>0</v>
      </c>
      <c r="J263" s="13">
        <v>0</v>
      </c>
      <c r="K263" s="10">
        <v>25</v>
      </c>
      <c r="L263" s="2">
        <v>497.74250000000001</v>
      </c>
      <c r="M263" s="1">
        <v>46185.630555555559</v>
      </c>
      <c r="N263" t="s">
        <v>1825</v>
      </c>
    </row>
    <row r="264" spans="1:14" x14ac:dyDescent="0.25">
      <c r="A264" s="9" t="s">
        <v>5211</v>
      </c>
      <c r="B264" s="10">
        <v>714</v>
      </c>
      <c r="C264" s="10" t="s">
        <v>12</v>
      </c>
      <c r="D264" t="s">
        <v>1823</v>
      </c>
      <c r="E264" t="s">
        <v>1824</v>
      </c>
      <c r="F264" s="10" t="s">
        <v>29</v>
      </c>
      <c r="G264" s="2">
        <v>34.375999999999998</v>
      </c>
      <c r="H264" s="13">
        <v>25</v>
      </c>
      <c r="I264" s="13">
        <v>0</v>
      </c>
      <c r="J264" s="13">
        <v>0</v>
      </c>
      <c r="K264" s="10">
        <v>25</v>
      </c>
      <c r="L264" s="2">
        <v>859.4</v>
      </c>
      <c r="M264" s="1">
        <v>46185.630555555559</v>
      </c>
      <c r="N264" t="s">
        <v>1825</v>
      </c>
    </row>
    <row r="265" spans="1:14" x14ac:dyDescent="0.25">
      <c r="A265" s="9" t="s">
        <v>5211</v>
      </c>
      <c r="B265" s="10">
        <v>714</v>
      </c>
      <c r="C265" s="10" t="s">
        <v>1749</v>
      </c>
      <c r="D265" t="s">
        <v>3572</v>
      </c>
      <c r="E265" t="s">
        <v>3573</v>
      </c>
      <c r="F265" s="10" t="s">
        <v>29</v>
      </c>
      <c r="G265" s="2">
        <v>7.6173999999999999</v>
      </c>
      <c r="H265" s="13">
        <v>25</v>
      </c>
      <c r="I265" s="13">
        <v>0</v>
      </c>
      <c r="J265" s="13">
        <v>0</v>
      </c>
      <c r="K265" s="10">
        <v>25</v>
      </c>
      <c r="L265" s="2">
        <v>190.435</v>
      </c>
      <c r="M265" s="1">
        <v>46185.630555555559</v>
      </c>
      <c r="N265" t="s">
        <v>1825</v>
      </c>
    </row>
    <row r="266" spans="1:14" x14ac:dyDescent="0.25">
      <c r="A266" s="9" t="s">
        <v>5211</v>
      </c>
      <c r="B266" s="10">
        <v>718</v>
      </c>
      <c r="C266" s="10" t="s">
        <v>143</v>
      </c>
      <c r="D266" t="s">
        <v>2515</v>
      </c>
      <c r="E266" t="s">
        <v>2516</v>
      </c>
      <c r="F266" s="10" t="s">
        <v>112</v>
      </c>
      <c r="G266" s="2">
        <v>34.843299999999999</v>
      </c>
      <c r="H266" s="13">
        <v>25</v>
      </c>
      <c r="I266" s="13">
        <v>0</v>
      </c>
      <c r="J266" s="13">
        <v>0</v>
      </c>
      <c r="K266" s="10">
        <v>25</v>
      </c>
      <c r="L266" s="2">
        <v>871.08249999999998</v>
      </c>
      <c r="M266" s="1">
        <v>46196.648611111108</v>
      </c>
      <c r="N266" t="s">
        <v>67</v>
      </c>
    </row>
    <row r="267" spans="1:14" x14ac:dyDescent="0.25">
      <c r="A267" s="9" t="s">
        <v>5211</v>
      </c>
      <c r="B267" s="10">
        <v>714</v>
      </c>
      <c r="C267" s="10" t="s">
        <v>70</v>
      </c>
      <c r="D267" t="s">
        <v>2003</v>
      </c>
      <c r="E267" t="s">
        <v>2004</v>
      </c>
      <c r="F267" s="10" t="s">
        <v>39</v>
      </c>
      <c r="G267" s="2">
        <v>11.4337</v>
      </c>
      <c r="H267" s="13">
        <v>25</v>
      </c>
      <c r="I267" s="13">
        <v>0</v>
      </c>
      <c r="J267" s="13">
        <v>0</v>
      </c>
      <c r="K267" s="10">
        <v>25</v>
      </c>
      <c r="L267" s="2">
        <v>285.84249999999997</v>
      </c>
      <c r="M267" s="1">
        <v>46198.40902777778</v>
      </c>
      <c r="N267" t="s">
        <v>573</v>
      </c>
    </row>
    <row r="268" spans="1:14" x14ac:dyDescent="0.25">
      <c r="A268" s="9" t="s">
        <v>5211</v>
      </c>
      <c r="B268" s="10">
        <v>714</v>
      </c>
      <c r="C268" s="10" t="s">
        <v>12</v>
      </c>
      <c r="D268" t="s">
        <v>3993</v>
      </c>
      <c r="E268" t="s">
        <v>3994</v>
      </c>
      <c r="F268" s="10" t="s">
        <v>43</v>
      </c>
      <c r="G268" s="2">
        <v>10.0238</v>
      </c>
      <c r="H268" s="13">
        <v>25</v>
      </c>
      <c r="I268" s="13">
        <v>86</v>
      </c>
      <c r="J268" s="13">
        <v>-86</v>
      </c>
      <c r="K268" s="10">
        <v>25</v>
      </c>
      <c r="L268" s="2">
        <v>250.595</v>
      </c>
      <c r="M268" s="1">
        <v>46202.371527777781</v>
      </c>
      <c r="N268" t="s">
        <v>26</v>
      </c>
    </row>
    <row r="269" spans="1:14" x14ac:dyDescent="0.25">
      <c r="A269" s="9" t="s">
        <v>5211</v>
      </c>
      <c r="B269" s="10">
        <v>718</v>
      </c>
      <c r="C269" s="10" t="s">
        <v>70</v>
      </c>
      <c r="D269" t="s">
        <v>2172</v>
      </c>
      <c r="E269" t="s">
        <v>2173</v>
      </c>
      <c r="F269" s="10" t="s">
        <v>39</v>
      </c>
      <c r="G269" s="2">
        <v>6.4587000000000003</v>
      </c>
      <c r="H269" s="13">
        <v>25</v>
      </c>
      <c r="I269" s="13">
        <v>10</v>
      </c>
      <c r="J269" s="13">
        <v>-10</v>
      </c>
      <c r="K269" s="10">
        <v>25</v>
      </c>
      <c r="L269" s="2">
        <v>161.4675</v>
      </c>
      <c r="M269" s="1">
        <v>46213.567361111112</v>
      </c>
      <c r="N269" t="s">
        <v>26</v>
      </c>
    </row>
    <row r="270" spans="1:14" x14ac:dyDescent="0.25">
      <c r="A270" s="9" t="s">
        <v>5211</v>
      </c>
      <c r="B270" s="10">
        <v>714</v>
      </c>
      <c r="C270" s="10" t="s">
        <v>143</v>
      </c>
      <c r="D270" t="s">
        <v>4130</v>
      </c>
      <c r="E270" t="s">
        <v>4131</v>
      </c>
      <c r="F270" s="10" t="s">
        <v>112</v>
      </c>
      <c r="G270" s="2">
        <v>14.317</v>
      </c>
      <c r="H270" s="13">
        <v>25</v>
      </c>
      <c r="I270" s="13">
        <v>37</v>
      </c>
      <c r="J270" s="13">
        <v>-37</v>
      </c>
      <c r="K270" s="10">
        <v>25</v>
      </c>
      <c r="L270" s="2">
        <v>357.92500000000001</v>
      </c>
      <c r="M270" s="1">
        <v>46217.380555555559</v>
      </c>
      <c r="N270" t="s">
        <v>162</v>
      </c>
    </row>
    <row r="271" spans="1:14" x14ac:dyDescent="0.25">
      <c r="A271" s="9" t="s">
        <v>5211</v>
      </c>
      <c r="B271" s="10">
        <v>718</v>
      </c>
      <c r="C271" s="10" t="s">
        <v>143</v>
      </c>
      <c r="D271" t="s">
        <v>4891</v>
      </c>
      <c r="E271" t="s">
        <v>4892</v>
      </c>
      <c r="F271" s="10" t="s">
        <v>43</v>
      </c>
      <c r="G271" s="2">
        <v>15.948600000000001</v>
      </c>
      <c r="H271" s="13">
        <v>25</v>
      </c>
      <c r="I271" s="13">
        <v>27</v>
      </c>
      <c r="J271" s="13">
        <v>-27</v>
      </c>
      <c r="K271" s="10">
        <v>25</v>
      </c>
      <c r="L271" s="2">
        <v>398.71499999999997</v>
      </c>
      <c r="M271" s="1">
        <v>46227.55</v>
      </c>
      <c r="N271" t="s">
        <v>26</v>
      </c>
    </row>
    <row r="272" spans="1:14" x14ac:dyDescent="0.25">
      <c r="A272" s="9" t="s">
        <v>5211</v>
      </c>
      <c r="B272" s="10">
        <v>714</v>
      </c>
      <c r="C272" s="10" t="s">
        <v>70</v>
      </c>
      <c r="D272" t="s">
        <v>2168</v>
      </c>
      <c r="E272" t="s">
        <v>2169</v>
      </c>
      <c r="F272" s="10" t="s">
        <v>29</v>
      </c>
      <c r="G272" s="2">
        <v>7.3632</v>
      </c>
      <c r="H272" s="13">
        <v>25</v>
      </c>
      <c r="I272" s="13">
        <v>0</v>
      </c>
      <c r="J272" s="13">
        <v>0</v>
      </c>
      <c r="K272" s="10">
        <v>25</v>
      </c>
      <c r="L272" s="2">
        <v>184.08</v>
      </c>
      <c r="M272" s="1">
        <v>46232.375694444447</v>
      </c>
      <c r="N272" t="s">
        <v>40</v>
      </c>
    </row>
    <row r="273" spans="1:14" x14ac:dyDescent="0.25">
      <c r="A273" s="9" t="s">
        <v>5211</v>
      </c>
      <c r="B273" s="10">
        <v>718</v>
      </c>
      <c r="C273" s="10" t="s">
        <v>70</v>
      </c>
      <c r="D273" t="s">
        <v>4743</v>
      </c>
      <c r="E273" t="s">
        <v>4744</v>
      </c>
      <c r="F273" s="10" t="s">
        <v>29</v>
      </c>
      <c r="G273" s="2">
        <v>9.2357999999999993</v>
      </c>
      <c r="H273" s="13">
        <v>25</v>
      </c>
      <c r="I273" s="13">
        <v>-6</v>
      </c>
      <c r="J273" s="13">
        <v>6</v>
      </c>
      <c r="K273" s="10">
        <v>25</v>
      </c>
      <c r="L273" s="2">
        <v>230.89500000000001</v>
      </c>
      <c r="M273" s="1">
        <v>46232.6</v>
      </c>
      <c r="N273" t="s">
        <v>573</v>
      </c>
    </row>
    <row r="274" spans="1:14" x14ac:dyDescent="0.25">
      <c r="A274" s="9" t="s">
        <v>5211</v>
      </c>
      <c r="B274" s="10">
        <v>718</v>
      </c>
      <c r="C274" s="10" t="s">
        <v>12</v>
      </c>
      <c r="D274" t="s">
        <v>3607</v>
      </c>
      <c r="E274" t="s">
        <v>3608</v>
      </c>
      <c r="F274" s="10" t="s">
        <v>29</v>
      </c>
      <c r="G274" s="2">
        <v>15.392899999999999</v>
      </c>
      <c r="H274" s="13">
        <v>25</v>
      </c>
      <c r="I274" s="13">
        <v>0</v>
      </c>
      <c r="J274" s="13">
        <v>0</v>
      </c>
      <c r="K274" s="10">
        <v>25</v>
      </c>
      <c r="L274" s="2">
        <v>384.82249999999999</v>
      </c>
      <c r="M274" s="1">
        <v>46232.6</v>
      </c>
      <c r="N274" t="s">
        <v>573</v>
      </c>
    </row>
    <row r="275" spans="1:14" x14ac:dyDescent="0.25">
      <c r="A275" s="9" t="s">
        <v>5211</v>
      </c>
      <c r="B275" s="10">
        <v>718</v>
      </c>
      <c r="C275" s="10" t="s">
        <v>70</v>
      </c>
      <c r="D275" t="s">
        <v>3685</v>
      </c>
      <c r="E275" t="s">
        <v>3686</v>
      </c>
      <c r="F275" s="10" t="s">
        <v>29</v>
      </c>
      <c r="G275" s="2">
        <v>10.3553</v>
      </c>
      <c r="H275" s="13">
        <v>25</v>
      </c>
      <c r="I275" s="13">
        <v>0</v>
      </c>
      <c r="J275" s="13">
        <v>0</v>
      </c>
      <c r="K275" s="10">
        <v>25</v>
      </c>
      <c r="L275" s="2">
        <v>258.88249999999999</v>
      </c>
      <c r="M275" s="1">
        <v>46232.6</v>
      </c>
      <c r="N275" t="s">
        <v>573</v>
      </c>
    </row>
    <row r="276" spans="1:14" x14ac:dyDescent="0.25">
      <c r="A276" s="9" t="s">
        <v>5211</v>
      </c>
      <c r="B276" s="10">
        <v>636</v>
      </c>
      <c r="C276" s="10" t="s">
        <v>12</v>
      </c>
      <c r="D276" t="s">
        <v>4379</v>
      </c>
      <c r="E276" t="s">
        <v>4380</v>
      </c>
      <c r="F276" s="10" t="s">
        <v>112</v>
      </c>
      <c r="G276" s="2">
        <v>6.8243</v>
      </c>
      <c r="H276" s="13">
        <v>25</v>
      </c>
      <c r="I276" s="13">
        <v>343</v>
      </c>
      <c r="J276" s="13">
        <v>-343</v>
      </c>
      <c r="K276" s="10">
        <v>25</v>
      </c>
      <c r="L276" s="2">
        <v>170.60749999999999</v>
      </c>
      <c r="M276" s="1">
        <v>46233.500694444447</v>
      </c>
      <c r="N276" t="s">
        <v>40</v>
      </c>
    </row>
    <row r="277" spans="1:14" x14ac:dyDescent="0.25">
      <c r="A277" s="9" t="s">
        <v>5211</v>
      </c>
      <c r="B277" s="10">
        <v>634</v>
      </c>
      <c r="C277" s="10" t="s">
        <v>143</v>
      </c>
      <c r="D277" t="s">
        <v>4196</v>
      </c>
      <c r="E277" t="s">
        <v>4197</v>
      </c>
      <c r="F277" s="10" t="s">
        <v>23</v>
      </c>
      <c r="G277" s="2">
        <v>21.631799999999998</v>
      </c>
      <c r="H277" s="13">
        <v>25</v>
      </c>
      <c r="I277" s="13">
        <v>57</v>
      </c>
      <c r="J277" s="13">
        <v>-57</v>
      </c>
      <c r="K277" s="10">
        <v>25</v>
      </c>
      <c r="L277" s="2">
        <v>540.79499999999996</v>
      </c>
      <c r="M277" s="1">
        <v>46237.726388888892</v>
      </c>
      <c r="N277" t="s">
        <v>26</v>
      </c>
    </row>
    <row r="278" spans="1:14" x14ac:dyDescent="0.25">
      <c r="A278" s="9" t="s">
        <v>5211</v>
      </c>
      <c r="B278" s="10">
        <v>718</v>
      </c>
      <c r="C278" s="10" t="s">
        <v>70</v>
      </c>
      <c r="D278" t="s">
        <v>1975</v>
      </c>
      <c r="E278" t="s">
        <v>1976</v>
      </c>
      <c r="F278" s="10" t="s">
        <v>112</v>
      </c>
      <c r="G278" s="2">
        <v>6.3384</v>
      </c>
      <c r="H278" s="13">
        <v>25</v>
      </c>
      <c r="I278" s="13">
        <v>20</v>
      </c>
      <c r="J278" s="13">
        <v>-20</v>
      </c>
      <c r="K278" s="10">
        <v>25</v>
      </c>
      <c r="L278" s="2">
        <v>158.46</v>
      </c>
      <c r="M278" s="1">
        <v>46241.365277777775</v>
      </c>
      <c r="N278" t="s">
        <v>26</v>
      </c>
    </row>
    <row r="279" spans="1:14" x14ac:dyDescent="0.25">
      <c r="A279" s="9" t="s">
        <v>5211</v>
      </c>
      <c r="B279" s="10">
        <v>714</v>
      </c>
      <c r="C279" s="10" t="s">
        <v>12</v>
      </c>
      <c r="D279" t="s">
        <v>3999</v>
      </c>
      <c r="E279" t="s">
        <v>4000</v>
      </c>
      <c r="F279" s="10" t="s">
        <v>158</v>
      </c>
      <c r="G279" s="2">
        <v>19.572199999999999</v>
      </c>
      <c r="H279" s="13">
        <v>25</v>
      </c>
      <c r="I279" s="13">
        <v>281</v>
      </c>
      <c r="J279" s="13">
        <v>-281</v>
      </c>
      <c r="K279" s="10">
        <v>25</v>
      </c>
      <c r="L279" s="2">
        <v>489.30500000000001</v>
      </c>
      <c r="M279" s="1">
        <v>46245.348611111112</v>
      </c>
      <c r="N279" t="s">
        <v>1848</v>
      </c>
    </row>
    <row r="280" spans="1:14" x14ac:dyDescent="0.25">
      <c r="A280" s="9" t="s">
        <v>5211</v>
      </c>
      <c r="B280" s="10">
        <v>714</v>
      </c>
      <c r="C280" s="10" t="s">
        <v>143</v>
      </c>
      <c r="D280" t="s">
        <v>2286</v>
      </c>
      <c r="E280" t="s">
        <v>2287</v>
      </c>
      <c r="F280" s="10" t="s">
        <v>158</v>
      </c>
      <c r="G280" s="2">
        <v>29.933900000000001</v>
      </c>
      <c r="H280" s="13">
        <v>25</v>
      </c>
      <c r="I280" s="13">
        <v>0</v>
      </c>
      <c r="J280" s="13">
        <v>0</v>
      </c>
      <c r="K280" s="10">
        <v>25</v>
      </c>
      <c r="L280" s="2">
        <v>748.34749999999997</v>
      </c>
      <c r="M280" s="1">
        <v>46245.463194444441</v>
      </c>
      <c r="N280" t="s">
        <v>195</v>
      </c>
    </row>
    <row r="281" spans="1:14" x14ac:dyDescent="0.25">
      <c r="A281" s="9" t="s">
        <v>5211</v>
      </c>
      <c r="B281" s="10">
        <v>718</v>
      </c>
      <c r="C281" s="10" t="s">
        <v>70</v>
      </c>
      <c r="D281" t="s">
        <v>2030</v>
      </c>
      <c r="E281" t="s">
        <v>2031</v>
      </c>
      <c r="F281" s="10" t="s">
        <v>112</v>
      </c>
      <c r="G281" s="2">
        <v>6.9577</v>
      </c>
      <c r="H281" s="13">
        <v>25</v>
      </c>
      <c r="I281" s="13">
        <v>16</v>
      </c>
      <c r="J281" s="13">
        <v>-16</v>
      </c>
      <c r="K281" s="10">
        <v>25</v>
      </c>
      <c r="L281" s="2">
        <v>173.9425</v>
      </c>
      <c r="M281" s="1">
        <v>46246.392361111109</v>
      </c>
      <c r="N281" t="s">
        <v>40</v>
      </c>
    </row>
    <row r="282" spans="1:14" x14ac:dyDescent="0.25">
      <c r="A282" s="9" t="s">
        <v>5211</v>
      </c>
      <c r="B282" s="10">
        <v>636</v>
      </c>
      <c r="C282" s="10" t="s">
        <v>323</v>
      </c>
      <c r="D282" t="s">
        <v>482</v>
      </c>
      <c r="E282" t="s">
        <v>483</v>
      </c>
      <c r="F282" s="10" t="s">
        <v>19</v>
      </c>
      <c r="G282" s="2">
        <v>126.801</v>
      </c>
      <c r="H282" s="13">
        <v>24</v>
      </c>
      <c r="I282" s="13">
        <v>-1</v>
      </c>
      <c r="J282" s="13">
        <v>1</v>
      </c>
      <c r="K282" s="10">
        <v>24</v>
      </c>
      <c r="L282" s="2">
        <v>3043.2240000000002</v>
      </c>
      <c r="M282" s="1">
        <v>46084.367361111108</v>
      </c>
      <c r="N282" t="s">
        <v>151</v>
      </c>
    </row>
    <row r="283" spans="1:14" x14ac:dyDescent="0.25">
      <c r="A283" s="9" t="s">
        <v>5211</v>
      </c>
      <c r="B283" s="10">
        <v>634</v>
      </c>
      <c r="C283" s="10" t="s">
        <v>70</v>
      </c>
      <c r="D283" t="s">
        <v>82</v>
      </c>
      <c r="E283" t="s">
        <v>83</v>
      </c>
      <c r="F283" s="10" t="s">
        <v>15</v>
      </c>
      <c r="G283" s="2">
        <v>7.5214999999999996</v>
      </c>
      <c r="H283" s="13">
        <v>24</v>
      </c>
      <c r="I283" s="13">
        <v>-13</v>
      </c>
      <c r="J283" s="13">
        <v>13</v>
      </c>
      <c r="K283" s="10">
        <v>24</v>
      </c>
      <c r="L283" s="2">
        <v>180.51599999999999</v>
      </c>
      <c r="M283" s="1">
        <v>46113.540972222225</v>
      </c>
      <c r="N283" t="s">
        <v>40</v>
      </c>
    </row>
    <row r="284" spans="1:14" x14ac:dyDescent="0.25">
      <c r="A284" s="9" t="s">
        <v>5211</v>
      </c>
      <c r="B284" s="10">
        <v>636</v>
      </c>
      <c r="C284" s="10" t="s">
        <v>143</v>
      </c>
      <c r="D284" t="s">
        <v>4481</v>
      </c>
      <c r="E284" t="s">
        <v>4482</v>
      </c>
      <c r="F284" s="10" t="s">
        <v>43</v>
      </c>
      <c r="G284" s="2">
        <v>41.0959</v>
      </c>
      <c r="H284" s="13">
        <v>24</v>
      </c>
      <c r="I284" s="13">
        <v>29</v>
      </c>
      <c r="J284" s="13">
        <v>-29</v>
      </c>
      <c r="K284" s="10">
        <v>24</v>
      </c>
      <c r="L284" s="2">
        <v>986.30160000000001</v>
      </c>
      <c r="M284" s="1">
        <v>46125.395833333336</v>
      </c>
      <c r="N284" t="s">
        <v>40</v>
      </c>
    </row>
    <row r="285" spans="1:14" x14ac:dyDescent="0.25">
      <c r="A285" s="9" t="s">
        <v>5211</v>
      </c>
      <c r="B285" s="10">
        <v>714</v>
      </c>
      <c r="C285" s="10" t="s">
        <v>323</v>
      </c>
      <c r="D285" t="s">
        <v>4296</v>
      </c>
      <c r="E285" t="s">
        <v>4297</v>
      </c>
      <c r="F285" s="10" t="s">
        <v>43</v>
      </c>
      <c r="G285" s="2">
        <v>289.08769999999998</v>
      </c>
      <c r="H285" s="13">
        <v>24</v>
      </c>
      <c r="I285" s="13">
        <v>42</v>
      </c>
      <c r="J285" s="13">
        <v>-42</v>
      </c>
      <c r="K285" s="10">
        <v>24</v>
      </c>
      <c r="L285" s="2">
        <v>6938.1048000000001</v>
      </c>
      <c r="M285" s="1">
        <v>46149.352777777778</v>
      </c>
      <c r="N285" t="s">
        <v>4984</v>
      </c>
    </row>
    <row r="286" spans="1:14" x14ac:dyDescent="0.25">
      <c r="A286" s="9" t="s">
        <v>5211</v>
      </c>
      <c r="B286" s="10">
        <v>714</v>
      </c>
      <c r="C286" s="10" t="s">
        <v>143</v>
      </c>
      <c r="D286" t="s">
        <v>2221</v>
      </c>
      <c r="E286" t="s">
        <v>2222</v>
      </c>
      <c r="F286" s="10" t="s">
        <v>158</v>
      </c>
      <c r="G286" s="2">
        <v>48.684899999999999</v>
      </c>
      <c r="H286" s="13">
        <v>24</v>
      </c>
      <c r="I286" s="13">
        <v>17</v>
      </c>
      <c r="J286" s="13">
        <v>-17</v>
      </c>
      <c r="K286" s="10">
        <v>24</v>
      </c>
      <c r="L286" s="2">
        <v>1168.4376</v>
      </c>
      <c r="M286" s="1">
        <v>46164.538888888892</v>
      </c>
      <c r="N286" t="s">
        <v>903</v>
      </c>
    </row>
    <row r="287" spans="1:14" x14ac:dyDescent="0.25">
      <c r="A287" s="9" t="s">
        <v>5211</v>
      </c>
      <c r="B287" s="10">
        <v>636</v>
      </c>
      <c r="C287" s="10" t="s">
        <v>70</v>
      </c>
      <c r="D287" t="s">
        <v>731</v>
      </c>
      <c r="E287" t="s">
        <v>732</v>
      </c>
      <c r="F287" s="10" t="s">
        <v>29</v>
      </c>
      <c r="G287" s="2">
        <v>14.540800000000001</v>
      </c>
      <c r="H287" s="13">
        <v>24</v>
      </c>
      <c r="I287" s="13">
        <v>0</v>
      </c>
      <c r="J287" s="13">
        <v>0</v>
      </c>
      <c r="K287" s="10">
        <v>24</v>
      </c>
      <c r="L287" s="2">
        <v>348.97919999999999</v>
      </c>
      <c r="M287" s="1">
        <v>46171.48541666667</v>
      </c>
      <c r="N287" t="s">
        <v>16</v>
      </c>
    </row>
    <row r="288" spans="1:14" x14ac:dyDescent="0.25">
      <c r="A288" s="9" t="s">
        <v>5211</v>
      </c>
      <c r="B288" s="10">
        <v>718</v>
      </c>
      <c r="C288" s="10" t="s">
        <v>143</v>
      </c>
      <c r="D288" t="s">
        <v>4557</v>
      </c>
      <c r="E288" t="s">
        <v>4558</v>
      </c>
      <c r="F288" s="10" t="s">
        <v>43</v>
      </c>
      <c r="G288" s="2">
        <v>24.5442</v>
      </c>
      <c r="H288" s="13">
        <v>24</v>
      </c>
      <c r="I288" s="13">
        <v>111</v>
      </c>
      <c r="J288" s="13">
        <v>-111</v>
      </c>
      <c r="K288" s="10">
        <v>24</v>
      </c>
      <c r="L288" s="2">
        <v>589.06079999999997</v>
      </c>
      <c r="M288" s="1">
        <v>46189.48333333333</v>
      </c>
      <c r="N288" t="s">
        <v>40</v>
      </c>
    </row>
    <row r="289" spans="1:14" x14ac:dyDescent="0.25">
      <c r="A289" s="9" t="s">
        <v>5211</v>
      </c>
      <c r="B289" s="10">
        <v>636</v>
      </c>
      <c r="C289" s="10" t="s">
        <v>143</v>
      </c>
      <c r="D289" t="s">
        <v>1184</v>
      </c>
      <c r="E289" t="s">
        <v>1185</v>
      </c>
      <c r="F289" s="10" t="s">
        <v>43</v>
      </c>
      <c r="G289" s="2">
        <v>32.654200000000003</v>
      </c>
      <c r="H289" s="13">
        <v>24</v>
      </c>
      <c r="I289" s="13">
        <v>4</v>
      </c>
      <c r="J289" s="13">
        <v>-4</v>
      </c>
      <c r="K289" s="10">
        <v>24</v>
      </c>
      <c r="L289" s="2">
        <v>783.70079999999996</v>
      </c>
      <c r="M289" s="1">
        <v>46192.487500000003</v>
      </c>
      <c r="N289" t="s">
        <v>162</v>
      </c>
    </row>
    <row r="290" spans="1:14" x14ac:dyDescent="0.25">
      <c r="A290" s="9" t="s">
        <v>5211</v>
      </c>
      <c r="B290" s="10">
        <v>718</v>
      </c>
      <c r="C290" s="10" t="s">
        <v>12</v>
      </c>
      <c r="D290" t="s">
        <v>3601</v>
      </c>
      <c r="E290" t="s">
        <v>3602</v>
      </c>
      <c r="F290" s="10" t="s">
        <v>29</v>
      </c>
      <c r="G290" s="2">
        <v>6.3204000000000002</v>
      </c>
      <c r="H290" s="13">
        <v>24</v>
      </c>
      <c r="I290" s="13">
        <v>0</v>
      </c>
      <c r="J290" s="13">
        <v>0</v>
      </c>
      <c r="K290" s="10">
        <v>24</v>
      </c>
      <c r="L290" s="2">
        <v>151.68960000000001</v>
      </c>
      <c r="M290" s="1">
        <v>46232.6</v>
      </c>
      <c r="N290" t="s">
        <v>573</v>
      </c>
    </row>
    <row r="291" spans="1:14" x14ac:dyDescent="0.25">
      <c r="A291" s="9" t="s">
        <v>5211</v>
      </c>
      <c r="B291" s="10">
        <v>714</v>
      </c>
      <c r="C291" s="10" t="s">
        <v>143</v>
      </c>
      <c r="D291" t="s">
        <v>4563</v>
      </c>
      <c r="E291" t="s">
        <v>4564</v>
      </c>
      <c r="F291" s="10" t="s">
        <v>43</v>
      </c>
      <c r="G291" s="2">
        <v>51.919800000000002</v>
      </c>
      <c r="H291" s="13">
        <v>24</v>
      </c>
      <c r="I291" s="13">
        <v>59</v>
      </c>
      <c r="J291" s="13">
        <v>-59</v>
      </c>
      <c r="K291" s="10">
        <v>24</v>
      </c>
      <c r="L291" s="2">
        <v>1246.0752</v>
      </c>
      <c r="M291" s="1">
        <v>46233.499305555553</v>
      </c>
      <c r="N291" t="s">
        <v>175</v>
      </c>
    </row>
    <row r="292" spans="1:14" x14ac:dyDescent="0.25">
      <c r="A292" s="9" t="s">
        <v>5211</v>
      </c>
      <c r="B292" s="10">
        <v>718</v>
      </c>
      <c r="C292" s="10" t="s">
        <v>70</v>
      </c>
      <c r="D292" t="s">
        <v>4445</v>
      </c>
      <c r="E292" t="s">
        <v>4446</v>
      </c>
      <c r="F292" s="10" t="s">
        <v>112</v>
      </c>
      <c r="G292" s="2">
        <v>5.4774000000000003</v>
      </c>
      <c r="H292" s="13">
        <v>24</v>
      </c>
      <c r="I292" s="13">
        <v>14</v>
      </c>
      <c r="J292" s="13">
        <v>-14</v>
      </c>
      <c r="K292" s="10">
        <v>24</v>
      </c>
      <c r="L292" s="2">
        <v>131.45760000000001</v>
      </c>
      <c r="M292" s="1">
        <v>46241.365277777775</v>
      </c>
      <c r="N292" t="s">
        <v>26</v>
      </c>
    </row>
    <row r="293" spans="1:14" x14ac:dyDescent="0.25">
      <c r="A293" s="9" t="s">
        <v>5211</v>
      </c>
      <c r="B293" s="10">
        <v>634</v>
      </c>
      <c r="C293" s="10" t="s">
        <v>70</v>
      </c>
      <c r="D293" t="s">
        <v>4026</v>
      </c>
      <c r="E293" t="s">
        <v>4027</v>
      </c>
      <c r="F293" s="10" t="s">
        <v>43</v>
      </c>
      <c r="G293" s="2">
        <v>7.5937000000000001</v>
      </c>
      <c r="H293" s="13">
        <v>24</v>
      </c>
      <c r="I293" s="13">
        <v>123</v>
      </c>
      <c r="J293" s="13">
        <v>-123</v>
      </c>
      <c r="K293" s="10">
        <v>24</v>
      </c>
      <c r="L293" s="2">
        <v>182.24879999999999</v>
      </c>
      <c r="M293" s="1">
        <v>46241.446527777778</v>
      </c>
      <c r="N293" t="s">
        <v>40</v>
      </c>
    </row>
    <row r="294" spans="1:14" x14ac:dyDescent="0.25">
      <c r="A294" s="9" t="s">
        <v>5211</v>
      </c>
      <c r="B294" s="10">
        <v>714</v>
      </c>
      <c r="C294" s="10" t="s">
        <v>70</v>
      </c>
      <c r="D294" t="s">
        <v>2048</v>
      </c>
      <c r="E294" t="s">
        <v>2049</v>
      </c>
      <c r="F294" s="10" t="s">
        <v>43</v>
      </c>
      <c r="G294" s="2">
        <v>3.2166000000000001</v>
      </c>
      <c r="H294" s="13">
        <v>24</v>
      </c>
      <c r="I294" s="13">
        <v>0</v>
      </c>
      <c r="J294" s="13">
        <v>0</v>
      </c>
      <c r="K294" s="10">
        <v>24</v>
      </c>
      <c r="L294" s="2">
        <v>77.198400000000007</v>
      </c>
      <c r="M294" s="1">
        <v>46248.395833333336</v>
      </c>
      <c r="N294" t="s">
        <v>506</v>
      </c>
    </row>
    <row r="295" spans="1:14" x14ac:dyDescent="0.25">
      <c r="A295" s="9" t="s">
        <v>5211</v>
      </c>
      <c r="B295" s="10">
        <v>714</v>
      </c>
      <c r="C295" s="10" t="s">
        <v>143</v>
      </c>
      <c r="D295" t="s">
        <v>2365</v>
      </c>
      <c r="E295" t="s">
        <v>2366</v>
      </c>
      <c r="F295" s="10" t="s">
        <v>39</v>
      </c>
      <c r="G295" s="2">
        <v>15.523099999999999</v>
      </c>
      <c r="H295" s="13">
        <v>23</v>
      </c>
      <c r="I295" s="13">
        <v>0</v>
      </c>
      <c r="J295" s="13">
        <v>0</v>
      </c>
      <c r="K295" s="10">
        <v>23</v>
      </c>
      <c r="L295" s="2">
        <v>357.03129999999999</v>
      </c>
      <c r="M295" s="1">
        <v>45759.422222222223</v>
      </c>
      <c r="N295" t="s">
        <v>140</v>
      </c>
    </row>
    <row r="296" spans="1:14" x14ac:dyDescent="0.25">
      <c r="A296" s="9" t="s">
        <v>5211</v>
      </c>
      <c r="B296" s="10">
        <v>634</v>
      </c>
      <c r="C296" s="10" t="s">
        <v>143</v>
      </c>
      <c r="D296" t="s">
        <v>4254</v>
      </c>
      <c r="E296" t="s">
        <v>4255</v>
      </c>
      <c r="F296" s="10" t="s">
        <v>15</v>
      </c>
      <c r="G296" s="2">
        <v>85.855199999999996</v>
      </c>
      <c r="H296" s="13">
        <v>23</v>
      </c>
      <c r="I296" s="13">
        <v>36</v>
      </c>
      <c r="J296" s="13">
        <v>-36</v>
      </c>
      <c r="K296" s="10">
        <v>23</v>
      </c>
      <c r="L296" s="2">
        <v>1974.6695999999999</v>
      </c>
      <c r="M296" s="1">
        <v>46122.515277777777</v>
      </c>
      <c r="N296" t="s">
        <v>354</v>
      </c>
    </row>
    <row r="297" spans="1:14" x14ac:dyDescent="0.25">
      <c r="A297" s="9" t="s">
        <v>5211</v>
      </c>
      <c r="B297" s="10">
        <v>714</v>
      </c>
      <c r="C297" s="10" t="s">
        <v>323</v>
      </c>
      <c r="D297" t="s">
        <v>3168</v>
      </c>
      <c r="E297" t="s">
        <v>3169</v>
      </c>
      <c r="F297" s="10" t="s">
        <v>19</v>
      </c>
      <c r="G297" s="2">
        <v>240.46039999999999</v>
      </c>
      <c r="H297" s="13">
        <v>23</v>
      </c>
      <c r="I297" s="13">
        <v>0</v>
      </c>
      <c r="J297" s="13">
        <v>0</v>
      </c>
      <c r="K297" s="10">
        <v>23</v>
      </c>
      <c r="L297" s="2">
        <v>5530.5892000000003</v>
      </c>
      <c r="M297" s="1">
        <v>46123.487500000003</v>
      </c>
      <c r="N297" t="s">
        <v>1224</v>
      </c>
    </row>
    <row r="298" spans="1:14" x14ac:dyDescent="0.25">
      <c r="A298" s="9" t="s">
        <v>5211</v>
      </c>
      <c r="B298" s="10">
        <v>636</v>
      </c>
      <c r="C298" s="10" t="s">
        <v>143</v>
      </c>
      <c r="D298" t="s">
        <v>947</v>
      </c>
      <c r="E298" t="s">
        <v>948</v>
      </c>
      <c r="F298" s="10" t="s">
        <v>112</v>
      </c>
      <c r="G298" s="2">
        <v>16.033200000000001</v>
      </c>
      <c r="H298" s="13">
        <v>23</v>
      </c>
      <c r="I298" s="13">
        <v>3</v>
      </c>
      <c r="J298" s="13">
        <v>-3</v>
      </c>
      <c r="K298" s="10">
        <v>23</v>
      </c>
      <c r="L298" s="2">
        <v>368.7636</v>
      </c>
      <c r="M298" s="1">
        <v>46127.302777777775</v>
      </c>
      <c r="N298" t="s">
        <v>162</v>
      </c>
    </row>
    <row r="299" spans="1:14" x14ac:dyDescent="0.25">
      <c r="A299" s="9" t="s">
        <v>5211</v>
      </c>
      <c r="B299" s="10">
        <v>714</v>
      </c>
      <c r="C299" s="10" t="s">
        <v>323</v>
      </c>
      <c r="D299" t="s">
        <v>3188</v>
      </c>
      <c r="E299" t="s">
        <v>3189</v>
      </c>
      <c r="F299" s="10" t="s">
        <v>23</v>
      </c>
      <c r="G299" s="2">
        <v>188.70060000000001</v>
      </c>
      <c r="H299" s="13">
        <v>23</v>
      </c>
      <c r="I299" s="13">
        <v>2</v>
      </c>
      <c r="J299" s="13">
        <v>-2</v>
      </c>
      <c r="K299" s="10">
        <v>23</v>
      </c>
      <c r="L299" s="2">
        <v>4340.1138000000001</v>
      </c>
      <c r="M299" s="1">
        <v>46127.478472222225</v>
      </c>
      <c r="N299" t="s">
        <v>1224</v>
      </c>
    </row>
    <row r="300" spans="1:14" x14ac:dyDescent="0.25">
      <c r="A300" s="9" t="s">
        <v>5211</v>
      </c>
      <c r="B300" s="10">
        <v>718</v>
      </c>
      <c r="C300" s="10" t="s">
        <v>323</v>
      </c>
      <c r="D300" t="s">
        <v>4947</v>
      </c>
      <c r="E300" t="s">
        <v>4948</v>
      </c>
      <c r="F300" s="10" t="s">
        <v>23</v>
      </c>
      <c r="G300" s="2">
        <v>109.81480000000001</v>
      </c>
      <c r="H300" s="13">
        <v>23</v>
      </c>
      <c r="I300" s="13">
        <v>12</v>
      </c>
      <c r="J300" s="13">
        <v>-12</v>
      </c>
      <c r="K300" s="10">
        <v>23</v>
      </c>
      <c r="L300" s="2">
        <v>2525.7404000000001</v>
      </c>
      <c r="M300" s="1">
        <v>46130.615277777775</v>
      </c>
      <c r="N300" t="s">
        <v>30</v>
      </c>
    </row>
    <row r="301" spans="1:14" x14ac:dyDescent="0.25">
      <c r="A301" s="9" t="s">
        <v>5211</v>
      </c>
      <c r="B301" s="10">
        <v>714</v>
      </c>
      <c r="C301" s="10" t="s">
        <v>1749</v>
      </c>
      <c r="D301" t="s">
        <v>3562</v>
      </c>
      <c r="E301" t="s">
        <v>3563</v>
      </c>
      <c r="F301" s="10" t="s">
        <v>112</v>
      </c>
      <c r="G301" s="2">
        <v>6.6092000000000004</v>
      </c>
      <c r="H301" s="13">
        <v>23</v>
      </c>
      <c r="I301" s="13">
        <v>0</v>
      </c>
      <c r="J301" s="13">
        <v>0</v>
      </c>
      <c r="K301" s="10">
        <v>23</v>
      </c>
      <c r="L301" s="2">
        <v>152.01159999999999</v>
      </c>
      <c r="M301" s="1">
        <v>46140.479166666664</v>
      </c>
      <c r="N301" t="s">
        <v>1841</v>
      </c>
    </row>
    <row r="302" spans="1:14" x14ac:dyDescent="0.25">
      <c r="A302" s="9" t="s">
        <v>5211</v>
      </c>
      <c r="B302" s="10">
        <v>714</v>
      </c>
      <c r="C302" s="10" t="s">
        <v>143</v>
      </c>
      <c r="D302" t="s">
        <v>4779</v>
      </c>
      <c r="E302" t="s">
        <v>4780</v>
      </c>
      <c r="F302" s="10" t="s">
        <v>19</v>
      </c>
      <c r="G302" s="2">
        <v>24.635000000000002</v>
      </c>
      <c r="H302" s="13">
        <v>23</v>
      </c>
      <c r="I302" s="13">
        <v>0</v>
      </c>
      <c r="J302" s="13">
        <v>0</v>
      </c>
      <c r="K302" s="10">
        <v>23</v>
      </c>
      <c r="L302" s="2">
        <v>566.60500000000002</v>
      </c>
      <c r="M302" s="1">
        <v>46141.76458333333</v>
      </c>
      <c r="N302" t="s">
        <v>573</v>
      </c>
    </row>
    <row r="303" spans="1:14" x14ac:dyDescent="0.25">
      <c r="A303" s="9" t="s">
        <v>5211</v>
      </c>
      <c r="B303" s="10">
        <v>718</v>
      </c>
      <c r="C303" s="10" t="s">
        <v>70</v>
      </c>
      <c r="D303" t="s">
        <v>2141</v>
      </c>
      <c r="E303" t="s">
        <v>2142</v>
      </c>
      <c r="F303" s="10" t="s">
        <v>29</v>
      </c>
      <c r="G303" s="2">
        <v>8.3671000000000006</v>
      </c>
      <c r="H303" s="13">
        <v>23</v>
      </c>
      <c r="I303" s="13">
        <v>0</v>
      </c>
      <c r="J303" s="13">
        <v>0</v>
      </c>
      <c r="K303" s="10">
        <v>23</v>
      </c>
      <c r="L303" s="2">
        <v>192.44329999999999</v>
      </c>
      <c r="M303" s="1">
        <v>46147.688194444447</v>
      </c>
      <c r="N303" t="s">
        <v>2066</v>
      </c>
    </row>
    <row r="304" spans="1:14" x14ac:dyDescent="0.25">
      <c r="A304" s="9" t="s">
        <v>5211</v>
      </c>
      <c r="B304" s="10">
        <v>634</v>
      </c>
      <c r="C304" s="10" t="s">
        <v>143</v>
      </c>
      <c r="D304" t="s">
        <v>4076</v>
      </c>
      <c r="E304" t="s">
        <v>4077</v>
      </c>
      <c r="F304" s="10" t="s">
        <v>43</v>
      </c>
      <c r="G304" s="2">
        <v>22.802800000000001</v>
      </c>
      <c r="H304" s="13">
        <v>23</v>
      </c>
      <c r="I304" s="13">
        <v>49</v>
      </c>
      <c r="J304" s="13">
        <v>-49</v>
      </c>
      <c r="K304" s="10">
        <v>23</v>
      </c>
      <c r="L304" s="2">
        <v>524.46439999999996</v>
      </c>
      <c r="M304" s="1">
        <v>46161.469444444447</v>
      </c>
      <c r="N304" t="s">
        <v>310</v>
      </c>
    </row>
    <row r="305" spans="1:14" x14ac:dyDescent="0.25">
      <c r="A305" s="9" t="s">
        <v>5211</v>
      </c>
      <c r="B305" s="10">
        <v>636</v>
      </c>
      <c r="C305" s="10" t="s">
        <v>70</v>
      </c>
      <c r="D305" t="s">
        <v>585</v>
      </c>
      <c r="E305" t="s">
        <v>586</v>
      </c>
      <c r="F305" s="10" t="s">
        <v>43</v>
      </c>
      <c r="G305" s="2">
        <v>13.002700000000001</v>
      </c>
      <c r="H305" s="13">
        <v>23</v>
      </c>
      <c r="I305" s="13">
        <v>0</v>
      </c>
      <c r="J305" s="13">
        <v>0</v>
      </c>
      <c r="K305" s="10">
        <v>23</v>
      </c>
      <c r="L305" s="2">
        <v>299.06209999999999</v>
      </c>
      <c r="M305" s="1">
        <v>46163.314583333333</v>
      </c>
      <c r="N305" t="s">
        <v>587</v>
      </c>
    </row>
    <row r="306" spans="1:14" x14ac:dyDescent="0.25">
      <c r="A306" s="9" t="s">
        <v>5211</v>
      </c>
      <c r="B306" s="10">
        <v>634</v>
      </c>
      <c r="C306" s="10" t="s">
        <v>143</v>
      </c>
      <c r="D306" t="s">
        <v>4228</v>
      </c>
      <c r="E306" t="s">
        <v>4229</v>
      </c>
      <c r="F306" s="10" t="s">
        <v>112</v>
      </c>
      <c r="G306" s="2">
        <v>19.9435</v>
      </c>
      <c r="H306" s="13">
        <v>23</v>
      </c>
      <c r="I306" s="13">
        <v>5</v>
      </c>
      <c r="J306" s="13">
        <v>-5</v>
      </c>
      <c r="K306" s="10">
        <v>23</v>
      </c>
      <c r="L306" s="2">
        <v>458.70049999999998</v>
      </c>
      <c r="M306" s="1">
        <v>46171.646527777775</v>
      </c>
      <c r="N306" t="s">
        <v>40</v>
      </c>
    </row>
    <row r="307" spans="1:14" x14ac:dyDescent="0.25">
      <c r="A307" s="9" t="s">
        <v>5211</v>
      </c>
      <c r="B307" s="10">
        <v>714</v>
      </c>
      <c r="C307" s="10" t="s">
        <v>323</v>
      </c>
      <c r="D307" t="s">
        <v>4304</v>
      </c>
      <c r="E307" t="s">
        <v>4305</v>
      </c>
      <c r="F307" s="10" t="s">
        <v>43</v>
      </c>
      <c r="G307" s="2">
        <v>125.1056</v>
      </c>
      <c r="H307" s="13">
        <v>23</v>
      </c>
      <c r="I307" s="13">
        <v>27</v>
      </c>
      <c r="J307" s="13">
        <v>-27</v>
      </c>
      <c r="K307" s="10">
        <v>23</v>
      </c>
      <c r="L307" s="2">
        <v>2877.4288000000001</v>
      </c>
      <c r="M307" s="1">
        <v>46171.661111111112</v>
      </c>
      <c r="N307" t="s">
        <v>354</v>
      </c>
    </row>
    <row r="308" spans="1:14" x14ac:dyDescent="0.25">
      <c r="A308" s="9" t="s">
        <v>5211</v>
      </c>
      <c r="B308" s="10">
        <v>636</v>
      </c>
      <c r="C308" s="10" t="s">
        <v>70</v>
      </c>
      <c r="D308" t="s">
        <v>816</v>
      </c>
      <c r="E308" t="s">
        <v>817</v>
      </c>
      <c r="F308" s="10" t="s">
        <v>29</v>
      </c>
      <c r="G308" s="2">
        <v>7.4101999999999997</v>
      </c>
      <c r="H308" s="13">
        <v>23</v>
      </c>
      <c r="I308" s="13">
        <v>-2</v>
      </c>
      <c r="J308" s="13">
        <v>2</v>
      </c>
      <c r="K308" s="10">
        <v>23</v>
      </c>
      <c r="L308" s="2">
        <v>170.43459999999999</v>
      </c>
      <c r="M308" s="1">
        <v>46189.425000000003</v>
      </c>
      <c r="N308" t="s">
        <v>94</v>
      </c>
    </row>
    <row r="309" spans="1:14" x14ac:dyDescent="0.25">
      <c r="A309" s="9" t="s">
        <v>5211</v>
      </c>
      <c r="B309" s="10">
        <v>714</v>
      </c>
      <c r="C309" s="10" t="s">
        <v>143</v>
      </c>
      <c r="D309" t="s">
        <v>2521</v>
      </c>
      <c r="E309" t="s">
        <v>2522</v>
      </c>
      <c r="F309" s="10" t="s">
        <v>19</v>
      </c>
      <c r="G309" s="2">
        <v>139.1157</v>
      </c>
      <c r="H309" s="13">
        <v>23</v>
      </c>
      <c r="I309" s="13">
        <v>-1</v>
      </c>
      <c r="J309" s="13">
        <v>1</v>
      </c>
      <c r="K309" s="10">
        <v>23</v>
      </c>
      <c r="L309" s="2">
        <v>3199.6610999999998</v>
      </c>
      <c r="M309" s="1">
        <v>46191.602083333331</v>
      </c>
      <c r="N309" t="s">
        <v>903</v>
      </c>
    </row>
    <row r="310" spans="1:14" x14ac:dyDescent="0.25">
      <c r="A310" s="9" t="s">
        <v>5211</v>
      </c>
      <c r="B310" s="10">
        <v>718</v>
      </c>
      <c r="C310" s="10" t="s">
        <v>12</v>
      </c>
      <c r="D310" t="s">
        <v>62</v>
      </c>
      <c r="E310" t="s">
        <v>63</v>
      </c>
      <c r="F310" s="10" t="s">
        <v>112</v>
      </c>
      <c r="G310" s="2">
        <v>13.0634</v>
      </c>
      <c r="H310" s="13">
        <v>23</v>
      </c>
      <c r="I310" s="13">
        <v>2</v>
      </c>
      <c r="J310" s="13">
        <v>-2</v>
      </c>
      <c r="K310" s="10">
        <v>23</v>
      </c>
      <c r="L310" s="2">
        <v>300.45819999999998</v>
      </c>
      <c r="M310" s="1">
        <v>46218.347916666666</v>
      </c>
      <c r="N310" t="s">
        <v>3590</v>
      </c>
    </row>
    <row r="311" spans="1:14" x14ac:dyDescent="0.25">
      <c r="A311" s="9" t="s">
        <v>5211</v>
      </c>
      <c r="B311" s="10">
        <v>714</v>
      </c>
      <c r="C311" s="10" t="s">
        <v>70</v>
      </c>
      <c r="D311" t="s">
        <v>845</v>
      </c>
      <c r="E311" t="s">
        <v>846</v>
      </c>
      <c r="F311" s="10" t="s">
        <v>112</v>
      </c>
      <c r="G311" s="2">
        <v>6.1487999999999996</v>
      </c>
      <c r="H311" s="13">
        <v>23</v>
      </c>
      <c r="I311" s="13">
        <v>5</v>
      </c>
      <c r="J311" s="13">
        <v>-5</v>
      </c>
      <c r="K311" s="10">
        <v>23</v>
      </c>
      <c r="L311" s="2">
        <v>141.42240000000001</v>
      </c>
      <c r="M311" s="1">
        <v>46218.660416666666</v>
      </c>
      <c r="N311" t="s">
        <v>16</v>
      </c>
    </row>
    <row r="312" spans="1:14" x14ac:dyDescent="0.25">
      <c r="A312" s="9" t="s">
        <v>5211</v>
      </c>
      <c r="B312" s="10">
        <v>718</v>
      </c>
      <c r="C312" s="10" t="s">
        <v>70</v>
      </c>
      <c r="D312" t="s">
        <v>3679</v>
      </c>
      <c r="E312" t="s">
        <v>3680</v>
      </c>
      <c r="F312" s="10" t="s">
        <v>29</v>
      </c>
      <c r="G312" s="2">
        <v>10.3553</v>
      </c>
      <c r="H312" s="13">
        <v>23</v>
      </c>
      <c r="I312" s="13">
        <v>0</v>
      </c>
      <c r="J312" s="13">
        <v>0</v>
      </c>
      <c r="K312" s="10">
        <v>23</v>
      </c>
      <c r="L312" s="2">
        <v>238.17189999999999</v>
      </c>
      <c r="M312" s="1">
        <v>46232.6</v>
      </c>
      <c r="N312" t="s">
        <v>573</v>
      </c>
    </row>
    <row r="313" spans="1:14" x14ac:dyDescent="0.25">
      <c r="A313" s="9" t="s">
        <v>5211</v>
      </c>
      <c r="B313" s="10">
        <v>718</v>
      </c>
      <c r="C313" s="10" t="s">
        <v>70</v>
      </c>
      <c r="D313" t="s">
        <v>3683</v>
      </c>
      <c r="E313" t="s">
        <v>3684</v>
      </c>
      <c r="F313" s="10" t="s">
        <v>29</v>
      </c>
      <c r="G313" s="2">
        <v>10.914999999999999</v>
      </c>
      <c r="H313" s="13">
        <v>23</v>
      </c>
      <c r="I313" s="13">
        <v>0</v>
      </c>
      <c r="J313" s="13">
        <v>0</v>
      </c>
      <c r="K313" s="10">
        <v>23</v>
      </c>
      <c r="L313" s="2">
        <v>251.04499999999999</v>
      </c>
      <c r="M313" s="1">
        <v>46232.6</v>
      </c>
      <c r="N313" t="s">
        <v>573</v>
      </c>
    </row>
    <row r="314" spans="1:14" x14ac:dyDescent="0.25">
      <c r="A314" s="9" t="s">
        <v>5211</v>
      </c>
      <c r="B314" s="10">
        <v>634</v>
      </c>
      <c r="C314" s="10" t="s">
        <v>143</v>
      </c>
      <c r="D314" t="s">
        <v>269</v>
      </c>
      <c r="E314" t="s">
        <v>270</v>
      </c>
      <c r="F314" s="10" t="s">
        <v>29</v>
      </c>
      <c r="G314" s="2">
        <v>15.152799999999999</v>
      </c>
      <c r="H314" s="13">
        <v>22</v>
      </c>
      <c r="I314" s="13">
        <v>0</v>
      </c>
      <c r="J314" s="13">
        <v>0</v>
      </c>
      <c r="K314" s="10">
        <v>22</v>
      </c>
      <c r="L314" s="2">
        <v>333.36160000000001</v>
      </c>
      <c r="M314" s="1">
        <v>46106.424305555556</v>
      </c>
      <c r="N314" t="s">
        <v>159</v>
      </c>
    </row>
    <row r="315" spans="1:14" x14ac:dyDescent="0.25">
      <c r="A315" s="9" t="s">
        <v>5211</v>
      </c>
      <c r="B315" s="10">
        <v>714</v>
      </c>
      <c r="C315" s="10" t="s">
        <v>143</v>
      </c>
      <c r="D315" t="s">
        <v>2766</v>
      </c>
      <c r="E315" s="6" t="s">
        <v>2767</v>
      </c>
      <c r="F315" s="11" t="s">
        <v>58</v>
      </c>
      <c r="G315" s="2">
        <v>118.2436</v>
      </c>
      <c r="H315" s="13">
        <v>22</v>
      </c>
      <c r="I315" s="13">
        <v>0</v>
      </c>
      <c r="J315" s="13">
        <v>0</v>
      </c>
      <c r="K315" s="10">
        <v>22</v>
      </c>
      <c r="L315" s="2">
        <v>2601.3591999999999</v>
      </c>
      <c r="M315" s="1">
        <v>46111.46597222222</v>
      </c>
      <c r="N315" t="s">
        <v>2358</v>
      </c>
    </row>
    <row r="316" spans="1:14" x14ac:dyDescent="0.25">
      <c r="A316" s="9" t="s">
        <v>5211</v>
      </c>
      <c r="B316" s="10">
        <v>714</v>
      </c>
      <c r="C316" s="10" t="s">
        <v>323</v>
      </c>
      <c r="D316" t="s">
        <v>4645</v>
      </c>
      <c r="E316" t="s">
        <v>4646</v>
      </c>
      <c r="F316" s="10" t="s">
        <v>158</v>
      </c>
      <c r="G316" s="2">
        <v>188.3202</v>
      </c>
      <c r="H316" s="13">
        <v>22</v>
      </c>
      <c r="I316" s="13">
        <v>28</v>
      </c>
      <c r="J316" s="13">
        <v>-28</v>
      </c>
      <c r="K316" s="10">
        <v>22</v>
      </c>
      <c r="L316" s="2">
        <v>4143.0443999999998</v>
      </c>
      <c r="M316" s="1">
        <v>46127.478472222225</v>
      </c>
      <c r="N316" t="s">
        <v>1224</v>
      </c>
    </row>
    <row r="317" spans="1:14" x14ac:dyDescent="0.25">
      <c r="A317" s="9" t="s">
        <v>5211</v>
      </c>
      <c r="B317" s="10">
        <v>636</v>
      </c>
      <c r="C317" s="10" t="s">
        <v>70</v>
      </c>
      <c r="D317" t="s">
        <v>839</v>
      </c>
      <c r="E317" t="s">
        <v>840</v>
      </c>
      <c r="F317" s="10" t="s">
        <v>112</v>
      </c>
      <c r="G317" s="2">
        <v>10.9922</v>
      </c>
      <c r="H317" s="13">
        <v>22</v>
      </c>
      <c r="I317" s="13">
        <v>0</v>
      </c>
      <c r="J317" s="13">
        <v>0</v>
      </c>
      <c r="K317" s="10">
        <v>22</v>
      </c>
      <c r="L317" s="2">
        <v>241.82839999999999</v>
      </c>
      <c r="M317" s="1">
        <v>46135.595833333333</v>
      </c>
      <c r="N317" t="s">
        <v>599</v>
      </c>
    </row>
    <row r="318" spans="1:14" x14ac:dyDescent="0.25">
      <c r="A318" s="9" t="s">
        <v>5211</v>
      </c>
      <c r="B318" s="10">
        <v>714</v>
      </c>
      <c r="C318" s="10" t="s">
        <v>12</v>
      </c>
      <c r="D318" t="s">
        <v>1935</v>
      </c>
      <c r="E318" t="s">
        <v>1936</v>
      </c>
      <c r="F318" s="10" t="s">
        <v>112</v>
      </c>
      <c r="G318" s="2">
        <v>9.0951000000000004</v>
      </c>
      <c r="H318" s="13">
        <v>22</v>
      </c>
      <c r="I318" s="13">
        <v>0</v>
      </c>
      <c r="J318" s="13">
        <v>0</v>
      </c>
      <c r="K318" s="10">
        <v>22</v>
      </c>
      <c r="L318" s="2">
        <v>200.09219999999999</v>
      </c>
      <c r="M318" s="1">
        <v>46140.479166666664</v>
      </c>
      <c r="N318" t="s">
        <v>1841</v>
      </c>
    </row>
    <row r="319" spans="1:14" x14ac:dyDescent="0.25">
      <c r="A319" s="9" t="s">
        <v>5211</v>
      </c>
      <c r="B319" s="10">
        <v>714</v>
      </c>
      <c r="C319" s="10" t="s">
        <v>70</v>
      </c>
      <c r="D319" t="s">
        <v>2077</v>
      </c>
      <c r="E319" t="s">
        <v>2078</v>
      </c>
      <c r="F319" s="10" t="s">
        <v>39</v>
      </c>
      <c r="G319" s="2">
        <v>5.0518999999999998</v>
      </c>
      <c r="H319" s="13">
        <v>22</v>
      </c>
      <c r="I319" s="13">
        <v>0</v>
      </c>
      <c r="J319" s="13">
        <v>0</v>
      </c>
      <c r="K319" s="10">
        <v>22</v>
      </c>
      <c r="L319" s="2">
        <v>111.1418</v>
      </c>
      <c r="M319" s="1">
        <v>46148.502083333333</v>
      </c>
      <c r="N319" t="s">
        <v>506</v>
      </c>
    </row>
    <row r="320" spans="1:14" x14ac:dyDescent="0.25">
      <c r="A320" s="9" t="s">
        <v>5211</v>
      </c>
      <c r="B320" s="10">
        <v>634</v>
      </c>
      <c r="C320" s="10" t="s">
        <v>143</v>
      </c>
      <c r="D320" t="s">
        <v>4226</v>
      </c>
      <c r="E320" t="s">
        <v>4227</v>
      </c>
      <c r="F320" s="10" t="s">
        <v>29</v>
      </c>
      <c r="G320" s="2">
        <v>130.77520000000001</v>
      </c>
      <c r="H320" s="13">
        <v>22</v>
      </c>
      <c r="I320" s="13">
        <v>7</v>
      </c>
      <c r="J320" s="13">
        <v>-7</v>
      </c>
      <c r="K320" s="10">
        <v>22</v>
      </c>
      <c r="L320" s="2">
        <v>2877.0544</v>
      </c>
      <c r="M320" s="1">
        <v>46154.556944444441</v>
      </c>
      <c r="N320" t="s">
        <v>137</v>
      </c>
    </row>
    <row r="321" spans="1:14" x14ac:dyDescent="0.25">
      <c r="A321" s="9" t="s">
        <v>5211</v>
      </c>
      <c r="B321" s="10">
        <v>634</v>
      </c>
      <c r="C321" s="10" t="s">
        <v>143</v>
      </c>
      <c r="D321" t="s">
        <v>315</v>
      </c>
      <c r="E321" t="s">
        <v>316</v>
      </c>
      <c r="F321" s="10" t="s">
        <v>158</v>
      </c>
      <c r="G321" s="2">
        <v>145.73689999999999</v>
      </c>
      <c r="H321" s="13">
        <v>22</v>
      </c>
      <c r="I321" s="13">
        <v>0</v>
      </c>
      <c r="J321" s="13">
        <v>0</v>
      </c>
      <c r="K321" s="10">
        <v>22</v>
      </c>
      <c r="L321" s="2">
        <v>3206.2118</v>
      </c>
      <c r="M321" s="1">
        <v>46154.556944444441</v>
      </c>
      <c r="N321" t="s">
        <v>137</v>
      </c>
    </row>
    <row r="322" spans="1:14" x14ac:dyDescent="0.25">
      <c r="A322" s="9" t="s">
        <v>5211</v>
      </c>
      <c r="B322" s="10">
        <v>714</v>
      </c>
      <c r="C322" s="10" t="s">
        <v>1749</v>
      </c>
      <c r="D322" t="s">
        <v>3552</v>
      </c>
      <c r="E322" t="s">
        <v>3553</v>
      </c>
      <c r="F322" s="10" t="s">
        <v>112</v>
      </c>
      <c r="G322" s="2">
        <v>2.2429999999999999</v>
      </c>
      <c r="H322" s="13">
        <v>22</v>
      </c>
      <c r="I322" s="13">
        <v>-11</v>
      </c>
      <c r="J322" s="13">
        <v>11</v>
      </c>
      <c r="K322" s="10">
        <v>22</v>
      </c>
      <c r="L322" s="2">
        <v>49.345999999999997</v>
      </c>
      <c r="M322" s="1">
        <v>46163.637499999997</v>
      </c>
      <c r="N322" t="s">
        <v>1836</v>
      </c>
    </row>
    <row r="323" spans="1:14" x14ac:dyDescent="0.25">
      <c r="A323" s="9" t="s">
        <v>5211</v>
      </c>
      <c r="B323" s="10">
        <v>636</v>
      </c>
      <c r="C323" s="10" t="s">
        <v>70</v>
      </c>
      <c r="D323" t="s">
        <v>86</v>
      </c>
      <c r="E323" t="s">
        <v>87</v>
      </c>
      <c r="F323" s="10" t="s">
        <v>112</v>
      </c>
      <c r="G323" s="2">
        <v>6.4250999999999996</v>
      </c>
      <c r="H323" s="13">
        <v>22</v>
      </c>
      <c r="I323" s="13">
        <v>0</v>
      </c>
      <c r="J323" s="13">
        <v>0</v>
      </c>
      <c r="K323" s="10">
        <v>22</v>
      </c>
      <c r="L323" s="2">
        <v>141.35220000000001</v>
      </c>
      <c r="M323" s="1">
        <v>46171.48541666667</v>
      </c>
      <c r="N323" t="s">
        <v>16</v>
      </c>
    </row>
    <row r="324" spans="1:14" x14ac:dyDescent="0.25">
      <c r="A324" s="9" t="s">
        <v>5211</v>
      </c>
      <c r="B324" s="10">
        <v>714</v>
      </c>
      <c r="C324" s="10" t="s">
        <v>323</v>
      </c>
      <c r="D324" t="s">
        <v>5111</v>
      </c>
      <c r="E324" t="s">
        <v>5112</v>
      </c>
      <c r="F324" s="10" t="s">
        <v>43</v>
      </c>
      <c r="G324" s="2">
        <v>129.1217</v>
      </c>
      <c r="H324" s="13">
        <v>22</v>
      </c>
      <c r="I324" s="13">
        <v>1</v>
      </c>
      <c r="J324" s="13">
        <v>-1</v>
      </c>
      <c r="K324" s="10">
        <v>22</v>
      </c>
      <c r="L324" s="2">
        <v>2840.6774</v>
      </c>
      <c r="M324" s="1">
        <v>46184.652777777781</v>
      </c>
      <c r="N324" t="s">
        <v>366</v>
      </c>
    </row>
    <row r="325" spans="1:14" x14ac:dyDescent="0.25">
      <c r="A325" s="9" t="s">
        <v>5211</v>
      </c>
      <c r="B325" s="10">
        <v>714</v>
      </c>
      <c r="C325" s="10" t="s">
        <v>143</v>
      </c>
      <c r="D325" t="s">
        <v>2736</v>
      </c>
      <c r="E325" t="s">
        <v>2737</v>
      </c>
      <c r="F325" s="10" t="s">
        <v>29</v>
      </c>
      <c r="G325" s="2">
        <v>28.2927</v>
      </c>
      <c r="H325" s="13">
        <v>22</v>
      </c>
      <c r="I325" s="13">
        <v>0</v>
      </c>
      <c r="J325" s="13">
        <v>0</v>
      </c>
      <c r="K325" s="10">
        <v>22</v>
      </c>
      <c r="L325" s="2">
        <v>622.43939999999998</v>
      </c>
      <c r="M325" s="1">
        <v>46188.35</v>
      </c>
      <c r="N325" t="s">
        <v>26</v>
      </c>
    </row>
    <row r="326" spans="1:14" x14ac:dyDescent="0.25">
      <c r="A326" s="9" t="s">
        <v>5211</v>
      </c>
      <c r="B326" s="10">
        <v>714</v>
      </c>
      <c r="C326" s="10" t="s">
        <v>143</v>
      </c>
      <c r="D326" t="s">
        <v>2598</v>
      </c>
      <c r="E326" t="s">
        <v>2599</v>
      </c>
      <c r="F326" s="10" t="s">
        <v>29</v>
      </c>
      <c r="G326" s="2">
        <v>16.199100000000001</v>
      </c>
      <c r="H326" s="13">
        <v>22</v>
      </c>
      <c r="I326" s="13">
        <v>0</v>
      </c>
      <c r="J326" s="13">
        <v>0</v>
      </c>
      <c r="K326" s="10">
        <v>22</v>
      </c>
      <c r="L326" s="2">
        <v>356.3802</v>
      </c>
      <c r="M326" s="1">
        <v>46188.35</v>
      </c>
      <c r="N326" t="s">
        <v>26</v>
      </c>
    </row>
    <row r="327" spans="1:14" x14ac:dyDescent="0.25">
      <c r="A327" s="9" t="s">
        <v>5211</v>
      </c>
      <c r="B327" s="10">
        <v>718</v>
      </c>
      <c r="C327" s="10" t="s">
        <v>1749</v>
      </c>
      <c r="D327" t="s">
        <v>3560</v>
      </c>
      <c r="E327" t="s">
        <v>3561</v>
      </c>
      <c r="F327" s="10" t="s">
        <v>43</v>
      </c>
      <c r="G327" s="2">
        <v>16.7072</v>
      </c>
      <c r="H327" s="13">
        <v>22</v>
      </c>
      <c r="I327" s="13">
        <v>0</v>
      </c>
      <c r="J327" s="13">
        <v>0</v>
      </c>
      <c r="K327" s="10">
        <v>22</v>
      </c>
      <c r="L327" s="2">
        <v>367.55840000000001</v>
      </c>
      <c r="M327" s="1">
        <v>46189.361805555556</v>
      </c>
      <c r="N327" t="s">
        <v>1825</v>
      </c>
    </row>
    <row r="328" spans="1:14" x14ac:dyDescent="0.25">
      <c r="A328" s="9" t="s">
        <v>5211</v>
      </c>
      <c r="B328" s="10">
        <v>714</v>
      </c>
      <c r="C328" s="10" t="s">
        <v>143</v>
      </c>
      <c r="D328" t="s">
        <v>2211</v>
      </c>
      <c r="E328" t="s">
        <v>2212</v>
      </c>
      <c r="F328" s="10" t="s">
        <v>112</v>
      </c>
      <c r="G328" s="2">
        <v>39.433199999999999</v>
      </c>
      <c r="H328" s="13">
        <v>22</v>
      </c>
      <c r="I328" s="13">
        <v>4</v>
      </c>
      <c r="J328" s="13">
        <v>-4</v>
      </c>
      <c r="K328" s="10">
        <v>22</v>
      </c>
      <c r="L328" s="2">
        <v>867.53039999999999</v>
      </c>
      <c r="M328" s="1">
        <v>46189.522222222222</v>
      </c>
      <c r="N328" t="s">
        <v>2066</v>
      </c>
    </row>
    <row r="329" spans="1:14" x14ac:dyDescent="0.25">
      <c r="A329" s="9" t="s">
        <v>5211</v>
      </c>
      <c r="B329" s="10">
        <v>714</v>
      </c>
      <c r="C329" s="10" t="s">
        <v>70</v>
      </c>
      <c r="D329" t="s">
        <v>2161</v>
      </c>
      <c r="E329" t="s">
        <v>2162</v>
      </c>
      <c r="F329" s="10" t="s">
        <v>29</v>
      </c>
      <c r="G329" s="2">
        <v>13.27</v>
      </c>
      <c r="H329" s="13">
        <v>22</v>
      </c>
      <c r="I329" s="13">
        <v>0</v>
      </c>
      <c r="J329" s="13">
        <v>0</v>
      </c>
      <c r="K329" s="10">
        <v>22</v>
      </c>
      <c r="L329" s="2">
        <v>291.94</v>
      </c>
      <c r="M329" s="1">
        <v>46190.381944444445</v>
      </c>
      <c r="N329" t="s">
        <v>720</v>
      </c>
    </row>
    <row r="330" spans="1:14" x14ac:dyDescent="0.25">
      <c r="A330" s="9" t="s">
        <v>5211</v>
      </c>
      <c r="B330" s="10">
        <v>636</v>
      </c>
      <c r="C330" s="10" t="s">
        <v>70</v>
      </c>
      <c r="D330" t="s">
        <v>4415</v>
      </c>
      <c r="E330" t="s">
        <v>4416</v>
      </c>
      <c r="F330" s="10" t="s">
        <v>112</v>
      </c>
      <c r="G330" s="2">
        <v>5.9680999999999997</v>
      </c>
      <c r="H330" s="13">
        <v>22</v>
      </c>
      <c r="I330" s="13">
        <v>8</v>
      </c>
      <c r="J330" s="13">
        <v>-8</v>
      </c>
      <c r="K330" s="10">
        <v>22</v>
      </c>
      <c r="L330" s="2">
        <v>131.29820000000001</v>
      </c>
      <c r="M330" s="1">
        <v>46199.375</v>
      </c>
      <c r="N330" t="s">
        <v>16</v>
      </c>
    </row>
    <row r="331" spans="1:14" x14ac:dyDescent="0.25">
      <c r="A331" s="9" t="s">
        <v>5211</v>
      </c>
      <c r="B331" s="10">
        <v>718</v>
      </c>
      <c r="C331" s="10" t="s">
        <v>143</v>
      </c>
      <c r="D331" t="s">
        <v>5152</v>
      </c>
      <c r="E331" t="s">
        <v>5153</v>
      </c>
      <c r="F331" s="10" t="s">
        <v>112</v>
      </c>
      <c r="G331" s="2">
        <v>27.3169</v>
      </c>
      <c r="H331" s="13">
        <v>22</v>
      </c>
      <c r="I331" s="13">
        <v>0</v>
      </c>
      <c r="J331" s="13">
        <v>0</v>
      </c>
      <c r="K331" s="10">
        <v>22</v>
      </c>
      <c r="L331" s="2">
        <v>600.97180000000003</v>
      </c>
      <c r="M331" s="1">
        <v>46203.32708333333</v>
      </c>
      <c r="N331" t="s">
        <v>2268</v>
      </c>
    </row>
    <row r="332" spans="1:14" x14ac:dyDescent="0.25">
      <c r="A332" s="9" t="s">
        <v>5211</v>
      </c>
      <c r="B332" s="10">
        <v>714</v>
      </c>
      <c r="C332" s="10" t="s">
        <v>143</v>
      </c>
      <c r="D332" t="s">
        <v>4252</v>
      </c>
      <c r="E332" t="s">
        <v>4253</v>
      </c>
      <c r="F332" s="10" t="s">
        <v>43</v>
      </c>
      <c r="G332" s="2">
        <v>95.142799999999994</v>
      </c>
      <c r="H332" s="13">
        <v>22</v>
      </c>
      <c r="I332" s="13">
        <v>18</v>
      </c>
      <c r="J332" s="13">
        <v>-18</v>
      </c>
      <c r="K332" s="10">
        <v>22</v>
      </c>
      <c r="L332" s="2">
        <v>2093.1415999999999</v>
      </c>
      <c r="M332" s="1">
        <v>46203.470138888886</v>
      </c>
      <c r="N332" t="s">
        <v>137</v>
      </c>
    </row>
    <row r="333" spans="1:14" x14ac:dyDescent="0.25">
      <c r="A333" s="9" t="s">
        <v>5211</v>
      </c>
      <c r="B333" s="10">
        <v>714</v>
      </c>
      <c r="C333" s="10" t="s">
        <v>12</v>
      </c>
      <c r="D333" t="s">
        <v>4381</v>
      </c>
      <c r="E333" t="s">
        <v>4382</v>
      </c>
      <c r="F333" s="10" t="s">
        <v>112</v>
      </c>
      <c r="G333" s="2">
        <v>7.7244999999999999</v>
      </c>
      <c r="H333" s="13">
        <v>22</v>
      </c>
      <c r="I333" s="13">
        <v>23</v>
      </c>
      <c r="J333" s="13">
        <v>-23</v>
      </c>
      <c r="K333" s="10">
        <v>22</v>
      </c>
      <c r="L333" s="2">
        <v>169.93899999999999</v>
      </c>
      <c r="M333" s="1">
        <v>46204.464583333334</v>
      </c>
      <c r="N333" t="s">
        <v>878</v>
      </c>
    </row>
    <row r="334" spans="1:14" x14ac:dyDescent="0.25">
      <c r="A334" s="9" t="s">
        <v>5211</v>
      </c>
      <c r="B334" s="10">
        <v>634</v>
      </c>
      <c r="C334" s="10" t="s">
        <v>143</v>
      </c>
      <c r="D334" t="s">
        <v>4188</v>
      </c>
      <c r="E334" t="s">
        <v>4189</v>
      </c>
      <c r="F334" s="10" t="s">
        <v>112</v>
      </c>
      <c r="G334" s="2">
        <v>16.3733</v>
      </c>
      <c r="H334" s="13">
        <v>22</v>
      </c>
      <c r="I334" s="13">
        <v>13</v>
      </c>
      <c r="J334" s="13">
        <v>-13</v>
      </c>
      <c r="K334" s="10">
        <v>22</v>
      </c>
      <c r="L334" s="2">
        <v>360.21260000000001</v>
      </c>
      <c r="M334" s="1">
        <v>46209.361111111109</v>
      </c>
      <c r="N334" t="s">
        <v>26</v>
      </c>
    </row>
    <row r="335" spans="1:14" x14ac:dyDescent="0.25">
      <c r="A335" s="9" t="s">
        <v>5211</v>
      </c>
      <c r="B335" s="10">
        <v>718</v>
      </c>
      <c r="C335" s="10" t="s">
        <v>143</v>
      </c>
      <c r="D335" t="s">
        <v>4529</v>
      </c>
      <c r="E335" t="s">
        <v>4530</v>
      </c>
      <c r="F335" s="10" t="s">
        <v>158</v>
      </c>
      <c r="G335" s="2">
        <v>42.111400000000003</v>
      </c>
      <c r="H335" s="13">
        <v>22</v>
      </c>
      <c r="I335" s="13">
        <v>5</v>
      </c>
      <c r="J335" s="13">
        <v>-5</v>
      </c>
      <c r="K335" s="10">
        <v>22</v>
      </c>
      <c r="L335" s="2">
        <v>926.45079999999996</v>
      </c>
      <c r="M335" s="1">
        <v>46212.607638888891</v>
      </c>
      <c r="N335" t="s">
        <v>903</v>
      </c>
    </row>
    <row r="336" spans="1:14" x14ac:dyDescent="0.25">
      <c r="A336" s="9" t="s">
        <v>5211</v>
      </c>
      <c r="B336" s="10">
        <v>636</v>
      </c>
      <c r="C336" s="10" t="s">
        <v>12</v>
      </c>
      <c r="D336" t="s">
        <v>62</v>
      </c>
      <c r="E336" t="s">
        <v>63</v>
      </c>
      <c r="F336" s="10" t="s">
        <v>39</v>
      </c>
      <c r="G336" s="2">
        <v>13.8126</v>
      </c>
      <c r="H336" s="13">
        <v>22</v>
      </c>
      <c r="I336" s="13">
        <v>2</v>
      </c>
      <c r="J336" s="13">
        <v>-2</v>
      </c>
      <c r="K336" s="10">
        <v>22</v>
      </c>
      <c r="L336" s="2">
        <v>303.87720000000002</v>
      </c>
      <c r="M336" s="1">
        <v>46218.588888888888</v>
      </c>
      <c r="N336" t="s">
        <v>40</v>
      </c>
    </row>
    <row r="337" spans="1:14" x14ac:dyDescent="0.25">
      <c r="A337" s="9" t="s">
        <v>5211</v>
      </c>
      <c r="B337" s="10">
        <v>718</v>
      </c>
      <c r="C337" s="10" t="s">
        <v>126</v>
      </c>
      <c r="D337" t="s">
        <v>874</v>
      </c>
      <c r="E337" t="s">
        <v>875</v>
      </c>
      <c r="F337" s="10" t="s">
        <v>29</v>
      </c>
      <c r="G337" s="2">
        <v>17.139600000000002</v>
      </c>
      <c r="H337" s="13">
        <v>22</v>
      </c>
      <c r="I337" s="13">
        <v>18</v>
      </c>
      <c r="J337" s="13">
        <v>-18</v>
      </c>
      <c r="K337" s="10">
        <v>22</v>
      </c>
      <c r="L337" s="2">
        <v>377.07119999999998</v>
      </c>
      <c r="M337" s="1">
        <v>46220.5625</v>
      </c>
      <c r="N337" t="s">
        <v>140</v>
      </c>
    </row>
    <row r="338" spans="1:14" x14ac:dyDescent="0.25">
      <c r="A338" s="9" t="s">
        <v>5211</v>
      </c>
      <c r="B338" s="10">
        <v>714</v>
      </c>
      <c r="C338" s="10" t="s">
        <v>70</v>
      </c>
      <c r="D338" t="s">
        <v>4447</v>
      </c>
      <c r="E338" t="s">
        <v>4448</v>
      </c>
      <c r="F338" s="10" t="s">
        <v>112</v>
      </c>
      <c r="G338" s="2">
        <v>5.2344999999999997</v>
      </c>
      <c r="H338" s="13">
        <v>22</v>
      </c>
      <c r="I338" s="13">
        <v>9</v>
      </c>
      <c r="J338" s="13">
        <v>-9</v>
      </c>
      <c r="K338" s="10">
        <v>22</v>
      </c>
      <c r="L338" s="2">
        <v>115.15900000000001</v>
      </c>
      <c r="M338" s="1">
        <v>46228.32916666667</v>
      </c>
      <c r="N338" t="s">
        <v>26</v>
      </c>
    </row>
    <row r="339" spans="1:14" x14ac:dyDescent="0.25">
      <c r="A339" s="9" t="s">
        <v>5211</v>
      </c>
      <c r="B339" s="10">
        <v>718</v>
      </c>
      <c r="C339" s="10" t="s">
        <v>70</v>
      </c>
      <c r="D339" t="s">
        <v>3653</v>
      </c>
      <c r="E339" t="s">
        <v>3654</v>
      </c>
      <c r="F339" s="10" t="s">
        <v>29</v>
      </c>
      <c r="G339" s="2">
        <v>9.6789000000000005</v>
      </c>
      <c r="H339" s="13">
        <v>22</v>
      </c>
      <c r="I339" s="13">
        <v>0</v>
      </c>
      <c r="J339" s="13">
        <v>0</v>
      </c>
      <c r="K339" s="10">
        <v>22</v>
      </c>
      <c r="L339" s="2">
        <v>212.9358</v>
      </c>
      <c r="M339" s="1">
        <v>46232.6</v>
      </c>
      <c r="N339" t="s">
        <v>573</v>
      </c>
    </row>
    <row r="340" spans="1:14" x14ac:dyDescent="0.25">
      <c r="A340" s="9" t="s">
        <v>5211</v>
      </c>
      <c r="B340" s="10">
        <v>718</v>
      </c>
      <c r="C340" s="10" t="s">
        <v>70</v>
      </c>
      <c r="D340" t="s">
        <v>3657</v>
      </c>
      <c r="E340" t="s">
        <v>3658</v>
      </c>
      <c r="F340" s="10" t="s">
        <v>29</v>
      </c>
      <c r="G340" s="2">
        <v>10.017099999999999</v>
      </c>
      <c r="H340" s="13">
        <v>22</v>
      </c>
      <c r="I340" s="13">
        <v>0</v>
      </c>
      <c r="J340" s="13">
        <v>0</v>
      </c>
      <c r="K340" s="10">
        <v>22</v>
      </c>
      <c r="L340" s="2">
        <v>220.37620000000001</v>
      </c>
      <c r="M340" s="1">
        <v>46232.6</v>
      </c>
      <c r="N340" t="s">
        <v>573</v>
      </c>
    </row>
    <row r="341" spans="1:14" x14ac:dyDescent="0.25">
      <c r="A341" s="9" t="s">
        <v>5211</v>
      </c>
      <c r="B341" s="10">
        <v>634</v>
      </c>
      <c r="C341" s="10" t="s">
        <v>12</v>
      </c>
      <c r="D341" t="s">
        <v>59</v>
      </c>
      <c r="E341" t="s">
        <v>60</v>
      </c>
      <c r="F341" s="10" t="s">
        <v>19</v>
      </c>
      <c r="G341" s="2">
        <v>16.5</v>
      </c>
      <c r="H341" s="13">
        <v>22</v>
      </c>
      <c r="I341" s="13">
        <v>0</v>
      </c>
      <c r="J341" s="13">
        <v>0</v>
      </c>
      <c r="K341" s="10">
        <v>22</v>
      </c>
      <c r="L341" s="2">
        <v>363</v>
      </c>
      <c r="M341" s="1">
        <v>46241.356249999997</v>
      </c>
      <c r="N341" t="s">
        <v>61</v>
      </c>
    </row>
    <row r="342" spans="1:14" x14ac:dyDescent="0.25">
      <c r="A342" s="9" t="s">
        <v>5211</v>
      </c>
      <c r="B342" s="10">
        <v>714</v>
      </c>
      <c r="C342" s="10" t="s">
        <v>143</v>
      </c>
      <c r="D342" t="s">
        <v>2405</v>
      </c>
      <c r="E342" s="6" t="s">
        <v>2406</v>
      </c>
      <c r="F342" s="11" t="s">
        <v>58</v>
      </c>
      <c r="G342" s="2">
        <v>23.356000000000002</v>
      </c>
      <c r="H342" s="13">
        <v>21</v>
      </c>
      <c r="I342" s="13">
        <v>8</v>
      </c>
      <c r="J342" s="13">
        <v>-8</v>
      </c>
      <c r="K342" s="10">
        <v>21</v>
      </c>
      <c r="L342" s="2">
        <v>490.476</v>
      </c>
      <c r="M342" s="1">
        <v>45846.325694444444</v>
      </c>
      <c r="N342" t="s">
        <v>67</v>
      </c>
    </row>
    <row r="343" spans="1:14" x14ac:dyDescent="0.25">
      <c r="A343" s="9" t="s">
        <v>5211</v>
      </c>
      <c r="B343" s="10">
        <v>714</v>
      </c>
      <c r="C343" s="10" t="s">
        <v>70</v>
      </c>
      <c r="D343" t="s">
        <v>2024</v>
      </c>
      <c r="E343" t="s">
        <v>2025</v>
      </c>
      <c r="F343" s="10" t="s">
        <v>112</v>
      </c>
      <c r="G343" s="2">
        <v>5.5895999999999999</v>
      </c>
      <c r="H343" s="13">
        <v>21</v>
      </c>
      <c r="I343" s="13">
        <v>0</v>
      </c>
      <c r="J343" s="13">
        <v>0</v>
      </c>
      <c r="K343" s="10">
        <v>21</v>
      </c>
      <c r="L343" s="2">
        <v>117.38160000000001</v>
      </c>
      <c r="M343" s="1">
        <v>45987.379861111112</v>
      </c>
      <c r="N343" t="s">
        <v>40</v>
      </c>
    </row>
    <row r="344" spans="1:14" x14ac:dyDescent="0.25">
      <c r="A344" s="9" t="s">
        <v>5211</v>
      </c>
      <c r="B344" s="10">
        <v>636</v>
      </c>
      <c r="C344" s="10" t="s">
        <v>12</v>
      </c>
      <c r="D344" t="s">
        <v>1873</v>
      </c>
      <c r="E344" t="s">
        <v>1874</v>
      </c>
      <c r="F344" s="10" t="s">
        <v>112</v>
      </c>
      <c r="G344" s="2">
        <v>6.0385</v>
      </c>
      <c r="H344" s="13">
        <v>21</v>
      </c>
      <c r="I344" s="13">
        <v>34</v>
      </c>
      <c r="J344" s="13">
        <v>-34</v>
      </c>
      <c r="K344" s="10">
        <v>21</v>
      </c>
      <c r="L344" s="2">
        <v>126.8085</v>
      </c>
      <c r="M344" s="1">
        <v>46129.384722222225</v>
      </c>
      <c r="N344" t="s">
        <v>16</v>
      </c>
    </row>
    <row r="345" spans="1:14" x14ac:dyDescent="0.25">
      <c r="A345" s="9" t="s">
        <v>5211</v>
      </c>
      <c r="B345" s="10">
        <v>714</v>
      </c>
      <c r="C345" s="10" t="s">
        <v>12</v>
      </c>
      <c r="D345" t="s">
        <v>1812</v>
      </c>
      <c r="E345" t="s">
        <v>1813</v>
      </c>
      <c r="F345" s="10" t="s">
        <v>23</v>
      </c>
      <c r="G345" s="2">
        <v>41.749099999999999</v>
      </c>
      <c r="H345" s="13">
        <v>21</v>
      </c>
      <c r="I345" s="13">
        <v>0</v>
      </c>
      <c r="J345" s="13">
        <v>0</v>
      </c>
      <c r="K345" s="10">
        <v>21</v>
      </c>
      <c r="L345" s="2">
        <v>876.73109999999997</v>
      </c>
      <c r="M345" s="1">
        <v>46147.684027777781</v>
      </c>
      <c r="N345" t="s">
        <v>1814</v>
      </c>
    </row>
    <row r="346" spans="1:14" x14ac:dyDescent="0.25">
      <c r="A346" s="9" t="s">
        <v>5211</v>
      </c>
      <c r="B346" s="10">
        <v>636</v>
      </c>
      <c r="C346" s="10" t="s">
        <v>70</v>
      </c>
      <c r="D346" t="s">
        <v>767</v>
      </c>
      <c r="E346" t="s">
        <v>768</v>
      </c>
      <c r="F346" s="10" t="s">
        <v>23</v>
      </c>
      <c r="G346" s="2">
        <v>22.345099999999999</v>
      </c>
      <c r="H346" s="13">
        <v>21</v>
      </c>
      <c r="I346" s="13">
        <v>0</v>
      </c>
      <c r="J346" s="13">
        <v>0</v>
      </c>
      <c r="K346" s="10">
        <v>21</v>
      </c>
      <c r="L346" s="2">
        <v>469.24709999999999</v>
      </c>
      <c r="M346" s="1">
        <v>46150.59652777778</v>
      </c>
      <c r="N346" t="s">
        <v>590</v>
      </c>
    </row>
    <row r="347" spans="1:14" x14ac:dyDescent="0.25">
      <c r="A347" s="9" t="s">
        <v>5211</v>
      </c>
      <c r="B347" s="10">
        <v>634</v>
      </c>
      <c r="C347" s="10" t="s">
        <v>323</v>
      </c>
      <c r="D347" t="s">
        <v>4284</v>
      </c>
      <c r="E347" t="s">
        <v>4285</v>
      </c>
      <c r="F347" s="10" t="s">
        <v>43</v>
      </c>
      <c r="G347" s="2">
        <v>150.69749999999999</v>
      </c>
      <c r="H347" s="13">
        <v>21</v>
      </c>
      <c r="I347" s="13">
        <v>97</v>
      </c>
      <c r="J347" s="13">
        <v>-97</v>
      </c>
      <c r="K347" s="10">
        <v>21</v>
      </c>
      <c r="L347" s="2">
        <v>3164.6475</v>
      </c>
      <c r="M347" s="1">
        <v>46170.62777777778</v>
      </c>
      <c r="N347" t="s">
        <v>402</v>
      </c>
    </row>
    <row r="348" spans="1:14" x14ac:dyDescent="0.25">
      <c r="A348" s="9" t="s">
        <v>5211</v>
      </c>
      <c r="B348" s="10">
        <v>636</v>
      </c>
      <c r="C348" s="10" t="s">
        <v>143</v>
      </c>
      <c r="D348" t="s">
        <v>1206</v>
      </c>
      <c r="E348" t="s">
        <v>1207</v>
      </c>
      <c r="F348" s="10" t="s">
        <v>43</v>
      </c>
      <c r="G348" s="2">
        <v>31.48</v>
      </c>
      <c r="H348" s="13">
        <v>21</v>
      </c>
      <c r="I348" s="13">
        <v>-13</v>
      </c>
      <c r="J348" s="13">
        <v>13</v>
      </c>
      <c r="K348" s="10">
        <v>21</v>
      </c>
      <c r="L348" s="2">
        <v>661.08</v>
      </c>
      <c r="M348" s="1">
        <v>46176.482638888891</v>
      </c>
      <c r="N348" t="s">
        <v>162</v>
      </c>
    </row>
    <row r="349" spans="1:14" x14ac:dyDescent="0.25">
      <c r="A349" s="9" t="s">
        <v>5211</v>
      </c>
      <c r="B349" s="10">
        <v>714</v>
      </c>
      <c r="C349" s="10" t="s">
        <v>143</v>
      </c>
      <c r="D349" t="s">
        <v>4228</v>
      </c>
      <c r="E349" t="s">
        <v>4229</v>
      </c>
      <c r="F349" s="10" t="s">
        <v>29</v>
      </c>
      <c r="G349" s="2">
        <v>16.979700000000001</v>
      </c>
      <c r="H349" s="13">
        <v>21</v>
      </c>
      <c r="I349" s="13">
        <v>5</v>
      </c>
      <c r="J349" s="13">
        <v>-5</v>
      </c>
      <c r="K349" s="10">
        <v>21</v>
      </c>
      <c r="L349" s="2">
        <v>356.57369999999997</v>
      </c>
      <c r="M349" s="1">
        <v>46188.35</v>
      </c>
      <c r="N349" t="s">
        <v>26</v>
      </c>
    </row>
    <row r="350" spans="1:14" x14ac:dyDescent="0.25">
      <c r="A350" s="9" t="s">
        <v>5211</v>
      </c>
      <c r="B350" s="10">
        <v>714</v>
      </c>
      <c r="C350" s="10" t="s">
        <v>143</v>
      </c>
      <c r="D350" t="s">
        <v>2479</v>
      </c>
      <c r="E350" t="s">
        <v>2480</v>
      </c>
      <c r="F350" s="10" t="s">
        <v>39</v>
      </c>
      <c r="G350" s="2">
        <v>13.8507</v>
      </c>
      <c r="H350" s="13">
        <v>21</v>
      </c>
      <c r="I350" s="13">
        <v>0</v>
      </c>
      <c r="J350" s="13">
        <v>0</v>
      </c>
      <c r="K350" s="10">
        <v>21</v>
      </c>
      <c r="L350" s="2">
        <v>290.86470000000003</v>
      </c>
      <c r="M350" s="1">
        <v>46188.352083333331</v>
      </c>
      <c r="N350" t="s">
        <v>26</v>
      </c>
    </row>
    <row r="351" spans="1:14" x14ac:dyDescent="0.25">
      <c r="A351" s="9" t="s">
        <v>5211</v>
      </c>
      <c r="B351" s="10">
        <v>636</v>
      </c>
      <c r="C351" s="10" t="s">
        <v>70</v>
      </c>
      <c r="D351" t="s">
        <v>659</v>
      </c>
      <c r="E351" t="s">
        <v>660</v>
      </c>
      <c r="F351" s="10" t="s">
        <v>39</v>
      </c>
      <c r="G351" s="2">
        <v>5.3719000000000001</v>
      </c>
      <c r="H351" s="13">
        <v>21</v>
      </c>
      <c r="I351" s="13">
        <v>0</v>
      </c>
      <c r="J351" s="13">
        <v>0</v>
      </c>
      <c r="K351" s="10">
        <v>21</v>
      </c>
      <c r="L351" s="2">
        <v>112.8099</v>
      </c>
      <c r="M351" s="1">
        <v>46189.418749999997</v>
      </c>
      <c r="N351" t="s">
        <v>16</v>
      </c>
    </row>
    <row r="352" spans="1:14" x14ac:dyDescent="0.25">
      <c r="A352" s="9" t="s">
        <v>5211</v>
      </c>
      <c r="B352" s="10">
        <v>718</v>
      </c>
      <c r="C352" s="10" t="s">
        <v>143</v>
      </c>
      <c r="D352" t="s">
        <v>4106</v>
      </c>
      <c r="E352" t="s">
        <v>4107</v>
      </c>
      <c r="F352" s="10" t="s">
        <v>23</v>
      </c>
      <c r="G352" s="2">
        <v>43.244</v>
      </c>
      <c r="H352" s="13">
        <v>21</v>
      </c>
      <c r="I352" s="13">
        <v>49</v>
      </c>
      <c r="J352" s="13">
        <v>-49</v>
      </c>
      <c r="K352" s="10">
        <v>21</v>
      </c>
      <c r="L352" s="2">
        <v>908.12400000000002</v>
      </c>
      <c r="M352" s="1">
        <v>46190.631944444445</v>
      </c>
      <c r="N352" t="s">
        <v>175</v>
      </c>
    </row>
    <row r="353" spans="1:14" x14ac:dyDescent="0.25">
      <c r="A353" s="9" t="s">
        <v>5211</v>
      </c>
      <c r="B353" s="10">
        <v>636</v>
      </c>
      <c r="C353" s="10" t="s">
        <v>143</v>
      </c>
      <c r="D353" t="s">
        <v>4228</v>
      </c>
      <c r="E353" t="s">
        <v>4229</v>
      </c>
      <c r="F353" s="10" t="s">
        <v>43</v>
      </c>
      <c r="G353" s="2">
        <v>19.456299999999999</v>
      </c>
      <c r="H353" s="13">
        <v>21</v>
      </c>
      <c r="I353" s="13">
        <v>5</v>
      </c>
      <c r="J353" s="13">
        <v>-5</v>
      </c>
      <c r="K353" s="10">
        <v>21</v>
      </c>
      <c r="L353" s="2">
        <v>408.58229999999998</v>
      </c>
      <c r="M353" s="1">
        <v>46191.598611111112</v>
      </c>
      <c r="N353" t="s">
        <v>26</v>
      </c>
    </row>
    <row r="354" spans="1:14" x14ac:dyDescent="0.25">
      <c r="A354" s="9" t="s">
        <v>5211</v>
      </c>
      <c r="B354" s="10">
        <v>636</v>
      </c>
      <c r="C354" s="10" t="s">
        <v>143</v>
      </c>
      <c r="D354" t="s">
        <v>4539</v>
      </c>
      <c r="E354" t="s">
        <v>4540</v>
      </c>
      <c r="F354" s="10" t="s">
        <v>43</v>
      </c>
      <c r="G354" s="2">
        <v>25.974299999999999</v>
      </c>
      <c r="H354" s="13">
        <v>21</v>
      </c>
      <c r="I354" s="13">
        <v>11</v>
      </c>
      <c r="J354" s="13">
        <v>-11</v>
      </c>
      <c r="K354" s="10">
        <v>21</v>
      </c>
      <c r="L354" s="2">
        <v>545.46029999999996</v>
      </c>
      <c r="M354" s="1">
        <v>46192.487500000003</v>
      </c>
      <c r="N354" t="s">
        <v>162</v>
      </c>
    </row>
    <row r="355" spans="1:14" x14ac:dyDescent="0.25">
      <c r="A355" s="9" t="s">
        <v>5211</v>
      </c>
      <c r="B355" s="10">
        <v>718</v>
      </c>
      <c r="C355" s="10" t="s">
        <v>143</v>
      </c>
      <c r="D355" t="s">
        <v>5162</v>
      </c>
      <c r="E355" t="s">
        <v>5163</v>
      </c>
      <c r="F355" s="10" t="s">
        <v>23</v>
      </c>
      <c r="G355" s="2">
        <v>13.6165</v>
      </c>
      <c r="H355" s="13">
        <v>21</v>
      </c>
      <c r="I355" s="13">
        <v>0</v>
      </c>
      <c r="J355" s="13">
        <v>0</v>
      </c>
      <c r="K355" s="10">
        <v>21</v>
      </c>
      <c r="L355" s="2">
        <v>285.94650000000001</v>
      </c>
      <c r="M355" s="1">
        <v>46193.592361111114</v>
      </c>
      <c r="N355" t="s">
        <v>26</v>
      </c>
    </row>
    <row r="356" spans="1:14" x14ac:dyDescent="0.25">
      <c r="A356" s="9" t="s">
        <v>5211</v>
      </c>
      <c r="B356" s="10">
        <v>718</v>
      </c>
      <c r="C356" s="10" t="s">
        <v>143</v>
      </c>
      <c r="D356" t="s">
        <v>3715</v>
      </c>
      <c r="E356" t="s">
        <v>3716</v>
      </c>
      <c r="F356" s="10" t="s">
        <v>29</v>
      </c>
      <c r="G356" s="2">
        <v>224.9614</v>
      </c>
      <c r="H356" s="13">
        <v>21</v>
      </c>
      <c r="I356" s="13">
        <v>0</v>
      </c>
      <c r="J356" s="13">
        <v>0</v>
      </c>
      <c r="K356" s="10">
        <v>21</v>
      </c>
      <c r="L356" s="2">
        <v>4724.1894000000002</v>
      </c>
      <c r="M356" s="1">
        <v>46199.320833333331</v>
      </c>
      <c r="N356" t="s">
        <v>216</v>
      </c>
    </row>
    <row r="357" spans="1:14" x14ac:dyDescent="0.25">
      <c r="A357" s="9" t="s">
        <v>5211</v>
      </c>
      <c r="B357" s="10">
        <v>718</v>
      </c>
      <c r="C357" s="10" t="s">
        <v>143</v>
      </c>
      <c r="D357" t="s">
        <v>4481</v>
      </c>
      <c r="E357" t="s">
        <v>4482</v>
      </c>
      <c r="F357" s="10" t="s">
        <v>43</v>
      </c>
      <c r="G357" s="2">
        <v>32.917299999999997</v>
      </c>
      <c r="H357" s="13">
        <v>21</v>
      </c>
      <c r="I357" s="13">
        <v>29</v>
      </c>
      <c r="J357" s="13">
        <v>-29</v>
      </c>
      <c r="K357" s="10">
        <v>21</v>
      </c>
      <c r="L357" s="2">
        <v>691.26329999999996</v>
      </c>
      <c r="M357" s="1">
        <v>46203.334722222222</v>
      </c>
      <c r="N357" t="s">
        <v>2066</v>
      </c>
    </row>
    <row r="358" spans="1:14" x14ac:dyDescent="0.25">
      <c r="A358" s="9" t="s">
        <v>5211</v>
      </c>
      <c r="B358" s="10">
        <v>718</v>
      </c>
      <c r="C358" s="10" t="s">
        <v>143</v>
      </c>
      <c r="D358" t="s">
        <v>1052</v>
      </c>
      <c r="E358" t="s">
        <v>1053</v>
      </c>
      <c r="F358" s="10" t="s">
        <v>23</v>
      </c>
      <c r="G358" s="2">
        <v>14.888</v>
      </c>
      <c r="H358" s="13">
        <v>21</v>
      </c>
      <c r="I358" s="13">
        <v>0</v>
      </c>
      <c r="J358" s="13">
        <v>0</v>
      </c>
      <c r="K358" s="10">
        <v>21</v>
      </c>
      <c r="L358" s="2">
        <v>312.64800000000002</v>
      </c>
      <c r="M358" s="1">
        <v>46212.438888888886</v>
      </c>
      <c r="N358" t="s">
        <v>40</v>
      </c>
    </row>
    <row r="359" spans="1:14" x14ac:dyDescent="0.25">
      <c r="A359" s="9" t="s">
        <v>5211</v>
      </c>
      <c r="B359" s="10">
        <v>714</v>
      </c>
      <c r="C359" s="10" t="s">
        <v>70</v>
      </c>
      <c r="D359" t="s">
        <v>4737</v>
      </c>
      <c r="E359" t="s">
        <v>4738</v>
      </c>
      <c r="F359" s="10" t="s">
        <v>112</v>
      </c>
      <c r="G359" s="2">
        <v>7.4425999999999997</v>
      </c>
      <c r="H359" s="13">
        <v>21</v>
      </c>
      <c r="I359" s="13">
        <v>0</v>
      </c>
      <c r="J359" s="13">
        <v>0</v>
      </c>
      <c r="K359" s="10">
        <v>21</v>
      </c>
      <c r="L359" s="2">
        <v>156.2946</v>
      </c>
      <c r="M359" s="1">
        <v>46227.602777777778</v>
      </c>
      <c r="N359" t="s">
        <v>94</v>
      </c>
    </row>
    <row r="360" spans="1:14" x14ac:dyDescent="0.25">
      <c r="A360" s="9" t="s">
        <v>5211</v>
      </c>
      <c r="B360" s="10">
        <v>714</v>
      </c>
      <c r="C360" s="10" t="s">
        <v>70</v>
      </c>
      <c r="D360" t="s">
        <v>2036</v>
      </c>
      <c r="E360" t="s">
        <v>2037</v>
      </c>
      <c r="F360" s="10" t="s">
        <v>23</v>
      </c>
      <c r="G360" s="2">
        <v>9.4060000000000006</v>
      </c>
      <c r="H360" s="13">
        <v>21</v>
      </c>
      <c r="I360" s="13">
        <v>20</v>
      </c>
      <c r="J360" s="13">
        <v>-20</v>
      </c>
      <c r="K360" s="10">
        <v>21</v>
      </c>
      <c r="L360" s="2">
        <v>197.52600000000001</v>
      </c>
      <c r="M360" s="1">
        <v>46227.602777777778</v>
      </c>
      <c r="N360" t="s">
        <v>94</v>
      </c>
    </row>
    <row r="361" spans="1:14" x14ac:dyDescent="0.25">
      <c r="A361" s="9" t="s">
        <v>5211</v>
      </c>
      <c r="B361" s="10">
        <v>718</v>
      </c>
      <c r="C361" s="10" t="s">
        <v>12</v>
      </c>
      <c r="D361" t="s">
        <v>3593</v>
      </c>
      <c r="E361" t="s">
        <v>3594</v>
      </c>
      <c r="F361" s="10" t="s">
        <v>29</v>
      </c>
      <c r="G361" s="2">
        <v>6.6585999999999999</v>
      </c>
      <c r="H361" s="13">
        <v>21</v>
      </c>
      <c r="I361" s="13">
        <v>0</v>
      </c>
      <c r="J361" s="13">
        <v>0</v>
      </c>
      <c r="K361" s="10">
        <v>21</v>
      </c>
      <c r="L361" s="2">
        <v>139.8306</v>
      </c>
      <c r="M361" s="1">
        <v>46232.6</v>
      </c>
      <c r="N361" t="s">
        <v>573</v>
      </c>
    </row>
    <row r="362" spans="1:14" x14ac:dyDescent="0.25">
      <c r="A362" s="9" t="s">
        <v>5211</v>
      </c>
      <c r="B362" s="10">
        <v>634</v>
      </c>
      <c r="C362" s="10" t="s">
        <v>143</v>
      </c>
      <c r="D362" t="s">
        <v>4236</v>
      </c>
      <c r="E362" t="s">
        <v>4237</v>
      </c>
      <c r="F362" s="10" t="s">
        <v>23</v>
      </c>
      <c r="G362" s="2">
        <v>13.734999999999999</v>
      </c>
      <c r="H362" s="13">
        <v>21</v>
      </c>
      <c r="I362" s="13">
        <v>94</v>
      </c>
      <c r="J362" s="13">
        <v>-94</v>
      </c>
      <c r="K362" s="10">
        <v>21</v>
      </c>
      <c r="L362" s="2">
        <v>288.435</v>
      </c>
      <c r="M362" s="1">
        <v>46237.726388888892</v>
      </c>
      <c r="N362" t="s">
        <v>26</v>
      </c>
    </row>
    <row r="363" spans="1:14" x14ac:dyDescent="0.25">
      <c r="A363" s="9" t="s">
        <v>5211</v>
      </c>
      <c r="B363" s="10">
        <v>714</v>
      </c>
      <c r="C363" s="10" t="s">
        <v>70</v>
      </c>
      <c r="D363" t="s">
        <v>2032</v>
      </c>
      <c r="E363" t="s">
        <v>2033</v>
      </c>
      <c r="F363" s="10" t="s">
        <v>29</v>
      </c>
      <c r="G363" s="2">
        <v>19.079699999999999</v>
      </c>
      <c r="H363" s="13">
        <v>20</v>
      </c>
      <c r="I363" s="13">
        <v>0</v>
      </c>
      <c r="J363" s="13">
        <v>0</v>
      </c>
      <c r="K363" s="10">
        <v>20</v>
      </c>
      <c r="L363" s="2">
        <v>381.59399999999999</v>
      </c>
      <c r="M363" s="1">
        <v>44659.54583333333</v>
      </c>
      <c r="N363" t="s">
        <v>573</v>
      </c>
    </row>
    <row r="364" spans="1:14" x14ac:dyDescent="0.25">
      <c r="A364" s="9" t="s">
        <v>5211</v>
      </c>
      <c r="B364" s="10">
        <v>714</v>
      </c>
      <c r="C364" s="10" t="s">
        <v>143</v>
      </c>
      <c r="D364" t="s">
        <v>2466</v>
      </c>
      <c r="E364" t="s">
        <v>2467</v>
      </c>
      <c r="F364" s="10" t="s">
        <v>35</v>
      </c>
      <c r="G364" s="2">
        <v>17.744199999999999</v>
      </c>
      <c r="H364" s="13">
        <v>20</v>
      </c>
      <c r="I364" s="13">
        <v>0</v>
      </c>
      <c r="J364" s="13">
        <v>0</v>
      </c>
      <c r="K364" s="10">
        <v>20</v>
      </c>
      <c r="L364" s="2">
        <v>354.88400000000001</v>
      </c>
      <c r="M364" s="1">
        <v>45799.356249999997</v>
      </c>
      <c r="N364" t="s">
        <v>2468</v>
      </c>
    </row>
    <row r="365" spans="1:14" x14ac:dyDescent="0.25">
      <c r="A365" s="9" t="s">
        <v>5211</v>
      </c>
      <c r="B365" s="10">
        <v>634</v>
      </c>
      <c r="C365" s="10" t="s">
        <v>70</v>
      </c>
      <c r="D365" t="s">
        <v>124</v>
      </c>
      <c r="E365" s="6" t="s">
        <v>125</v>
      </c>
      <c r="F365" s="11" t="s">
        <v>58</v>
      </c>
      <c r="G365" s="2">
        <v>5.8616999999999999</v>
      </c>
      <c r="H365" s="13">
        <v>20</v>
      </c>
      <c r="I365" s="13">
        <v>-1</v>
      </c>
      <c r="J365" s="13">
        <v>1</v>
      </c>
      <c r="K365" s="10">
        <v>20</v>
      </c>
      <c r="L365" s="2">
        <v>117.23399999999999</v>
      </c>
      <c r="M365" s="1">
        <v>45807.578472222223</v>
      </c>
      <c r="N365" t="s">
        <v>16</v>
      </c>
    </row>
    <row r="366" spans="1:14" x14ac:dyDescent="0.25">
      <c r="A366" s="9" t="s">
        <v>5211</v>
      </c>
      <c r="B366" s="10">
        <v>714</v>
      </c>
      <c r="C366" s="10" t="s">
        <v>323</v>
      </c>
      <c r="D366" t="s">
        <v>3362</v>
      </c>
      <c r="E366" t="s">
        <v>3363</v>
      </c>
      <c r="F366" s="10" t="s">
        <v>29</v>
      </c>
      <c r="G366" s="2">
        <v>75</v>
      </c>
      <c r="H366" s="13">
        <v>20</v>
      </c>
      <c r="I366" s="13">
        <v>0</v>
      </c>
      <c r="J366" s="13">
        <v>0</v>
      </c>
      <c r="K366" s="10">
        <v>20</v>
      </c>
      <c r="L366" s="2">
        <v>1500</v>
      </c>
      <c r="M366" s="1">
        <v>45959.618055555555</v>
      </c>
      <c r="N366" t="s">
        <v>1224</v>
      </c>
    </row>
    <row r="367" spans="1:14" x14ac:dyDescent="0.25">
      <c r="A367" s="9" t="s">
        <v>5211</v>
      </c>
      <c r="B367" s="10">
        <v>714</v>
      </c>
      <c r="C367" s="10" t="s">
        <v>143</v>
      </c>
      <c r="D367" t="s">
        <v>2489</v>
      </c>
      <c r="E367" t="s">
        <v>2490</v>
      </c>
      <c r="F367" s="10" t="s">
        <v>19</v>
      </c>
      <c r="G367" s="2">
        <v>28.116599999999998</v>
      </c>
      <c r="H367" s="13">
        <v>20</v>
      </c>
      <c r="I367" s="13">
        <v>6</v>
      </c>
      <c r="J367" s="13">
        <v>-6</v>
      </c>
      <c r="K367" s="10">
        <v>20</v>
      </c>
      <c r="L367" s="2">
        <v>562.33199999999999</v>
      </c>
      <c r="M367" s="1">
        <v>46112.315972222219</v>
      </c>
      <c r="N367" t="s">
        <v>36</v>
      </c>
    </row>
    <row r="368" spans="1:14" x14ac:dyDescent="0.25">
      <c r="A368" s="9" t="s">
        <v>5211</v>
      </c>
      <c r="B368" s="10">
        <v>718</v>
      </c>
      <c r="C368" s="10" t="s">
        <v>323</v>
      </c>
      <c r="D368" t="s">
        <v>451</v>
      </c>
      <c r="E368" t="s">
        <v>452</v>
      </c>
      <c r="F368" s="10" t="s">
        <v>19</v>
      </c>
      <c r="G368" s="2">
        <v>142.5104</v>
      </c>
      <c r="H368" s="13">
        <v>20</v>
      </c>
      <c r="I368" s="13">
        <v>-10</v>
      </c>
      <c r="J368" s="13">
        <v>10</v>
      </c>
      <c r="K368" s="10">
        <v>20</v>
      </c>
      <c r="L368" s="2">
        <v>2850.2080000000001</v>
      </c>
      <c r="M368" s="1">
        <v>46118.523611111108</v>
      </c>
      <c r="N368" t="s">
        <v>137</v>
      </c>
    </row>
    <row r="369" spans="1:14" x14ac:dyDescent="0.25">
      <c r="A369" s="9" t="s">
        <v>5211</v>
      </c>
      <c r="B369" s="10">
        <v>634</v>
      </c>
      <c r="C369" s="10" t="s">
        <v>12</v>
      </c>
      <c r="D369" t="s">
        <v>27</v>
      </c>
      <c r="E369" t="s">
        <v>28</v>
      </c>
      <c r="F369" s="10" t="s">
        <v>29</v>
      </c>
      <c r="G369" s="2">
        <v>6.0148000000000001</v>
      </c>
      <c r="H369" s="13">
        <v>20</v>
      </c>
      <c r="I369" s="13">
        <v>0</v>
      </c>
      <c r="J369" s="13">
        <v>0</v>
      </c>
      <c r="K369" s="10">
        <v>20</v>
      </c>
      <c r="L369" s="2">
        <v>120.29600000000001</v>
      </c>
      <c r="M369" s="1">
        <v>46120.659722222219</v>
      </c>
      <c r="N369" t="s">
        <v>30</v>
      </c>
    </row>
    <row r="370" spans="1:14" x14ac:dyDescent="0.25">
      <c r="A370" s="9" t="s">
        <v>5211</v>
      </c>
      <c r="B370" s="10">
        <v>714</v>
      </c>
      <c r="C370" s="10" t="s">
        <v>143</v>
      </c>
      <c r="D370" t="s">
        <v>4813</v>
      </c>
      <c r="E370" t="s">
        <v>4814</v>
      </c>
      <c r="F370" s="10" t="s">
        <v>19</v>
      </c>
      <c r="G370" s="2">
        <v>40.715000000000003</v>
      </c>
      <c r="H370" s="13">
        <v>20</v>
      </c>
      <c r="I370" s="13">
        <v>21</v>
      </c>
      <c r="J370" s="13">
        <v>-21</v>
      </c>
      <c r="K370" s="10">
        <v>20</v>
      </c>
      <c r="L370" s="2">
        <v>814.3</v>
      </c>
      <c r="M370" s="1">
        <v>46125.352083333331</v>
      </c>
      <c r="N370" t="s">
        <v>903</v>
      </c>
    </row>
    <row r="371" spans="1:14" x14ac:dyDescent="0.25">
      <c r="A371" s="9" t="s">
        <v>5211</v>
      </c>
      <c r="B371" s="10">
        <v>636</v>
      </c>
      <c r="C371" s="10" t="s">
        <v>143</v>
      </c>
      <c r="D371" t="s">
        <v>1090</v>
      </c>
      <c r="E371" t="s">
        <v>1091</v>
      </c>
      <c r="F371" s="10" t="s">
        <v>39</v>
      </c>
      <c r="G371" s="2">
        <v>15.181699999999999</v>
      </c>
      <c r="H371" s="13">
        <v>20</v>
      </c>
      <c r="I371" s="13">
        <v>0</v>
      </c>
      <c r="J371" s="13">
        <v>0</v>
      </c>
      <c r="K371" s="10">
        <v>20</v>
      </c>
      <c r="L371" s="2">
        <v>303.63400000000001</v>
      </c>
      <c r="M371" s="1">
        <v>46125.395833333336</v>
      </c>
      <c r="N371" t="s">
        <v>40</v>
      </c>
    </row>
    <row r="372" spans="1:14" x14ac:dyDescent="0.25">
      <c r="A372" s="9" t="s">
        <v>5211</v>
      </c>
      <c r="B372" s="10">
        <v>718</v>
      </c>
      <c r="C372" s="10" t="s">
        <v>143</v>
      </c>
      <c r="D372" t="s">
        <v>5142</v>
      </c>
      <c r="E372" t="s">
        <v>5143</v>
      </c>
      <c r="F372" s="10" t="s">
        <v>23</v>
      </c>
      <c r="G372" s="2">
        <v>31.749700000000001</v>
      </c>
      <c r="H372" s="13">
        <v>20</v>
      </c>
      <c r="I372" s="13">
        <v>9</v>
      </c>
      <c r="J372" s="13">
        <v>-9</v>
      </c>
      <c r="K372" s="10">
        <v>20</v>
      </c>
      <c r="L372" s="2">
        <v>634.99400000000003</v>
      </c>
      <c r="M372" s="1">
        <v>46128.474305555559</v>
      </c>
      <c r="N372" t="s">
        <v>2225</v>
      </c>
    </row>
    <row r="373" spans="1:14" x14ac:dyDescent="0.25">
      <c r="A373" s="9" t="s">
        <v>5211</v>
      </c>
      <c r="B373" s="10">
        <v>636</v>
      </c>
      <c r="C373" s="10" t="s">
        <v>323</v>
      </c>
      <c r="D373" t="s">
        <v>4272</v>
      </c>
      <c r="E373" t="s">
        <v>4273</v>
      </c>
      <c r="F373" s="10" t="s">
        <v>43</v>
      </c>
      <c r="G373" s="2">
        <v>115.10550000000001</v>
      </c>
      <c r="H373" s="13">
        <v>20</v>
      </c>
      <c r="I373" s="13">
        <v>49</v>
      </c>
      <c r="J373" s="13">
        <v>-49</v>
      </c>
      <c r="K373" s="10">
        <v>20</v>
      </c>
      <c r="L373" s="2">
        <v>2302.11</v>
      </c>
      <c r="M373" s="1">
        <v>46143.452777777777</v>
      </c>
      <c r="N373" t="s">
        <v>1271</v>
      </c>
    </row>
    <row r="374" spans="1:14" x14ac:dyDescent="0.25">
      <c r="A374" s="9" t="s">
        <v>5211</v>
      </c>
      <c r="B374" s="10">
        <v>714</v>
      </c>
      <c r="C374" s="10" t="s">
        <v>323</v>
      </c>
      <c r="D374" t="s">
        <v>2979</v>
      </c>
      <c r="E374" t="s">
        <v>2980</v>
      </c>
      <c r="F374" s="10" t="s">
        <v>23</v>
      </c>
      <c r="G374" s="2">
        <v>69.049700000000001</v>
      </c>
      <c r="H374" s="13">
        <v>20</v>
      </c>
      <c r="I374" s="13">
        <v>0</v>
      </c>
      <c r="J374" s="13">
        <v>0</v>
      </c>
      <c r="K374" s="10">
        <v>20</v>
      </c>
      <c r="L374" s="2">
        <v>1380.9939999999999</v>
      </c>
      <c r="M374" s="1">
        <v>46146.463888888888</v>
      </c>
      <c r="N374" t="s">
        <v>2225</v>
      </c>
    </row>
    <row r="375" spans="1:14" x14ac:dyDescent="0.25">
      <c r="A375" s="9" t="s">
        <v>5211</v>
      </c>
      <c r="B375" s="10">
        <v>718</v>
      </c>
      <c r="C375" s="10" t="s">
        <v>143</v>
      </c>
      <c r="D375" t="s">
        <v>2481</v>
      </c>
      <c r="E375" t="s">
        <v>2482</v>
      </c>
      <c r="F375" s="10" t="s">
        <v>23</v>
      </c>
      <c r="G375" s="2">
        <v>48.097900000000003</v>
      </c>
      <c r="H375" s="13">
        <v>20</v>
      </c>
      <c r="I375" s="13">
        <v>0</v>
      </c>
      <c r="J375" s="13">
        <v>0</v>
      </c>
      <c r="K375" s="10">
        <v>20</v>
      </c>
      <c r="L375" s="2">
        <v>961.95799999999997</v>
      </c>
      <c r="M375" s="1">
        <v>46154.724999999999</v>
      </c>
      <c r="N375" t="s">
        <v>310</v>
      </c>
    </row>
    <row r="376" spans="1:14" x14ac:dyDescent="0.25">
      <c r="A376" s="9" t="s">
        <v>5211</v>
      </c>
      <c r="B376" s="10">
        <v>634</v>
      </c>
      <c r="C376" s="10" t="s">
        <v>126</v>
      </c>
      <c r="D376" t="s">
        <v>131</v>
      </c>
      <c r="E376" t="s">
        <v>132</v>
      </c>
      <c r="F376" s="10" t="s">
        <v>39</v>
      </c>
      <c r="G376" s="2">
        <v>7.8536000000000001</v>
      </c>
      <c r="H376" s="13">
        <v>20</v>
      </c>
      <c r="I376" s="13">
        <v>0</v>
      </c>
      <c r="J376" s="13">
        <v>0</v>
      </c>
      <c r="K376" s="10">
        <v>20</v>
      </c>
      <c r="L376" s="2">
        <v>157.072</v>
      </c>
      <c r="M376" s="1">
        <v>46161.400694444441</v>
      </c>
      <c r="N376" t="s">
        <v>16</v>
      </c>
    </row>
    <row r="377" spans="1:14" x14ac:dyDescent="0.25">
      <c r="A377" s="9" t="s">
        <v>5211</v>
      </c>
      <c r="B377" s="10">
        <v>714</v>
      </c>
      <c r="C377" s="10" t="s">
        <v>70</v>
      </c>
      <c r="D377" t="s">
        <v>2026</v>
      </c>
      <c r="E377" t="s">
        <v>2027</v>
      </c>
      <c r="F377" s="10" t="s">
        <v>39</v>
      </c>
      <c r="G377" s="2">
        <v>2.0099999999999998</v>
      </c>
      <c r="H377" s="13">
        <v>20</v>
      </c>
      <c r="I377" s="13">
        <v>0</v>
      </c>
      <c r="J377" s="13">
        <v>0</v>
      </c>
      <c r="K377" s="10">
        <v>20</v>
      </c>
      <c r="L377" s="2">
        <v>40.200000000000003</v>
      </c>
      <c r="M377" s="1">
        <v>46165.606944444444</v>
      </c>
      <c r="N377" t="s">
        <v>1932</v>
      </c>
    </row>
    <row r="378" spans="1:14" x14ac:dyDescent="0.25">
      <c r="A378" s="9" t="s">
        <v>5211</v>
      </c>
      <c r="B378" s="10">
        <v>636</v>
      </c>
      <c r="C378" s="10" t="s">
        <v>70</v>
      </c>
      <c r="D378" t="s">
        <v>4008</v>
      </c>
      <c r="E378" t="s">
        <v>4009</v>
      </c>
      <c r="F378" s="10" t="s">
        <v>39</v>
      </c>
      <c r="G378" s="2">
        <v>5.4537000000000004</v>
      </c>
      <c r="H378" s="13">
        <v>20</v>
      </c>
      <c r="I378" s="13">
        <v>-3</v>
      </c>
      <c r="J378" s="13">
        <v>3</v>
      </c>
      <c r="K378" s="10">
        <v>20</v>
      </c>
      <c r="L378" s="2">
        <v>109.074</v>
      </c>
      <c r="M378" s="1">
        <v>46171.48541666667</v>
      </c>
      <c r="N378" t="s">
        <v>16</v>
      </c>
    </row>
    <row r="379" spans="1:14" x14ac:dyDescent="0.25">
      <c r="A379" s="9" t="s">
        <v>5211</v>
      </c>
      <c r="B379" s="10">
        <v>714</v>
      </c>
      <c r="C379" s="10" t="s">
        <v>70</v>
      </c>
      <c r="D379" t="s">
        <v>1993</v>
      </c>
      <c r="E379" t="s">
        <v>1994</v>
      </c>
      <c r="F379" s="10" t="s">
        <v>23</v>
      </c>
      <c r="G379" s="2">
        <v>6.3792</v>
      </c>
      <c r="H379" s="13">
        <v>20</v>
      </c>
      <c r="I379" s="13">
        <v>0</v>
      </c>
      <c r="J379" s="13">
        <v>0</v>
      </c>
      <c r="K379" s="10">
        <v>20</v>
      </c>
      <c r="L379" s="2">
        <v>127.584</v>
      </c>
      <c r="M379" s="1">
        <v>46174.404166666667</v>
      </c>
      <c r="N379" t="s">
        <v>26</v>
      </c>
    </row>
    <row r="380" spans="1:14" x14ac:dyDescent="0.25">
      <c r="A380" s="9" t="s">
        <v>5211</v>
      </c>
      <c r="B380" s="10">
        <v>636</v>
      </c>
      <c r="C380" s="10" t="s">
        <v>143</v>
      </c>
      <c r="D380" t="s">
        <v>4232</v>
      </c>
      <c r="E380" t="s">
        <v>4233</v>
      </c>
      <c r="F380" s="10" t="s">
        <v>112</v>
      </c>
      <c r="G380" s="2">
        <v>15.9612</v>
      </c>
      <c r="H380" s="13">
        <v>20</v>
      </c>
      <c r="I380" s="13">
        <v>14</v>
      </c>
      <c r="J380" s="13">
        <v>-14</v>
      </c>
      <c r="K380" s="10">
        <v>20</v>
      </c>
      <c r="L380" s="2">
        <v>319.22399999999999</v>
      </c>
      <c r="M380" s="1">
        <v>46177.611805555556</v>
      </c>
      <c r="N380" t="s">
        <v>26</v>
      </c>
    </row>
    <row r="381" spans="1:14" x14ac:dyDescent="0.25">
      <c r="A381" s="9" t="s">
        <v>5211</v>
      </c>
      <c r="B381" s="10">
        <v>714</v>
      </c>
      <c r="C381" s="10" t="s">
        <v>143</v>
      </c>
      <c r="D381" t="s">
        <v>1068</v>
      </c>
      <c r="E381" t="s">
        <v>1069</v>
      </c>
      <c r="F381" s="10" t="s">
        <v>23</v>
      </c>
      <c r="G381" s="2">
        <v>79.575400000000002</v>
      </c>
      <c r="H381" s="13">
        <v>20</v>
      </c>
      <c r="I381" s="13">
        <v>14</v>
      </c>
      <c r="J381" s="13">
        <v>-14</v>
      </c>
      <c r="K381" s="10">
        <v>20</v>
      </c>
      <c r="L381" s="2">
        <v>1591.508</v>
      </c>
      <c r="M381" s="1">
        <v>46183.468055555553</v>
      </c>
      <c r="N381" t="s">
        <v>175</v>
      </c>
    </row>
    <row r="382" spans="1:14" x14ac:dyDescent="0.25">
      <c r="A382" s="9" t="s">
        <v>5211</v>
      </c>
      <c r="B382" s="10">
        <v>636</v>
      </c>
      <c r="C382" s="10" t="s">
        <v>70</v>
      </c>
      <c r="D382" t="s">
        <v>757</v>
      </c>
      <c r="E382" t="s">
        <v>758</v>
      </c>
      <c r="F382" s="10" t="s">
        <v>39</v>
      </c>
      <c r="G382" s="2">
        <v>6.6927000000000003</v>
      </c>
      <c r="H382" s="13">
        <v>20</v>
      </c>
      <c r="I382" s="13">
        <v>0</v>
      </c>
      <c r="J382" s="13">
        <v>0</v>
      </c>
      <c r="K382" s="10">
        <v>20</v>
      </c>
      <c r="L382" s="2">
        <v>133.85400000000001</v>
      </c>
      <c r="M382" s="1">
        <v>46189.418749999997</v>
      </c>
      <c r="N382" t="s">
        <v>16</v>
      </c>
    </row>
    <row r="383" spans="1:14" x14ac:dyDescent="0.25">
      <c r="A383" s="9" t="s">
        <v>5211</v>
      </c>
      <c r="B383" s="10">
        <v>636</v>
      </c>
      <c r="C383" s="10" t="s">
        <v>70</v>
      </c>
      <c r="D383" t="s">
        <v>657</v>
      </c>
      <c r="E383" t="s">
        <v>658</v>
      </c>
      <c r="F383" s="10" t="s">
        <v>29</v>
      </c>
      <c r="G383" s="2">
        <v>10.946099999999999</v>
      </c>
      <c r="H383" s="13">
        <v>20</v>
      </c>
      <c r="I383" s="13">
        <v>0</v>
      </c>
      <c r="J383" s="13">
        <v>0</v>
      </c>
      <c r="K383" s="10">
        <v>20</v>
      </c>
      <c r="L383" s="2">
        <v>218.922</v>
      </c>
      <c r="M383" s="1">
        <v>46189.418749999997</v>
      </c>
      <c r="N383" t="s">
        <v>16</v>
      </c>
    </row>
    <row r="384" spans="1:14" x14ac:dyDescent="0.25">
      <c r="A384" s="9" t="s">
        <v>5211</v>
      </c>
      <c r="B384" s="10">
        <v>714</v>
      </c>
      <c r="C384" s="10" t="s">
        <v>70</v>
      </c>
      <c r="D384" t="s">
        <v>4435</v>
      </c>
      <c r="E384" t="s">
        <v>4436</v>
      </c>
      <c r="F384" s="10" t="s">
        <v>39</v>
      </c>
      <c r="G384" s="2">
        <v>5.5811000000000002</v>
      </c>
      <c r="H384" s="13">
        <v>20</v>
      </c>
      <c r="I384" s="13">
        <v>7</v>
      </c>
      <c r="J384" s="13">
        <v>-7</v>
      </c>
      <c r="K384" s="10">
        <v>20</v>
      </c>
      <c r="L384" s="2">
        <v>111.622</v>
      </c>
      <c r="M384" s="1">
        <v>46190.568055555559</v>
      </c>
      <c r="N384" t="s">
        <v>40</v>
      </c>
    </row>
    <row r="385" spans="1:14" x14ac:dyDescent="0.25">
      <c r="A385" s="9" t="s">
        <v>5211</v>
      </c>
      <c r="B385" s="10">
        <v>718</v>
      </c>
      <c r="C385" s="10" t="s">
        <v>143</v>
      </c>
      <c r="D385" t="s">
        <v>1074</v>
      </c>
      <c r="E385" t="s">
        <v>1075</v>
      </c>
      <c r="F385" s="10" t="s">
        <v>29</v>
      </c>
      <c r="G385" s="2">
        <v>18.722799999999999</v>
      </c>
      <c r="H385" s="13">
        <v>20</v>
      </c>
      <c r="I385" s="13">
        <v>0</v>
      </c>
      <c r="J385" s="13">
        <v>0</v>
      </c>
      <c r="K385" s="10">
        <v>20</v>
      </c>
      <c r="L385" s="2">
        <v>374.45600000000002</v>
      </c>
      <c r="M385" s="1">
        <v>46190.647916666669</v>
      </c>
      <c r="N385" t="s">
        <v>562</v>
      </c>
    </row>
    <row r="386" spans="1:14" x14ac:dyDescent="0.25">
      <c r="A386" s="9" t="s">
        <v>5211</v>
      </c>
      <c r="B386" s="10">
        <v>718</v>
      </c>
      <c r="C386" s="10" t="s">
        <v>143</v>
      </c>
      <c r="D386" t="s">
        <v>185</v>
      </c>
      <c r="E386" t="s">
        <v>186</v>
      </c>
      <c r="F386" s="10" t="s">
        <v>112</v>
      </c>
      <c r="G386" s="2">
        <v>17.531600000000001</v>
      </c>
      <c r="H386" s="13">
        <v>20</v>
      </c>
      <c r="I386" s="13">
        <v>0</v>
      </c>
      <c r="J386" s="13">
        <v>0</v>
      </c>
      <c r="K386" s="10">
        <v>20</v>
      </c>
      <c r="L386" s="2">
        <v>350.63200000000001</v>
      </c>
      <c r="M386" s="1">
        <v>46190.647916666669</v>
      </c>
      <c r="N386" t="s">
        <v>562</v>
      </c>
    </row>
    <row r="387" spans="1:14" x14ac:dyDescent="0.25">
      <c r="A387" s="9" t="s">
        <v>5211</v>
      </c>
      <c r="B387" s="10">
        <v>714</v>
      </c>
      <c r="C387" s="10" t="s">
        <v>70</v>
      </c>
      <c r="D387" t="s">
        <v>2071</v>
      </c>
      <c r="E387" t="s">
        <v>2072</v>
      </c>
      <c r="F387" s="10" t="s">
        <v>112</v>
      </c>
      <c r="G387" s="2">
        <v>5.1718000000000002</v>
      </c>
      <c r="H387" s="13">
        <v>20</v>
      </c>
      <c r="I387" s="13">
        <v>0</v>
      </c>
      <c r="J387" s="13">
        <v>0</v>
      </c>
      <c r="K387" s="10">
        <v>20</v>
      </c>
      <c r="L387" s="2">
        <v>103.43600000000001</v>
      </c>
      <c r="M387" s="1">
        <v>46193.431250000001</v>
      </c>
      <c r="N387" t="s">
        <v>26</v>
      </c>
    </row>
    <row r="388" spans="1:14" x14ac:dyDescent="0.25">
      <c r="A388" s="9" t="s">
        <v>5211</v>
      </c>
      <c r="B388" s="10">
        <v>718</v>
      </c>
      <c r="C388" s="10" t="s">
        <v>70</v>
      </c>
      <c r="D388" t="s">
        <v>2073</v>
      </c>
      <c r="E388" t="s">
        <v>2074</v>
      </c>
      <c r="F388" s="10" t="s">
        <v>112</v>
      </c>
      <c r="G388" s="2">
        <v>5.1369999999999996</v>
      </c>
      <c r="H388" s="13">
        <v>20</v>
      </c>
      <c r="I388" s="13">
        <v>0</v>
      </c>
      <c r="J388" s="13">
        <v>0</v>
      </c>
      <c r="K388" s="10">
        <v>20</v>
      </c>
      <c r="L388" s="2">
        <v>102.74</v>
      </c>
      <c r="M388" s="1">
        <v>46193.592361111114</v>
      </c>
      <c r="N388" t="s">
        <v>26</v>
      </c>
    </row>
    <row r="389" spans="1:14" x14ac:dyDescent="0.25">
      <c r="A389" s="9" t="s">
        <v>5211</v>
      </c>
      <c r="B389" s="10">
        <v>634</v>
      </c>
      <c r="C389" s="10" t="s">
        <v>143</v>
      </c>
      <c r="D389" t="s">
        <v>4068</v>
      </c>
      <c r="E389" t="s">
        <v>4069</v>
      </c>
      <c r="F389" s="10" t="s">
        <v>112</v>
      </c>
      <c r="G389" s="2">
        <v>18.9406</v>
      </c>
      <c r="H389" s="13">
        <v>20</v>
      </c>
      <c r="I389" s="13">
        <v>43</v>
      </c>
      <c r="J389" s="13">
        <v>-43</v>
      </c>
      <c r="K389" s="10">
        <v>20</v>
      </c>
      <c r="L389" s="2">
        <v>378.81200000000001</v>
      </c>
      <c r="M389" s="1">
        <v>46198.595138888886</v>
      </c>
      <c r="N389" t="s">
        <v>40</v>
      </c>
    </row>
    <row r="390" spans="1:14" x14ac:dyDescent="0.25">
      <c r="A390" s="9" t="s">
        <v>5211</v>
      </c>
      <c r="B390" s="10">
        <v>714</v>
      </c>
      <c r="C390" s="10" t="s">
        <v>12</v>
      </c>
      <c r="D390" t="s">
        <v>4695</v>
      </c>
      <c r="E390" t="s">
        <v>4696</v>
      </c>
      <c r="F390" s="10" t="s">
        <v>112</v>
      </c>
      <c r="G390" s="2">
        <v>8.2116000000000007</v>
      </c>
      <c r="H390" s="13">
        <v>20</v>
      </c>
      <c r="I390" s="13">
        <v>58</v>
      </c>
      <c r="J390" s="13">
        <v>-58</v>
      </c>
      <c r="K390" s="10">
        <v>20</v>
      </c>
      <c r="L390" s="2">
        <v>164.232</v>
      </c>
      <c r="M390" s="1">
        <v>46200.333333333336</v>
      </c>
      <c r="N390" t="s">
        <v>1154</v>
      </c>
    </row>
    <row r="391" spans="1:14" x14ac:dyDescent="0.25">
      <c r="A391" s="9" t="s">
        <v>5211</v>
      </c>
      <c r="B391" s="10">
        <v>714</v>
      </c>
      <c r="C391" s="10" t="s">
        <v>70</v>
      </c>
      <c r="D391" t="s">
        <v>4002</v>
      </c>
      <c r="E391" t="s">
        <v>4003</v>
      </c>
      <c r="F391" s="10" t="s">
        <v>43</v>
      </c>
      <c r="G391" s="2">
        <v>6.9439000000000002</v>
      </c>
      <c r="H391" s="13">
        <v>20</v>
      </c>
      <c r="I391" s="13">
        <v>57</v>
      </c>
      <c r="J391" s="13">
        <v>-57</v>
      </c>
      <c r="K391" s="10">
        <v>20</v>
      </c>
      <c r="L391" s="2">
        <v>138.87799999999999</v>
      </c>
      <c r="M391" s="1">
        <v>46220.36041666667</v>
      </c>
      <c r="N391" t="s">
        <v>40</v>
      </c>
    </row>
    <row r="392" spans="1:14" x14ac:dyDescent="0.25">
      <c r="A392" s="9" t="s">
        <v>5211</v>
      </c>
      <c r="B392" s="10">
        <v>714</v>
      </c>
      <c r="C392" s="10" t="s">
        <v>143</v>
      </c>
      <c r="D392" t="s">
        <v>4184</v>
      </c>
      <c r="E392" t="s">
        <v>4185</v>
      </c>
      <c r="F392" s="10" t="s">
        <v>112</v>
      </c>
      <c r="G392" s="2">
        <v>15.0044</v>
      </c>
      <c r="H392" s="13">
        <v>20</v>
      </c>
      <c r="I392" s="13">
        <v>21</v>
      </c>
      <c r="J392" s="13">
        <v>-21</v>
      </c>
      <c r="K392" s="10">
        <v>20</v>
      </c>
      <c r="L392" s="2">
        <v>300.08800000000002</v>
      </c>
      <c r="M392" s="1">
        <v>46220.36041666667</v>
      </c>
      <c r="N392" t="s">
        <v>40</v>
      </c>
    </row>
    <row r="393" spans="1:14" x14ac:dyDescent="0.25">
      <c r="A393" s="9" t="s">
        <v>5211</v>
      </c>
      <c r="B393" s="10">
        <v>634</v>
      </c>
      <c r="C393" s="10" t="s">
        <v>70</v>
      </c>
      <c r="D393" t="s">
        <v>4050</v>
      </c>
      <c r="E393" t="s">
        <v>4051</v>
      </c>
      <c r="F393" s="10" t="s">
        <v>39</v>
      </c>
      <c r="G393" s="2">
        <v>5.7655000000000003</v>
      </c>
      <c r="H393" s="13">
        <v>20</v>
      </c>
      <c r="I393" s="13">
        <v>68</v>
      </c>
      <c r="J393" s="13">
        <v>-68</v>
      </c>
      <c r="K393" s="10">
        <v>20</v>
      </c>
      <c r="L393" s="2">
        <v>115.31</v>
      </c>
      <c r="M393" s="1">
        <v>46225.354166666664</v>
      </c>
      <c r="N393" t="s">
        <v>40</v>
      </c>
    </row>
    <row r="394" spans="1:14" x14ac:dyDescent="0.25">
      <c r="A394" s="9" t="s">
        <v>5211</v>
      </c>
      <c r="B394" s="10">
        <v>718</v>
      </c>
      <c r="C394" s="10" t="s">
        <v>143</v>
      </c>
      <c r="D394" t="s">
        <v>4158</v>
      </c>
      <c r="E394" t="s">
        <v>4159</v>
      </c>
      <c r="F394" s="10" t="s">
        <v>112</v>
      </c>
      <c r="G394" s="2">
        <v>15.5459</v>
      </c>
      <c r="H394" s="13">
        <v>20</v>
      </c>
      <c r="I394" s="13">
        <v>11</v>
      </c>
      <c r="J394" s="13">
        <v>-11</v>
      </c>
      <c r="K394" s="10">
        <v>20</v>
      </c>
      <c r="L394" s="2">
        <v>310.91800000000001</v>
      </c>
      <c r="M394" s="1">
        <v>46227.55</v>
      </c>
      <c r="N394" t="s">
        <v>26</v>
      </c>
    </row>
    <row r="395" spans="1:14" x14ac:dyDescent="0.25">
      <c r="A395" s="9" t="s">
        <v>5211</v>
      </c>
      <c r="B395" s="10">
        <v>718</v>
      </c>
      <c r="C395" s="10" t="s">
        <v>70</v>
      </c>
      <c r="D395" t="s">
        <v>3635</v>
      </c>
      <c r="E395" t="s">
        <v>3636</v>
      </c>
      <c r="F395" s="10" t="s">
        <v>39</v>
      </c>
      <c r="G395" s="2">
        <v>6.6585999999999999</v>
      </c>
      <c r="H395" s="13">
        <v>20</v>
      </c>
      <c r="I395" s="13">
        <v>3</v>
      </c>
      <c r="J395" s="13">
        <v>-3</v>
      </c>
      <c r="K395" s="10">
        <v>20</v>
      </c>
      <c r="L395" s="2">
        <v>133.172</v>
      </c>
      <c r="M395" s="1">
        <v>46232.6</v>
      </c>
      <c r="N395" t="s">
        <v>573</v>
      </c>
    </row>
    <row r="396" spans="1:14" x14ac:dyDescent="0.25">
      <c r="A396" s="9" t="s">
        <v>5211</v>
      </c>
      <c r="B396" s="10">
        <v>718</v>
      </c>
      <c r="C396" s="10" t="s">
        <v>143</v>
      </c>
      <c r="D396" t="s">
        <v>4485</v>
      </c>
      <c r="E396" t="s">
        <v>4486</v>
      </c>
      <c r="F396" s="10" t="s">
        <v>43</v>
      </c>
      <c r="G396" s="2">
        <v>27.57</v>
      </c>
      <c r="H396" s="13">
        <v>20</v>
      </c>
      <c r="I396" s="13">
        <v>23</v>
      </c>
      <c r="J396" s="13">
        <v>-23</v>
      </c>
      <c r="K396" s="10">
        <v>20</v>
      </c>
      <c r="L396" s="2">
        <v>551.4</v>
      </c>
      <c r="M396" s="1">
        <v>46234.60833333333</v>
      </c>
      <c r="N396" t="s">
        <v>26</v>
      </c>
    </row>
    <row r="397" spans="1:14" x14ac:dyDescent="0.25">
      <c r="A397" s="9" t="s">
        <v>5211</v>
      </c>
      <c r="B397" s="10">
        <v>634</v>
      </c>
      <c r="C397" s="10" t="s">
        <v>70</v>
      </c>
      <c r="D397" t="s">
        <v>115</v>
      </c>
      <c r="E397" t="s">
        <v>116</v>
      </c>
      <c r="F397" s="10" t="s">
        <v>23</v>
      </c>
      <c r="G397" s="2">
        <v>7.0834999999999999</v>
      </c>
      <c r="H397" s="13">
        <v>20</v>
      </c>
      <c r="I397" s="13">
        <v>0</v>
      </c>
      <c r="J397" s="13">
        <v>0</v>
      </c>
      <c r="K397" s="10">
        <v>20</v>
      </c>
      <c r="L397" s="2">
        <v>141.66999999999999</v>
      </c>
      <c r="M397" s="1">
        <v>46237.726388888892</v>
      </c>
      <c r="N397" t="s">
        <v>26</v>
      </c>
    </row>
    <row r="398" spans="1:14" x14ac:dyDescent="0.25">
      <c r="A398" s="9" t="s">
        <v>5211</v>
      </c>
      <c r="B398" s="10">
        <v>714</v>
      </c>
      <c r="C398" s="10" t="s">
        <v>70</v>
      </c>
      <c r="D398" t="s">
        <v>2085</v>
      </c>
      <c r="E398" t="s">
        <v>2086</v>
      </c>
      <c r="F398" s="10" t="s">
        <v>112</v>
      </c>
      <c r="G398" s="2">
        <v>7.2701000000000002</v>
      </c>
      <c r="H398" s="13">
        <v>20</v>
      </c>
      <c r="I398" s="13">
        <v>-4</v>
      </c>
      <c r="J398" s="13">
        <v>4</v>
      </c>
      <c r="K398" s="10">
        <v>20</v>
      </c>
      <c r="L398" s="2">
        <v>145.40199999999999</v>
      </c>
      <c r="M398" s="1">
        <v>46239.576388888891</v>
      </c>
      <c r="N398" t="s">
        <v>573</v>
      </c>
    </row>
    <row r="399" spans="1:14" x14ac:dyDescent="0.25">
      <c r="A399" s="9" t="s">
        <v>5211</v>
      </c>
      <c r="B399" s="10">
        <v>718</v>
      </c>
      <c r="C399" s="10" t="s">
        <v>70</v>
      </c>
      <c r="D399" t="s">
        <v>712</v>
      </c>
      <c r="E399" t="s">
        <v>713</v>
      </c>
      <c r="F399" s="10" t="s">
        <v>112</v>
      </c>
      <c r="G399" s="2">
        <v>5.9452999999999996</v>
      </c>
      <c r="H399" s="13">
        <v>20</v>
      </c>
      <c r="I399" s="13">
        <v>-17</v>
      </c>
      <c r="J399" s="13">
        <v>17</v>
      </c>
      <c r="K399" s="10">
        <v>20</v>
      </c>
      <c r="L399" s="2">
        <v>118.90600000000001</v>
      </c>
      <c r="M399" s="1">
        <v>46246.392361111109</v>
      </c>
      <c r="N399" t="s">
        <v>40</v>
      </c>
    </row>
    <row r="400" spans="1:14" x14ac:dyDescent="0.25">
      <c r="A400" s="9" t="s">
        <v>5211</v>
      </c>
      <c r="B400" s="10">
        <v>714</v>
      </c>
      <c r="C400" s="10" t="s">
        <v>143</v>
      </c>
      <c r="D400" t="s">
        <v>3756</v>
      </c>
      <c r="E400" t="s">
        <v>3757</v>
      </c>
      <c r="F400" s="10" t="s">
        <v>23</v>
      </c>
      <c r="G400" s="2">
        <v>14.6919</v>
      </c>
      <c r="H400" s="13">
        <v>20</v>
      </c>
      <c r="I400" s="13">
        <v>9</v>
      </c>
      <c r="J400" s="13">
        <v>-9</v>
      </c>
      <c r="K400" s="10">
        <v>20</v>
      </c>
      <c r="L400" s="2">
        <v>293.83800000000002</v>
      </c>
      <c r="M400" s="1">
        <v>46246.447916666664</v>
      </c>
      <c r="N400" t="s">
        <v>40</v>
      </c>
    </row>
    <row r="401" spans="1:14" x14ac:dyDescent="0.25">
      <c r="A401" s="9" t="s">
        <v>5211</v>
      </c>
      <c r="B401" s="10">
        <v>634</v>
      </c>
      <c r="C401" s="10" t="s">
        <v>143</v>
      </c>
      <c r="D401" t="s">
        <v>208</v>
      </c>
      <c r="E401" t="s">
        <v>209</v>
      </c>
      <c r="F401" s="10" t="s">
        <v>23</v>
      </c>
      <c r="G401" s="2">
        <v>21.4237</v>
      </c>
      <c r="H401" s="13">
        <v>20</v>
      </c>
      <c r="I401" s="13">
        <v>13</v>
      </c>
      <c r="J401" s="13">
        <v>-13</v>
      </c>
      <c r="K401" s="10">
        <v>20</v>
      </c>
      <c r="L401" s="2">
        <v>428.47399999999999</v>
      </c>
      <c r="M401" s="1">
        <v>46246.493750000001</v>
      </c>
      <c r="N401" t="s">
        <v>40</v>
      </c>
    </row>
    <row r="402" spans="1:14" x14ac:dyDescent="0.25">
      <c r="A402" s="9" t="s">
        <v>5211</v>
      </c>
      <c r="B402" s="10">
        <v>634</v>
      </c>
      <c r="C402" s="10" t="s">
        <v>12</v>
      </c>
      <c r="D402" t="s">
        <v>3995</v>
      </c>
      <c r="E402" t="s">
        <v>3996</v>
      </c>
      <c r="F402" s="10" t="s">
        <v>15</v>
      </c>
      <c r="G402" s="2">
        <v>8.4914000000000005</v>
      </c>
      <c r="H402" s="13">
        <v>19</v>
      </c>
      <c r="I402" s="13">
        <v>7</v>
      </c>
      <c r="J402" s="13">
        <v>-7</v>
      </c>
      <c r="K402" s="10">
        <v>19</v>
      </c>
      <c r="L402" s="2">
        <v>161.3366</v>
      </c>
      <c r="M402" s="1">
        <v>45863.606249999997</v>
      </c>
      <c r="N402" t="s">
        <v>16</v>
      </c>
    </row>
    <row r="403" spans="1:14" x14ac:dyDescent="0.25">
      <c r="A403" s="9" t="s">
        <v>5211</v>
      </c>
      <c r="B403" s="10">
        <v>636</v>
      </c>
      <c r="C403" s="10" t="s">
        <v>855</v>
      </c>
      <c r="D403" t="s">
        <v>856</v>
      </c>
      <c r="E403" t="s">
        <v>857</v>
      </c>
      <c r="F403" s="10" t="s">
        <v>29</v>
      </c>
      <c r="G403" s="2">
        <v>1.8646</v>
      </c>
      <c r="H403" s="13">
        <v>19</v>
      </c>
      <c r="I403" s="13">
        <v>11</v>
      </c>
      <c r="J403" s="13">
        <v>-11</v>
      </c>
      <c r="K403" s="10">
        <v>19</v>
      </c>
      <c r="L403" s="2">
        <v>35.427399999999999</v>
      </c>
      <c r="M403" s="1">
        <v>45985.390972222223</v>
      </c>
      <c r="N403" t="s">
        <v>652</v>
      </c>
    </row>
    <row r="404" spans="1:14" x14ac:dyDescent="0.25">
      <c r="A404" s="9" t="s">
        <v>5211</v>
      </c>
      <c r="B404" s="10">
        <v>714</v>
      </c>
      <c r="C404" s="10" t="s">
        <v>323</v>
      </c>
      <c r="D404" t="s">
        <v>2888</v>
      </c>
      <c r="E404" t="s">
        <v>2889</v>
      </c>
      <c r="F404" s="10" t="s">
        <v>43</v>
      </c>
      <c r="G404" s="2">
        <v>144.9007</v>
      </c>
      <c r="H404" s="13">
        <v>19</v>
      </c>
      <c r="I404" s="13">
        <v>2</v>
      </c>
      <c r="J404" s="13">
        <v>-2</v>
      </c>
      <c r="K404" s="10">
        <v>19</v>
      </c>
      <c r="L404" s="2">
        <v>2753.1133</v>
      </c>
      <c r="M404" s="1">
        <v>46079.423611111109</v>
      </c>
      <c r="N404" t="s">
        <v>159</v>
      </c>
    </row>
    <row r="405" spans="1:14" x14ac:dyDescent="0.25">
      <c r="A405" s="9" t="s">
        <v>5211</v>
      </c>
      <c r="B405" s="10">
        <v>714</v>
      </c>
      <c r="C405" s="10" t="s">
        <v>323</v>
      </c>
      <c r="D405" t="s">
        <v>1618</v>
      </c>
      <c r="E405" t="s">
        <v>1619</v>
      </c>
      <c r="F405" s="10" t="s">
        <v>23</v>
      </c>
      <c r="G405" s="2">
        <v>146.8278</v>
      </c>
      <c r="H405" s="13">
        <v>19</v>
      </c>
      <c r="I405" s="13">
        <v>0</v>
      </c>
      <c r="J405" s="13">
        <v>0</v>
      </c>
      <c r="K405" s="10">
        <v>19</v>
      </c>
      <c r="L405" s="2">
        <v>2789.7282</v>
      </c>
      <c r="M405" s="1">
        <v>46087.493055555555</v>
      </c>
      <c r="N405" t="s">
        <v>354</v>
      </c>
    </row>
    <row r="406" spans="1:14" x14ac:dyDescent="0.25">
      <c r="A406" s="9" t="s">
        <v>5211</v>
      </c>
      <c r="B406" s="10">
        <v>636</v>
      </c>
      <c r="C406" s="10" t="s">
        <v>323</v>
      </c>
      <c r="D406" t="s">
        <v>4286</v>
      </c>
      <c r="E406" t="s">
        <v>4287</v>
      </c>
      <c r="F406" s="10" t="s">
        <v>158</v>
      </c>
      <c r="G406" s="2">
        <v>115.5752</v>
      </c>
      <c r="H406" s="13">
        <v>19</v>
      </c>
      <c r="I406" s="13">
        <v>5</v>
      </c>
      <c r="J406" s="13">
        <v>-5</v>
      </c>
      <c r="K406" s="10">
        <v>19</v>
      </c>
      <c r="L406" s="2">
        <v>2195.9288000000001</v>
      </c>
      <c r="M406" s="1">
        <v>46105.593055555553</v>
      </c>
      <c r="N406" t="s">
        <v>216</v>
      </c>
    </row>
    <row r="407" spans="1:14" x14ac:dyDescent="0.25">
      <c r="A407" s="9" t="s">
        <v>5211</v>
      </c>
      <c r="B407" s="10">
        <v>714</v>
      </c>
      <c r="C407" s="10" t="s">
        <v>143</v>
      </c>
      <c r="D407" t="s">
        <v>2503</v>
      </c>
      <c r="E407" t="s">
        <v>2504</v>
      </c>
      <c r="F407" s="10" t="s">
        <v>23</v>
      </c>
      <c r="G407" s="2">
        <v>24.349599999999999</v>
      </c>
      <c r="H407" s="13">
        <v>19</v>
      </c>
      <c r="I407" s="13">
        <v>0</v>
      </c>
      <c r="J407" s="13">
        <v>0</v>
      </c>
      <c r="K407" s="10">
        <v>19</v>
      </c>
      <c r="L407" s="2">
        <v>462.64240000000001</v>
      </c>
      <c r="M407" s="1">
        <v>46126.649305555555</v>
      </c>
      <c r="N407" t="s">
        <v>67</v>
      </c>
    </row>
    <row r="408" spans="1:14" x14ac:dyDescent="0.25">
      <c r="A408" s="9" t="s">
        <v>5211</v>
      </c>
      <c r="B408" s="10">
        <v>714</v>
      </c>
      <c r="C408" s="10" t="s">
        <v>143</v>
      </c>
      <c r="D408" t="s">
        <v>4905</v>
      </c>
      <c r="E408" t="s">
        <v>4906</v>
      </c>
      <c r="F408" s="10" t="s">
        <v>23</v>
      </c>
      <c r="G408" s="2">
        <v>24.4284</v>
      </c>
      <c r="H408" s="13">
        <v>19</v>
      </c>
      <c r="I408" s="13">
        <v>9</v>
      </c>
      <c r="J408" s="13">
        <v>-9</v>
      </c>
      <c r="K408" s="10">
        <v>19</v>
      </c>
      <c r="L408" s="2">
        <v>464.13959999999997</v>
      </c>
      <c r="M408" s="1">
        <v>46126.649305555555</v>
      </c>
      <c r="N408" t="s">
        <v>67</v>
      </c>
    </row>
    <row r="409" spans="1:14" x14ac:dyDescent="0.25">
      <c r="A409" s="9" t="s">
        <v>5211</v>
      </c>
      <c r="B409" s="10">
        <v>636</v>
      </c>
      <c r="C409" s="10" t="s">
        <v>143</v>
      </c>
      <c r="D409" t="s">
        <v>976</v>
      </c>
      <c r="E409" t="s">
        <v>977</v>
      </c>
      <c r="F409" s="10" t="s">
        <v>29</v>
      </c>
      <c r="G409" s="2">
        <v>295.24529999999999</v>
      </c>
      <c r="H409" s="13">
        <v>19</v>
      </c>
      <c r="I409" s="13">
        <v>0</v>
      </c>
      <c r="J409" s="13">
        <v>0</v>
      </c>
      <c r="K409" s="10">
        <v>19</v>
      </c>
      <c r="L409" s="2">
        <v>5609.6607000000004</v>
      </c>
      <c r="M409" s="1">
        <v>46142.59375</v>
      </c>
      <c r="N409" t="s">
        <v>444</v>
      </c>
    </row>
    <row r="410" spans="1:14" x14ac:dyDescent="0.25">
      <c r="A410" s="9" t="s">
        <v>5211</v>
      </c>
      <c r="B410" s="10">
        <v>714</v>
      </c>
      <c r="C410" s="10" t="s">
        <v>143</v>
      </c>
      <c r="D410" t="s">
        <v>2746</v>
      </c>
      <c r="E410" t="s">
        <v>2747</v>
      </c>
      <c r="F410" s="10" t="s">
        <v>43</v>
      </c>
      <c r="G410" s="2">
        <v>31.099799999999998</v>
      </c>
      <c r="H410" s="13">
        <v>19</v>
      </c>
      <c r="I410" s="13">
        <v>0</v>
      </c>
      <c r="J410" s="13">
        <v>0</v>
      </c>
      <c r="K410" s="10">
        <v>19</v>
      </c>
      <c r="L410" s="2">
        <v>590.89620000000002</v>
      </c>
      <c r="M410" s="1">
        <v>46154.45416666667</v>
      </c>
      <c r="N410" t="s">
        <v>310</v>
      </c>
    </row>
    <row r="411" spans="1:14" x14ac:dyDescent="0.25">
      <c r="A411" s="9" t="s">
        <v>5211</v>
      </c>
      <c r="B411" s="10">
        <v>714</v>
      </c>
      <c r="C411" s="10" t="s">
        <v>12</v>
      </c>
      <c r="D411" t="s">
        <v>1868</v>
      </c>
      <c r="E411" t="s">
        <v>1869</v>
      </c>
      <c r="F411" s="10" t="s">
        <v>29</v>
      </c>
      <c r="G411" s="2">
        <v>22.881599999999999</v>
      </c>
      <c r="H411" s="13">
        <v>19</v>
      </c>
      <c r="I411" s="13">
        <v>0</v>
      </c>
      <c r="J411" s="13">
        <v>0</v>
      </c>
      <c r="K411" s="10">
        <v>19</v>
      </c>
      <c r="L411" s="2">
        <v>434.75040000000001</v>
      </c>
      <c r="M411" s="1">
        <v>46164.425000000003</v>
      </c>
      <c r="N411" t="s">
        <v>1870</v>
      </c>
    </row>
    <row r="412" spans="1:14" x14ac:dyDescent="0.25">
      <c r="A412" s="9" t="s">
        <v>5211</v>
      </c>
      <c r="B412" s="10">
        <v>714</v>
      </c>
      <c r="C412" s="10" t="s">
        <v>70</v>
      </c>
      <c r="D412" t="s">
        <v>2133</v>
      </c>
      <c r="E412" t="s">
        <v>2134</v>
      </c>
      <c r="F412" s="10" t="s">
        <v>39</v>
      </c>
      <c r="G412" s="2">
        <v>5.6712999999999996</v>
      </c>
      <c r="H412" s="13">
        <v>19</v>
      </c>
      <c r="I412" s="13">
        <v>3</v>
      </c>
      <c r="J412" s="13">
        <v>-3</v>
      </c>
      <c r="K412" s="10">
        <v>19</v>
      </c>
      <c r="L412" s="2">
        <v>107.7547</v>
      </c>
      <c r="M412" s="1">
        <v>46176.706944444442</v>
      </c>
      <c r="N412" t="s">
        <v>16</v>
      </c>
    </row>
    <row r="413" spans="1:14" x14ac:dyDescent="0.25">
      <c r="A413" s="9" t="s">
        <v>5211</v>
      </c>
      <c r="B413" s="10">
        <v>636</v>
      </c>
      <c r="C413" s="10" t="s">
        <v>70</v>
      </c>
      <c r="D413" t="s">
        <v>702</v>
      </c>
      <c r="E413" t="s">
        <v>703</v>
      </c>
      <c r="F413" s="10" t="s">
        <v>29</v>
      </c>
      <c r="G413" s="2">
        <v>5.1707999999999998</v>
      </c>
      <c r="H413" s="13">
        <v>19</v>
      </c>
      <c r="I413" s="13">
        <v>0</v>
      </c>
      <c r="J413" s="13">
        <v>0</v>
      </c>
      <c r="K413" s="10">
        <v>19</v>
      </c>
      <c r="L413" s="2">
        <v>98.245199999999997</v>
      </c>
      <c r="M413" s="1">
        <v>46177.399305555555</v>
      </c>
      <c r="N413" t="s">
        <v>16</v>
      </c>
    </row>
    <row r="414" spans="1:14" x14ac:dyDescent="0.25">
      <c r="A414" s="9" t="s">
        <v>5211</v>
      </c>
      <c r="B414" s="10">
        <v>634</v>
      </c>
      <c r="C414" s="10" t="s">
        <v>126</v>
      </c>
      <c r="D414" t="s">
        <v>127</v>
      </c>
      <c r="E414" t="s">
        <v>128</v>
      </c>
      <c r="F414" s="10" t="s">
        <v>112</v>
      </c>
      <c r="G414" s="2">
        <v>6.7214999999999998</v>
      </c>
      <c r="H414" s="13">
        <v>19</v>
      </c>
      <c r="I414" s="13">
        <v>-7</v>
      </c>
      <c r="J414" s="13">
        <v>7</v>
      </c>
      <c r="K414" s="10">
        <v>19</v>
      </c>
      <c r="L414" s="2">
        <v>127.7085</v>
      </c>
      <c r="M414" s="1">
        <v>46177.4</v>
      </c>
      <c r="N414" t="s">
        <v>16</v>
      </c>
    </row>
    <row r="415" spans="1:14" x14ac:dyDescent="0.25">
      <c r="A415" s="9" t="s">
        <v>5211</v>
      </c>
      <c r="B415" s="10">
        <v>714</v>
      </c>
      <c r="C415" s="10" t="s">
        <v>1749</v>
      </c>
      <c r="D415" t="s">
        <v>3540</v>
      </c>
      <c r="E415" t="s">
        <v>3541</v>
      </c>
      <c r="F415" s="10" t="s">
        <v>43</v>
      </c>
      <c r="G415" s="2">
        <v>32.390300000000003</v>
      </c>
      <c r="H415" s="13">
        <v>19</v>
      </c>
      <c r="I415" s="13">
        <v>0</v>
      </c>
      <c r="J415" s="13">
        <v>0</v>
      </c>
      <c r="K415" s="10">
        <v>19</v>
      </c>
      <c r="L415" s="2">
        <v>615.41570000000002</v>
      </c>
      <c r="M415" s="1">
        <v>46185.630555555559</v>
      </c>
      <c r="N415" t="s">
        <v>1825</v>
      </c>
    </row>
    <row r="416" spans="1:14" x14ac:dyDescent="0.25">
      <c r="A416" s="9" t="s">
        <v>5211</v>
      </c>
      <c r="B416" s="10">
        <v>714</v>
      </c>
      <c r="C416" s="10" t="s">
        <v>70</v>
      </c>
      <c r="D416" t="s">
        <v>2012</v>
      </c>
      <c r="E416" t="s">
        <v>2013</v>
      </c>
      <c r="F416" s="10" t="s">
        <v>39</v>
      </c>
      <c r="G416" s="2">
        <v>9.8169000000000004</v>
      </c>
      <c r="H416" s="13">
        <v>19</v>
      </c>
      <c r="I416" s="13">
        <v>0</v>
      </c>
      <c r="J416" s="13">
        <v>0</v>
      </c>
      <c r="K416" s="10">
        <v>19</v>
      </c>
      <c r="L416" s="2">
        <v>186.52109999999999</v>
      </c>
      <c r="M416" s="1">
        <v>46192.581944444442</v>
      </c>
      <c r="N416" t="s">
        <v>573</v>
      </c>
    </row>
    <row r="417" spans="1:14" x14ac:dyDescent="0.25">
      <c r="A417" s="9" t="s">
        <v>5211</v>
      </c>
      <c r="B417" s="10">
        <v>714</v>
      </c>
      <c r="C417" s="10" t="s">
        <v>143</v>
      </c>
      <c r="D417" t="s">
        <v>4887</v>
      </c>
      <c r="E417" t="s">
        <v>4888</v>
      </c>
      <c r="F417" s="10" t="s">
        <v>23</v>
      </c>
      <c r="G417" s="2">
        <v>59.547899999999998</v>
      </c>
      <c r="H417" s="13">
        <v>19</v>
      </c>
      <c r="I417" s="13">
        <v>5</v>
      </c>
      <c r="J417" s="13">
        <v>-5</v>
      </c>
      <c r="K417" s="10">
        <v>19</v>
      </c>
      <c r="L417" s="2">
        <v>1131.4101000000001</v>
      </c>
      <c r="M417" s="1">
        <v>46203.470138888886</v>
      </c>
      <c r="N417" t="s">
        <v>137</v>
      </c>
    </row>
    <row r="418" spans="1:14" x14ac:dyDescent="0.25">
      <c r="A418" s="9" t="s">
        <v>5211</v>
      </c>
      <c r="B418" s="10">
        <v>718</v>
      </c>
      <c r="C418" s="10" t="s">
        <v>70</v>
      </c>
      <c r="D418" t="s">
        <v>4717</v>
      </c>
      <c r="E418" t="s">
        <v>4718</v>
      </c>
      <c r="F418" s="10" t="s">
        <v>112</v>
      </c>
      <c r="G418" s="2">
        <v>6.2579000000000002</v>
      </c>
      <c r="H418" s="13">
        <v>19</v>
      </c>
      <c r="I418" s="13">
        <v>36</v>
      </c>
      <c r="J418" s="13">
        <v>-36</v>
      </c>
      <c r="K418" s="10">
        <v>19</v>
      </c>
      <c r="L418" s="2">
        <v>118.90009999999999</v>
      </c>
      <c r="M418" s="1">
        <v>46213.618750000001</v>
      </c>
      <c r="N418" t="s">
        <v>16</v>
      </c>
    </row>
    <row r="419" spans="1:14" x14ac:dyDescent="0.25">
      <c r="A419" s="9" t="s">
        <v>5211</v>
      </c>
      <c r="B419" s="10">
        <v>714</v>
      </c>
      <c r="C419" s="10" t="s">
        <v>143</v>
      </c>
      <c r="D419" t="s">
        <v>1088</v>
      </c>
      <c r="E419" t="s">
        <v>1089</v>
      </c>
      <c r="F419" s="10" t="s">
        <v>23</v>
      </c>
      <c r="G419" s="2">
        <v>13.3062</v>
      </c>
      <c r="H419" s="13">
        <v>19</v>
      </c>
      <c r="I419" s="13">
        <v>8</v>
      </c>
      <c r="J419" s="13">
        <v>-8</v>
      </c>
      <c r="K419" s="10">
        <v>19</v>
      </c>
      <c r="L419" s="2">
        <v>252.81780000000001</v>
      </c>
      <c r="M419" s="1">
        <v>46220.439583333333</v>
      </c>
      <c r="N419" t="s">
        <v>878</v>
      </c>
    </row>
    <row r="420" spans="1:14" x14ac:dyDescent="0.25">
      <c r="A420" s="9" t="s">
        <v>5211</v>
      </c>
      <c r="B420" s="10">
        <v>718</v>
      </c>
      <c r="C420" s="10" t="s">
        <v>143</v>
      </c>
      <c r="D420" t="s">
        <v>4753</v>
      </c>
      <c r="E420" t="s">
        <v>4754</v>
      </c>
      <c r="F420" s="10" t="s">
        <v>112</v>
      </c>
      <c r="G420" s="2">
        <v>14.754899999999999</v>
      </c>
      <c r="H420" s="13">
        <v>19</v>
      </c>
      <c r="I420" s="13">
        <v>13</v>
      </c>
      <c r="J420" s="13">
        <v>-13</v>
      </c>
      <c r="K420" s="10">
        <v>19</v>
      </c>
      <c r="L420" s="2">
        <v>280.34309999999999</v>
      </c>
      <c r="M420" s="1">
        <v>46225.595138888886</v>
      </c>
      <c r="N420" t="s">
        <v>40</v>
      </c>
    </row>
    <row r="421" spans="1:14" x14ac:dyDescent="0.25">
      <c r="A421" s="9" t="s">
        <v>5211</v>
      </c>
      <c r="B421" s="10">
        <v>636</v>
      </c>
      <c r="C421" s="10" t="s">
        <v>70</v>
      </c>
      <c r="D421" t="s">
        <v>696</v>
      </c>
      <c r="E421" t="s">
        <v>697</v>
      </c>
      <c r="F421" s="10" t="s">
        <v>29</v>
      </c>
      <c r="G421" s="2">
        <v>8.7881</v>
      </c>
      <c r="H421" s="13">
        <v>19</v>
      </c>
      <c r="I421" s="13">
        <v>0</v>
      </c>
      <c r="J421" s="13">
        <v>0</v>
      </c>
      <c r="K421" s="10">
        <v>19</v>
      </c>
      <c r="L421" s="2">
        <v>166.97389999999999</v>
      </c>
      <c r="M421" s="1">
        <v>46232.470833333333</v>
      </c>
      <c r="N421" t="s">
        <v>522</v>
      </c>
    </row>
    <row r="422" spans="1:14" x14ac:dyDescent="0.25">
      <c r="A422" s="9" t="s">
        <v>5211</v>
      </c>
      <c r="B422" s="10">
        <v>634</v>
      </c>
      <c r="C422" s="10" t="s">
        <v>143</v>
      </c>
      <c r="D422" t="s">
        <v>4162</v>
      </c>
      <c r="E422" t="s">
        <v>4163</v>
      </c>
      <c r="F422" s="10" t="s">
        <v>29</v>
      </c>
      <c r="G422" s="2">
        <v>15.093299999999999</v>
      </c>
      <c r="H422" s="13">
        <v>19</v>
      </c>
      <c r="I422" s="13">
        <v>243</v>
      </c>
      <c r="J422" s="13">
        <v>-243</v>
      </c>
      <c r="K422" s="10">
        <v>19</v>
      </c>
      <c r="L422" s="2">
        <v>286.77269999999999</v>
      </c>
      <c r="M422" s="1">
        <v>46237.726388888892</v>
      </c>
      <c r="N422" t="s">
        <v>26</v>
      </c>
    </row>
    <row r="423" spans="1:14" x14ac:dyDescent="0.25">
      <c r="A423" s="9" t="s">
        <v>5211</v>
      </c>
      <c r="B423" s="10">
        <v>636</v>
      </c>
      <c r="C423" s="10" t="s">
        <v>12</v>
      </c>
      <c r="D423" t="s">
        <v>3991</v>
      </c>
      <c r="E423" t="s">
        <v>3992</v>
      </c>
      <c r="F423" s="10" t="s">
        <v>112</v>
      </c>
      <c r="G423" s="2">
        <v>7.3254000000000001</v>
      </c>
      <c r="H423" s="13">
        <v>19</v>
      </c>
      <c r="I423" s="13">
        <v>78</v>
      </c>
      <c r="J423" s="13">
        <v>-78</v>
      </c>
      <c r="K423" s="10">
        <v>19</v>
      </c>
      <c r="L423" s="2">
        <v>139.18260000000001</v>
      </c>
      <c r="M423" s="1">
        <v>46248.396527777775</v>
      </c>
      <c r="N423" t="s">
        <v>16</v>
      </c>
    </row>
    <row r="424" spans="1:14" x14ac:dyDescent="0.25">
      <c r="A424" s="9" t="s">
        <v>5211</v>
      </c>
      <c r="B424" s="10">
        <v>714</v>
      </c>
      <c r="C424" s="10" t="s">
        <v>323</v>
      </c>
      <c r="D424" t="s">
        <v>2871</v>
      </c>
      <c r="E424" t="s">
        <v>2872</v>
      </c>
      <c r="F424" s="10" t="s">
        <v>23</v>
      </c>
      <c r="G424" s="2">
        <v>108.1562</v>
      </c>
      <c r="H424" s="13">
        <v>18</v>
      </c>
      <c r="I424" s="13">
        <v>0</v>
      </c>
      <c r="J424" s="13">
        <v>0</v>
      </c>
      <c r="K424" s="10">
        <v>18</v>
      </c>
      <c r="L424" s="2">
        <v>1946.8116</v>
      </c>
      <c r="M424" s="1">
        <v>45797.330555555556</v>
      </c>
      <c r="N424" t="s">
        <v>345</v>
      </c>
    </row>
    <row r="425" spans="1:14" x14ac:dyDescent="0.25">
      <c r="A425" s="9" t="s">
        <v>5211</v>
      </c>
      <c r="B425" s="10">
        <v>634</v>
      </c>
      <c r="C425" s="10" t="s">
        <v>143</v>
      </c>
      <c r="D425" t="s">
        <v>4178</v>
      </c>
      <c r="E425" t="s">
        <v>4179</v>
      </c>
      <c r="F425" s="10" t="s">
        <v>23</v>
      </c>
      <c r="G425" s="2">
        <v>43.502099999999999</v>
      </c>
      <c r="H425" s="13">
        <v>18</v>
      </c>
      <c r="I425" s="13">
        <v>0</v>
      </c>
      <c r="J425" s="13">
        <v>0</v>
      </c>
      <c r="K425" s="10">
        <v>18</v>
      </c>
      <c r="L425" s="2">
        <v>783.03779999999995</v>
      </c>
      <c r="M425" s="1">
        <v>46108.673611111109</v>
      </c>
      <c r="N425" t="s">
        <v>26</v>
      </c>
    </row>
    <row r="426" spans="1:14" x14ac:dyDescent="0.25">
      <c r="A426" s="9" t="s">
        <v>5211</v>
      </c>
      <c r="B426" s="10">
        <v>714</v>
      </c>
      <c r="C426" s="10" t="s">
        <v>143</v>
      </c>
      <c r="D426" t="s">
        <v>2407</v>
      </c>
      <c r="E426" t="s">
        <v>2408</v>
      </c>
      <c r="F426" s="10" t="s">
        <v>19</v>
      </c>
      <c r="G426" s="2">
        <v>40.1006</v>
      </c>
      <c r="H426" s="13">
        <v>18</v>
      </c>
      <c r="I426" s="13">
        <v>0</v>
      </c>
      <c r="J426" s="13">
        <v>0</v>
      </c>
      <c r="K426" s="10">
        <v>18</v>
      </c>
      <c r="L426" s="2">
        <v>721.81079999999997</v>
      </c>
      <c r="M426" s="1">
        <v>46112.315972222219</v>
      </c>
      <c r="N426" t="s">
        <v>36</v>
      </c>
    </row>
    <row r="427" spans="1:14" x14ac:dyDescent="0.25">
      <c r="A427" s="9" t="s">
        <v>5211</v>
      </c>
      <c r="B427" s="10">
        <v>636</v>
      </c>
      <c r="C427" s="10" t="s">
        <v>1208</v>
      </c>
      <c r="D427" t="s">
        <v>1211</v>
      </c>
      <c r="E427" t="s">
        <v>1212</v>
      </c>
      <c r="F427" s="10" t="s">
        <v>123</v>
      </c>
      <c r="G427" s="2">
        <v>7.3445</v>
      </c>
      <c r="H427" s="13">
        <v>18</v>
      </c>
      <c r="I427" s="13">
        <v>1</v>
      </c>
      <c r="J427" s="13">
        <v>-1</v>
      </c>
      <c r="K427" s="10">
        <v>18</v>
      </c>
      <c r="L427" s="2">
        <v>132.20099999999999</v>
      </c>
      <c r="M427" s="1">
        <v>46114.597916666666</v>
      </c>
      <c r="N427" t="s">
        <v>797</v>
      </c>
    </row>
    <row r="428" spans="1:14" x14ac:dyDescent="0.25">
      <c r="A428" s="9" t="s">
        <v>5211</v>
      </c>
      <c r="B428" s="10">
        <v>714</v>
      </c>
      <c r="C428" s="10" t="s">
        <v>70</v>
      </c>
      <c r="D428" t="s">
        <v>1981</v>
      </c>
      <c r="E428" t="s">
        <v>1982</v>
      </c>
      <c r="F428" s="10" t="s">
        <v>29</v>
      </c>
      <c r="G428" s="2">
        <v>5.6185999999999998</v>
      </c>
      <c r="H428" s="13">
        <v>18</v>
      </c>
      <c r="I428" s="13">
        <v>0</v>
      </c>
      <c r="J428" s="13">
        <v>0</v>
      </c>
      <c r="K428" s="10">
        <v>18</v>
      </c>
      <c r="L428" s="2">
        <v>101.1348</v>
      </c>
      <c r="M428" s="1">
        <v>46120.630555555559</v>
      </c>
      <c r="N428" t="s">
        <v>44</v>
      </c>
    </row>
    <row r="429" spans="1:14" x14ac:dyDescent="0.25">
      <c r="A429" s="9" t="s">
        <v>5211</v>
      </c>
      <c r="B429" s="10">
        <v>634</v>
      </c>
      <c r="C429" s="10" t="s">
        <v>143</v>
      </c>
      <c r="D429" t="s">
        <v>4150</v>
      </c>
      <c r="E429" t="s">
        <v>4151</v>
      </c>
      <c r="F429" s="10" t="s">
        <v>29</v>
      </c>
      <c r="G429" s="2">
        <v>128.91829999999999</v>
      </c>
      <c r="H429" s="13">
        <v>18</v>
      </c>
      <c r="I429" s="13">
        <v>0</v>
      </c>
      <c r="J429" s="13">
        <v>0</v>
      </c>
      <c r="K429" s="10">
        <v>18</v>
      </c>
      <c r="L429" s="2">
        <v>2320.5293999999999</v>
      </c>
      <c r="M429" s="1">
        <v>46122.515277777777</v>
      </c>
      <c r="N429" t="s">
        <v>354</v>
      </c>
    </row>
    <row r="430" spans="1:14" x14ac:dyDescent="0.25">
      <c r="A430" s="9" t="s">
        <v>5211</v>
      </c>
      <c r="B430" s="10">
        <v>636</v>
      </c>
      <c r="C430" s="10" t="s">
        <v>143</v>
      </c>
      <c r="D430" t="s">
        <v>4132</v>
      </c>
      <c r="E430" t="s">
        <v>4133</v>
      </c>
      <c r="F430" s="10" t="s">
        <v>29</v>
      </c>
      <c r="G430" s="2">
        <v>22.785299999999999</v>
      </c>
      <c r="H430" s="13">
        <v>18</v>
      </c>
      <c r="I430" s="13">
        <v>32</v>
      </c>
      <c r="J430" s="13">
        <v>-32</v>
      </c>
      <c r="K430" s="10">
        <v>18</v>
      </c>
      <c r="L430" s="2">
        <v>410.1354</v>
      </c>
      <c r="M430" s="1">
        <v>46126.327777777777</v>
      </c>
      <c r="N430" t="s">
        <v>159</v>
      </c>
    </row>
    <row r="431" spans="1:14" x14ac:dyDescent="0.25">
      <c r="A431" s="9" t="s">
        <v>5211</v>
      </c>
      <c r="B431" s="10">
        <v>636</v>
      </c>
      <c r="C431" s="10" t="s">
        <v>143</v>
      </c>
      <c r="D431" t="s">
        <v>3724</v>
      </c>
      <c r="E431" t="s">
        <v>3725</v>
      </c>
      <c r="F431" s="10" t="s">
        <v>112</v>
      </c>
      <c r="G431" s="2">
        <v>13.751300000000001</v>
      </c>
      <c r="H431" s="13">
        <v>18</v>
      </c>
      <c r="I431" s="13">
        <v>11</v>
      </c>
      <c r="J431" s="13">
        <v>-11</v>
      </c>
      <c r="K431" s="10">
        <v>18</v>
      </c>
      <c r="L431" s="2">
        <v>247.52340000000001</v>
      </c>
      <c r="M431" s="1">
        <v>46146.42083333333</v>
      </c>
      <c r="N431" t="s">
        <v>162</v>
      </c>
    </row>
    <row r="432" spans="1:14" x14ac:dyDescent="0.25">
      <c r="A432" s="9" t="s">
        <v>5211</v>
      </c>
      <c r="B432" s="10">
        <v>714</v>
      </c>
      <c r="C432" s="10" t="s">
        <v>1749</v>
      </c>
      <c r="D432" t="s">
        <v>3576</v>
      </c>
      <c r="E432" t="s">
        <v>3577</v>
      </c>
      <c r="F432" s="10" t="s">
        <v>23</v>
      </c>
      <c r="G432" s="2">
        <v>13.318099999999999</v>
      </c>
      <c r="H432" s="13">
        <v>18</v>
      </c>
      <c r="I432" s="13">
        <v>0</v>
      </c>
      <c r="J432" s="13">
        <v>0</v>
      </c>
      <c r="K432" s="10">
        <v>18</v>
      </c>
      <c r="L432" s="2">
        <v>239.72579999999999</v>
      </c>
      <c r="M432" s="1">
        <v>46151.379166666666</v>
      </c>
      <c r="N432" t="s">
        <v>1062</v>
      </c>
    </row>
    <row r="433" spans="1:14" x14ac:dyDescent="0.25">
      <c r="A433" s="9" t="s">
        <v>5211</v>
      </c>
      <c r="B433" s="10">
        <v>714</v>
      </c>
      <c r="C433" s="10" t="s">
        <v>1749</v>
      </c>
      <c r="D433" t="s">
        <v>3564</v>
      </c>
      <c r="E433" t="s">
        <v>3565</v>
      </c>
      <c r="F433" s="10" t="s">
        <v>23</v>
      </c>
      <c r="G433" s="2">
        <v>13.318099999999999</v>
      </c>
      <c r="H433" s="13">
        <v>18</v>
      </c>
      <c r="I433" s="13">
        <v>0</v>
      </c>
      <c r="J433" s="13">
        <v>0</v>
      </c>
      <c r="K433" s="10">
        <v>18</v>
      </c>
      <c r="L433" s="2">
        <v>239.72579999999999</v>
      </c>
      <c r="M433" s="1">
        <v>46151.379166666666</v>
      </c>
      <c r="N433" t="s">
        <v>1062</v>
      </c>
    </row>
    <row r="434" spans="1:14" x14ac:dyDescent="0.25">
      <c r="A434" s="9" t="s">
        <v>5211</v>
      </c>
      <c r="B434" s="10">
        <v>636</v>
      </c>
      <c r="C434" s="10" t="s">
        <v>12</v>
      </c>
      <c r="D434" t="s">
        <v>4385</v>
      </c>
      <c r="E434" t="s">
        <v>4386</v>
      </c>
      <c r="F434" s="10" t="s">
        <v>39</v>
      </c>
      <c r="G434" s="2">
        <v>6.0633999999999997</v>
      </c>
      <c r="H434" s="13">
        <v>18</v>
      </c>
      <c r="I434" s="13">
        <v>468</v>
      </c>
      <c r="J434" s="13">
        <v>-468</v>
      </c>
      <c r="K434" s="10">
        <v>18</v>
      </c>
      <c r="L434" s="2">
        <v>109.1412</v>
      </c>
      <c r="M434" s="1">
        <v>46168.433333333334</v>
      </c>
      <c r="N434" t="s">
        <v>94</v>
      </c>
    </row>
    <row r="435" spans="1:14" x14ac:dyDescent="0.25">
      <c r="A435" s="9" t="s">
        <v>5211</v>
      </c>
      <c r="B435" s="10">
        <v>714</v>
      </c>
      <c r="C435" s="10" t="s">
        <v>143</v>
      </c>
      <c r="D435" t="s">
        <v>4232</v>
      </c>
      <c r="E435" t="s">
        <v>4233</v>
      </c>
      <c r="F435" s="10" t="s">
        <v>23</v>
      </c>
      <c r="G435" s="2">
        <v>12.4396</v>
      </c>
      <c r="H435" s="13">
        <v>18</v>
      </c>
      <c r="I435" s="13">
        <v>14</v>
      </c>
      <c r="J435" s="13">
        <v>-14</v>
      </c>
      <c r="K435" s="10">
        <v>18</v>
      </c>
      <c r="L435" s="2">
        <v>223.9128</v>
      </c>
      <c r="M435" s="1">
        <v>46176.695833333331</v>
      </c>
      <c r="N435" t="s">
        <v>2225</v>
      </c>
    </row>
    <row r="436" spans="1:14" x14ac:dyDescent="0.25">
      <c r="A436" s="9" t="s">
        <v>5211</v>
      </c>
      <c r="B436" s="10">
        <v>714</v>
      </c>
      <c r="C436" s="10" t="s">
        <v>70</v>
      </c>
      <c r="D436" t="s">
        <v>2046</v>
      </c>
      <c r="E436" t="s">
        <v>2047</v>
      </c>
      <c r="F436" s="10" t="s">
        <v>29</v>
      </c>
      <c r="G436" s="2">
        <v>3.6396999999999999</v>
      </c>
      <c r="H436" s="13">
        <v>18</v>
      </c>
      <c r="I436" s="13">
        <v>0</v>
      </c>
      <c r="J436" s="13">
        <v>0</v>
      </c>
      <c r="K436" s="10">
        <v>18</v>
      </c>
      <c r="L436" s="2">
        <v>65.514600000000002</v>
      </c>
      <c r="M436" s="1">
        <v>46176.70416666667</v>
      </c>
      <c r="N436" t="s">
        <v>94</v>
      </c>
    </row>
    <row r="437" spans="1:14" x14ac:dyDescent="0.25">
      <c r="A437" s="9" t="s">
        <v>5211</v>
      </c>
      <c r="B437" s="10">
        <v>634</v>
      </c>
      <c r="C437" s="10" t="s">
        <v>126</v>
      </c>
      <c r="D437" t="s">
        <v>4064</v>
      </c>
      <c r="E437" t="s">
        <v>4065</v>
      </c>
      <c r="F437" s="10" t="s">
        <v>81</v>
      </c>
      <c r="G437" s="2">
        <v>6.7606999999999999</v>
      </c>
      <c r="H437" s="13">
        <v>18</v>
      </c>
      <c r="I437" s="13">
        <v>16</v>
      </c>
      <c r="J437" s="13">
        <v>-16</v>
      </c>
      <c r="K437" s="10">
        <v>18</v>
      </c>
      <c r="L437" s="2">
        <v>121.6926</v>
      </c>
      <c r="M437" s="1">
        <v>46177.4</v>
      </c>
      <c r="N437" t="s">
        <v>16</v>
      </c>
    </row>
    <row r="438" spans="1:14" x14ac:dyDescent="0.25">
      <c r="A438" s="9" t="s">
        <v>5211</v>
      </c>
      <c r="B438" s="10">
        <v>718</v>
      </c>
      <c r="C438" s="10" t="s">
        <v>143</v>
      </c>
      <c r="D438" t="s">
        <v>4505</v>
      </c>
      <c r="E438" t="s">
        <v>4506</v>
      </c>
      <c r="F438" s="10" t="s">
        <v>112</v>
      </c>
      <c r="G438" s="2">
        <v>14.648899999999999</v>
      </c>
      <c r="H438" s="13">
        <v>18</v>
      </c>
      <c r="I438" s="13">
        <v>14</v>
      </c>
      <c r="J438" s="13">
        <v>-14</v>
      </c>
      <c r="K438" s="10">
        <v>18</v>
      </c>
      <c r="L438" s="2">
        <v>263.68020000000001</v>
      </c>
      <c r="M438" s="1">
        <v>46178.598611111112</v>
      </c>
      <c r="N438" t="s">
        <v>26</v>
      </c>
    </row>
    <row r="439" spans="1:14" x14ac:dyDescent="0.25">
      <c r="A439" s="9" t="s">
        <v>5211</v>
      </c>
      <c r="B439" s="10">
        <v>636</v>
      </c>
      <c r="C439" s="10" t="s">
        <v>12</v>
      </c>
      <c r="D439" t="s">
        <v>555</v>
      </c>
      <c r="E439" t="s">
        <v>556</v>
      </c>
      <c r="F439" s="10" t="s">
        <v>19</v>
      </c>
      <c r="G439" s="2">
        <v>2.1614</v>
      </c>
      <c r="H439" s="13">
        <v>18</v>
      </c>
      <c r="I439" s="13">
        <v>0</v>
      </c>
      <c r="J439" s="13">
        <v>0</v>
      </c>
      <c r="K439" s="10">
        <v>18</v>
      </c>
      <c r="L439" s="2">
        <v>38.905200000000001</v>
      </c>
      <c r="M439" s="1">
        <v>46183.595833333333</v>
      </c>
      <c r="N439" t="s">
        <v>557</v>
      </c>
    </row>
    <row r="440" spans="1:14" x14ac:dyDescent="0.25">
      <c r="A440" s="9" t="s">
        <v>5211</v>
      </c>
      <c r="B440" s="10">
        <v>636</v>
      </c>
      <c r="C440" s="10" t="s">
        <v>70</v>
      </c>
      <c r="D440" t="s">
        <v>595</v>
      </c>
      <c r="E440" t="s">
        <v>596</v>
      </c>
      <c r="F440" s="10" t="s">
        <v>39</v>
      </c>
      <c r="G440" s="2">
        <v>5.8784999999999998</v>
      </c>
      <c r="H440" s="13">
        <v>18</v>
      </c>
      <c r="I440" s="13">
        <v>0</v>
      </c>
      <c r="J440" s="13">
        <v>0</v>
      </c>
      <c r="K440" s="10">
        <v>18</v>
      </c>
      <c r="L440" s="2">
        <v>105.813</v>
      </c>
      <c r="M440" s="1">
        <v>46184.540277777778</v>
      </c>
      <c r="N440" t="s">
        <v>16</v>
      </c>
    </row>
    <row r="441" spans="1:14" x14ac:dyDescent="0.25">
      <c r="A441" s="9" t="s">
        <v>5211</v>
      </c>
      <c r="B441" s="10">
        <v>714</v>
      </c>
      <c r="C441" s="10" t="s">
        <v>323</v>
      </c>
      <c r="D441" t="s">
        <v>1660</v>
      </c>
      <c r="E441" t="s">
        <v>1661</v>
      </c>
      <c r="F441" s="10" t="s">
        <v>112</v>
      </c>
      <c r="G441" s="2">
        <v>20.07</v>
      </c>
      <c r="H441" s="13">
        <v>18</v>
      </c>
      <c r="I441" s="13">
        <v>-2</v>
      </c>
      <c r="J441" s="13">
        <v>2</v>
      </c>
      <c r="K441" s="10">
        <v>18</v>
      </c>
      <c r="L441" s="2">
        <v>361.26</v>
      </c>
      <c r="M441" s="1">
        <v>46185.630555555559</v>
      </c>
      <c r="N441" t="s">
        <v>1825</v>
      </c>
    </row>
    <row r="442" spans="1:14" x14ac:dyDescent="0.25">
      <c r="A442" s="9" t="s">
        <v>5211</v>
      </c>
      <c r="B442" s="10">
        <v>718</v>
      </c>
      <c r="C442" s="10" t="s">
        <v>70</v>
      </c>
      <c r="D442" t="s">
        <v>4701</v>
      </c>
      <c r="E442" t="s">
        <v>4702</v>
      </c>
      <c r="F442" s="10" t="s">
        <v>112</v>
      </c>
      <c r="G442" s="2">
        <v>5.3769</v>
      </c>
      <c r="H442" s="13">
        <v>18</v>
      </c>
      <c r="I442" s="13">
        <v>0</v>
      </c>
      <c r="J442" s="13">
        <v>0</v>
      </c>
      <c r="K442" s="10">
        <v>18</v>
      </c>
      <c r="L442" s="2">
        <v>96.784199999999998</v>
      </c>
      <c r="M442" s="1">
        <v>46189.48333333333</v>
      </c>
      <c r="N442" t="s">
        <v>40</v>
      </c>
    </row>
    <row r="443" spans="1:14" x14ac:dyDescent="0.25">
      <c r="A443" s="9" t="s">
        <v>5211</v>
      </c>
      <c r="B443" s="10">
        <v>714</v>
      </c>
      <c r="C443" s="10" t="s">
        <v>70</v>
      </c>
      <c r="D443" t="s">
        <v>2069</v>
      </c>
      <c r="E443" t="s">
        <v>2070</v>
      </c>
      <c r="F443" s="10" t="s">
        <v>123</v>
      </c>
      <c r="G443" s="2">
        <v>6.5026999999999999</v>
      </c>
      <c r="H443" s="13">
        <v>18</v>
      </c>
      <c r="I443" s="13">
        <v>0</v>
      </c>
      <c r="J443" s="13">
        <v>0</v>
      </c>
      <c r="K443" s="10">
        <v>18</v>
      </c>
      <c r="L443" s="2">
        <v>117.04859999999999</v>
      </c>
      <c r="M443" s="1">
        <v>46195.50277777778</v>
      </c>
      <c r="N443" t="s">
        <v>665</v>
      </c>
    </row>
    <row r="444" spans="1:14" x14ac:dyDescent="0.25">
      <c r="A444" s="9" t="s">
        <v>5211</v>
      </c>
      <c r="B444" s="10">
        <v>714</v>
      </c>
      <c r="C444" s="10" t="s">
        <v>126</v>
      </c>
      <c r="D444" t="s">
        <v>2201</v>
      </c>
      <c r="E444" t="s">
        <v>2202</v>
      </c>
      <c r="F444" s="10" t="s">
        <v>29</v>
      </c>
      <c r="G444" s="2">
        <v>6.2506000000000004</v>
      </c>
      <c r="H444" s="13">
        <v>18</v>
      </c>
      <c r="I444" s="13">
        <v>0</v>
      </c>
      <c r="J444" s="13">
        <v>0</v>
      </c>
      <c r="K444" s="10">
        <v>18</v>
      </c>
      <c r="L444" s="2">
        <v>112.5108</v>
      </c>
      <c r="M444" s="1">
        <v>46204.464583333334</v>
      </c>
      <c r="N444" t="s">
        <v>878</v>
      </c>
    </row>
    <row r="445" spans="1:14" x14ac:dyDescent="0.25">
      <c r="A445" s="9" t="s">
        <v>5211</v>
      </c>
      <c r="B445" s="10">
        <v>718</v>
      </c>
      <c r="C445" s="10" t="s">
        <v>12</v>
      </c>
      <c r="D445" t="s">
        <v>4381</v>
      </c>
      <c r="E445" t="s">
        <v>4382</v>
      </c>
      <c r="F445" s="10" t="s">
        <v>112</v>
      </c>
      <c r="G445" s="2">
        <v>8.5416000000000007</v>
      </c>
      <c r="H445" s="13">
        <v>18</v>
      </c>
      <c r="I445" s="13">
        <v>23</v>
      </c>
      <c r="J445" s="13">
        <v>-23</v>
      </c>
      <c r="K445" s="10">
        <v>18</v>
      </c>
      <c r="L445" s="2">
        <v>153.74879999999999</v>
      </c>
      <c r="M445" s="1">
        <v>46213.618750000001</v>
      </c>
      <c r="N445" t="s">
        <v>16</v>
      </c>
    </row>
    <row r="446" spans="1:14" x14ac:dyDescent="0.25">
      <c r="A446" s="9" t="s">
        <v>5211</v>
      </c>
      <c r="B446" s="10">
        <v>634</v>
      </c>
      <c r="C446" s="10" t="s">
        <v>70</v>
      </c>
      <c r="D446" t="s">
        <v>106</v>
      </c>
      <c r="E446" t="s">
        <v>107</v>
      </c>
      <c r="F446" s="10" t="s">
        <v>81</v>
      </c>
      <c r="G446" s="2">
        <v>6.6447000000000003</v>
      </c>
      <c r="H446" s="13">
        <v>18</v>
      </c>
      <c r="I446" s="13">
        <v>-3</v>
      </c>
      <c r="J446" s="13">
        <v>3</v>
      </c>
      <c r="K446" s="10">
        <v>18</v>
      </c>
      <c r="L446" s="2">
        <v>119.6046</v>
      </c>
      <c r="M446" s="1">
        <v>46217.376388888886</v>
      </c>
      <c r="N446" t="s">
        <v>94</v>
      </c>
    </row>
    <row r="447" spans="1:14" x14ac:dyDescent="0.25">
      <c r="A447" s="9" t="s">
        <v>5211</v>
      </c>
      <c r="B447" s="10">
        <v>634</v>
      </c>
      <c r="C447" s="10" t="s">
        <v>12</v>
      </c>
      <c r="D447" t="s">
        <v>50</v>
      </c>
      <c r="E447" t="s">
        <v>51</v>
      </c>
      <c r="F447" s="10" t="s">
        <v>19</v>
      </c>
      <c r="G447" s="2">
        <v>1.0865</v>
      </c>
      <c r="H447" s="13">
        <v>18</v>
      </c>
      <c r="I447" s="13">
        <v>0</v>
      </c>
      <c r="J447" s="13">
        <v>0</v>
      </c>
      <c r="K447" s="10">
        <v>18</v>
      </c>
      <c r="L447" s="2">
        <v>19.556999999999999</v>
      </c>
      <c r="M447" s="1">
        <v>46217.382638888892</v>
      </c>
      <c r="N447" t="s">
        <v>20</v>
      </c>
    </row>
    <row r="448" spans="1:14" x14ac:dyDescent="0.25">
      <c r="A448" s="9" t="s">
        <v>5211</v>
      </c>
      <c r="B448" s="10">
        <v>634</v>
      </c>
      <c r="C448" s="10" t="s">
        <v>12</v>
      </c>
      <c r="D448" t="s">
        <v>17</v>
      </c>
      <c r="E448" t="s">
        <v>18</v>
      </c>
      <c r="F448" s="10" t="s">
        <v>19</v>
      </c>
      <c r="G448" s="2">
        <v>1.1907000000000001</v>
      </c>
      <c r="H448" s="13">
        <v>18</v>
      </c>
      <c r="I448" s="13">
        <v>0</v>
      </c>
      <c r="J448" s="13">
        <v>0</v>
      </c>
      <c r="K448" s="10">
        <v>18</v>
      </c>
      <c r="L448" s="2">
        <v>21.432600000000001</v>
      </c>
      <c r="M448" s="1">
        <v>46217.382638888892</v>
      </c>
      <c r="N448" t="s">
        <v>20</v>
      </c>
    </row>
    <row r="449" spans="1:14" x14ac:dyDescent="0.25">
      <c r="A449" s="9" t="s">
        <v>5211</v>
      </c>
      <c r="B449" s="10">
        <v>714</v>
      </c>
      <c r="C449" s="10" t="s">
        <v>70</v>
      </c>
      <c r="D449" t="s">
        <v>4409</v>
      </c>
      <c r="E449" t="s">
        <v>4410</v>
      </c>
      <c r="F449" s="10" t="s">
        <v>112</v>
      </c>
      <c r="G449" s="2">
        <v>7.4439000000000002</v>
      </c>
      <c r="H449" s="13">
        <v>18</v>
      </c>
      <c r="I449" s="13">
        <v>74</v>
      </c>
      <c r="J449" s="13">
        <v>-74</v>
      </c>
      <c r="K449" s="10">
        <v>18</v>
      </c>
      <c r="L449" s="2">
        <v>133.99019999999999</v>
      </c>
      <c r="M449" s="1">
        <v>46220.36041666667</v>
      </c>
      <c r="N449" t="s">
        <v>40</v>
      </c>
    </row>
    <row r="450" spans="1:14" x14ac:dyDescent="0.25">
      <c r="A450" s="9" t="s">
        <v>5211</v>
      </c>
      <c r="B450" s="10">
        <v>718</v>
      </c>
      <c r="C450" s="10" t="s">
        <v>70</v>
      </c>
      <c r="D450" t="s">
        <v>121</v>
      </c>
      <c r="E450" t="s">
        <v>122</v>
      </c>
      <c r="F450" s="10" t="s">
        <v>112</v>
      </c>
      <c r="G450" s="2">
        <v>5.7392000000000003</v>
      </c>
      <c r="H450" s="13">
        <v>18</v>
      </c>
      <c r="I450" s="13">
        <v>-37</v>
      </c>
      <c r="J450" s="13">
        <v>37</v>
      </c>
      <c r="K450" s="10">
        <v>18</v>
      </c>
      <c r="L450" s="2">
        <v>103.3056</v>
      </c>
      <c r="M450" s="1">
        <v>46225.595138888886</v>
      </c>
      <c r="N450" t="s">
        <v>40</v>
      </c>
    </row>
    <row r="451" spans="1:14" x14ac:dyDescent="0.25">
      <c r="A451" s="9" t="s">
        <v>5211</v>
      </c>
      <c r="B451" s="10">
        <v>718</v>
      </c>
      <c r="C451" s="10" t="s">
        <v>143</v>
      </c>
      <c r="D451" t="s">
        <v>4184</v>
      </c>
      <c r="E451" t="s">
        <v>4185</v>
      </c>
      <c r="F451" s="10" t="s">
        <v>43</v>
      </c>
      <c r="G451" s="2">
        <v>14.9788</v>
      </c>
      <c r="H451" s="13">
        <v>18</v>
      </c>
      <c r="I451" s="13">
        <v>21</v>
      </c>
      <c r="J451" s="13">
        <v>-21</v>
      </c>
      <c r="K451" s="10">
        <v>18</v>
      </c>
      <c r="L451" s="2">
        <v>269.61840000000001</v>
      </c>
      <c r="M451" s="1">
        <v>46225.595138888886</v>
      </c>
      <c r="N451" t="s">
        <v>40</v>
      </c>
    </row>
    <row r="452" spans="1:14" x14ac:dyDescent="0.25">
      <c r="A452" s="9" t="s">
        <v>5211</v>
      </c>
      <c r="B452" s="10">
        <v>718</v>
      </c>
      <c r="C452" s="10" t="s">
        <v>323</v>
      </c>
      <c r="D452" t="s">
        <v>4365</v>
      </c>
      <c r="E452" t="s">
        <v>4366</v>
      </c>
      <c r="F452" s="10" t="s">
        <v>158</v>
      </c>
      <c r="G452" s="2">
        <v>181.87440000000001</v>
      </c>
      <c r="H452" s="13">
        <v>18</v>
      </c>
      <c r="I452" s="13">
        <v>15</v>
      </c>
      <c r="J452" s="13">
        <v>-15</v>
      </c>
      <c r="K452" s="10">
        <v>18</v>
      </c>
      <c r="L452" s="2">
        <v>3273.7392</v>
      </c>
      <c r="M452" s="1">
        <v>46226.609722222223</v>
      </c>
      <c r="N452" t="s">
        <v>371</v>
      </c>
    </row>
    <row r="453" spans="1:14" x14ac:dyDescent="0.25">
      <c r="A453" s="9" t="s">
        <v>5211</v>
      </c>
      <c r="B453" s="10">
        <v>718</v>
      </c>
      <c r="C453" s="10" t="s">
        <v>70</v>
      </c>
      <c r="D453" t="s">
        <v>4733</v>
      </c>
      <c r="E453" t="s">
        <v>4734</v>
      </c>
      <c r="F453" s="10" t="s">
        <v>43</v>
      </c>
      <c r="G453" s="2">
        <v>7.5265000000000004</v>
      </c>
      <c r="H453" s="13">
        <v>18</v>
      </c>
      <c r="I453" s="13">
        <v>123</v>
      </c>
      <c r="J453" s="13">
        <v>-123</v>
      </c>
      <c r="K453" s="10">
        <v>18</v>
      </c>
      <c r="L453" s="2">
        <v>135.477</v>
      </c>
      <c r="M453" s="1">
        <v>46232.446527777778</v>
      </c>
      <c r="N453" t="s">
        <v>40</v>
      </c>
    </row>
    <row r="454" spans="1:14" x14ac:dyDescent="0.25">
      <c r="A454" s="9" t="s">
        <v>5211</v>
      </c>
      <c r="B454" s="10">
        <v>636</v>
      </c>
      <c r="C454" s="10" t="s">
        <v>70</v>
      </c>
      <c r="D454" t="s">
        <v>765</v>
      </c>
      <c r="E454" t="s">
        <v>766</v>
      </c>
      <c r="F454" s="10" t="s">
        <v>29</v>
      </c>
      <c r="G454" s="2">
        <v>7.7838000000000003</v>
      </c>
      <c r="H454" s="13">
        <v>18</v>
      </c>
      <c r="I454" s="13">
        <v>0</v>
      </c>
      <c r="J454" s="13">
        <v>0</v>
      </c>
      <c r="K454" s="10">
        <v>18</v>
      </c>
      <c r="L454" s="2">
        <v>140.10839999999999</v>
      </c>
      <c r="M454" s="1">
        <v>46232.470833333333</v>
      </c>
      <c r="N454" t="s">
        <v>522</v>
      </c>
    </row>
    <row r="455" spans="1:14" x14ac:dyDescent="0.25">
      <c r="A455" s="9" t="s">
        <v>5211</v>
      </c>
      <c r="B455" s="10">
        <v>718</v>
      </c>
      <c r="C455" s="10" t="s">
        <v>70</v>
      </c>
      <c r="D455" t="s">
        <v>2036</v>
      </c>
      <c r="E455" t="s">
        <v>2037</v>
      </c>
      <c r="F455" s="10" t="s">
        <v>29</v>
      </c>
      <c r="G455" s="2">
        <v>10.2386</v>
      </c>
      <c r="H455" s="13">
        <v>18</v>
      </c>
      <c r="I455" s="13">
        <v>20</v>
      </c>
      <c r="J455" s="13">
        <v>-20</v>
      </c>
      <c r="K455" s="10">
        <v>18</v>
      </c>
      <c r="L455" s="2">
        <v>184.29480000000001</v>
      </c>
      <c r="M455" s="1">
        <v>46232.6</v>
      </c>
      <c r="N455" t="s">
        <v>573</v>
      </c>
    </row>
    <row r="456" spans="1:14" x14ac:dyDescent="0.25">
      <c r="A456" s="9" t="s">
        <v>5211</v>
      </c>
      <c r="B456" s="10">
        <v>714</v>
      </c>
      <c r="C456" s="10" t="s">
        <v>70</v>
      </c>
      <c r="D456" t="s">
        <v>2107</v>
      </c>
      <c r="E456" t="s">
        <v>2108</v>
      </c>
      <c r="F456" s="10" t="s">
        <v>29</v>
      </c>
      <c r="G456" s="2">
        <v>5.7941000000000003</v>
      </c>
      <c r="H456" s="13">
        <v>18</v>
      </c>
      <c r="I456" s="13">
        <v>-23</v>
      </c>
      <c r="J456" s="13">
        <v>23</v>
      </c>
      <c r="K456" s="10">
        <v>18</v>
      </c>
      <c r="L456" s="2">
        <v>104.2938</v>
      </c>
      <c r="M456" s="1">
        <v>46239.595833333333</v>
      </c>
      <c r="N456" t="s">
        <v>40</v>
      </c>
    </row>
    <row r="457" spans="1:14" x14ac:dyDescent="0.25">
      <c r="A457" s="9" t="s">
        <v>5211</v>
      </c>
      <c r="B457" s="10">
        <v>718</v>
      </c>
      <c r="C457" s="10" t="s">
        <v>70</v>
      </c>
      <c r="D457" t="s">
        <v>4729</v>
      </c>
      <c r="E457" t="s">
        <v>4730</v>
      </c>
      <c r="F457" s="10" t="s">
        <v>112</v>
      </c>
      <c r="G457" s="2">
        <v>5.6772</v>
      </c>
      <c r="H457" s="13">
        <v>18</v>
      </c>
      <c r="I457" s="13">
        <v>15</v>
      </c>
      <c r="J457" s="13">
        <v>-15</v>
      </c>
      <c r="K457" s="10">
        <v>18</v>
      </c>
      <c r="L457" s="2">
        <v>102.1896</v>
      </c>
      <c r="M457" s="1">
        <v>46246.392361111109</v>
      </c>
      <c r="N457" t="s">
        <v>40</v>
      </c>
    </row>
    <row r="458" spans="1:14" x14ac:dyDescent="0.25">
      <c r="A458" s="9" t="s">
        <v>5211</v>
      </c>
      <c r="B458" s="10">
        <v>714</v>
      </c>
      <c r="C458" s="10" t="s">
        <v>323</v>
      </c>
      <c r="D458" t="s">
        <v>2869</v>
      </c>
      <c r="E458" t="s">
        <v>2870</v>
      </c>
      <c r="F458" s="10" t="s">
        <v>43</v>
      </c>
      <c r="G458" s="2">
        <v>158.1284</v>
      </c>
      <c r="H458" s="13">
        <v>17</v>
      </c>
      <c r="I458" s="13">
        <v>6</v>
      </c>
      <c r="J458" s="13">
        <v>-6</v>
      </c>
      <c r="K458" s="10">
        <v>17</v>
      </c>
      <c r="L458" s="2">
        <v>2688.1828</v>
      </c>
      <c r="M458" s="1">
        <v>46080.489583333336</v>
      </c>
      <c r="N458" t="s">
        <v>151</v>
      </c>
    </row>
    <row r="459" spans="1:14" x14ac:dyDescent="0.25">
      <c r="A459" s="9" t="s">
        <v>5211</v>
      </c>
      <c r="B459" s="10">
        <v>714</v>
      </c>
      <c r="C459" s="10" t="s">
        <v>70</v>
      </c>
      <c r="D459" t="s">
        <v>729</v>
      </c>
      <c r="E459" t="s">
        <v>730</v>
      </c>
      <c r="F459" s="10" t="s">
        <v>35</v>
      </c>
      <c r="G459" s="2">
        <v>6.2233999999999998</v>
      </c>
      <c r="H459" s="13">
        <v>17</v>
      </c>
      <c r="I459" s="13">
        <v>0</v>
      </c>
      <c r="J459" s="13">
        <v>0</v>
      </c>
      <c r="K459" s="10">
        <v>17</v>
      </c>
      <c r="L459" s="2">
        <v>105.7978</v>
      </c>
      <c r="M459" s="1">
        <v>46119.337500000001</v>
      </c>
      <c r="N459" t="s">
        <v>94</v>
      </c>
    </row>
    <row r="460" spans="1:14" x14ac:dyDescent="0.25">
      <c r="A460" s="9" t="s">
        <v>5211</v>
      </c>
      <c r="B460" s="10">
        <v>714</v>
      </c>
      <c r="C460" s="10" t="s">
        <v>143</v>
      </c>
      <c r="D460" t="s">
        <v>4182</v>
      </c>
      <c r="E460" t="s">
        <v>4183</v>
      </c>
      <c r="F460" s="10" t="s">
        <v>19</v>
      </c>
      <c r="G460" s="2">
        <v>150.01150000000001</v>
      </c>
      <c r="H460" s="13">
        <v>17</v>
      </c>
      <c r="I460" s="13">
        <v>11</v>
      </c>
      <c r="J460" s="13">
        <v>-11</v>
      </c>
      <c r="K460" s="10">
        <v>17</v>
      </c>
      <c r="L460" s="2">
        <v>2550.1954999999998</v>
      </c>
      <c r="M460" s="1">
        <v>46122.533333333333</v>
      </c>
      <c r="N460" t="s">
        <v>354</v>
      </c>
    </row>
    <row r="461" spans="1:14" x14ac:dyDescent="0.25">
      <c r="A461" s="9" t="s">
        <v>5211</v>
      </c>
      <c r="B461" s="10">
        <v>714</v>
      </c>
      <c r="C461" s="10" t="s">
        <v>323</v>
      </c>
      <c r="D461" t="s">
        <v>4308</v>
      </c>
      <c r="E461" t="s">
        <v>4309</v>
      </c>
      <c r="F461" s="10" t="s">
        <v>23</v>
      </c>
      <c r="G461" s="2">
        <v>159.4897</v>
      </c>
      <c r="H461" s="13">
        <v>17</v>
      </c>
      <c r="I461" s="13">
        <v>12</v>
      </c>
      <c r="J461" s="13">
        <v>-12</v>
      </c>
      <c r="K461" s="10">
        <v>17</v>
      </c>
      <c r="L461" s="2">
        <v>2711.3249000000001</v>
      </c>
      <c r="M461" s="1">
        <v>46123.352777777778</v>
      </c>
      <c r="N461" t="s">
        <v>354</v>
      </c>
    </row>
    <row r="462" spans="1:14" x14ac:dyDescent="0.25">
      <c r="A462" s="9" t="s">
        <v>5211</v>
      </c>
      <c r="B462" s="10">
        <v>634</v>
      </c>
      <c r="C462" s="10" t="s">
        <v>143</v>
      </c>
      <c r="D462" t="s">
        <v>4174</v>
      </c>
      <c r="E462" t="s">
        <v>4175</v>
      </c>
      <c r="F462" s="10" t="s">
        <v>15</v>
      </c>
      <c r="G462" s="2">
        <v>21.3948</v>
      </c>
      <c r="H462" s="13">
        <v>17</v>
      </c>
      <c r="I462" s="13">
        <v>26</v>
      </c>
      <c r="J462" s="13">
        <v>-26</v>
      </c>
      <c r="K462" s="10">
        <v>17</v>
      </c>
      <c r="L462" s="2">
        <v>363.71159999999998</v>
      </c>
      <c r="M462" s="1">
        <v>46128.40347222222</v>
      </c>
      <c r="N462" t="s">
        <v>40</v>
      </c>
    </row>
    <row r="463" spans="1:14" x14ac:dyDescent="0.25">
      <c r="A463" s="9" t="s">
        <v>5211</v>
      </c>
      <c r="B463" s="10">
        <v>634</v>
      </c>
      <c r="C463" s="10" t="s">
        <v>143</v>
      </c>
      <c r="D463" t="s">
        <v>302</v>
      </c>
      <c r="E463" t="s">
        <v>303</v>
      </c>
      <c r="F463" s="10" t="s">
        <v>39</v>
      </c>
      <c r="G463" s="2">
        <v>14.8581</v>
      </c>
      <c r="H463" s="13">
        <v>17</v>
      </c>
      <c r="I463" s="13">
        <v>0</v>
      </c>
      <c r="J463" s="13">
        <v>0</v>
      </c>
      <c r="K463" s="10">
        <v>17</v>
      </c>
      <c r="L463" s="2">
        <v>252.58770000000001</v>
      </c>
      <c r="M463" s="1">
        <v>46128.40347222222</v>
      </c>
      <c r="N463" t="s">
        <v>40</v>
      </c>
    </row>
    <row r="464" spans="1:14" x14ac:dyDescent="0.25">
      <c r="A464" s="9" t="s">
        <v>5211</v>
      </c>
      <c r="B464" s="10">
        <v>714</v>
      </c>
      <c r="C464" s="10" t="s">
        <v>70</v>
      </c>
      <c r="D464" t="s">
        <v>4713</v>
      </c>
      <c r="E464" t="s">
        <v>4714</v>
      </c>
      <c r="F464" s="10" t="s">
        <v>23</v>
      </c>
      <c r="G464" s="2">
        <v>7.2419000000000002</v>
      </c>
      <c r="H464" s="13">
        <v>17</v>
      </c>
      <c r="I464" s="13">
        <v>13</v>
      </c>
      <c r="J464" s="13">
        <v>-13</v>
      </c>
      <c r="K464" s="10">
        <v>17</v>
      </c>
      <c r="L464" s="2">
        <v>123.1123</v>
      </c>
      <c r="M464" s="1">
        <v>46130.429166666669</v>
      </c>
      <c r="N464" t="s">
        <v>26</v>
      </c>
    </row>
    <row r="465" spans="1:14" x14ac:dyDescent="0.25">
      <c r="A465" s="9" t="s">
        <v>5211</v>
      </c>
      <c r="B465" s="10">
        <v>714</v>
      </c>
      <c r="C465" s="10" t="s">
        <v>323</v>
      </c>
      <c r="D465" t="s">
        <v>3055</v>
      </c>
      <c r="E465" t="s">
        <v>3056</v>
      </c>
      <c r="F465" s="10" t="s">
        <v>23</v>
      </c>
      <c r="G465" s="2">
        <v>163.8339</v>
      </c>
      <c r="H465" s="13">
        <v>17</v>
      </c>
      <c r="I465" s="13">
        <v>1</v>
      </c>
      <c r="J465" s="13">
        <v>-1</v>
      </c>
      <c r="K465" s="10">
        <v>17</v>
      </c>
      <c r="L465" s="2">
        <v>2785.1763000000001</v>
      </c>
      <c r="M465" s="1">
        <v>46132.695138888892</v>
      </c>
      <c r="N465" t="s">
        <v>3024</v>
      </c>
    </row>
    <row r="466" spans="1:14" x14ac:dyDescent="0.25">
      <c r="A466" s="9" t="s">
        <v>5211</v>
      </c>
      <c r="B466" s="10">
        <v>718</v>
      </c>
      <c r="C466" s="10" t="s">
        <v>143</v>
      </c>
      <c r="D466" t="s">
        <v>3802</v>
      </c>
      <c r="E466" t="s">
        <v>3803</v>
      </c>
      <c r="F466" s="10" t="s">
        <v>23</v>
      </c>
      <c r="G466" s="2">
        <v>38.308300000000003</v>
      </c>
      <c r="H466" s="13">
        <v>17</v>
      </c>
      <c r="I466" s="13">
        <v>0</v>
      </c>
      <c r="J466" s="13">
        <v>0</v>
      </c>
      <c r="K466" s="10">
        <v>17</v>
      </c>
      <c r="L466" s="2">
        <v>651.24109999999996</v>
      </c>
      <c r="M466" s="1">
        <v>46134.55972222222</v>
      </c>
      <c r="N466" t="s">
        <v>216</v>
      </c>
    </row>
    <row r="467" spans="1:14" x14ac:dyDescent="0.25">
      <c r="A467" s="9" t="s">
        <v>5211</v>
      </c>
      <c r="B467" s="10">
        <v>714</v>
      </c>
      <c r="C467" s="10" t="s">
        <v>323</v>
      </c>
      <c r="D467" t="s">
        <v>3231</v>
      </c>
      <c r="E467" t="s">
        <v>3232</v>
      </c>
      <c r="F467" s="10" t="s">
        <v>29</v>
      </c>
      <c r="G467" s="2">
        <v>173.46700000000001</v>
      </c>
      <c r="H467" s="13">
        <v>17</v>
      </c>
      <c r="I467" s="13">
        <v>-2</v>
      </c>
      <c r="J467" s="13">
        <v>2</v>
      </c>
      <c r="K467" s="10">
        <v>17</v>
      </c>
      <c r="L467" s="2">
        <v>2948.9389999999999</v>
      </c>
      <c r="M467" s="1">
        <v>46137.60833333333</v>
      </c>
      <c r="N467" t="s">
        <v>2379</v>
      </c>
    </row>
    <row r="468" spans="1:14" x14ac:dyDescent="0.25">
      <c r="A468" s="9" t="s">
        <v>5211</v>
      </c>
      <c r="B468" s="10">
        <v>714</v>
      </c>
      <c r="C468" s="10" t="s">
        <v>143</v>
      </c>
      <c r="D468" t="s">
        <v>2434</v>
      </c>
      <c r="E468" t="s">
        <v>2435</v>
      </c>
      <c r="F468" s="10" t="s">
        <v>29</v>
      </c>
      <c r="G468" s="2">
        <v>16.770399999999999</v>
      </c>
      <c r="H468" s="13">
        <v>17</v>
      </c>
      <c r="I468" s="13">
        <v>0</v>
      </c>
      <c r="J468" s="13">
        <v>0</v>
      </c>
      <c r="K468" s="10">
        <v>17</v>
      </c>
      <c r="L468" s="2">
        <v>285.09679999999997</v>
      </c>
      <c r="M468" s="1">
        <v>46156.481944444444</v>
      </c>
      <c r="N468" t="s">
        <v>140</v>
      </c>
    </row>
    <row r="469" spans="1:14" x14ac:dyDescent="0.25">
      <c r="A469" s="9" t="s">
        <v>5211</v>
      </c>
      <c r="B469" s="10">
        <v>634</v>
      </c>
      <c r="C469" s="10" t="s">
        <v>70</v>
      </c>
      <c r="D469" t="s">
        <v>4032</v>
      </c>
      <c r="E469" t="s">
        <v>4033</v>
      </c>
      <c r="F469" s="10" t="s">
        <v>39</v>
      </c>
      <c r="G469" s="2">
        <v>5.6646999999999998</v>
      </c>
      <c r="H469" s="13">
        <v>17</v>
      </c>
      <c r="I469" s="13">
        <v>10</v>
      </c>
      <c r="J469" s="13">
        <v>-10</v>
      </c>
      <c r="K469" s="10">
        <v>17</v>
      </c>
      <c r="L469" s="2">
        <v>96.299899999999994</v>
      </c>
      <c r="M469" s="1">
        <v>46164.474999999999</v>
      </c>
      <c r="N469" t="s">
        <v>40</v>
      </c>
    </row>
    <row r="470" spans="1:14" x14ac:dyDescent="0.25">
      <c r="A470" s="9" t="s">
        <v>5211</v>
      </c>
      <c r="B470" s="10">
        <v>636</v>
      </c>
      <c r="C470" s="10" t="s">
        <v>70</v>
      </c>
      <c r="D470" t="s">
        <v>2139</v>
      </c>
      <c r="E470" t="s">
        <v>2140</v>
      </c>
      <c r="F470" s="10" t="s">
        <v>39</v>
      </c>
      <c r="G470" s="2">
        <v>5.5449000000000002</v>
      </c>
      <c r="H470" s="13">
        <v>17</v>
      </c>
      <c r="I470" s="13">
        <v>7</v>
      </c>
      <c r="J470" s="13">
        <v>-7</v>
      </c>
      <c r="K470" s="10">
        <v>17</v>
      </c>
      <c r="L470" s="2">
        <v>94.263300000000001</v>
      </c>
      <c r="M470" s="1">
        <v>46177.399305555555</v>
      </c>
      <c r="N470" t="s">
        <v>16</v>
      </c>
    </row>
    <row r="471" spans="1:14" x14ac:dyDescent="0.25">
      <c r="A471" s="9" t="s">
        <v>5211</v>
      </c>
      <c r="B471" s="10">
        <v>634</v>
      </c>
      <c r="C471" s="10" t="s">
        <v>70</v>
      </c>
      <c r="D471" t="s">
        <v>4030</v>
      </c>
      <c r="E471" t="s">
        <v>4031</v>
      </c>
      <c r="F471" s="10" t="s">
        <v>112</v>
      </c>
      <c r="G471" s="2">
        <v>6.3711000000000002</v>
      </c>
      <c r="H471" s="13">
        <v>17</v>
      </c>
      <c r="I471" s="13">
        <v>-25</v>
      </c>
      <c r="J471" s="13">
        <v>25</v>
      </c>
      <c r="K471" s="10">
        <v>17</v>
      </c>
      <c r="L471" s="2">
        <v>108.3087</v>
      </c>
      <c r="M471" s="1">
        <v>46177.574999999997</v>
      </c>
      <c r="N471" t="s">
        <v>26</v>
      </c>
    </row>
    <row r="472" spans="1:14" x14ac:dyDescent="0.25">
      <c r="A472" s="9" t="s">
        <v>5211</v>
      </c>
      <c r="B472" s="10">
        <v>714</v>
      </c>
      <c r="C472" s="10" t="s">
        <v>70</v>
      </c>
      <c r="D472" t="s">
        <v>2058</v>
      </c>
      <c r="E472" t="s">
        <v>2059</v>
      </c>
      <c r="F472" s="10" t="s">
        <v>29</v>
      </c>
      <c r="G472" s="2">
        <v>6.5298999999999996</v>
      </c>
      <c r="H472" s="13">
        <v>17</v>
      </c>
      <c r="I472" s="13">
        <v>0</v>
      </c>
      <c r="J472" s="13">
        <v>0</v>
      </c>
      <c r="K472" s="10">
        <v>17</v>
      </c>
      <c r="L472" s="2">
        <v>111.00830000000001</v>
      </c>
      <c r="M472" s="1">
        <v>46183.611805555556</v>
      </c>
      <c r="N472" t="s">
        <v>44</v>
      </c>
    </row>
    <row r="473" spans="1:14" x14ac:dyDescent="0.25">
      <c r="A473" s="9" t="s">
        <v>5211</v>
      </c>
      <c r="B473" s="10">
        <v>636</v>
      </c>
      <c r="C473" s="10" t="s">
        <v>143</v>
      </c>
      <c r="D473" t="s">
        <v>1088</v>
      </c>
      <c r="E473" t="s">
        <v>1089</v>
      </c>
      <c r="F473" s="10" t="s">
        <v>23</v>
      </c>
      <c r="G473" s="2">
        <v>17.306699999999999</v>
      </c>
      <c r="H473" s="13">
        <v>17</v>
      </c>
      <c r="I473" s="13">
        <v>8</v>
      </c>
      <c r="J473" s="13">
        <v>-8</v>
      </c>
      <c r="K473" s="10">
        <v>17</v>
      </c>
      <c r="L473" s="2">
        <v>294.21390000000002</v>
      </c>
      <c r="M473" s="1">
        <v>46185.497916666667</v>
      </c>
      <c r="N473" t="s">
        <v>159</v>
      </c>
    </row>
    <row r="474" spans="1:14" x14ac:dyDescent="0.25">
      <c r="A474" s="9" t="s">
        <v>5211</v>
      </c>
      <c r="B474" s="10">
        <v>718</v>
      </c>
      <c r="C474" s="10" t="s">
        <v>70</v>
      </c>
      <c r="D474" t="s">
        <v>4429</v>
      </c>
      <c r="E474" t="s">
        <v>4430</v>
      </c>
      <c r="F474" s="10" t="s">
        <v>39</v>
      </c>
      <c r="G474" s="2">
        <v>5.3864999999999998</v>
      </c>
      <c r="H474" s="13">
        <v>17</v>
      </c>
      <c r="I474" s="13">
        <v>10</v>
      </c>
      <c r="J474" s="13">
        <v>-10</v>
      </c>
      <c r="K474" s="10">
        <v>17</v>
      </c>
      <c r="L474" s="2">
        <v>91.570499999999996</v>
      </c>
      <c r="M474" s="1">
        <v>46185.552777777775</v>
      </c>
      <c r="N474" t="s">
        <v>26</v>
      </c>
    </row>
    <row r="475" spans="1:14" x14ac:dyDescent="0.25">
      <c r="A475" s="9" t="s">
        <v>5211</v>
      </c>
      <c r="B475" s="10">
        <v>714</v>
      </c>
      <c r="C475" s="10" t="s">
        <v>1749</v>
      </c>
      <c r="D475" t="s">
        <v>3568</v>
      </c>
      <c r="E475" t="s">
        <v>3569</v>
      </c>
      <c r="F475" s="10" t="s">
        <v>39</v>
      </c>
      <c r="G475" s="2">
        <v>16.211400000000001</v>
      </c>
      <c r="H475" s="13">
        <v>17</v>
      </c>
      <c r="I475" s="13">
        <v>0</v>
      </c>
      <c r="J475" s="13">
        <v>0</v>
      </c>
      <c r="K475" s="10">
        <v>17</v>
      </c>
      <c r="L475" s="2">
        <v>275.59379999999999</v>
      </c>
      <c r="M475" s="1">
        <v>46185.630555555559</v>
      </c>
      <c r="N475" t="s">
        <v>1825</v>
      </c>
    </row>
    <row r="476" spans="1:14" x14ac:dyDescent="0.25">
      <c r="A476" s="9" t="s">
        <v>5211</v>
      </c>
      <c r="B476" s="10">
        <v>714</v>
      </c>
      <c r="C476" s="10" t="s">
        <v>323</v>
      </c>
      <c r="D476" t="s">
        <v>3139</v>
      </c>
      <c r="E476" t="s">
        <v>3140</v>
      </c>
      <c r="F476" s="10" t="s">
        <v>112</v>
      </c>
      <c r="G476" s="2">
        <v>22.338100000000001</v>
      </c>
      <c r="H476" s="13">
        <v>17</v>
      </c>
      <c r="I476" s="13">
        <v>0</v>
      </c>
      <c r="J476" s="13">
        <v>0</v>
      </c>
      <c r="K476" s="10">
        <v>17</v>
      </c>
      <c r="L476" s="2">
        <v>379.74770000000001</v>
      </c>
      <c r="M476" s="1">
        <v>46185.630555555559</v>
      </c>
      <c r="N476" t="s">
        <v>1825</v>
      </c>
    </row>
    <row r="477" spans="1:14" x14ac:dyDescent="0.25">
      <c r="A477" s="9" t="s">
        <v>5211</v>
      </c>
      <c r="B477" s="10">
        <v>714</v>
      </c>
      <c r="C477" s="10" t="s">
        <v>143</v>
      </c>
      <c r="D477" t="s">
        <v>2756</v>
      </c>
      <c r="E477" t="s">
        <v>2757</v>
      </c>
      <c r="F477" s="10" t="s">
        <v>39</v>
      </c>
      <c r="G477" s="2">
        <v>24.977799999999998</v>
      </c>
      <c r="H477" s="13">
        <v>17</v>
      </c>
      <c r="I477" s="13">
        <v>0</v>
      </c>
      <c r="J477" s="13">
        <v>0</v>
      </c>
      <c r="K477" s="10">
        <v>17</v>
      </c>
      <c r="L477" s="2">
        <v>424.62259999999998</v>
      </c>
      <c r="M477" s="1">
        <v>46188.35</v>
      </c>
      <c r="N477" t="s">
        <v>26</v>
      </c>
    </row>
    <row r="478" spans="1:14" x14ac:dyDescent="0.25">
      <c r="A478" s="9" t="s">
        <v>5211</v>
      </c>
      <c r="B478" s="10">
        <v>636</v>
      </c>
      <c r="C478" s="10" t="s">
        <v>143</v>
      </c>
      <c r="D478" t="s">
        <v>1025</v>
      </c>
      <c r="E478" t="s">
        <v>1026</v>
      </c>
      <c r="F478" s="10" t="s">
        <v>23</v>
      </c>
      <c r="G478" s="2">
        <v>82.661299999999997</v>
      </c>
      <c r="H478" s="13">
        <v>17</v>
      </c>
      <c r="I478" s="13">
        <v>0</v>
      </c>
      <c r="J478" s="13">
        <v>0</v>
      </c>
      <c r="K478" s="10">
        <v>17</v>
      </c>
      <c r="L478" s="2">
        <v>1405.2420999999999</v>
      </c>
      <c r="M478" s="1">
        <v>46191.365277777775</v>
      </c>
      <c r="N478" t="s">
        <v>903</v>
      </c>
    </row>
    <row r="479" spans="1:14" x14ac:dyDescent="0.25">
      <c r="A479" s="9" t="s">
        <v>5211</v>
      </c>
      <c r="B479" s="10">
        <v>714</v>
      </c>
      <c r="C479" s="10" t="s">
        <v>70</v>
      </c>
      <c r="D479" t="s">
        <v>110</v>
      </c>
      <c r="E479" t="s">
        <v>111</v>
      </c>
      <c r="F479" s="10" t="s">
        <v>112</v>
      </c>
      <c r="G479" s="2">
        <v>6.7000999999999999</v>
      </c>
      <c r="H479" s="13">
        <v>17</v>
      </c>
      <c r="I479" s="13">
        <v>0</v>
      </c>
      <c r="J479" s="13">
        <v>0</v>
      </c>
      <c r="K479" s="10">
        <v>17</v>
      </c>
      <c r="L479" s="2">
        <v>113.90170000000001</v>
      </c>
      <c r="M479" s="1">
        <v>46195.50277777778</v>
      </c>
      <c r="N479" t="s">
        <v>665</v>
      </c>
    </row>
    <row r="480" spans="1:14" x14ac:dyDescent="0.25">
      <c r="A480" s="9" t="s">
        <v>5211</v>
      </c>
      <c r="B480" s="10">
        <v>718</v>
      </c>
      <c r="C480" s="10" t="s">
        <v>143</v>
      </c>
      <c r="D480" t="s">
        <v>4775</v>
      </c>
      <c r="E480" t="s">
        <v>4776</v>
      </c>
      <c r="F480" s="10" t="s">
        <v>112</v>
      </c>
      <c r="G480" s="2">
        <v>16.604800000000001</v>
      </c>
      <c r="H480" s="13">
        <v>17</v>
      </c>
      <c r="I480" s="13">
        <v>0</v>
      </c>
      <c r="J480" s="13">
        <v>0</v>
      </c>
      <c r="K480" s="10">
        <v>17</v>
      </c>
      <c r="L480" s="2">
        <v>282.28160000000003</v>
      </c>
      <c r="M480" s="1">
        <v>46195.661111111112</v>
      </c>
      <c r="N480" t="s">
        <v>878</v>
      </c>
    </row>
    <row r="481" spans="1:14" x14ac:dyDescent="0.25">
      <c r="A481" s="9" t="s">
        <v>5211</v>
      </c>
      <c r="B481" s="10">
        <v>636</v>
      </c>
      <c r="C481" s="10" t="s">
        <v>143</v>
      </c>
      <c r="D481" t="s">
        <v>4240</v>
      </c>
      <c r="E481" t="s">
        <v>4241</v>
      </c>
      <c r="F481" s="10" t="s">
        <v>43</v>
      </c>
      <c r="G481" s="2">
        <v>37.8245</v>
      </c>
      <c r="H481" s="13">
        <v>17</v>
      </c>
      <c r="I481" s="13">
        <v>2</v>
      </c>
      <c r="J481" s="13">
        <v>-2</v>
      </c>
      <c r="K481" s="10">
        <v>17</v>
      </c>
      <c r="L481" s="2">
        <v>643.01649999999995</v>
      </c>
      <c r="M481" s="1">
        <v>46198.50277777778</v>
      </c>
      <c r="N481" t="s">
        <v>26</v>
      </c>
    </row>
    <row r="482" spans="1:14" x14ac:dyDescent="0.25">
      <c r="A482" s="9" t="s">
        <v>5211</v>
      </c>
      <c r="B482" s="10">
        <v>714</v>
      </c>
      <c r="C482" s="10" t="s">
        <v>143</v>
      </c>
      <c r="D482" t="s">
        <v>4907</v>
      </c>
      <c r="E482" t="s">
        <v>4908</v>
      </c>
      <c r="F482" s="10" t="s">
        <v>23</v>
      </c>
      <c r="G482" s="2">
        <v>25.77</v>
      </c>
      <c r="H482" s="13">
        <v>17</v>
      </c>
      <c r="I482" s="13">
        <v>21</v>
      </c>
      <c r="J482" s="13">
        <v>-21</v>
      </c>
      <c r="K482" s="10">
        <v>17</v>
      </c>
      <c r="L482" s="2">
        <v>438.09</v>
      </c>
      <c r="M482" s="1">
        <v>46199.502083333333</v>
      </c>
      <c r="N482" t="s">
        <v>990</v>
      </c>
    </row>
    <row r="483" spans="1:14" x14ac:dyDescent="0.25">
      <c r="A483" s="9" t="s">
        <v>5211</v>
      </c>
      <c r="B483" s="10">
        <v>636</v>
      </c>
      <c r="C483" s="10" t="s">
        <v>70</v>
      </c>
      <c r="D483" t="s">
        <v>694</v>
      </c>
      <c r="E483" t="s">
        <v>695</v>
      </c>
      <c r="F483" s="10" t="s">
        <v>112</v>
      </c>
      <c r="G483" s="2">
        <v>7.0887000000000002</v>
      </c>
      <c r="H483" s="13">
        <v>17</v>
      </c>
      <c r="I483" s="13">
        <v>-20</v>
      </c>
      <c r="J483" s="13">
        <v>20</v>
      </c>
      <c r="K483" s="10">
        <v>17</v>
      </c>
      <c r="L483" s="2">
        <v>120.50790000000001</v>
      </c>
      <c r="M483" s="1">
        <v>46205.582638888889</v>
      </c>
      <c r="N483" t="s">
        <v>26</v>
      </c>
    </row>
    <row r="484" spans="1:14" x14ac:dyDescent="0.25">
      <c r="A484" s="9" t="s">
        <v>5211</v>
      </c>
      <c r="B484" s="10">
        <v>718</v>
      </c>
      <c r="C484" s="10" t="s">
        <v>70</v>
      </c>
      <c r="D484" t="s">
        <v>4731</v>
      </c>
      <c r="E484" t="s">
        <v>4732</v>
      </c>
      <c r="F484" s="10" t="s">
        <v>39</v>
      </c>
      <c r="G484" s="2">
        <v>5.6923000000000004</v>
      </c>
      <c r="H484" s="13">
        <v>17</v>
      </c>
      <c r="I484" s="13">
        <v>266</v>
      </c>
      <c r="J484" s="13">
        <v>-266</v>
      </c>
      <c r="K484" s="10">
        <v>17</v>
      </c>
      <c r="L484" s="2">
        <v>96.769099999999995</v>
      </c>
      <c r="M484" s="1">
        <v>46212.438888888886</v>
      </c>
      <c r="N484" t="s">
        <v>40</v>
      </c>
    </row>
    <row r="485" spans="1:14" x14ac:dyDescent="0.25">
      <c r="A485" s="9" t="s">
        <v>5211</v>
      </c>
      <c r="B485" s="10">
        <v>714</v>
      </c>
      <c r="C485" s="10" t="s">
        <v>143</v>
      </c>
      <c r="D485" t="s">
        <v>2330</v>
      </c>
      <c r="E485" t="s">
        <v>2331</v>
      </c>
      <c r="F485" s="10" t="s">
        <v>29</v>
      </c>
      <c r="G485" s="2">
        <v>84.965500000000006</v>
      </c>
      <c r="H485" s="13">
        <v>17</v>
      </c>
      <c r="I485" s="13">
        <v>0</v>
      </c>
      <c r="J485" s="13">
        <v>0</v>
      </c>
      <c r="K485" s="10">
        <v>17</v>
      </c>
      <c r="L485" s="2">
        <v>1444.4135000000001</v>
      </c>
      <c r="M485" s="1">
        <v>46214.34652777778</v>
      </c>
      <c r="N485" t="s">
        <v>903</v>
      </c>
    </row>
    <row r="486" spans="1:14" x14ac:dyDescent="0.25">
      <c r="A486" s="9" t="s">
        <v>5211</v>
      </c>
      <c r="B486" s="10">
        <v>714</v>
      </c>
      <c r="C486" s="10" t="s">
        <v>143</v>
      </c>
      <c r="D486" t="s">
        <v>4913</v>
      </c>
      <c r="E486" t="s">
        <v>4914</v>
      </c>
      <c r="F486" s="10" t="s">
        <v>43</v>
      </c>
      <c r="G486" s="2">
        <v>14.4421</v>
      </c>
      <c r="H486" s="13">
        <v>17</v>
      </c>
      <c r="I486" s="13">
        <v>7</v>
      </c>
      <c r="J486" s="13">
        <v>-7</v>
      </c>
      <c r="K486" s="10">
        <v>17</v>
      </c>
      <c r="L486" s="2">
        <v>245.51570000000001</v>
      </c>
      <c r="M486" s="1">
        <v>46218.663888888892</v>
      </c>
      <c r="N486" t="s">
        <v>140</v>
      </c>
    </row>
    <row r="487" spans="1:14" x14ac:dyDescent="0.25">
      <c r="A487" s="9" t="s">
        <v>5211</v>
      </c>
      <c r="B487" s="10">
        <v>634</v>
      </c>
      <c r="C487" s="10" t="s">
        <v>143</v>
      </c>
      <c r="D487" t="s">
        <v>4086</v>
      </c>
      <c r="E487" t="s">
        <v>4087</v>
      </c>
      <c r="F487" s="10" t="s">
        <v>158</v>
      </c>
      <c r="G487" s="2">
        <v>45</v>
      </c>
      <c r="H487" s="13">
        <v>17</v>
      </c>
      <c r="I487" s="13">
        <v>168</v>
      </c>
      <c r="J487" s="13">
        <v>-168</v>
      </c>
      <c r="K487" s="10">
        <v>17</v>
      </c>
      <c r="L487" s="2">
        <v>765</v>
      </c>
      <c r="M487" s="1">
        <v>46219.574999999997</v>
      </c>
      <c r="N487" t="s">
        <v>61</v>
      </c>
    </row>
    <row r="488" spans="1:14" x14ac:dyDescent="0.25">
      <c r="A488" s="9" t="s">
        <v>5211</v>
      </c>
      <c r="B488" s="10">
        <v>634</v>
      </c>
      <c r="C488" s="10" t="s">
        <v>143</v>
      </c>
      <c r="D488" t="s">
        <v>4144</v>
      </c>
      <c r="E488" t="s">
        <v>4145</v>
      </c>
      <c r="F488" s="10" t="s">
        <v>43</v>
      </c>
      <c r="G488" s="2">
        <v>9.5783000000000005</v>
      </c>
      <c r="H488" s="13">
        <v>17</v>
      </c>
      <c r="I488" s="13">
        <v>201</v>
      </c>
      <c r="J488" s="13">
        <v>-201</v>
      </c>
      <c r="K488" s="10">
        <v>17</v>
      </c>
      <c r="L488" s="2">
        <v>162.83109999999999</v>
      </c>
      <c r="M488" s="1">
        <v>46224.615972222222</v>
      </c>
      <c r="N488" t="s">
        <v>140</v>
      </c>
    </row>
    <row r="489" spans="1:14" x14ac:dyDescent="0.25">
      <c r="A489" s="9" t="s">
        <v>5211</v>
      </c>
      <c r="B489" s="10">
        <v>636</v>
      </c>
      <c r="C489" s="10" t="s">
        <v>126</v>
      </c>
      <c r="D489" t="s">
        <v>4064</v>
      </c>
      <c r="E489" t="s">
        <v>4065</v>
      </c>
      <c r="F489" s="10" t="s">
        <v>112</v>
      </c>
      <c r="G489" s="2">
        <v>6.5382999999999996</v>
      </c>
      <c r="H489" s="13">
        <v>17</v>
      </c>
      <c r="I489" s="13">
        <v>16</v>
      </c>
      <c r="J489" s="13">
        <v>-16</v>
      </c>
      <c r="K489" s="10">
        <v>17</v>
      </c>
      <c r="L489" s="2">
        <v>111.1511</v>
      </c>
      <c r="M489" s="1">
        <v>46225.4</v>
      </c>
      <c r="N489" t="s">
        <v>16</v>
      </c>
    </row>
    <row r="490" spans="1:14" x14ac:dyDescent="0.25">
      <c r="A490" s="9" t="s">
        <v>5211</v>
      </c>
      <c r="B490" s="10">
        <v>718</v>
      </c>
      <c r="C490" s="10" t="s">
        <v>70</v>
      </c>
      <c r="D490" t="s">
        <v>2056</v>
      </c>
      <c r="E490" t="s">
        <v>2057</v>
      </c>
      <c r="F490" s="10" t="s">
        <v>29</v>
      </c>
      <c r="G490" s="2">
        <v>10.7867</v>
      </c>
      <c r="H490" s="13">
        <v>17</v>
      </c>
      <c r="I490" s="13">
        <v>0</v>
      </c>
      <c r="J490" s="13">
        <v>0</v>
      </c>
      <c r="K490" s="10">
        <v>17</v>
      </c>
      <c r="L490" s="2">
        <v>183.37389999999999</v>
      </c>
      <c r="M490" s="1">
        <v>46232.6</v>
      </c>
      <c r="N490" t="s">
        <v>573</v>
      </c>
    </row>
    <row r="491" spans="1:14" x14ac:dyDescent="0.25">
      <c r="A491" s="9" t="s">
        <v>5211</v>
      </c>
      <c r="B491" s="10">
        <v>718</v>
      </c>
      <c r="C491" s="10" t="s">
        <v>70</v>
      </c>
      <c r="D491" t="s">
        <v>3693</v>
      </c>
      <c r="E491" t="s">
        <v>3694</v>
      </c>
      <c r="F491" s="10" t="s">
        <v>39</v>
      </c>
      <c r="G491" s="2">
        <v>8.3377999999999997</v>
      </c>
      <c r="H491" s="13">
        <v>17</v>
      </c>
      <c r="I491" s="13">
        <v>0</v>
      </c>
      <c r="J491" s="13">
        <v>0</v>
      </c>
      <c r="K491" s="10">
        <v>17</v>
      </c>
      <c r="L491" s="2">
        <v>141.74260000000001</v>
      </c>
      <c r="M491" s="1">
        <v>46232.6</v>
      </c>
      <c r="N491" t="s">
        <v>573</v>
      </c>
    </row>
    <row r="492" spans="1:14" x14ac:dyDescent="0.25">
      <c r="A492" s="9" t="s">
        <v>5211</v>
      </c>
      <c r="B492" s="10">
        <v>718</v>
      </c>
      <c r="C492" s="10" t="s">
        <v>143</v>
      </c>
      <c r="D492" t="s">
        <v>2671</v>
      </c>
      <c r="E492" t="s">
        <v>2672</v>
      </c>
      <c r="F492" s="10" t="s">
        <v>39</v>
      </c>
      <c r="G492" s="2">
        <v>15.2309</v>
      </c>
      <c r="H492" s="13">
        <v>17</v>
      </c>
      <c r="I492" s="13">
        <v>3</v>
      </c>
      <c r="J492" s="13">
        <v>-3</v>
      </c>
      <c r="K492" s="10">
        <v>17</v>
      </c>
      <c r="L492" s="2">
        <v>258.92529999999999</v>
      </c>
      <c r="M492" s="1">
        <v>46240.650694444441</v>
      </c>
      <c r="N492" t="s">
        <v>140</v>
      </c>
    </row>
    <row r="493" spans="1:14" x14ac:dyDescent="0.25">
      <c r="A493" s="9" t="s">
        <v>5211</v>
      </c>
      <c r="B493" s="10">
        <v>714</v>
      </c>
      <c r="C493" s="10" t="s">
        <v>323</v>
      </c>
      <c r="D493" t="s">
        <v>3161</v>
      </c>
      <c r="E493" s="6" t="s">
        <v>3162</v>
      </c>
      <c r="F493" s="11" t="s">
        <v>58</v>
      </c>
      <c r="G493" s="2">
        <v>151.47839999999999</v>
      </c>
      <c r="H493" s="13">
        <v>16</v>
      </c>
      <c r="I493" s="13">
        <v>-2</v>
      </c>
      <c r="J493" s="13">
        <v>2</v>
      </c>
      <c r="K493" s="10">
        <v>16</v>
      </c>
      <c r="L493" s="2">
        <v>2423.6543999999999</v>
      </c>
      <c r="M493" s="1">
        <v>45006.34097222222</v>
      </c>
      <c r="N493" t="s">
        <v>3163</v>
      </c>
    </row>
    <row r="494" spans="1:14" x14ac:dyDescent="0.25">
      <c r="A494" s="9" t="s">
        <v>5211</v>
      </c>
      <c r="B494" s="10">
        <v>714</v>
      </c>
      <c r="C494" s="10" t="s">
        <v>143</v>
      </c>
      <c r="D494" t="s">
        <v>2685</v>
      </c>
      <c r="E494" t="s">
        <v>2686</v>
      </c>
      <c r="F494" s="10" t="s">
        <v>39</v>
      </c>
      <c r="G494" s="2">
        <v>12.3949</v>
      </c>
      <c r="H494" s="13">
        <v>16</v>
      </c>
      <c r="I494" s="13">
        <v>6</v>
      </c>
      <c r="J494" s="13">
        <v>-6</v>
      </c>
      <c r="K494" s="10">
        <v>16</v>
      </c>
      <c r="L494" s="2">
        <v>198.3184</v>
      </c>
      <c r="M494" s="1">
        <v>45444.660416666666</v>
      </c>
      <c r="N494" t="s">
        <v>2225</v>
      </c>
    </row>
    <row r="495" spans="1:14" x14ac:dyDescent="0.25">
      <c r="A495" s="9" t="s">
        <v>5211</v>
      </c>
      <c r="B495" s="10">
        <v>634</v>
      </c>
      <c r="C495" s="10" t="s">
        <v>70</v>
      </c>
      <c r="D495" t="s">
        <v>4024</v>
      </c>
      <c r="E495" s="6" t="s">
        <v>4025</v>
      </c>
      <c r="F495" s="11" t="s">
        <v>58</v>
      </c>
      <c r="G495" s="2">
        <v>5.3335999999999997</v>
      </c>
      <c r="H495" s="13">
        <v>16</v>
      </c>
      <c r="I495" s="13">
        <v>18</v>
      </c>
      <c r="J495" s="13">
        <v>-18</v>
      </c>
      <c r="K495" s="10">
        <v>16</v>
      </c>
      <c r="L495" s="2">
        <v>85.337599999999995</v>
      </c>
      <c r="M495" s="1">
        <v>45807.578472222223</v>
      </c>
      <c r="N495" t="s">
        <v>16</v>
      </c>
    </row>
    <row r="496" spans="1:14" x14ac:dyDescent="0.25">
      <c r="A496" s="9" t="s">
        <v>5211</v>
      </c>
      <c r="B496" s="10">
        <v>714</v>
      </c>
      <c r="C496" s="10" t="s">
        <v>70</v>
      </c>
      <c r="D496" t="s">
        <v>2016</v>
      </c>
      <c r="E496" t="s">
        <v>2017</v>
      </c>
      <c r="F496" s="10" t="s">
        <v>15</v>
      </c>
      <c r="G496" s="2">
        <v>5.7522000000000002</v>
      </c>
      <c r="H496" s="13">
        <v>16</v>
      </c>
      <c r="I496" s="13">
        <v>0</v>
      </c>
      <c r="J496" s="13">
        <v>0</v>
      </c>
      <c r="K496" s="10">
        <v>16</v>
      </c>
      <c r="L496" s="2">
        <v>92.035200000000003</v>
      </c>
      <c r="M496" s="1">
        <v>45884.377083333333</v>
      </c>
      <c r="N496" t="s">
        <v>40</v>
      </c>
    </row>
    <row r="497" spans="1:14" x14ac:dyDescent="0.25">
      <c r="A497" s="9" t="s">
        <v>5211</v>
      </c>
      <c r="B497" s="10">
        <v>714</v>
      </c>
      <c r="C497" s="10" t="s">
        <v>143</v>
      </c>
      <c r="D497" t="s">
        <v>4865</v>
      </c>
      <c r="E497" t="s">
        <v>4866</v>
      </c>
      <c r="F497" s="10" t="s">
        <v>35</v>
      </c>
      <c r="G497" s="2">
        <v>19.992699999999999</v>
      </c>
      <c r="H497" s="13">
        <v>16</v>
      </c>
      <c r="I497" s="13">
        <v>6</v>
      </c>
      <c r="J497" s="13">
        <v>-6</v>
      </c>
      <c r="K497" s="10">
        <v>16</v>
      </c>
      <c r="L497" s="2">
        <v>319.88319999999999</v>
      </c>
      <c r="M497" s="1">
        <v>45979.525000000001</v>
      </c>
      <c r="N497" t="s">
        <v>2268</v>
      </c>
    </row>
    <row r="498" spans="1:14" x14ac:dyDescent="0.25">
      <c r="A498" s="9" t="s">
        <v>5211</v>
      </c>
      <c r="B498" s="10">
        <v>718</v>
      </c>
      <c r="C498" s="10" t="s">
        <v>143</v>
      </c>
      <c r="D498" t="s">
        <v>4196</v>
      </c>
      <c r="E498" t="s">
        <v>4197</v>
      </c>
      <c r="F498" s="10" t="s">
        <v>23</v>
      </c>
      <c r="G498" s="2">
        <v>20.697099999999999</v>
      </c>
      <c r="H498" s="13">
        <v>16</v>
      </c>
      <c r="I498" s="13">
        <v>57</v>
      </c>
      <c r="J498" s="13">
        <v>-57</v>
      </c>
      <c r="K498" s="10">
        <v>16</v>
      </c>
      <c r="L498" s="2">
        <v>331.15359999999998</v>
      </c>
      <c r="M498" s="1">
        <v>46093.446527777778</v>
      </c>
      <c r="N498" t="s">
        <v>562</v>
      </c>
    </row>
    <row r="499" spans="1:14" x14ac:dyDescent="0.25">
      <c r="A499" s="9" t="s">
        <v>5211</v>
      </c>
      <c r="B499" s="10">
        <v>718</v>
      </c>
      <c r="C499" s="10" t="s">
        <v>143</v>
      </c>
      <c r="D499" t="s">
        <v>2507</v>
      </c>
      <c r="E499" t="s">
        <v>2508</v>
      </c>
      <c r="F499" s="10" t="s">
        <v>39</v>
      </c>
      <c r="G499" s="2">
        <v>30.613299999999999</v>
      </c>
      <c r="H499" s="13">
        <v>16</v>
      </c>
      <c r="I499" s="13">
        <v>-2</v>
      </c>
      <c r="J499" s="13">
        <v>2</v>
      </c>
      <c r="K499" s="10">
        <v>16</v>
      </c>
      <c r="L499" s="2">
        <v>489.81279999999998</v>
      </c>
      <c r="M499" s="1">
        <v>46112.350694444445</v>
      </c>
      <c r="N499" t="s">
        <v>36</v>
      </c>
    </row>
    <row r="500" spans="1:14" x14ac:dyDescent="0.25">
      <c r="A500" s="9" t="s">
        <v>5211</v>
      </c>
      <c r="B500" s="10">
        <v>636</v>
      </c>
      <c r="C500" s="10" t="s">
        <v>143</v>
      </c>
      <c r="D500" t="s">
        <v>1146</v>
      </c>
      <c r="E500" t="s">
        <v>1147</v>
      </c>
      <c r="F500" s="10" t="s">
        <v>19</v>
      </c>
      <c r="G500" s="2">
        <v>119.4607</v>
      </c>
      <c r="H500" s="13">
        <v>16</v>
      </c>
      <c r="I500" s="13">
        <v>10</v>
      </c>
      <c r="J500" s="13">
        <v>-10</v>
      </c>
      <c r="K500" s="10">
        <v>16</v>
      </c>
      <c r="L500" s="2">
        <v>1911.3712</v>
      </c>
      <c r="M500" s="1">
        <v>46119.593055555553</v>
      </c>
      <c r="N500" t="s">
        <v>236</v>
      </c>
    </row>
    <row r="501" spans="1:14" x14ac:dyDescent="0.25">
      <c r="A501" s="9" t="s">
        <v>5211</v>
      </c>
      <c r="B501" s="10">
        <v>636</v>
      </c>
      <c r="C501" s="10" t="s">
        <v>143</v>
      </c>
      <c r="D501" t="s">
        <v>936</v>
      </c>
      <c r="E501" t="s">
        <v>937</v>
      </c>
      <c r="F501" s="10" t="s">
        <v>29</v>
      </c>
      <c r="G501" s="2">
        <v>18.968699999999998</v>
      </c>
      <c r="H501" s="13">
        <v>16</v>
      </c>
      <c r="I501" s="13">
        <v>0</v>
      </c>
      <c r="J501" s="13">
        <v>0</v>
      </c>
      <c r="K501" s="10">
        <v>16</v>
      </c>
      <c r="L501" s="2">
        <v>303.49919999999997</v>
      </c>
      <c r="M501" s="1">
        <v>46121.68472222222</v>
      </c>
      <c r="N501" t="s">
        <v>47</v>
      </c>
    </row>
    <row r="502" spans="1:14" x14ac:dyDescent="0.25">
      <c r="A502" s="9" t="s">
        <v>5211</v>
      </c>
      <c r="B502" s="10">
        <v>634</v>
      </c>
      <c r="C502" s="10" t="s">
        <v>143</v>
      </c>
      <c r="D502" t="s">
        <v>4156</v>
      </c>
      <c r="E502" t="s">
        <v>4157</v>
      </c>
      <c r="F502" s="10" t="s">
        <v>112</v>
      </c>
      <c r="G502" s="2">
        <v>23.773800000000001</v>
      </c>
      <c r="H502" s="13">
        <v>16</v>
      </c>
      <c r="I502" s="13">
        <v>11</v>
      </c>
      <c r="J502" s="13">
        <v>-11</v>
      </c>
      <c r="K502" s="10">
        <v>16</v>
      </c>
      <c r="L502" s="2">
        <v>380.38080000000002</v>
      </c>
      <c r="M502" s="1">
        <v>46126.656944444447</v>
      </c>
      <c r="N502" t="s">
        <v>26</v>
      </c>
    </row>
    <row r="503" spans="1:14" x14ac:dyDescent="0.25">
      <c r="A503" s="9" t="s">
        <v>5211</v>
      </c>
      <c r="B503" s="10">
        <v>714</v>
      </c>
      <c r="C503" s="10" t="s">
        <v>12</v>
      </c>
      <c r="D503" t="s">
        <v>1839</v>
      </c>
      <c r="E503" t="s">
        <v>1840</v>
      </c>
      <c r="F503" s="10" t="s">
        <v>112</v>
      </c>
      <c r="G503" s="2">
        <v>9.0951000000000004</v>
      </c>
      <c r="H503" s="13">
        <v>16</v>
      </c>
      <c r="I503" s="13">
        <v>0</v>
      </c>
      <c r="J503" s="13">
        <v>0</v>
      </c>
      <c r="K503" s="10">
        <v>16</v>
      </c>
      <c r="L503" s="2">
        <v>145.52160000000001</v>
      </c>
      <c r="M503" s="1">
        <v>46140.479166666664</v>
      </c>
      <c r="N503" t="s">
        <v>1841</v>
      </c>
    </row>
    <row r="504" spans="1:14" x14ac:dyDescent="0.25">
      <c r="A504" s="9" t="s">
        <v>5211</v>
      </c>
      <c r="B504" s="10">
        <v>714</v>
      </c>
      <c r="C504" s="10" t="s">
        <v>323</v>
      </c>
      <c r="D504" t="s">
        <v>3308</v>
      </c>
      <c r="E504" t="s">
        <v>3309</v>
      </c>
      <c r="F504" s="10" t="s">
        <v>158</v>
      </c>
      <c r="G504" s="2">
        <v>213.57390000000001</v>
      </c>
      <c r="H504" s="13">
        <v>16</v>
      </c>
      <c r="I504" s="13">
        <v>-2</v>
      </c>
      <c r="J504" s="13">
        <v>2</v>
      </c>
      <c r="K504" s="10">
        <v>16</v>
      </c>
      <c r="L504" s="2">
        <v>3417.1824000000001</v>
      </c>
      <c r="M504" s="1">
        <v>46141.760416666664</v>
      </c>
      <c r="N504" t="s">
        <v>3310</v>
      </c>
    </row>
    <row r="505" spans="1:14" x14ac:dyDescent="0.25">
      <c r="A505" s="9" t="s">
        <v>5211</v>
      </c>
      <c r="B505" s="10">
        <v>718</v>
      </c>
      <c r="C505" s="10" t="s">
        <v>70</v>
      </c>
      <c r="D505" t="s">
        <v>3691</v>
      </c>
      <c r="E505" t="s">
        <v>3692</v>
      </c>
      <c r="F505" s="10" t="s">
        <v>29</v>
      </c>
      <c r="G505" s="2">
        <v>4.1432000000000002</v>
      </c>
      <c r="H505" s="13">
        <v>16</v>
      </c>
      <c r="I505" s="13">
        <v>0</v>
      </c>
      <c r="J505" s="13">
        <v>0</v>
      </c>
      <c r="K505" s="10">
        <v>16</v>
      </c>
      <c r="L505" s="2">
        <v>66.291200000000003</v>
      </c>
      <c r="M505" s="1">
        <v>46149.466666666667</v>
      </c>
      <c r="N505" t="s">
        <v>16</v>
      </c>
    </row>
    <row r="506" spans="1:14" x14ac:dyDescent="0.25">
      <c r="A506" s="9" t="s">
        <v>5211</v>
      </c>
      <c r="B506" s="10">
        <v>636</v>
      </c>
      <c r="C506" s="10" t="s">
        <v>70</v>
      </c>
      <c r="D506" t="s">
        <v>700</v>
      </c>
      <c r="E506" t="s">
        <v>701</v>
      </c>
      <c r="F506" s="10" t="s">
        <v>23</v>
      </c>
      <c r="G506" s="2">
        <v>3.2271000000000001</v>
      </c>
      <c r="H506" s="13">
        <v>16</v>
      </c>
      <c r="I506" s="13">
        <v>0</v>
      </c>
      <c r="J506" s="13">
        <v>0</v>
      </c>
      <c r="K506" s="10">
        <v>16</v>
      </c>
      <c r="L506" s="2">
        <v>51.633600000000001</v>
      </c>
      <c r="M506" s="1">
        <v>46156.307638888888</v>
      </c>
      <c r="N506" t="s">
        <v>545</v>
      </c>
    </row>
    <row r="507" spans="1:14" x14ac:dyDescent="0.25">
      <c r="A507" s="9" t="s">
        <v>5211</v>
      </c>
      <c r="B507" s="10">
        <v>636</v>
      </c>
      <c r="C507" s="10" t="s">
        <v>323</v>
      </c>
      <c r="D507" t="s">
        <v>1427</v>
      </c>
      <c r="E507" t="s">
        <v>1428</v>
      </c>
      <c r="F507" s="10" t="s">
        <v>23</v>
      </c>
      <c r="G507" s="2">
        <v>152.35679999999999</v>
      </c>
      <c r="H507" s="13">
        <v>16</v>
      </c>
      <c r="I507" s="13">
        <v>6</v>
      </c>
      <c r="J507" s="13">
        <v>-6</v>
      </c>
      <c r="K507" s="10">
        <v>16</v>
      </c>
      <c r="L507" s="2">
        <v>2437.7087999999999</v>
      </c>
      <c r="M507" s="1">
        <v>46157.602083333331</v>
      </c>
      <c r="N507" t="s">
        <v>1224</v>
      </c>
    </row>
    <row r="508" spans="1:14" x14ac:dyDescent="0.25">
      <c r="A508" s="9" t="s">
        <v>5211</v>
      </c>
      <c r="B508" s="10">
        <v>714</v>
      </c>
      <c r="C508" s="10" t="s">
        <v>70</v>
      </c>
      <c r="D508" t="s">
        <v>2093</v>
      </c>
      <c r="E508" t="s">
        <v>2094</v>
      </c>
      <c r="F508" s="10" t="s">
        <v>39</v>
      </c>
      <c r="G508" s="2">
        <v>3.2193000000000001</v>
      </c>
      <c r="H508" s="13">
        <v>16</v>
      </c>
      <c r="I508" s="13">
        <v>0</v>
      </c>
      <c r="J508" s="13">
        <v>0</v>
      </c>
      <c r="K508" s="10">
        <v>16</v>
      </c>
      <c r="L508" s="2">
        <v>51.508800000000001</v>
      </c>
      <c r="M508" s="1">
        <v>46161.429861111108</v>
      </c>
      <c r="N508" t="s">
        <v>506</v>
      </c>
    </row>
    <row r="509" spans="1:14" x14ac:dyDescent="0.25">
      <c r="A509" s="9" t="s">
        <v>5211</v>
      </c>
      <c r="B509" s="10">
        <v>714</v>
      </c>
      <c r="C509" s="10" t="s">
        <v>323</v>
      </c>
      <c r="D509" t="s">
        <v>2977</v>
      </c>
      <c r="E509" t="s">
        <v>2978</v>
      </c>
      <c r="F509" s="10" t="s">
        <v>29</v>
      </c>
      <c r="G509" s="2">
        <v>121.77160000000001</v>
      </c>
      <c r="H509" s="13">
        <v>16</v>
      </c>
      <c r="I509" s="13">
        <v>0</v>
      </c>
      <c r="J509" s="13">
        <v>0</v>
      </c>
      <c r="K509" s="10">
        <v>16</v>
      </c>
      <c r="L509" s="2">
        <v>1948.3456000000001</v>
      </c>
      <c r="M509" s="1">
        <v>46174.381249999999</v>
      </c>
      <c r="N509" t="s">
        <v>903</v>
      </c>
    </row>
    <row r="510" spans="1:14" x14ac:dyDescent="0.25">
      <c r="A510" s="9" t="s">
        <v>5211</v>
      </c>
      <c r="B510" s="10">
        <v>714</v>
      </c>
      <c r="C510" s="10" t="s">
        <v>143</v>
      </c>
      <c r="D510" t="s">
        <v>2288</v>
      </c>
      <c r="E510" t="s">
        <v>2289</v>
      </c>
      <c r="F510" s="10" t="s">
        <v>29</v>
      </c>
      <c r="G510" s="2">
        <v>24.197299999999998</v>
      </c>
      <c r="H510" s="13">
        <v>16</v>
      </c>
      <c r="I510" s="13">
        <v>0</v>
      </c>
      <c r="J510" s="13">
        <v>0</v>
      </c>
      <c r="K510" s="10">
        <v>16</v>
      </c>
      <c r="L510" s="2">
        <v>387.15679999999998</v>
      </c>
      <c r="M510" s="1">
        <v>46188.35</v>
      </c>
      <c r="N510" t="s">
        <v>26</v>
      </c>
    </row>
    <row r="511" spans="1:14" x14ac:dyDescent="0.25">
      <c r="A511" s="9" t="s">
        <v>5211</v>
      </c>
      <c r="B511" s="10">
        <v>636</v>
      </c>
      <c r="C511" s="10" t="s">
        <v>143</v>
      </c>
      <c r="D511" t="s">
        <v>906</v>
      </c>
      <c r="E511" t="s">
        <v>907</v>
      </c>
      <c r="F511" s="10" t="s">
        <v>43</v>
      </c>
      <c r="G511" s="2">
        <v>31.923100000000002</v>
      </c>
      <c r="H511" s="13">
        <v>16</v>
      </c>
      <c r="I511" s="13">
        <v>6</v>
      </c>
      <c r="J511" s="13">
        <v>-6</v>
      </c>
      <c r="K511" s="10">
        <v>16</v>
      </c>
      <c r="L511" s="2">
        <v>510.76960000000003</v>
      </c>
      <c r="M511" s="1">
        <v>46191.598611111112</v>
      </c>
      <c r="N511" t="s">
        <v>26</v>
      </c>
    </row>
    <row r="512" spans="1:14" x14ac:dyDescent="0.25">
      <c r="A512" s="9" t="s">
        <v>5211</v>
      </c>
      <c r="B512" s="10">
        <v>714</v>
      </c>
      <c r="C512" s="10" t="s">
        <v>143</v>
      </c>
      <c r="D512" t="s">
        <v>4214</v>
      </c>
      <c r="E512" t="s">
        <v>4215</v>
      </c>
      <c r="F512" s="10" t="s">
        <v>158</v>
      </c>
      <c r="G512" s="2">
        <v>63.691499999999998</v>
      </c>
      <c r="H512" s="13">
        <v>16</v>
      </c>
      <c r="I512" s="13">
        <v>11</v>
      </c>
      <c r="J512" s="13">
        <v>-11</v>
      </c>
      <c r="K512" s="10">
        <v>16</v>
      </c>
      <c r="L512" s="2">
        <v>1019.064</v>
      </c>
      <c r="M512" s="1">
        <v>46191.602083333331</v>
      </c>
      <c r="N512" t="s">
        <v>903</v>
      </c>
    </row>
    <row r="513" spans="1:14" x14ac:dyDescent="0.25">
      <c r="A513" s="9" t="s">
        <v>5211</v>
      </c>
      <c r="B513" s="10">
        <v>636</v>
      </c>
      <c r="C513" s="10" t="s">
        <v>323</v>
      </c>
      <c r="D513" t="s">
        <v>4260</v>
      </c>
      <c r="E513" t="s">
        <v>4261</v>
      </c>
      <c r="F513" s="10" t="s">
        <v>43</v>
      </c>
      <c r="G513" s="2">
        <v>39.129300000000001</v>
      </c>
      <c r="H513" s="13">
        <v>16</v>
      </c>
      <c r="I513" s="13">
        <v>40</v>
      </c>
      <c r="J513" s="13">
        <v>-40</v>
      </c>
      <c r="K513" s="10">
        <v>16</v>
      </c>
      <c r="L513" s="2">
        <v>626.06880000000001</v>
      </c>
      <c r="M513" s="1">
        <v>46196.340277777781</v>
      </c>
      <c r="N513" t="s">
        <v>146</v>
      </c>
    </row>
    <row r="514" spans="1:14" x14ac:dyDescent="0.25">
      <c r="A514" s="9" t="s">
        <v>5211</v>
      </c>
      <c r="B514" s="10">
        <v>636</v>
      </c>
      <c r="C514" s="10" t="s">
        <v>143</v>
      </c>
      <c r="D514" t="s">
        <v>193</v>
      </c>
      <c r="E514" t="s">
        <v>194</v>
      </c>
      <c r="F514" s="10" t="s">
        <v>23</v>
      </c>
      <c r="G514" s="2">
        <v>50.964100000000002</v>
      </c>
      <c r="H514" s="13">
        <v>16</v>
      </c>
      <c r="I514" s="13">
        <v>0</v>
      </c>
      <c r="J514" s="13">
        <v>0</v>
      </c>
      <c r="K514" s="10">
        <v>16</v>
      </c>
      <c r="L514" s="2">
        <v>815.42560000000003</v>
      </c>
      <c r="M514" s="1">
        <v>46198.460416666669</v>
      </c>
      <c r="N514" t="s">
        <v>195</v>
      </c>
    </row>
    <row r="515" spans="1:14" x14ac:dyDescent="0.25">
      <c r="A515" s="9" t="s">
        <v>5211</v>
      </c>
      <c r="B515" s="10">
        <v>636</v>
      </c>
      <c r="C515" s="10" t="s">
        <v>70</v>
      </c>
      <c r="D515" t="s">
        <v>802</v>
      </c>
      <c r="E515" t="s">
        <v>803</v>
      </c>
      <c r="F515" s="10" t="s">
        <v>39</v>
      </c>
      <c r="G515" s="2">
        <v>9.2708999999999993</v>
      </c>
      <c r="H515" s="13">
        <v>16</v>
      </c>
      <c r="I515" s="13">
        <v>0</v>
      </c>
      <c r="J515" s="13">
        <v>0</v>
      </c>
      <c r="K515" s="10">
        <v>16</v>
      </c>
      <c r="L515" s="2">
        <v>148.33439999999999</v>
      </c>
      <c r="M515" s="1">
        <v>46199.375</v>
      </c>
      <c r="N515" t="s">
        <v>16</v>
      </c>
    </row>
    <row r="516" spans="1:14" x14ac:dyDescent="0.25">
      <c r="A516" s="9" t="s">
        <v>5211</v>
      </c>
      <c r="B516" s="10">
        <v>636</v>
      </c>
      <c r="C516" s="10" t="s">
        <v>12</v>
      </c>
      <c r="D516" t="s">
        <v>553</v>
      </c>
      <c r="E516" t="s">
        <v>554</v>
      </c>
      <c r="F516" s="10" t="s">
        <v>29</v>
      </c>
      <c r="G516" s="2">
        <v>6.7305000000000001</v>
      </c>
      <c r="H516" s="13">
        <v>16</v>
      </c>
      <c r="I516" s="13">
        <v>-37</v>
      </c>
      <c r="J516" s="13">
        <v>37</v>
      </c>
      <c r="K516" s="10">
        <v>16</v>
      </c>
      <c r="L516" s="2">
        <v>107.688</v>
      </c>
      <c r="M516" s="1">
        <v>46204.443055555559</v>
      </c>
      <c r="N516" t="s">
        <v>40</v>
      </c>
    </row>
    <row r="517" spans="1:14" x14ac:dyDescent="0.25">
      <c r="A517" s="9" t="s">
        <v>5211</v>
      </c>
      <c r="B517" s="10">
        <v>636</v>
      </c>
      <c r="C517" s="10" t="s">
        <v>143</v>
      </c>
      <c r="D517" t="s">
        <v>1102</v>
      </c>
      <c r="E517" t="s">
        <v>1103</v>
      </c>
      <c r="F517" s="10" t="s">
        <v>29</v>
      </c>
      <c r="G517" s="2">
        <v>18.776199999999999</v>
      </c>
      <c r="H517" s="13">
        <v>16</v>
      </c>
      <c r="I517" s="13">
        <v>0</v>
      </c>
      <c r="J517" s="13">
        <v>0</v>
      </c>
      <c r="K517" s="10">
        <v>16</v>
      </c>
      <c r="L517" s="2">
        <v>300.41919999999999</v>
      </c>
      <c r="M517" s="1">
        <v>46216.52847222222</v>
      </c>
      <c r="N517" t="s">
        <v>40</v>
      </c>
    </row>
    <row r="518" spans="1:14" x14ac:dyDescent="0.25">
      <c r="A518" s="9" t="s">
        <v>5211</v>
      </c>
      <c r="B518" s="10">
        <v>714</v>
      </c>
      <c r="C518" s="10" t="s">
        <v>143</v>
      </c>
      <c r="D518" t="s">
        <v>2608</v>
      </c>
      <c r="E518" t="s">
        <v>2609</v>
      </c>
      <c r="F518" s="10" t="s">
        <v>29</v>
      </c>
      <c r="G518" s="2">
        <v>50.548699999999997</v>
      </c>
      <c r="H518" s="13">
        <v>16</v>
      </c>
      <c r="I518" s="13">
        <v>0</v>
      </c>
      <c r="J518" s="13">
        <v>0</v>
      </c>
      <c r="K518" s="10">
        <v>16</v>
      </c>
      <c r="L518" s="2">
        <v>808.77919999999995</v>
      </c>
      <c r="M518" s="1">
        <v>46220.35833333333</v>
      </c>
      <c r="N518" t="s">
        <v>195</v>
      </c>
    </row>
    <row r="519" spans="1:14" x14ac:dyDescent="0.25">
      <c r="A519" s="9" t="s">
        <v>5211</v>
      </c>
      <c r="B519" s="10">
        <v>636</v>
      </c>
      <c r="C519" s="10" t="s">
        <v>323</v>
      </c>
      <c r="D519" t="s">
        <v>1243</v>
      </c>
      <c r="E519" t="s">
        <v>1244</v>
      </c>
      <c r="F519" s="10" t="s">
        <v>455</v>
      </c>
      <c r="G519" s="2">
        <v>120.5848</v>
      </c>
      <c r="H519" s="13">
        <v>16</v>
      </c>
      <c r="I519" s="13">
        <v>0</v>
      </c>
      <c r="J519" s="13">
        <v>0</v>
      </c>
      <c r="K519" s="10">
        <v>16</v>
      </c>
      <c r="L519" s="2">
        <v>1929.3568</v>
      </c>
      <c r="M519" s="1">
        <v>46225.359722222223</v>
      </c>
      <c r="N519" t="s">
        <v>151</v>
      </c>
    </row>
    <row r="520" spans="1:14" x14ac:dyDescent="0.25">
      <c r="A520" s="9" t="s">
        <v>5211</v>
      </c>
      <c r="B520" s="10">
        <v>636</v>
      </c>
      <c r="C520" s="10" t="s">
        <v>126</v>
      </c>
      <c r="D520" t="s">
        <v>131</v>
      </c>
      <c r="E520" t="s">
        <v>132</v>
      </c>
      <c r="F520" s="10" t="s">
        <v>112</v>
      </c>
      <c r="G520" s="2">
        <v>7.8708999999999998</v>
      </c>
      <c r="H520" s="13">
        <v>16</v>
      </c>
      <c r="I520" s="13">
        <v>0</v>
      </c>
      <c r="J520" s="13">
        <v>0</v>
      </c>
      <c r="K520" s="10">
        <v>16</v>
      </c>
      <c r="L520" s="2">
        <v>125.9344</v>
      </c>
      <c r="M520" s="1">
        <v>46225.4</v>
      </c>
      <c r="N520" t="s">
        <v>16</v>
      </c>
    </row>
    <row r="521" spans="1:14" x14ac:dyDescent="0.25">
      <c r="A521" s="9" t="s">
        <v>5211</v>
      </c>
      <c r="B521" s="10">
        <v>718</v>
      </c>
      <c r="C521" s="10" t="s">
        <v>70</v>
      </c>
      <c r="D521" t="s">
        <v>4415</v>
      </c>
      <c r="E521" t="s">
        <v>4416</v>
      </c>
      <c r="F521" s="10" t="s">
        <v>39</v>
      </c>
      <c r="G521" s="2">
        <v>6.6585999999999999</v>
      </c>
      <c r="H521" s="13">
        <v>16</v>
      </c>
      <c r="I521" s="13">
        <v>8</v>
      </c>
      <c r="J521" s="13">
        <v>-8</v>
      </c>
      <c r="K521" s="10">
        <v>16</v>
      </c>
      <c r="L521" s="2">
        <v>106.5376</v>
      </c>
      <c r="M521" s="1">
        <v>46232.6</v>
      </c>
      <c r="N521" t="s">
        <v>573</v>
      </c>
    </row>
    <row r="522" spans="1:14" x14ac:dyDescent="0.25">
      <c r="A522" s="9" t="s">
        <v>5211</v>
      </c>
      <c r="B522" s="10">
        <v>714</v>
      </c>
      <c r="C522" s="10" t="s">
        <v>70</v>
      </c>
      <c r="D522" t="s">
        <v>86</v>
      </c>
      <c r="E522" t="s">
        <v>87</v>
      </c>
      <c r="F522" s="10" t="s">
        <v>39</v>
      </c>
      <c r="G522" s="2">
        <v>7.0048000000000004</v>
      </c>
      <c r="H522" s="13">
        <v>16</v>
      </c>
      <c r="I522" s="13">
        <v>0</v>
      </c>
      <c r="J522" s="13">
        <v>0</v>
      </c>
      <c r="K522" s="10">
        <v>16</v>
      </c>
      <c r="L522" s="2">
        <v>112.07680000000001</v>
      </c>
      <c r="M522" s="1">
        <v>46234.623611111114</v>
      </c>
      <c r="N522" t="s">
        <v>16</v>
      </c>
    </row>
    <row r="523" spans="1:14" x14ac:dyDescent="0.25">
      <c r="A523" s="9" t="s">
        <v>5211</v>
      </c>
      <c r="B523" s="10">
        <v>714</v>
      </c>
      <c r="C523" s="10" t="s">
        <v>143</v>
      </c>
      <c r="D523" t="s">
        <v>2389</v>
      </c>
      <c r="E523" t="s">
        <v>2390</v>
      </c>
      <c r="F523" s="10" t="s">
        <v>19</v>
      </c>
      <c r="G523" s="2">
        <v>85.5</v>
      </c>
      <c r="H523" s="13">
        <v>16</v>
      </c>
      <c r="I523" s="13">
        <v>0</v>
      </c>
      <c r="J523" s="13">
        <v>0</v>
      </c>
      <c r="K523" s="10">
        <v>16</v>
      </c>
      <c r="L523" s="2">
        <v>1368</v>
      </c>
      <c r="M523" s="1">
        <v>46237.456250000003</v>
      </c>
      <c r="N523" t="s">
        <v>229</v>
      </c>
    </row>
    <row r="524" spans="1:14" x14ac:dyDescent="0.25">
      <c r="A524" s="9" t="s">
        <v>5211</v>
      </c>
      <c r="B524" s="10">
        <v>718</v>
      </c>
      <c r="C524" s="10" t="s">
        <v>70</v>
      </c>
      <c r="D524" t="s">
        <v>4044</v>
      </c>
      <c r="E524" t="s">
        <v>4045</v>
      </c>
      <c r="F524" s="10" t="s">
        <v>112</v>
      </c>
      <c r="G524" s="2">
        <v>5.9519000000000002</v>
      </c>
      <c r="H524" s="13">
        <v>16</v>
      </c>
      <c r="I524" s="13">
        <v>30</v>
      </c>
      <c r="J524" s="13">
        <v>-30</v>
      </c>
      <c r="K524" s="10">
        <v>16</v>
      </c>
      <c r="L524" s="2">
        <v>95.230400000000003</v>
      </c>
      <c r="M524" s="1">
        <v>46246.392361111109</v>
      </c>
      <c r="N524" t="s">
        <v>40</v>
      </c>
    </row>
    <row r="525" spans="1:14" x14ac:dyDescent="0.25">
      <c r="A525" s="9" t="s">
        <v>5211</v>
      </c>
      <c r="B525" s="10">
        <v>634</v>
      </c>
      <c r="C525" s="10" t="s">
        <v>143</v>
      </c>
      <c r="D525" t="s">
        <v>185</v>
      </c>
      <c r="E525" t="s">
        <v>186</v>
      </c>
      <c r="F525" s="10" t="s">
        <v>15</v>
      </c>
      <c r="G525" s="2">
        <v>19.476299999999998</v>
      </c>
      <c r="H525" s="13">
        <v>15</v>
      </c>
      <c r="I525" s="13">
        <v>0</v>
      </c>
      <c r="J525" s="13">
        <v>0</v>
      </c>
      <c r="K525" s="10">
        <v>15</v>
      </c>
      <c r="L525" s="2">
        <v>292.14449999999999</v>
      </c>
      <c r="M525" s="1">
        <v>45824.40625</v>
      </c>
      <c r="N525" t="s">
        <v>26</v>
      </c>
    </row>
    <row r="526" spans="1:14" x14ac:dyDescent="0.25">
      <c r="A526" s="9" t="s">
        <v>5211</v>
      </c>
      <c r="B526" s="10">
        <v>634</v>
      </c>
      <c r="C526" s="10" t="s">
        <v>143</v>
      </c>
      <c r="D526" t="s">
        <v>4096</v>
      </c>
      <c r="E526" t="s">
        <v>4097</v>
      </c>
      <c r="F526" s="10" t="s">
        <v>39</v>
      </c>
      <c r="G526" s="2">
        <v>28.198599999999999</v>
      </c>
      <c r="H526" s="13">
        <v>15</v>
      </c>
      <c r="I526" s="13">
        <v>103</v>
      </c>
      <c r="J526" s="13">
        <v>-103</v>
      </c>
      <c r="K526" s="10">
        <v>15</v>
      </c>
      <c r="L526" s="2">
        <v>422.97899999999998</v>
      </c>
      <c r="M526" s="1">
        <v>45887.461111111108</v>
      </c>
      <c r="N526" t="s">
        <v>26</v>
      </c>
    </row>
    <row r="527" spans="1:14" x14ac:dyDescent="0.25">
      <c r="A527" s="9" t="s">
        <v>5211</v>
      </c>
      <c r="B527" s="10">
        <v>714</v>
      </c>
      <c r="C527" s="10" t="s">
        <v>143</v>
      </c>
      <c r="D527" t="s">
        <v>2709</v>
      </c>
      <c r="E527" t="s">
        <v>2710</v>
      </c>
      <c r="F527" s="10" t="s">
        <v>39</v>
      </c>
      <c r="G527" s="2">
        <v>23.697900000000001</v>
      </c>
      <c r="H527" s="13">
        <v>15</v>
      </c>
      <c r="I527" s="13">
        <v>0</v>
      </c>
      <c r="J527" s="13">
        <v>0</v>
      </c>
      <c r="K527" s="10">
        <v>15</v>
      </c>
      <c r="L527" s="2">
        <v>355.46850000000001</v>
      </c>
      <c r="M527" s="1">
        <v>45953.335416666669</v>
      </c>
      <c r="N527" t="s">
        <v>67</v>
      </c>
    </row>
    <row r="528" spans="1:14" x14ac:dyDescent="0.25">
      <c r="A528" s="9" t="s">
        <v>5211</v>
      </c>
      <c r="B528" s="10">
        <v>714</v>
      </c>
      <c r="C528" s="10" t="s">
        <v>323</v>
      </c>
      <c r="D528" t="s">
        <v>418</v>
      </c>
      <c r="E528" t="s">
        <v>419</v>
      </c>
      <c r="F528" s="10" t="s">
        <v>158</v>
      </c>
      <c r="G528" s="2">
        <v>148.4384</v>
      </c>
      <c r="H528" s="13">
        <v>15</v>
      </c>
      <c r="I528" s="13">
        <v>3</v>
      </c>
      <c r="J528" s="13">
        <v>-3</v>
      </c>
      <c r="K528" s="10">
        <v>15</v>
      </c>
      <c r="L528" s="2">
        <v>2226.576</v>
      </c>
      <c r="M528" s="1">
        <v>46079.423611111109</v>
      </c>
      <c r="N528" t="s">
        <v>159</v>
      </c>
    </row>
    <row r="529" spans="1:14" x14ac:dyDescent="0.25">
      <c r="A529" s="9" t="s">
        <v>5211</v>
      </c>
      <c r="B529" s="10">
        <v>714</v>
      </c>
      <c r="C529" s="10" t="s">
        <v>323</v>
      </c>
      <c r="D529" t="s">
        <v>3133</v>
      </c>
      <c r="E529" t="s">
        <v>3134</v>
      </c>
      <c r="F529" s="10" t="s">
        <v>158</v>
      </c>
      <c r="G529" s="2">
        <v>335.34309999999999</v>
      </c>
      <c r="H529" s="13">
        <v>15</v>
      </c>
      <c r="I529" s="13">
        <v>0</v>
      </c>
      <c r="J529" s="13">
        <v>0</v>
      </c>
      <c r="K529" s="10">
        <v>15</v>
      </c>
      <c r="L529" s="2">
        <v>5030.1464999999998</v>
      </c>
      <c r="M529" s="1">
        <v>46083.444444444445</v>
      </c>
      <c r="N529" t="s">
        <v>137</v>
      </c>
    </row>
    <row r="530" spans="1:14" x14ac:dyDescent="0.25">
      <c r="A530" s="9" t="s">
        <v>5211</v>
      </c>
      <c r="B530" s="10">
        <v>636</v>
      </c>
      <c r="C530" s="10" t="s">
        <v>323</v>
      </c>
      <c r="D530" t="s">
        <v>1511</v>
      </c>
      <c r="E530" t="s">
        <v>1512</v>
      </c>
      <c r="F530" s="10" t="s">
        <v>29</v>
      </c>
      <c r="G530" s="2">
        <v>325.29520000000002</v>
      </c>
      <c r="H530" s="13">
        <v>15</v>
      </c>
      <c r="I530" s="13">
        <v>0</v>
      </c>
      <c r="J530" s="13">
        <v>0</v>
      </c>
      <c r="K530" s="10">
        <v>15</v>
      </c>
      <c r="L530" s="2">
        <v>4879.4279999999999</v>
      </c>
      <c r="M530" s="1">
        <v>46098.375694444447</v>
      </c>
      <c r="N530" t="s">
        <v>1229</v>
      </c>
    </row>
    <row r="531" spans="1:14" x14ac:dyDescent="0.25">
      <c r="A531" s="9" t="s">
        <v>5211</v>
      </c>
      <c r="B531" s="10">
        <v>714</v>
      </c>
      <c r="C531" s="10" t="s">
        <v>143</v>
      </c>
      <c r="D531" t="s">
        <v>2336</v>
      </c>
      <c r="E531" t="s">
        <v>2337</v>
      </c>
      <c r="F531" s="10" t="s">
        <v>29</v>
      </c>
      <c r="G531" s="2">
        <v>165.60900000000001</v>
      </c>
      <c r="H531" s="13">
        <v>15</v>
      </c>
      <c r="I531" s="13">
        <v>0</v>
      </c>
      <c r="J531" s="13">
        <v>0</v>
      </c>
      <c r="K531" s="10">
        <v>15</v>
      </c>
      <c r="L531" s="2">
        <v>2484.1350000000002</v>
      </c>
      <c r="M531" s="1">
        <v>46112.315972222219</v>
      </c>
      <c r="N531" t="s">
        <v>36</v>
      </c>
    </row>
    <row r="532" spans="1:14" x14ac:dyDescent="0.25">
      <c r="A532" s="9" t="s">
        <v>5211</v>
      </c>
      <c r="B532" s="10">
        <v>718</v>
      </c>
      <c r="C532" s="10" t="s">
        <v>70</v>
      </c>
      <c r="D532" t="s">
        <v>739</v>
      </c>
      <c r="E532" t="s">
        <v>740</v>
      </c>
      <c r="F532" s="10" t="s">
        <v>81</v>
      </c>
      <c r="G532" s="2">
        <v>7.2781000000000002</v>
      </c>
      <c r="H532" s="13">
        <v>15</v>
      </c>
      <c r="I532" s="13">
        <v>-3</v>
      </c>
      <c r="J532" s="13">
        <v>3</v>
      </c>
      <c r="K532" s="10">
        <v>15</v>
      </c>
      <c r="L532" s="2">
        <v>109.17149999999999</v>
      </c>
      <c r="M532" s="1">
        <v>46119.636111111111</v>
      </c>
      <c r="N532" t="s">
        <v>573</v>
      </c>
    </row>
    <row r="533" spans="1:14" x14ac:dyDescent="0.25">
      <c r="A533" s="9" t="s">
        <v>5211</v>
      </c>
      <c r="B533" s="10">
        <v>634</v>
      </c>
      <c r="C533" s="10" t="s">
        <v>143</v>
      </c>
      <c r="D533" t="s">
        <v>4170</v>
      </c>
      <c r="E533" t="s">
        <v>4171</v>
      </c>
      <c r="F533" s="10" t="s">
        <v>29</v>
      </c>
      <c r="G533" s="2">
        <v>34.176200000000001</v>
      </c>
      <c r="H533" s="13">
        <v>15</v>
      </c>
      <c r="I533" s="13">
        <v>3</v>
      </c>
      <c r="J533" s="13">
        <v>-3</v>
      </c>
      <c r="K533" s="10">
        <v>15</v>
      </c>
      <c r="L533" s="2">
        <v>512.64300000000003</v>
      </c>
      <c r="M533" s="1">
        <v>46120.659722222219</v>
      </c>
      <c r="N533" t="s">
        <v>30</v>
      </c>
    </row>
    <row r="534" spans="1:14" x14ac:dyDescent="0.25">
      <c r="A534" s="9" t="s">
        <v>5211</v>
      </c>
      <c r="B534" s="10">
        <v>636</v>
      </c>
      <c r="C534" s="10" t="s">
        <v>323</v>
      </c>
      <c r="D534" t="s">
        <v>4597</v>
      </c>
      <c r="E534" t="s">
        <v>4598</v>
      </c>
      <c r="F534" s="10" t="s">
        <v>158</v>
      </c>
      <c r="G534" s="2">
        <v>43.838099999999997</v>
      </c>
      <c r="H534" s="13">
        <v>15</v>
      </c>
      <c r="I534" s="13">
        <v>307</v>
      </c>
      <c r="J534" s="13">
        <v>-307</v>
      </c>
      <c r="K534" s="10">
        <v>15</v>
      </c>
      <c r="L534" s="2">
        <v>657.57150000000001</v>
      </c>
      <c r="M534" s="1">
        <v>46121.484722222223</v>
      </c>
      <c r="N534" t="s">
        <v>2268</v>
      </c>
    </row>
    <row r="535" spans="1:14" x14ac:dyDescent="0.25">
      <c r="A535" s="9" t="s">
        <v>5211</v>
      </c>
      <c r="B535" s="10">
        <v>636</v>
      </c>
      <c r="C535" s="10" t="s">
        <v>143</v>
      </c>
      <c r="D535" t="s">
        <v>4150</v>
      </c>
      <c r="E535" t="s">
        <v>4151</v>
      </c>
      <c r="F535" s="10" t="s">
        <v>158</v>
      </c>
      <c r="G535" s="2">
        <v>126.1514</v>
      </c>
      <c r="H535" s="13">
        <v>15</v>
      </c>
      <c r="I535" s="13">
        <v>0</v>
      </c>
      <c r="J535" s="13">
        <v>0</v>
      </c>
      <c r="K535" s="10">
        <v>15</v>
      </c>
      <c r="L535" s="2">
        <v>1892.271</v>
      </c>
      <c r="M535" s="1">
        <v>46123.402083333334</v>
      </c>
      <c r="N535" t="s">
        <v>216</v>
      </c>
    </row>
    <row r="536" spans="1:14" x14ac:dyDescent="0.25">
      <c r="A536" s="9" t="s">
        <v>5211</v>
      </c>
      <c r="B536" s="10">
        <v>634</v>
      </c>
      <c r="C536" s="10" t="s">
        <v>12</v>
      </c>
      <c r="D536" t="s">
        <v>3999</v>
      </c>
      <c r="E536" t="s">
        <v>4000</v>
      </c>
      <c r="F536" s="10" t="s">
        <v>43</v>
      </c>
      <c r="G536" s="2">
        <v>18.5</v>
      </c>
      <c r="H536" s="13">
        <v>15</v>
      </c>
      <c r="I536" s="13">
        <v>281</v>
      </c>
      <c r="J536" s="13">
        <v>-281</v>
      </c>
      <c r="K536" s="10">
        <v>15</v>
      </c>
      <c r="L536" s="2">
        <v>277.5</v>
      </c>
      <c r="M536" s="1">
        <v>46123.498611111114</v>
      </c>
      <c r="N536" t="s">
        <v>4001</v>
      </c>
    </row>
    <row r="537" spans="1:14" x14ac:dyDescent="0.25">
      <c r="A537" s="9" t="s">
        <v>5211</v>
      </c>
      <c r="B537" s="10">
        <v>636</v>
      </c>
      <c r="C537" s="10" t="s">
        <v>143</v>
      </c>
      <c r="D537" t="s">
        <v>1086</v>
      </c>
      <c r="E537" t="s">
        <v>1087</v>
      </c>
      <c r="F537" s="10" t="s">
        <v>29</v>
      </c>
      <c r="G537" s="2">
        <v>68.208699999999993</v>
      </c>
      <c r="H537" s="13">
        <v>15</v>
      </c>
      <c r="I537" s="13">
        <v>0</v>
      </c>
      <c r="J537" s="13">
        <v>0</v>
      </c>
      <c r="K537" s="10">
        <v>15</v>
      </c>
      <c r="L537" s="2">
        <v>1023.1305</v>
      </c>
      <c r="M537" s="1">
        <v>46126.396527777775</v>
      </c>
      <c r="N537" t="s">
        <v>175</v>
      </c>
    </row>
    <row r="538" spans="1:14" x14ac:dyDescent="0.25">
      <c r="A538" s="9" t="s">
        <v>5211</v>
      </c>
      <c r="B538" s="10">
        <v>634</v>
      </c>
      <c r="C538" s="10" t="s">
        <v>143</v>
      </c>
      <c r="D538" t="s">
        <v>160</v>
      </c>
      <c r="E538" t="s">
        <v>161</v>
      </c>
      <c r="F538" s="10" t="s">
        <v>39</v>
      </c>
      <c r="G538" s="2">
        <v>17.8292</v>
      </c>
      <c r="H538" s="13">
        <v>15</v>
      </c>
      <c r="I538" s="13">
        <v>5</v>
      </c>
      <c r="J538" s="13">
        <v>-5</v>
      </c>
      <c r="K538" s="10">
        <v>15</v>
      </c>
      <c r="L538" s="2">
        <v>267.43799999999999</v>
      </c>
      <c r="M538" s="1">
        <v>46126.546527777777</v>
      </c>
      <c r="N538" t="s">
        <v>162</v>
      </c>
    </row>
    <row r="539" spans="1:14" x14ac:dyDescent="0.25">
      <c r="A539" s="9" t="s">
        <v>5211</v>
      </c>
      <c r="B539" s="10">
        <v>634</v>
      </c>
      <c r="C539" s="10" t="s">
        <v>143</v>
      </c>
      <c r="D539" t="s">
        <v>149</v>
      </c>
      <c r="E539" t="s">
        <v>150</v>
      </c>
      <c r="F539" s="10" t="s">
        <v>29</v>
      </c>
      <c r="G539" s="2">
        <v>19.984100000000002</v>
      </c>
      <c r="H539" s="13">
        <v>15</v>
      </c>
      <c r="I539" s="13">
        <v>0</v>
      </c>
      <c r="J539" s="13">
        <v>0</v>
      </c>
      <c r="K539" s="10">
        <v>15</v>
      </c>
      <c r="L539" s="2">
        <v>299.76150000000001</v>
      </c>
      <c r="M539" s="1">
        <v>46134.53125</v>
      </c>
      <c r="N539" t="s">
        <v>40</v>
      </c>
    </row>
    <row r="540" spans="1:14" x14ac:dyDescent="0.25">
      <c r="A540" s="9" t="s">
        <v>5211</v>
      </c>
      <c r="B540" s="10">
        <v>636</v>
      </c>
      <c r="C540" s="10" t="s">
        <v>12</v>
      </c>
      <c r="D540" t="s">
        <v>536</v>
      </c>
      <c r="E540" t="s">
        <v>537</v>
      </c>
      <c r="F540" s="10" t="s">
        <v>29</v>
      </c>
      <c r="G540" s="2">
        <v>31.309200000000001</v>
      </c>
      <c r="H540" s="13">
        <v>15</v>
      </c>
      <c r="I540" s="13">
        <v>0</v>
      </c>
      <c r="J540" s="13">
        <v>0</v>
      </c>
      <c r="K540" s="10">
        <v>15</v>
      </c>
      <c r="L540" s="2">
        <v>469.63799999999998</v>
      </c>
      <c r="M540" s="1">
        <v>46146.459722222222</v>
      </c>
      <c r="N540" t="s">
        <v>67</v>
      </c>
    </row>
    <row r="541" spans="1:14" x14ac:dyDescent="0.25">
      <c r="A541" s="9" t="s">
        <v>5211</v>
      </c>
      <c r="B541" s="10">
        <v>714</v>
      </c>
      <c r="C541" s="10" t="s">
        <v>143</v>
      </c>
      <c r="D541" t="s">
        <v>4927</v>
      </c>
      <c r="E541" t="s">
        <v>4928</v>
      </c>
      <c r="F541" s="10" t="s">
        <v>23</v>
      </c>
      <c r="G541" s="2">
        <v>16.3993</v>
      </c>
      <c r="H541" s="13">
        <v>15</v>
      </c>
      <c r="I541" s="13">
        <v>49</v>
      </c>
      <c r="J541" s="13">
        <v>-49</v>
      </c>
      <c r="K541" s="10">
        <v>15</v>
      </c>
      <c r="L541" s="2">
        <v>245.98949999999999</v>
      </c>
      <c r="M541" s="1">
        <v>46146.463888888888</v>
      </c>
      <c r="N541" t="s">
        <v>2225</v>
      </c>
    </row>
    <row r="542" spans="1:14" x14ac:dyDescent="0.25">
      <c r="A542" s="9" t="s">
        <v>5211</v>
      </c>
      <c r="B542" s="10">
        <v>714</v>
      </c>
      <c r="C542" s="10" t="s">
        <v>323</v>
      </c>
      <c r="D542" t="s">
        <v>3135</v>
      </c>
      <c r="E542" t="s">
        <v>3136</v>
      </c>
      <c r="F542" s="10" t="s">
        <v>29</v>
      </c>
      <c r="G542" s="2">
        <v>16.879000000000001</v>
      </c>
      <c r="H542" s="13">
        <v>15</v>
      </c>
      <c r="I542" s="13">
        <v>0</v>
      </c>
      <c r="J542" s="13">
        <v>0</v>
      </c>
      <c r="K542" s="10">
        <v>15</v>
      </c>
      <c r="L542" s="2">
        <v>253.185</v>
      </c>
      <c r="M542" s="1">
        <v>46149.570138888892</v>
      </c>
      <c r="N542" t="s">
        <v>2930</v>
      </c>
    </row>
    <row r="543" spans="1:14" x14ac:dyDescent="0.25">
      <c r="A543" s="9" t="s">
        <v>5211</v>
      </c>
      <c r="B543" s="10">
        <v>714</v>
      </c>
      <c r="C543" s="10" t="s">
        <v>143</v>
      </c>
      <c r="D543" t="s">
        <v>2806</v>
      </c>
      <c r="E543" t="s">
        <v>2807</v>
      </c>
      <c r="F543" s="10" t="s">
        <v>39</v>
      </c>
      <c r="G543" s="2">
        <v>36.435699999999997</v>
      </c>
      <c r="H543" s="13">
        <v>15</v>
      </c>
      <c r="I543" s="13">
        <v>0</v>
      </c>
      <c r="J543" s="13">
        <v>0</v>
      </c>
      <c r="K543" s="10">
        <v>15</v>
      </c>
      <c r="L543" s="2">
        <v>546.53549999999996</v>
      </c>
      <c r="M543" s="1">
        <v>46151.379166666666</v>
      </c>
      <c r="N543" t="s">
        <v>1062</v>
      </c>
    </row>
    <row r="544" spans="1:14" x14ac:dyDescent="0.25">
      <c r="A544" s="9" t="s">
        <v>5211</v>
      </c>
      <c r="B544" s="10">
        <v>714</v>
      </c>
      <c r="C544" s="10" t="s">
        <v>323</v>
      </c>
      <c r="D544" t="s">
        <v>3353</v>
      </c>
      <c r="E544" t="s">
        <v>3354</v>
      </c>
      <c r="F544" s="10" t="s">
        <v>29</v>
      </c>
      <c r="G544" s="2">
        <v>254.87530000000001</v>
      </c>
      <c r="H544" s="13">
        <v>15</v>
      </c>
      <c r="I544" s="13">
        <v>2</v>
      </c>
      <c r="J544" s="13">
        <v>-2</v>
      </c>
      <c r="K544" s="10">
        <v>15</v>
      </c>
      <c r="L544" s="2">
        <v>3823.1295</v>
      </c>
      <c r="M544" s="1">
        <v>46161.368750000001</v>
      </c>
      <c r="N544" t="s">
        <v>1224</v>
      </c>
    </row>
    <row r="545" spans="1:14" x14ac:dyDescent="0.25">
      <c r="A545" s="9" t="s">
        <v>5211</v>
      </c>
      <c r="B545" s="10">
        <v>634</v>
      </c>
      <c r="C545" s="10" t="s">
        <v>143</v>
      </c>
      <c r="D545" t="s">
        <v>4074</v>
      </c>
      <c r="E545" t="s">
        <v>4075</v>
      </c>
      <c r="F545" s="10" t="s">
        <v>112</v>
      </c>
      <c r="G545" s="2">
        <v>16.011600000000001</v>
      </c>
      <c r="H545" s="13">
        <v>15</v>
      </c>
      <c r="I545" s="13">
        <v>46</v>
      </c>
      <c r="J545" s="13">
        <v>-46</v>
      </c>
      <c r="K545" s="10">
        <v>15</v>
      </c>
      <c r="L545" s="2">
        <v>240.17400000000001</v>
      </c>
      <c r="M545" s="1">
        <v>46162.544444444444</v>
      </c>
      <c r="N545" t="s">
        <v>162</v>
      </c>
    </row>
    <row r="546" spans="1:14" x14ac:dyDescent="0.25">
      <c r="A546" s="9" t="s">
        <v>5211</v>
      </c>
      <c r="B546" s="10">
        <v>714</v>
      </c>
      <c r="C546" s="10" t="s">
        <v>143</v>
      </c>
      <c r="D546" t="s">
        <v>2487</v>
      </c>
      <c r="E546" t="s">
        <v>2488</v>
      </c>
      <c r="F546" s="10" t="s">
        <v>23</v>
      </c>
      <c r="G546" s="2">
        <v>46.445500000000003</v>
      </c>
      <c r="H546" s="13">
        <v>15</v>
      </c>
      <c r="I546" s="13">
        <v>0</v>
      </c>
      <c r="J546" s="13">
        <v>0</v>
      </c>
      <c r="K546" s="10">
        <v>15</v>
      </c>
      <c r="L546" s="2">
        <v>696.6825</v>
      </c>
      <c r="M546" s="1">
        <v>46162.613888888889</v>
      </c>
      <c r="N546" t="s">
        <v>195</v>
      </c>
    </row>
    <row r="547" spans="1:14" x14ac:dyDescent="0.25">
      <c r="A547" s="9" t="s">
        <v>5211</v>
      </c>
      <c r="B547" s="10">
        <v>634</v>
      </c>
      <c r="C547" s="10" t="s">
        <v>143</v>
      </c>
      <c r="D547" t="s">
        <v>4090</v>
      </c>
      <c r="E547" t="s">
        <v>4091</v>
      </c>
      <c r="F547" s="10" t="s">
        <v>23</v>
      </c>
      <c r="G547" s="2">
        <v>18.639700000000001</v>
      </c>
      <c r="H547" s="13">
        <v>15</v>
      </c>
      <c r="I547" s="13">
        <v>22</v>
      </c>
      <c r="J547" s="13">
        <v>-22</v>
      </c>
      <c r="K547" s="10">
        <v>15</v>
      </c>
      <c r="L547" s="2">
        <v>279.59550000000002</v>
      </c>
      <c r="M547" s="1">
        <v>46164.45</v>
      </c>
      <c r="N547" t="s">
        <v>562</v>
      </c>
    </row>
    <row r="548" spans="1:14" x14ac:dyDescent="0.25">
      <c r="A548" s="9" t="s">
        <v>5211</v>
      </c>
      <c r="B548" s="10">
        <v>636</v>
      </c>
      <c r="C548" s="10" t="s">
        <v>1749</v>
      </c>
      <c r="D548" t="s">
        <v>1782</v>
      </c>
      <c r="E548" t="s">
        <v>1783</v>
      </c>
      <c r="F548" s="10" t="s">
        <v>23</v>
      </c>
      <c r="G548" s="2">
        <v>15.2151</v>
      </c>
      <c r="H548" s="13">
        <v>15</v>
      </c>
      <c r="I548" s="13">
        <v>0</v>
      </c>
      <c r="J548" s="13">
        <v>0</v>
      </c>
      <c r="K548" s="10">
        <v>15</v>
      </c>
      <c r="L548" s="2">
        <v>228.22649999999999</v>
      </c>
      <c r="M548" s="1">
        <v>46177.431250000001</v>
      </c>
      <c r="N548" t="s">
        <v>652</v>
      </c>
    </row>
    <row r="549" spans="1:14" x14ac:dyDescent="0.25">
      <c r="A549" s="9" t="s">
        <v>5211</v>
      </c>
      <c r="B549" s="10">
        <v>636</v>
      </c>
      <c r="C549" s="10" t="s">
        <v>143</v>
      </c>
      <c r="D549" t="s">
        <v>1037</v>
      </c>
      <c r="E549" t="s">
        <v>1038</v>
      </c>
      <c r="F549" s="10" t="s">
        <v>29</v>
      </c>
      <c r="G549" s="2">
        <v>17.030799999999999</v>
      </c>
      <c r="H549" s="13">
        <v>15</v>
      </c>
      <c r="I549" s="13">
        <v>0</v>
      </c>
      <c r="J549" s="13">
        <v>0</v>
      </c>
      <c r="K549" s="10">
        <v>15</v>
      </c>
      <c r="L549" s="2">
        <v>255.46199999999999</v>
      </c>
      <c r="M549" s="1">
        <v>46177.604166666664</v>
      </c>
      <c r="N549" t="s">
        <v>40</v>
      </c>
    </row>
    <row r="550" spans="1:14" x14ac:dyDescent="0.25">
      <c r="A550" s="9" t="s">
        <v>5211</v>
      </c>
      <c r="B550" s="10">
        <v>714</v>
      </c>
      <c r="C550" s="10" t="s">
        <v>323</v>
      </c>
      <c r="D550" t="s">
        <v>5027</v>
      </c>
      <c r="E550" t="s">
        <v>5028</v>
      </c>
      <c r="F550" s="10" t="s">
        <v>43</v>
      </c>
      <c r="G550" s="2">
        <v>116.55880000000001</v>
      </c>
      <c r="H550" s="13">
        <v>15</v>
      </c>
      <c r="I550" s="13">
        <v>10</v>
      </c>
      <c r="J550" s="13">
        <v>-10</v>
      </c>
      <c r="K550" s="10">
        <v>15</v>
      </c>
      <c r="L550" s="2">
        <v>1748.3820000000001</v>
      </c>
      <c r="M550" s="1">
        <v>46183.468055555553</v>
      </c>
      <c r="N550" t="s">
        <v>175</v>
      </c>
    </row>
    <row r="551" spans="1:14" x14ac:dyDescent="0.25">
      <c r="A551" s="9" t="s">
        <v>5211</v>
      </c>
      <c r="B551" s="10">
        <v>714</v>
      </c>
      <c r="C551" s="10" t="s">
        <v>143</v>
      </c>
      <c r="D551" t="s">
        <v>287</v>
      </c>
      <c r="E551" t="s">
        <v>288</v>
      </c>
      <c r="F551" s="10" t="s">
        <v>39</v>
      </c>
      <c r="G551" s="2">
        <v>16.979700000000001</v>
      </c>
      <c r="H551" s="13">
        <v>15</v>
      </c>
      <c r="I551" s="13">
        <v>0</v>
      </c>
      <c r="J551" s="13">
        <v>0</v>
      </c>
      <c r="K551" s="10">
        <v>15</v>
      </c>
      <c r="L551" s="2">
        <v>254.69550000000001</v>
      </c>
      <c r="M551" s="1">
        <v>46188.35</v>
      </c>
      <c r="N551" t="s">
        <v>26</v>
      </c>
    </row>
    <row r="552" spans="1:14" x14ac:dyDescent="0.25">
      <c r="A552" s="9" t="s">
        <v>5211</v>
      </c>
      <c r="B552" s="10">
        <v>718</v>
      </c>
      <c r="C552" s="10" t="s">
        <v>143</v>
      </c>
      <c r="D552" t="s">
        <v>4118</v>
      </c>
      <c r="E552" t="s">
        <v>4119</v>
      </c>
      <c r="F552" s="10" t="s">
        <v>112</v>
      </c>
      <c r="G552" s="2">
        <v>17.314299999999999</v>
      </c>
      <c r="H552" s="13">
        <v>15</v>
      </c>
      <c r="I552" s="13">
        <v>59</v>
      </c>
      <c r="J552" s="13">
        <v>-59</v>
      </c>
      <c r="K552" s="10">
        <v>15</v>
      </c>
      <c r="L552" s="2">
        <v>259.71449999999999</v>
      </c>
      <c r="M552" s="1">
        <v>46195.659722222219</v>
      </c>
      <c r="N552" t="s">
        <v>878</v>
      </c>
    </row>
    <row r="553" spans="1:14" x14ac:dyDescent="0.25">
      <c r="A553" s="9" t="s">
        <v>5211</v>
      </c>
      <c r="B553" s="10">
        <v>636</v>
      </c>
      <c r="C553" s="10" t="s">
        <v>143</v>
      </c>
      <c r="D553" t="s">
        <v>4505</v>
      </c>
      <c r="E553" t="s">
        <v>4506</v>
      </c>
      <c r="F553" s="10" t="s">
        <v>23</v>
      </c>
      <c r="G553" s="2">
        <v>15.202999999999999</v>
      </c>
      <c r="H553" s="13">
        <v>15</v>
      </c>
      <c r="I553" s="13">
        <v>14</v>
      </c>
      <c r="J553" s="13">
        <v>-14</v>
      </c>
      <c r="K553" s="10">
        <v>15</v>
      </c>
      <c r="L553" s="2">
        <v>228.04499999999999</v>
      </c>
      <c r="M553" s="1">
        <v>46197.29791666667</v>
      </c>
      <c r="N553" t="s">
        <v>162</v>
      </c>
    </row>
    <row r="554" spans="1:14" x14ac:dyDescent="0.25">
      <c r="A554" s="9" t="s">
        <v>5211</v>
      </c>
      <c r="B554" s="10">
        <v>714</v>
      </c>
      <c r="C554" s="10" t="s">
        <v>70</v>
      </c>
      <c r="D554" t="s">
        <v>2111</v>
      </c>
      <c r="E554" t="s">
        <v>2112</v>
      </c>
      <c r="F554" s="10" t="s">
        <v>39</v>
      </c>
      <c r="G554" s="2">
        <v>9.0353999999999992</v>
      </c>
      <c r="H554" s="13">
        <v>15</v>
      </c>
      <c r="I554" s="13">
        <v>0</v>
      </c>
      <c r="J554" s="13">
        <v>0</v>
      </c>
      <c r="K554" s="10">
        <v>15</v>
      </c>
      <c r="L554" s="2">
        <v>135.53100000000001</v>
      </c>
      <c r="M554" s="1">
        <v>46198.40902777778</v>
      </c>
      <c r="N554" t="s">
        <v>573</v>
      </c>
    </row>
    <row r="555" spans="1:14" x14ac:dyDescent="0.25">
      <c r="A555" s="9" t="s">
        <v>5211</v>
      </c>
      <c r="B555" s="10">
        <v>634</v>
      </c>
      <c r="C555" s="10" t="s">
        <v>70</v>
      </c>
      <c r="D555" t="s">
        <v>3633</v>
      </c>
      <c r="E555" t="s">
        <v>3634</v>
      </c>
      <c r="F555" s="10" t="s">
        <v>39</v>
      </c>
      <c r="G555" s="2">
        <v>6.2497999999999996</v>
      </c>
      <c r="H555" s="13">
        <v>15</v>
      </c>
      <c r="I555" s="13">
        <v>6</v>
      </c>
      <c r="J555" s="13">
        <v>-6</v>
      </c>
      <c r="K555" s="10">
        <v>15</v>
      </c>
      <c r="L555" s="2">
        <v>93.747</v>
      </c>
      <c r="M555" s="1">
        <v>46199.40625</v>
      </c>
      <c r="N555" t="s">
        <v>64</v>
      </c>
    </row>
    <row r="556" spans="1:14" x14ac:dyDescent="0.25">
      <c r="A556" s="9" t="s">
        <v>5211</v>
      </c>
      <c r="B556" s="10">
        <v>714</v>
      </c>
      <c r="C556" s="10" t="s">
        <v>323</v>
      </c>
      <c r="D556" t="s">
        <v>3016</v>
      </c>
      <c r="E556" t="s">
        <v>3017</v>
      </c>
      <c r="F556" s="10" t="s">
        <v>29</v>
      </c>
      <c r="G556" s="2">
        <v>228.23330000000001</v>
      </c>
      <c r="H556" s="13">
        <v>15</v>
      </c>
      <c r="I556" s="13">
        <v>0</v>
      </c>
      <c r="J556" s="13">
        <v>0</v>
      </c>
      <c r="K556" s="10">
        <v>15</v>
      </c>
      <c r="L556" s="2">
        <v>3423.4994999999999</v>
      </c>
      <c r="M556" s="1">
        <v>46203.470138888886</v>
      </c>
      <c r="N556" t="s">
        <v>137</v>
      </c>
    </row>
    <row r="557" spans="1:14" x14ac:dyDescent="0.25">
      <c r="A557" s="9" t="s">
        <v>5211</v>
      </c>
      <c r="B557" s="10">
        <v>636</v>
      </c>
      <c r="C557" s="10" t="s">
        <v>143</v>
      </c>
      <c r="D557" t="s">
        <v>4238</v>
      </c>
      <c r="E557" t="s">
        <v>4239</v>
      </c>
      <c r="F557" s="10" t="s">
        <v>23</v>
      </c>
      <c r="G557" s="2">
        <v>22.588000000000001</v>
      </c>
      <c r="H557" s="13">
        <v>15</v>
      </c>
      <c r="I557" s="13">
        <v>50</v>
      </c>
      <c r="J557" s="13">
        <v>-50</v>
      </c>
      <c r="K557" s="10">
        <v>15</v>
      </c>
      <c r="L557" s="2">
        <v>338.82</v>
      </c>
      <c r="M557" s="1">
        <v>46204.362500000003</v>
      </c>
      <c r="N557" t="s">
        <v>159</v>
      </c>
    </row>
    <row r="558" spans="1:14" x14ac:dyDescent="0.25">
      <c r="A558" s="9" t="s">
        <v>5211</v>
      </c>
      <c r="B558" s="10">
        <v>714</v>
      </c>
      <c r="C558" s="10" t="s">
        <v>143</v>
      </c>
      <c r="D558" t="s">
        <v>2760</v>
      </c>
      <c r="E558" t="s">
        <v>2761</v>
      </c>
      <c r="F558" s="10" t="s">
        <v>23</v>
      </c>
      <c r="G558" s="2">
        <v>5.9580000000000002</v>
      </c>
      <c r="H558" s="13">
        <v>15</v>
      </c>
      <c r="I558" s="13">
        <v>12</v>
      </c>
      <c r="J558" s="13">
        <v>-12</v>
      </c>
      <c r="K558" s="10">
        <v>15</v>
      </c>
      <c r="L558" s="2">
        <v>89.37</v>
      </c>
      <c r="M558" s="1">
        <v>46213.45</v>
      </c>
      <c r="N558" t="s">
        <v>1877</v>
      </c>
    </row>
    <row r="559" spans="1:14" x14ac:dyDescent="0.25">
      <c r="A559" s="9" t="s">
        <v>5211</v>
      </c>
      <c r="B559" s="10">
        <v>718</v>
      </c>
      <c r="C559" s="10" t="s">
        <v>70</v>
      </c>
      <c r="D559" t="s">
        <v>79</v>
      </c>
      <c r="E559" t="s">
        <v>80</v>
      </c>
      <c r="F559" s="10" t="s">
        <v>81</v>
      </c>
      <c r="G559" s="2">
        <v>5.7626999999999997</v>
      </c>
      <c r="H559" s="13">
        <v>15</v>
      </c>
      <c r="I559" s="13">
        <v>0</v>
      </c>
      <c r="J559" s="13">
        <v>0</v>
      </c>
      <c r="K559" s="10">
        <v>15</v>
      </c>
      <c r="L559" s="2">
        <v>86.4405</v>
      </c>
      <c r="M559" s="1">
        <v>46213.543055555558</v>
      </c>
      <c r="N559" t="s">
        <v>573</v>
      </c>
    </row>
    <row r="560" spans="1:14" x14ac:dyDescent="0.25">
      <c r="A560" s="9" t="s">
        <v>5211</v>
      </c>
      <c r="B560" s="10">
        <v>634</v>
      </c>
      <c r="C560" s="10" t="s">
        <v>70</v>
      </c>
      <c r="D560" t="s">
        <v>110</v>
      </c>
      <c r="E560" t="s">
        <v>111</v>
      </c>
      <c r="F560" s="10" t="s">
        <v>112</v>
      </c>
      <c r="G560" s="2">
        <v>7.1395</v>
      </c>
      <c r="H560" s="13">
        <v>15</v>
      </c>
      <c r="I560" s="13">
        <v>0</v>
      </c>
      <c r="J560" s="13">
        <v>0</v>
      </c>
      <c r="K560" s="10">
        <v>15</v>
      </c>
      <c r="L560" s="2">
        <v>107.0925</v>
      </c>
      <c r="M560" s="1">
        <v>46217.376388888886</v>
      </c>
      <c r="N560" t="s">
        <v>94</v>
      </c>
    </row>
    <row r="561" spans="1:14" x14ac:dyDescent="0.25">
      <c r="A561" s="9" t="s">
        <v>5211</v>
      </c>
      <c r="B561" s="10">
        <v>714</v>
      </c>
      <c r="C561" s="10" t="s">
        <v>323</v>
      </c>
      <c r="D561" t="s">
        <v>5017</v>
      </c>
      <c r="E561" t="s">
        <v>5018</v>
      </c>
      <c r="F561" s="10" t="s">
        <v>158</v>
      </c>
      <c r="G561" s="2">
        <v>140.96690000000001</v>
      </c>
      <c r="H561" s="13">
        <v>15</v>
      </c>
      <c r="I561" s="13">
        <v>45</v>
      </c>
      <c r="J561" s="13">
        <v>-45</v>
      </c>
      <c r="K561" s="10">
        <v>15</v>
      </c>
      <c r="L561" s="2">
        <v>2114.5034999999998</v>
      </c>
      <c r="M561" s="1">
        <v>46218.654166666667</v>
      </c>
      <c r="N561" t="s">
        <v>216</v>
      </c>
    </row>
    <row r="562" spans="1:14" x14ac:dyDescent="0.25">
      <c r="A562" s="9" t="s">
        <v>5211</v>
      </c>
      <c r="B562" s="10">
        <v>714</v>
      </c>
      <c r="C562" s="10" t="s">
        <v>143</v>
      </c>
      <c r="D562" t="s">
        <v>2724</v>
      </c>
      <c r="E562" t="s">
        <v>2725</v>
      </c>
      <c r="F562" s="10" t="s">
        <v>23</v>
      </c>
      <c r="G562" s="2">
        <v>37.921300000000002</v>
      </c>
      <c r="H562" s="13">
        <v>15</v>
      </c>
      <c r="I562" s="13">
        <v>1</v>
      </c>
      <c r="J562" s="13">
        <v>-1</v>
      </c>
      <c r="K562" s="10">
        <v>15</v>
      </c>
      <c r="L562" s="2">
        <v>568.81949999999995</v>
      </c>
      <c r="M562" s="1">
        <v>46224.59652777778</v>
      </c>
      <c r="N562" t="s">
        <v>36</v>
      </c>
    </row>
    <row r="563" spans="1:14" x14ac:dyDescent="0.25">
      <c r="A563" s="9" t="s">
        <v>5211</v>
      </c>
      <c r="B563" s="10">
        <v>714</v>
      </c>
      <c r="C563" s="10" t="s">
        <v>70</v>
      </c>
      <c r="D563" t="s">
        <v>121</v>
      </c>
      <c r="E563" t="s">
        <v>122</v>
      </c>
      <c r="F563" s="10" t="s">
        <v>112</v>
      </c>
      <c r="G563" s="2">
        <v>5.56</v>
      </c>
      <c r="H563" s="13">
        <v>15</v>
      </c>
      <c r="I563" s="13">
        <v>-37</v>
      </c>
      <c r="J563" s="13">
        <v>37</v>
      </c>
      <c r="K563" s="10">
        <v>15</v>
      </c>
      <c r="L563" s="2">
        <v>83.4</v>
      </c>
      <c r="M563" s="1">
        <v>46230.435416666667</v>
      </c>
      <c r="N563" t="s">
        <v>40</v>
      </c>
    </row>
    <row r="564" spans="1:14" x14ac:dyDescent="0.25">
      <c r="A564" s="9" t="s">
        <v>5211</v>
      </c>
      <c r="B564" s="10">
        <v>714</v>
      </c>
      <c r="C564" s="10" t="s">
        <v>70</v>
      </c>
      <c r="D564" t="s">
        <v>2123</v>
      </c>
      <c r="E564" t="s">
        <v>2124</v>
      </c>
      <c r="F564" s="10" t="s">
        <v>19</v>
      </c>
      <c r="G564" s="2">
        <v>10.2691</v>
      </c>
      <c r="H564" s="13">
        <v>15</v>
      </c>
      <c r="I564" s="13">
        <v>0</v>
      </c>
      <c r="J564" s="13">
        <v>0</v>
      </c>
      <c r="K564" s="10">
        <v>15</v>
      </c>
      <c r="L564" s="2">
        <v>154.03649999999999</v>
      </c>
      <c r="M564" s="1">
        <v>46232.375694444447</v>
      </c>
      <c r="N564" t="s">
        <v>40</v>
      </c>
    </row>
    <row r="565" spans="1:14" x14ac:dyDescent="0.25">
      <c r="A565" s="9" t="s">
        <v>5211</v>
      </c>
      <c r="B565" s="10">
        <v>718</v>
      </c>
      <c r="C565" s="10" t="s">
        <v>70</v>
      </c>
      <c r="D565" t="s">
        <v>3639</v>
      </c>
      <c r="E565" t="s">
        <v>3640</v>
      </c>
      <c r="F565" s="10" t="s">
        <v>29</v>
      </c>
      <c r="G565" s="2">
        <v>10.3553</v>
      </c>
      <c r="H565" s="13">
        <v>15</v>
      </c>
      <c r="I565" s="13">
        <v>0</v>
      </c>
      <c r="J565" s="13">
        <v>0</v>
      </c>
      <c r="K565" s="10">
        <v>15</v>
      </c>
      <c r="L565" s="2">
        <v>155.3295</v>
      </c>
      <c r="M565" s="1">
        <v>46232.6</v>
      </c>
      <c r="N565" t="s">
        <v>573</v>
      </c>
    </row>
    <row r="566" spans="1:14" x14ac:dyDescent="0.25">
      <c r="A566" s="9" t="s">
        <v>5211</v>
      </c>
      <c r="B566" s="10">
        <v>714</v>
      </c>
      <c r="C566" s="10" t="s">
        <v>143</v>
      </c>
      <c r="D566" t="s">
        <v>3724</v>
      </c>
      <c r="E566" t="s">
        <v>3725</v>
      </c>
      <c r="F566" s="10" t="s">
        <v>112</v>
      </c>
      <c r="G566" s="2">
        <v>14.598100000000001</v>
      </c>
      <c r="H566" s="13">
        <v>15</v>
      </c>
      <c r="I566" s="13">
        <v>11</v>
      </c>
      <c r="J566" s="13">
        <v>-11</v>
      </c>
      <c r="K566" s="10">
        <v>15</v>
      </c>
      <c r="L566" s="2">
        <v>218.97149999999999</v>
      </c>
      <c r="M566" s="1">
        <v>46233.499305555553</v>
      </c>
      <c r="N566" t="s">
        <v>175</v>
      </c>
    </row>
    <row r="567" spans="1:14" x14ac:dyDescent="0.25">
      <c r="A567" s="9" t="s">
        <v>5211</v>
      </c>
      <c r="B567" s="10">
        <v>714</v>
      </c>
      <c r="C567" s="10" t="s">
        <v>143</v>
      </c>
      <c r="D567" t="s">
        <v>4759</v>
      </c>
      <c r="E567" t="s">
        <v>4760</v>
      </c>
      <c r="F567" s="10" t="s">
        <v>158</v>
      </c>
      <c r="G567" s="2">
        <v>22.594200000000001</v>
      </c>
      <c r="H567" s="13">
        <v>15</v>
      </c>
      <c r="I567" s="13">
        <v>8</v>
      </c>
      <c r="J567" s="13">
        <v>-8</v>
      </c>
      <c r="K567" s="10">
        <v>15</v>
      </c>
      <c r="L567" s="2">
        <v>338.91300000000001</v>
      </c>
      <c r="M567" s="1">
        <v>46240.32708333333</v>
      </c>
      <c r="N567" t="s">
        <v>2225</v>
      </c>
    </row>
    <row r="568" spans="1:14" x14ac:dyDescent="0.25">
      <c r="A568" s="9" t="s">
        <v>5211</v>
      </c>
      <c r="B568" s="10">
        <v>714</v>
      </c>
      <c r="C568" s="10" t="s">
        <v>143</v>
      </c>
      <c r="D568" t="s">
        <v>2438</v>
      </c>
      <c r="E568" t="s">
        <v>2439</v>
      </c>
      <c r="F568" s="10" t="s">
        <v>29</v>
      </c>
      <c r="G568" s="2">
        <v>22.1539</v>
      </c>
      <c r="H568" s="13">
        <v>14</v>
      </c>
      <c r="I568" s="13">
        <v>0</v>
      </c>
      <c r="J568" s="13">
        <v>0</v>
      </c>
      <c r="K568" s="10">
        <v>14</v>
      </c>
      <c r="L568" s="2">
        <v>310.15460000000002</v>
      </c>
      <c r="M568" s="1">
        <v>45000.415972222225</v>
      </c>
      <c r="N568" t="s">
        <v>363</v>
      </c>
    </row>
    <row r="569" spans="1:14" x14ac:dyDescent="0.25">
      <c r="A569" s="9" t="s">
        <v>5211</v>
      </c>
      <c r="B569" s="10">
        <v>718</v>
      </c>
      <c r="C569" s="10" t="s">
        <v>70</v>
      </c>
      <c r="D569" t="s">
        <v>1979</v>
      </c>
      <c r="E569" t="s">
        <v>1980</v>
      </c>
      <c r="F569" s="10" t="s">
        <v>39</v>
      </c>
      <c r="G569" s="2">
        <v>6.4663000000000004</v>
      </c>
      <c r="H569" s="13">
        <v>14</v>
      </c>
      <c r="I569" s="13">
        <v>-5</v>
      </c>
      <c r="J569" s="13">
        <v>5</v>
      </c>
      <c r="K569" s="10">
        <v>14</v>
      </c>
      <c r="L569" s="2">
        <v>90.528199999999998</v>
      </c>
      <c r="M569" s="1">
        <v>45790.552083333336</v>
      </c>
      <c r="N569" t="s">
        <v>26</v>
      </c>
    </row>
    <row r="570" spans="1:14" x14ac:dyDescent="0.25">
      <c r="A570" s="9" t="s">
        <v>5211</v>
      </c>
      <c r="B570" s="10">
        <v>636</v>
      </c>
      <c r="C570" s="10" t="s">
        <v>323</v>
      </c>
      <c r="D570" t="s">
        <v>1296</v>
      </c>
      <c r="E570" t="s">
        <v>1297</v>
      </c>
      <c r="F570" s="10" t="s">
        <v>158</v>
      </c>
      <c r="G570" s="2">
        <v>119.58240000000001</v>
      </c>
      <c r="H570" s="13">
        <v>14</v>
      </c>
      <c r="I570" s="13">
        <v>0</v>
      </c>
      <c r="J570" s="13">
        <v>0</v>
      </c>
      <c r="K570" s="10">
        <v>14</v>
      </c>
      <c r="L570" s="2">
        <v>1674.1536000000001</v>
      </c>
      <c r="M570" s="1">
        <v>46079.574305555558</v>
      </c>
      <c r="N570" t="s">
        <v>1234</v>
      </c>
    </row>
    <row r="571" spans="1:14" x14ac:dyDescent="0.25">
      <c r="A571" s="9" t="s">
        <v>5211</v>
      </c>
      <c r="B571" s="10">
        <v>714</v>
      </c>
      <c r="C571" s="10" t="s">
        <v>323</v>
      </c>
      <c r="D571" t="s">
        <v>432</v>
      </c>
      <c r="E571" t="s">
        <v>433</v>
      </c>
      <c r="F571" s="10" t="s">
        <v>23</v>
      </c>
      <c r="G571" s="2">
        <v>190.3357</v>
      </c>
      <c r="H571" s="13">
        <v>14</v>
      </c>
      <c r="I571" s="13">
        <v>-4</v>
      </c>
      <c r="J571" s="13">
        <v>4</v>
      </c>
      <c r="K571" s="10">
        <v>14</v>
      </c>
      <c r="L571" s="2">
        <v>2664.6997999999999</v>
      </c>
      <c r="M571" s="1">
        <v>46093.634722222225</v>
      </c>
      <c r="N571" t="s">
        <v>2257</v>
      </c>
    </row>
    <row r="572" spans="1:14" x14ac:dyDescent="0.25">
      <c r="A572" s="9" t="s">
        <v>5211</v>
      </c>
      <c r="B572" s="10">
        <v>636</v>
      </c>
      <c r="C572" s="10" t="s">
        <v>323</v>
      </c>
      <c r="D572" t="s">
        <v>470</v>
      </c>
      <c r="E572" t="s">
        <v>471</v>
      </c>
      <c r="F572" s="10" t="s">
        <v>158</v>
      </c>
      <c r="G572" s="2">
        <v>122.5638</v>
      </c>
      <c r="H572" s="13">
        <v>14</v>
      </c>
      <c r="I572" s="13">
        <v>0</v>
      </c>
      <c r="J572" s="13">
        <v>0</v>
      </c>
      <c r="K572" s="10">
        <v>14</v>
      </c>
      <c r="L572" s="2">
        <v>1715.8932</v>
      </c>
      <c r="M572" s="1">
        <v>46107.402083333334</v>
      </c>
      <c r="N572" t="s">
        <v>354</v>
      </c>
    </row>
    <row r="573" spans="1:14" x14ac:dyDescent="0.25">
      <c r="A573" s="9" t="s">
        <v>5211</v>
      </c>
      <c r="B573" s="10">
        <v>634</v>
      </c>
      <c r="C573" s="10" t="s">
        <v>70</v>
      </c>
      <c r="D573" t="s">
        <v>2117</v>
      </c>
      <c r="E573" t="s">
        <v>2118</v>
      </c>
      <c r="F573" s="10" t="s">
        <v>29</v>
      </c>
      <c r="G573" s="2">
        <v>5.3122999999999996</v>
      </c>
      <c r="H573" s="13">
        <v>14</v>
      </c>
      <c r="I573" s="13">
        <v>15</v>
      </c>
      <c r="J573" s="13">
        <v>-15</v>
      </c>
      <c r="K573" s="10">
        <v>14</v>
      </c>
      <c r="L573" s="2">
        <v>74.372200000000007</v>
      </c>
      <c r="M573" s="1">
        <v>46113.540972222225</v>
      </c>
      <c r="N573" t="s">
        <v>40</v>
      </c>
    </row>
    <row r="574" spans="1:14" x14ac:dyDescent="0.25">
      <c r="A574" s="9" t="s">
        <v>5211</v>
      </c>
      <c r="B574" s="10">
        <v>714</v>
      </c>
      <c r="C574" s="10" t="s">
        <v>70</v>
      </c>
      <c r="D574" t="s">
        <v>2014</v>
      </c>
      <c r="E574" t="s">
        <v>2015</v>
      </c>
      <c r="F574" s="10" t="s">
        <v>112</v>
      </c>
      <c r="G574" s="2">
        <v>2.8294999999999999</v>
      </c>
      <c r="H574" s="13">
        <v>14</v>
      </c>
      <c r="I574" s="13">
        <v>0</v>
      </c>
      <c r="J574" s="13">
        <v>0</v>
      </c>
      <c r="K574" s="10">
        <v>14</v>
      </c>
      <c r="L574" s="2">
        <v>39.613</v>
      </c>
      <c r="M574" s="1">
        <v>46114.45416666667</v>
      </c>
      <c r="N574" t="s">
        <v>1951</v>
      </c>
    </row>
    <row r="575" spans="1:14" x14ac:dyDescent="0.25">
      <c r="A575" s="9" t="s">
        <v>5211</v>
      </c>
      <c r="B575" s="10">
        <v>636</v>
      </c>
      <c r="C575" s="10" t="s">
        <v>323</v>
      </c>
      <c r="D575" t="s">
        <v>1723</v>
      </c>
      <c r="E575" t="s">
        <v>1724</v>
      </c>
      <c r="F575" s="10" t="s">
        <v>23</v>
      </c>
      <c r="G575" s="2">
        <v>189.6337</v>
      </c>
      <c r="H575" s="13">
        <v>14</v>
      </c>
      <c r="I575" s="13">
        <v>-6</v>
      </c>
      <c r="J575" s="13">
        <v>6</v>
      </c>
      <c r="K575" s="10">
        <v>14</v>
      </c>
      <c r="L575" s="2">
        <v>2654.8717999999999</v>
      </c>
      <c r="M575" s="1">
        <v>46122.613888888889</v>
      </c>
      <c r="N575" t="s">
        <v>151</v>
      </c>
    </row>
    <row r="576" spans="1:14" x14ac:dyDescent="0.25">
      <c r="A576" s="9" t="s">
        <v>5211</v>
      </c>
      <c r="B576" s="10">
        <v>636</v>
      </c>
      <c r="C576" s="10" t="s">
        <v>143</v>
      </c>
      <c r="D576" t="s">
        <v>4535</v>
      </c>
      <c r="E576" t="s">
        <v>4536</v>
      </c>
      <c r="F576" s="10" t="s">
        <v>29</v>
      </c>
      <c r="G576" s="2">
        <v>91.923699999999997</v>
      </c>
      <c r="H576" s="13">
        <v>14</v>
      </c>
      <c r="I576" s="13">
        <v>68</v>
      </c>
      <c r="J576" s="13">
        <v>-68</v>
      </c>
      <c r="K576" s="10">
        <v>14</v>
      </c>
      <c r="L576" s="2">
        <v>1286.9318000000001</v>
      </c>
      <c r="M576" s="1">
        <v>46126.396527777775</v>
      </c>
      <c r="N576" t="s">
        <v>175</v>
      </c>
    </row>
    <row r="577" spans="1:14" x14ac:dyDescent="0.25">
      <c r="A577" s="9" t="s">
        <v>5211</v>
      </c>
      <c r="B577" s="10">
        <v>634</v>
      </c>
      <c r="C577" s="10" t="s">
        <v>143</v>
      </c>
      <c r="D577" t="s">
        <v>251</v>
      </c>
      <c r="E577" t="s">
        <v>252</v>
      </c>
      <c r="F577" s="10" t="s">
        <v>39</v>
      </c>
      <c r="G577" s="2">
        <v>20.146899999999999</v>
      </c>
      <c r="H577" s="13">
        <v>14</v>
      </c>
      <c r="I577" s="13">
        <v>8</v>
      </c>
      <c r="J577" s="13">
        <v>-8</v>
      </c>
      <c r="K577" s="10">
        <v>14</v>
      </c>
      <c r="L577" s="2">
        <v>282.0566</v>
      </c>
      <c r="M577" s="1">
        <v>46126.656944444447</v>
      </c>
      <c r="N577" t="s">
        <v>26</v>
      </c>
    </row>
    <row r="578" spans="1:14" x14ac:dyDescent="0.25">
      <c r="A578" s="9" t="s">
        <v>5211</v>
      </c>
      <c r="B578" s="10">
        <v>718</v>
      </c>
      <c r="C578" s="10" t="s">
        <v>143</v>
      </c>
      <c r="D578" t="s">
        <v>4182</v>
      </c>
      <c r="E578" t="s">
        <v>4183</v>
      </c>
      <c r="F578" s="10" t="s">
        <v>158</v>
      </c>
      <c r="G578" s="2">
        <v>250.6756</v>
      </c>
      <c r="H578" s="13">
        <v>14</v>
      </c>
      <c r="I578" s="13">
        <v>11</v>
      </c>
      <c r="J578" s="13">
        <v>-11</v>
      </c>
      <c r="K578" s="10">
        <v>14</v>
      </c>
      <c r="L578" s="2">
        <v>3509.4584</v>
      </c>
      <c r="M578" s="1">
        <v>46127.539583333331</v>
      </c>
      <c r="N578" t="s">
        <v>3769</v>
      </c>
    </row>
    <row r="579" spans="1:14" x14ac:dyDescent="0.25">
      <c r="A579" s="9" t="s">
        <v>5211</v>
      </c>
      <c r="B579" s="10">
        <v>714</v>
      </c>
      <c r="C579" s="10" t="s">
        <v>143</v>
      </c>
      <c r="D579" t="s">
        <v>3736</v>
      </c>
      <c r="E579" t="s">
        <v>3737</v>
      </c>
      <c r="F579" s="10" t="s">
        <v>39</v>
      </c>
      <c r="G579" s="2">
        <v>15.8172</v>
      </c>
      <c r="H579" s="13">
        <v>14</v>
      </c>
      <c r="I579" s="13">
        <v>12</v>
      </c>
      <c r="J579" s="13">
        <v>-12</v>
      </c>
      <c r="K579" s="10">
        <v>14</v>
      </c>
      <c r="L579" s="2">
        <v>221.4408</v>
      </c>
      <c r="M579" s="1">
        <v>46130.442361111112</v>
      </c>
      <c r="N579" t="s">
        <v>26</v>
      </c>
    </row>
    <row r="580" spans="1:14" x14ac:dyDescent="0.25">
      <c r="A580" s="9" t="s">
        <v>5211</v>
      </c>
      <c r="B580" s="10">
        <v>634</v>
      </c>
      <c r="C580" s="10" t="s">
        <v>323</v>
      </c>
      <c r="D580" t="s">
        <v>4308</v>
      </c>
      <c r="E580" t="s">
        <v>4309</v>
      </c>
      <c r="F580" s="10" t="s">
        <v>19</v>
      </c>
      <c r="G580" s="2">
        <v>229.49940000000001</v>
      </c>
      <c r="H580" s="13">
        <v>14</v>
      </c>
      <c r="I580" s="13">
        <v>12</v>
      </c>
      <c r="J580" s="13">
        <v>-12</v>
      </c>
      <c r="K580" s="10">
        <v>14</v>
      </c>
      <c r="L580" s="2">
        <v>3212.9915999999998</v>
      </c>
      <c r="M580" s="1">
        <v>46132.624305555553</v>
      </c>
      <c r="N580" t="s">
        <v>357</v>
      </c>
    </row>
    <row r="581" spans="1:14" x14ac:dyDescent="0.25">
      <c r="A581" s="9" t="s">
        <v>5211</v>
      </c>
      <c r="B581" s="10">
        <v>636</v>
      </c>
      <c r="C581" s="10" t="s">
        <v>143</v>
      </c>
      <c r="D581" t="s">
        <v>4224</v>
      </c>
      <c r="E581" t="s">
        <v>4225</v>
      </c>
      <c r="F581" s="10" t="s">
        <v>43</v>
      </c>
      <c r="G581" s="2">
        <v>29.080300000000001</v>
      </c>
      <c r="H581" s="13">
        <v>14</v>
      </c>
      <c r="I581" s="13">
        <v>-13</v>
      </c>
      <c r="J581" s="13">
        <v>13</v>
      </c>
      <c r="K581" s="10">
        <v>14</v>
      </c>
      <c r="L581" s="2">
        <v>407.12419999999997</v>
      </c>
      <c r="M581" s="1">
        <v>46134.600694444445</v>
      </c>
      <c r="N581" t="s">
        <v>1062</v>
      </c>
    </row>
    <row r="582" spans="1:14" x14ac:dyDescent="0.25">
      <c r="A582" s="9" t="s">
        <v>5211</v>
      </c>
      <c r="B582" s="10">
        <v>634</v>
      </c>
      <c r="C582" s="10" t="s">
        <v>323</v>
      </c>
      <c r="D582" t="s">
        <v>4302</v>
      </c>
      <c r="E582" t="s">
        <v>4303</v>
      </c>
      <c r="F582" s="10" t="s">
        <v>29</v>
      </c>
      <c r="G582" s="2">
        <v>192.98769999999999</v>
      </c>
      <c r="H582" s="13">
        <v>14</v>
      </c>
      <c r="I582" s="13">
        <v>34</v>
      </c>
      <c r="J582" s="13">
        <v>-34</v>
      </c>
      <c r="K582" s="10">
        <v>14</v>
      </c>
      <c r="L582" s="2">
        <v>2701.8278</v>
      </c>
      <c r="M582" s="1">
        <v>46136.652083333334</v>
      </c>
      <c r="N582" t="s">
        <v>402</v>
      </c>
    </row>
    <row r="583" spans="1:14" x14ac:dyDescent="0.25">
      <c r="A583" s="9" t="s">
        <v>5211</v>
      </c>
      <c r="B583" s="10">
        <v>714</v>
      </c>
      <c r="C583" s="10" t="s">
        <v>323</v>
      </c>
      <c r="D583" t="s">
        <v>4669</v>
      </c>
      <c r="E583" t="s">
        <v>4670</v>
      </c>
      <c r="F583" s="10" t="s">
        <v>158</v>
      </c>
      <c r="G583" s="2">
        <v>245.55869999999999</v>
      </c>
      <c r="H583" s="13">
        <v>14</v>
      </c>
      <c r="I583" s="13">
        <v>36</v>
      </c>
      <c r="J583" s="13">
        <v>-36</v>
      </c>
      <c r="K583" s="10">
        <v>14</v>
      </c>
      <c r="L583" s="2">
        <v>3437.8218000000002</v>
      </c>
      <c r="M583" s="1">
        <v>46136.693749999999</v>
      </c>
      <c r="N583" t="s">
        <v>1379</v>
      </c>
    </row>
    <row r="584" spans="1:14" x14ac:dyDescent="0.25">
      <c r="A584" s="9" t="s">
        <v>5211</v>
      </c>
      <c r="B584" s="10">
        <v>718</v>
      </c>
      <c r="C584" s="10" t="s">
        <v>12</v>
      </c>
      <c r="D584" t="s">
        <v>3597</v>
      </c>
      <c r="E584" t="s">
        <v>3598</v>
      </c>
      <c r="F584" s="10" t="s">
        <v>19</v>
      </c>
      <c r="G584" s="2">
        <v>20.908100000000001</v>
      </c>
      <c r="H584" s="13">
        <v>14</v>
      </c>
      <c r="I584" s="13">
        <v>0</v>
      </c>
      <c r="J584" s="13">
        <v>0</v>
      </c>
      <c r="K584" s="10">
        <v>14</v>
      </c>
      <c r="L584" s="2">
        <v>292.71339999999998</v>
      </c>
      <c r="M584" s="1">
        <v>46143.445138888892</v>
      </c>
      <c r="N584" t="s">
        <v>1841</v>
      </c>
    </row>
    <row r="585" spans="1:14" x14ac:dyDescent="0.25">
      <c r="A585" s="9" t="s">
        <v>5211</v>
      </c>
      <c r="B585" s="10">
        <v>714</v>
      </c>
      <c r="C585" s="10" t="s">
        <v>70</v>
      </c>
      <c r="D585" t="s">
        <v>2157</v>
      </c>
      <c r="E585" t="s">
        <v>2158</v>
      </c>
      <c r="F585" s="10" t="s">
        <v>39</v>
      </c>
      <c r="G585" s="2">
        <v>4.0572999999999997</v>
      </c>
      <c r="H585" s="13">
        <v>14</v>
      </c>
      <c r="I585" s="13">
        <v>0</v>
      </c>
      <c r="J585" s="13">
        <v>0</v>
      </c>
      <c r="K585" s="10">
        <v>14</v>
      </c>
      <c r="L585" s="2">
        <v>56.802199999999999</v>
      </c>
      <c r="M585" s="1">
        <v>46148.502083333333</v>
      </c>
      <c r="N585" t="s">
        <v>506</v>
      </c>
    </row>
    <row r="586" spans="1:14" x14ac:dyDescent="0.25">
      <c r="A586" s="9" t="s">
        <v>5211</v>
      </c>
      <c r="B586" s="10">
        <v>636</v>
      </c>
      <c r="C586" s="10" t="s">
        <v>143</v>
      </c>
      <c r="D586" t="s">
        <v>4204</v>
      </c>
      <c r="E586" t="s">
        <v>4205</v>
      </c>
      <c r="F586" s="10" t="s">
        <v>43</v>
      </c>
      <c r="G586" s="2">
        <v>67.149000000000001</v>
      </c>
      <c r="H586" s="13">
        <v>14</v>
      </c>
      <c r="I586" s="13">
        <v>81</v>
      </c>
      <c r="J586" s="13">
        <v>-81</v>
      </c>
      <c r="K586" s="10">
        <v>14</v>
      </c>
      <c r="L586" s="2">
        <v>940.08600000000001</v>
      </c>
      <c r="M586" s="1">
        <v>46149.279861111114</v>
      </c>
      <c r="N586" t="s">
        <v>261</v>
      </c>
    </row>
    <row r="587" spans="1:14" x14ac:dyDescent="0.25">
      <c r="A587" s="9" t="s">
        <v>5211</v>
      </c>
      <c r="B587" s="10">
        <v>718</v>
      </c>
      <c r="C587" s="10" t="s">
        <v>126</v>
      </c>
      <c r="D587" t="s">
        <v>3705</v>
      </c>
      <c r="E587" t="s">
        <v>3706</v>
      </c>
      <c r="F587" s="10" t="s">
        <v>112</v>
      </c>
      <c r="G587" s="2">
        <v>16.878699999999998</v>
      </c>
      <c r="H587" s="13">
        <v>14</v>
      </c>
      <c r="I587" s="13">
        <v>8</v>
      </c>
      <c r="J587" s="13">
        <v>-8</v>
      </c>
      <c r="K587" s="10">
        <v>14</v>
      </c>
      <c r="L587" s="2">
        <v>236.30179999999999</v>
      </c>
      <c r="M587" s="1">
        <v>46160.443749999999</v>
      </c>
      <c r="N587" t="s">
        <v>140</v>
      </c>
    </row>
    <row r="588" spans="1:14" x14ac:dyDescent="0.25">
      <c r="A588" s="9" t="s">
        <v>5211</v>
      </c>
      <c r="B588" s="10">
        <v>636</v>
      </c>
      <c r="C588" s="10" t="s">
        <v>143</v>
      </c>
      <c r="D588" t="s">
        <v>1161</v>
      </c>
      <c r="E588" t="s">
        <v>1162</v>
      </c>
      <c r="F588" s="10" t="s">
        <v>29</v>
      </c>
      <c r="G588" s="2">
        <v>21.224799999999998</v>
      </c>
      <c r="H588" s="13">
        <v>14</v>
      </c>
      <c r="I588" s="13">
        <v>0</v>
      </c>
      <c r="J588" s="13">
        <v>0</v>
      </c>
      <c r="K588" s="10">
        <v>14</v>
      </c>
      <c r="L588" s="2">
        <v>297.1472</v>
      </c>
      <c r="M588" s="1">
        <v>46162.611805555556</v>
      </c>
      <c r="N588" t="s">
        <v>562</v>
      </c>
    </row>
    <row r="589" spans="1:14" x14ac:dyDescent="0.25">
      <c r="A589" s="9" t="s">
        <v>5211</v>
      </c>
      <c r="B589" s="10">
        <v>636</v>
      </c>
      <c r="C589" s="10" t="s">
        <v>70</v>
      </c>
      <c r="D589" t="s">
        <v>833</v>
      </c>
      <c r="E589" t="s">
        <v>834</v>
      </c>
      <c r="F589" s="10" t="s">
        <v>39</v>
      </c>
      <c r="G589" s="2">
        <v>5.2571000000000003</v>
      </c>
      <c r="H589" s="13">
        <v>14</v>
      </c>
      <c r="I589" s="13">
        <v>0</v>
      </c>
      <c r="J589" s="13">
        <v>0</v>
      </c>
      <c r="K589" s="10">
        <v>14</v>
      </c>
      <c r="L589" s="2">
        <v>73.599400000000003</v>
      </c>
      <c r="M589" s="1">
        <v>46171.48541666667</v>
      </c>
      <c r="N589" t="s">
        <v>16</v>
      </c>
    </row>
    <row r="590" spans="1:14" x14ac:dyDescent="0.25">
      <c r="A590" s="9" t="s">
        <v>5211</v>
      </c>
      <c r="B590" s="10">
        <v>714</v>
      </c>
      <c r="C590" s="10" t="s">
        <v>143</v>
      </c>
      <c r="D590" t="s">
        <v>2391</v>
      </c>
      <c r="E590" t="s">
        <v>2392</v>
      </c>
      <c r="F590" s="10" t="s">
        <v>19</v>
      </c>
      <c r="G590" s="2">
        <v>27.095300000000002</v>
      </c>
      <c r="H590" s="13">
        <v>14</v>
      </c>
      <c r="I590" s="13">
        <v>0</v>
      </c>
      <c r="J590" s="13">
        <v>0</v>
      </c>
      <c r="K590" s="10">
        <v>14</v>
      </c>
      <c r="L590" s="2">
        <v>379.33420000000001</v>
      </c>
      <c r="M590" s="1">
        <v>46175.715277777781</v>
      </c>
      <c r="N590" t="s">
        <v>2268</v>
      </c>
    </row>
    <row r="591" spans="1:14" x14ac:dyDescent="0.25">
      <c r="A591" s="9" t="s">
        <v>5211</v>
      </c>
      <c r="B591" s="10">
        <v>636</v>
      </c>
      <c r="C591" s="10" t="s">
        <v>70</v>
      </c>
      <c r="D591" t="s">
        <v>620</v>
      </c>
      <c r="E591" t="s">
        <v>621</v>
      </c>
      <c r="F591" s="10" t="s">
        <v>39</v>
      </c>
      <c r="G591" s="2">
        <v>6.0377999999999998</v>
      </c>
      <c r="H591" s="13">
        <v>14</v>
      </c>
      <c r="I591" s="13">
        <v>-1</v>
      </c>
      <c r="J591" s="13">
        <v>1</v>
      </c>
      <c r="K591" s="10">
        <v>14</v>
      </c>
      <c r="L591" s="2">
        <v>84.529200000000003</v>
      </c>
      <c r="M591" s="1">
        <v>46178.285416666666</v>
      </c>
      <c r="N591" t="s">
        <v>522</v>
      </c>
    </row>
    <row r="592" spans="1:14" x14ac:dyDescent="0.25">
      <c r="A592" s="9" t="s">
        <v>5211</v>
      </c>
      <c r="B592" s="10">
        <v>636</v>
      </c>
      <c r="C592" s="10" t="s">
        <v>70</v>
      </c>
      <c r="D592" t="s">
        <v>597</v>
      </c>
      <c r="E592" t="s">
        <v>598</v>
      </c>
      <c r="F592" s="10" t="s">
        <v>43</v>
      </c>
      <c r="G592" s="2">
        <v>17.191199999999998</v>
      </c>
      <c r="H592" s="13">
        <v>14</v>
      </c>
      <c r="I592" s="13">
        <v>-4</v>
      </c>
      <c r="J592" s="13">
        <v>4</v>
      </c>
      <c r="K592" s="10">
        <v>14</v>
      </c>
      <c r="L592" s="2">
        <v>240.67679999999999</v>
      </c>
      <c r="M592" s="1">
        <v>46181.29583333333</v>
      </c>
      <c r="N592" t="s">
        <v>599</v>
      </c>
    </row>
    <row r="593" spans="1:14" x14ac:dyDescent="0.25">
      <c r="A593" s="9" t="s">
        <v>5211</v>
      </c>
      <c r="B593" s="10">
        <v>714</v>
      </c>
      <c r="C593" s="10" t="s">
        <v>70</v>
      </c>
      <c r="D593" t="s">
        <v>2054</v>
      </c>
      <c r="E593" t="s">
        <v>2055</v>
      </c>
      <c r="F593" s="10" t="s">
        <v>81</v>
      </c>
      <c r="G593" s="2">
        <v>4.4402999999999997</v>
      </c>
      <c r="H593" s="13">
        <v>14</v>
      </c>
      <c r="I593" s="13">
        <v>0</v>
      </c>
      <c r="J593" s="13">
        <v>0</v>
      </c>
      <c r="K593" s="10">
        <v>14</v>
      </c>
      <c r="L593" s="2">
        <v>62.164200000000001</v>
      </c>
      <c r="M593" s="1">
        <v>46185.313888888886</v>
      </c>
      <c r="N593" t="s">
        <v>542</v>
      </c>
    </row>
    <row r="594" spans="1:14" x14ac:dyDescent="0.25">
      <c r="A594" s="9" t="s">
        <v>5211</v>
      </c>
      <c r="B594" s="10">
        <v>714</v>
      </c>
      <c r="C594" s="10" t="s">
        <v>143</v>
      </c>
      <c r="D594" t="s">
        <v>2589</v>
      </c>
      <c r="E594" t="s">
        <v>2590</v>
      </c>
      <c r="F594" s="10" t="s">
        <v>29</v>
      </c>
      <c r="G594" s="2">
        <v>17.760200000000001</v>
      </c>
      <c r="H594" s="13">
        <v>14</v>
      </c>
      <c r="I594" s="13">
        <v>-10</v>
      </c>
      <c r="J594" s="13">
        <v>10</v>
      </c>
      <c r="K594" s="10">
        <v>14</v>
      </c>
      <c r="L594" s="2">
        <v>248.64279999999999</v>
      </c>
      <c r="M594" s="1">
        <v>46188.35</v>
      </c>
      <c r="N594" t="s">
        <v>26</v>
      </c>
    </row>
    <row r="595" spans="1:14" x14ac:dyDescent="0.25">
      <c r="A595" s="9" t="s">
        <v>5211</v>
      </c>
      <c r="B595" s="10">
        <v>714</v>
      </c>
      <c r="C595" s="10" t="s">
        <v>143</v>
      </c>
      <c r="D595" t="s">
        <v>2804</v>
      </c>
      <c r="E595" t="s">
        <v>2805</v>
      </c>
      <c r="F595" s="10" t="s">
        <v>29</v>
      </c>
      <c r="G595" s="2">
        <v>28.2927</v>
      </c>
      <c r="H595" s="13">
        <v>14</v>
      </c>
      <c r="I595" s="13">
        <v>0</v>
      </c>
      <c r="J595" s="13">
        <v>0</v>
      </c>
      <c r="K595" s="10">
        <v>14</v>
      </c>
      <c r="L595" s="2">
        <v>396.09780000000001</v>
      </c>
      <c r="M595" s="1">
        <v>46188.35</v>
      </c>
      <c r="N595" t="s">
        <v>26</v>
      </c>
    </row>
    <row r="596" spans="1:14" x14ac:dyDescent="0.25">
      <c r="A596" s="9" t="s">
        <v>5211</v>
      </c>
      <c r="B596" s="10">
        <v>718</v>
      </c>
      <c r="C596" s="10" t="s">
        <v>1749</v>
      </c>
      <c r="D596" t="s">
        <v>3554</v>
      </c>
      <c r="E596" t="s">
        <v>3555</v>
      </c>
      <c r="F596" s="10" t="s">
        <v>43</v>
      </c>
      <c r="G596" s="2">
        <v>14.8087</v>
      </c>
      <c r="H596" s="13">
        <v>14</v>
      </c>
      <c r="I596" s="13">
        <v>-17</v>
      </c>
      <c r="J596" s="13">
        <v>17</v>
      </c>
      <c r="K596" s="10">
        <v>14</v>
      </c>
      <c r="L596" s="2">
        <v>207.3218</v>
      </c>
      <c r="M596" s="1">
        <v>46189.361805555556</v>
      </c>
      <c r="N596" t="s">
        <v>1825</v>
      </c>
    </row>
    <row r="597" spans="1:14" x14ac:dyDescent="0.25">
      <c r="A597" s="9" t="s">
        <v>5211</v>
      </c>
      <c r="B597" s="10">
        <v>714</v>
      </c>
      <c r="C597" s="10" t="s">
        <v>143</v>
      </c>
      <c r="D597" t="s">
        <v>223</v>
      </c>
      <c r="E597" t="s">
        <v>224</v>
      </c>
      <c r="F597" s="10" t="s">
        <v>19</v>
      </c>
      <c r="G597" s="2">
        <v>139.1157</v>
      </c>
      <c r="H597" s="13">
        <v>14</v>
      </c>
      <c r="I597" s="13">
        <v>0</v>
      </c>
      <c r="J597" s="13">
        <v>0</v>
      </c>
      <c r="K597" s="10">
        <v>14</v>
      </c>
      <c r="L597" s="2">
        <v>1947.6197999999999</v>
      </c>
      <c r="M597" s="1">
        <v>46191.602083333331</v>
      </c>
      <c r="N597" t="s">
        <v>903</v>
      </c>
    </row>
    <row r="598" spans="1:14" x14ac:dyDescent="0.25">
      <c r="A598" s="9" t="s">
        <v>5211</v>
      </c>
      <c r="B598" s="10">
        <v>718</v>
      </c>
      <c r="C598" s="10" t="s">
        <v>143</v>
      </c>
      <c r="D598" t="s">
        <v>4905</v>
      </c>
      <c r="E598" t="s">
        <v>4906</v>
      </c>
      <c r="F598" s="10" t="s">
        <v>23</v>
      </c>
      <c r="G598" s="2">
        <v>24.883199999999999</v>
      </c>
      <c r="H598" s="13">
        <v>14</v>
      </c>
      <c r="I598" s="13">
        <v>9</v>
      </c>
      <c r="J598" s="13">
        <v>-9</v>
      </c>
      <c r="K598" s="10">
        <v>14</v>
      </c>
      <c r="L598" s="2">
        <v>348.3648</v>
      </c>
      <c r="M598" s="1">
        <v>46196.648611111108</v>
      </c>
      <c r="N598" t="s">
        <v>67</v>
      </c>
    </row>
    <row r="599" spans="1:14" x14ac:dyDescent="0.25">
      <c r="A599" s="9" t="s">
        <v>5211</v>
      </c>
      <c r="B599" s="10">
        <v>714</v>
      </c>
      <c r="C599" s="10" t="s">
        <v>143</v>
      </c>
      <c r="D599" t="s">
        <v>2642</v>
      </c>
      <c r="E599" t="s">
        <v>2643</v>
      </c>
      <c r="F599" s="10" t="s">
        <v>23</v>
      </c>
      <c r="G599" s="2">
        <v>15.103</v>
      </c>
      <c r="H599" s="13">
        <v>14</v>
      </c>
      <c r="I599" s="13">
        <v>0</v>
      </c>
      <c r="J599" s="13">
        <v>0</v>
      </c>
      <c r="K599" s="10">
        <v>14</v>
      </c>
      <c r="L599" s="2">
        <v>211.44200000000001</v>
      </c>
      <c r="M599" s="1">
        <v>46200.377083333333</v>
      </c>
      <c r="N599" t="s">
        <v>40</v>
      </c>
    </row>
    <row r="600" spans="1:14" x14ac:dyDescent="0.25">
      <c r="A600" s="9" t="s">
        <v>5211</v>
      </c>
      <c r="B600" s="10">
        <v>714</v>
      </c>
      <c r="C600" s="10" t="s">
        <v>323</v>
      </c>
      <c r="D600" t="s">
        <v>4298</v>
      </c>
      <c r="E600" t="s">
        <v>4299</v>
      </c>
      <c r="F600" s="10" t="s">
        <v>43</v>
      </c>
      <c r="G600" s="2">
        <v>179.54329999999999</v>
      </c>
      <c r="H600" s="13">
        <v>14</v>
      </c>
      <c r="I600" s="13">
        <v>141</v>
      </c>
      <c r="J600" s="13">
        <v>-141</v>
      </c>
      <c r="K600" s="10">
        <v>14</v>
      </c>
      <c r="L600" s="2">
        <v>2513.6062000000002</v>
      </c>
      <c r="M600" s="1">
        <v>46203.527777777781</v>
      </c>
      <c r="N600" t="s">
        <v>229</v>
      </c>
    </row>
    <row r="601" spans="1:14" x14ac:dyDescent="0.25">
      <c r="A601" s="9" t="s">
        <v>5211</v>
      </c>
      <c r="B601" s="10">
        <v>714</v>
      </c>
      <c r="C601" s="10" t="s">
        <v>143</v>
      </c>
      <c r="D601" t="s">
        <v>2253</v>
      </c>
      <c r="E601" t="s">
        <v>2254</v>
      </c>
      <c r="F601" s="10" t="s">
        <v>158</v>
      </c>
      <c r="G601" s="2">
        <v>53.450299999999999</v>
      </c>
      <c r="H601" s="13">
        <v>14</v>
      </c>
      <c r="I601" s="13">
        <v>3</v>
      </c>
      <c r="J601" s="13">
        <v>-3</v>
      </c>
      <c r="K601" s="10">
        <v>14</v>
      </c>
      <c r="L601" s="2">
        <v>748.30420000000004</v>
      </c>
      <c r="M601" s="1">
        <v>46204.5625</v>
      </c>
      <c r="N601" t="s">
        <v>195</v>
      </c>
    </row>
    <row r="602" spans="1:14" x14ac:dyDescent="0.25">
      <c r="A602" s="9" t="s">
        <v>5211</v>
      </c>
      <c r="B602" s="10">
        <v>634</v>
      </c>
      <c r="C602" s="10" t="s">
        <v>323</v>
      </c>
      <c r="D602" t="s">
        <v>4328</v>
      </c>
      <c r="E602" t="s">
        <v>4329</v>
      </c>
      <c r="F602" s="10" t="s">
        <v>43</v>
      </c>
      <c r="G602" s="2">
        <v>120.1032</v>
      </c>
      <c r="H602" s="13">
        <v>14</v>
      </c>
      <c r="I602" s="13">
        <v>86</v>
      </c>
      <c r="J602" s="13">
        <v>-86</v>
      </c>
      <c r="K602" s="10">
        <v>14</v>
      </c>
      <c r="L602" s="2">
        <v>1681.4448</v>
      </c>
      <c r="M602" s="1">
        <v>46209.645138888889</v>
      </c>
      <c r="N602" t="s">
        <v>151</v>
      </c>
    </row>
    <row r="603" spans="1:14" x14ac:dyDescent="0.25">
      <c r="A603" s="9" t="s">
        <v>5211</v>
      </c>
      <c r="B603" s="10">
        <v>718</v>
      </c>
      <c r="C603" s="10" t="s">
        <v>323</v>
      </c>
      <c r="D603" t="s">
        <v>4935</v>
      </c>
      <c r="E603" t="s">
        <v>4936</v>
      </c>
      <c r="F603" s="10" t="s">
        <v>43</v>
      </c>
      <c r="G603" s="2">
        <v>68.069999999999993</v>
      </c>
      <c r="H603" s="13">
        <v>14</v>
      </c>
      <c r="I603" s="13">
        <v>16</v>
      </c>
      <c r="J603" s="13">
        <v>-16</v>
      </c>
      <c r="K603" s="10">
        <v>14</v>
      </c>
      <c r="L603" s="2">
        <v>952.98</v>
      </c>
      <c r="M603" s="1">
        <v>46225.381249999999</v>
      </c>
      <c r="N603" t="s">
        <v>366</v>
      </c>
    </row>
    <row r="604" spans="1:14" x14ac:dyDescent="0.25">
      <c r="A604" s="9" t="s">
        <v>5211</v>
      </c>
      <c r="B604" s="10">
        <v>636</v>
      </c>
      <c r="C604" s="10" t="s">
        <v>12</v>
      </c>
      <c r="D604" t="s">
        <v>529</v>
      </c>
      <c r="E604" t="s">
        <v>530</v>
      </c>
      <c r="F604" s="10" t="s">
        <v>29</v>
      </c>
      <c r="G604" s="2">
        <v>2.8447</v>
      </c>
      <c r="H604" s="13">
        <v>14</v>
      </c>
      <c r="I604" s="13">
        <v>0</v>
      </c>
      <c r="J604" s="13">
        <v>0</v>
      </c>
      <c r="K604" s="10">
        <v>14</v>
      </c>
      <c r="L604" s="2">
        <v>39.825800000000001</v>
      </c>
      <c r="M604" s="1">
        <v>46231.592361111114</v>
      </c>
      <c r="N604" t="s">
        <v>531</v>
      </c>
    </row>
    <row r="605" spans="1:14" x14ac:dyDescent="0.25">
      <c r="A605" s="9" t="s">
        <v>5211</v>
      </c>
      <c r="B605" s="10">
        <v>714</v>
      </c>
      <c r="C605" s="10" t="s">
        <v>143</v>
      </c>
      <c r="D605" t="s">
        <v>4827</v>
      </c>
      <c r="E605" t="s">
        <v>4828</v>
      </c>
      <c r="F605" s="10" t="s">
        <v>43</v>
      </c>
      <c r="G605" s="2">
        <v>23.960100000000001</v>
      </c>
      <c r="H605" s="13">
        <v>14</v>
      </c>
      <c r="I605" s="13">
        <v>7</v>
      </c>
      <c r="J605" s="13">
        <v>-7</v>
      </c>
      <c r="K605" s="10">
        <v>14</v>
      </c>
      <c r="L605" s="2">
        <v>335.44139999999999</v>
      </c>
      <c r="M605" s="1">
        <v>46241.538888888892</v>
      </c>
      <c r="N605" t="s">
        <v>26</v>
      </c>
    </row>
    <row r="606" spans="1:14" x14ac:dyDescent="0.25">
      <c r="A606" s="9" t="s">
        <v>5211</v>
      </c>
      <c r="B606" s="10">
        <v>714</v>
      </c>
      <c r="C606" s="10" t="s">
        <v>12</v>
      </c>
      <c r="D606" t="s">
        <v>1834</v>
      </c>
      <c r="E606" t="s">
        <v>1835</v>
      </c>
      <c r="F606" s="10" t="s">
        <v>39</v>
      </c>
      <c r="G606" s="2">
        <v>17.084700000000002</v>
      </c>
      <c r="H606" s="13">
        <v>14</v>
      </c>
      <c r="I606" s="13">
        <v>0</v>
      </c>
      <c r="J606" s="13">
        <v>0</v>
      </c>
      <c r="K606" s="10">
        <v>14</v>
      </c>
      <c r="L606" s="2">
        <v>239.1858</v>
      </c>
      <c r="M606" s="1">
        <v>46244.670138888891</v>
      </c>
      <c r="N606" t="s">
        <v>1836</v>
      </c>
    </row>
    <row r="607" spans="1:14" x14ac:dyDescent="0.25">
      <c r="A607" s="9" t="s">
        <v>5211</v>
      </c>
      <c r="B607" s="10">
        <v>718</v>
      </c>
      <c r="C607" s="10" t="s">
        <v>143</v>
      </c>
      <c r="D607" t="s">
        <v>4140</v>
      </c>
      <c r="E607" t="s">
        <v>4141</v>
      </c>
      <c r="F607" s="10" t="s">
        <v>39</v>
      </c>
      <c r="G607" s="2">
        <v>19.783000000000001</v>
      </c>
      <c r="H607" s="13">
        <v>14</v>
      </c>
      <c r="I607" s="13">
        <v>9</v>
      </c>
      <c r="J607" s="13">
        <v>-9</v>
      </c>
      <c r="K607" s="10">
        <v>14</v>
      </c>
      <c r="L607" s="2">
        <v>276.96199999999999</v>
      </c>
      <c r="M607" s="1">
        <v>46246.392361111109</v>
      </c>
      <c r="N607" t="s">
        <v>40</v>
      </c>
    </row>
    <row r="608" spans="1:14" x14ac:dyDescent="0.25">
      <c r="A608" s="9" t="s">
        <v>5211</v>
      </c>
      <c r="B608" s="10">
        <v>634</v>
      </c>
      <c r="C608" s="10" t="s">
        <v>12</v>
      </c>
      <c r="D608" t="s">
        <v>56</v>
      </c>
      <c r="E608" s="6" t="s">
        <v>57</v>
      </c>
      <c r="F608" s="11" t="s">
        <v>58</v>
      </c>
      <c r="G608" s="2">
        <v>6.4187000000000003</v>
      </c>
      <c r="H608" s="13">
        <v>13</v>
      </c>
      <c r="I608" s="13">
        <v>0</v>
      </c>
      <c r="J608" s="13">
        <v>0</v>
      </c>
      <c r="K608" s="10">
        <v>13</v>
      </c>
      <c r="L608" s="2">
        <v>83.443100000000001</v>
      </c>
      <c r="M608" s="1">
        <v>45050.396527777775</v>
      </c>
      <c r="N608" t="s">
        <v>40</v>
      </c>
    </row>
    <row r="609" spans="1:14" x14ac:dyDescent="0.25">
      <c r="A609" s="9" t="s">
        <v>5211</v>
      </c>
      <c r="B609" s="10">
        <v>634</v>
      </c>
      <c r="C609" s="10" t="s">
        <v>143</v>
      </c>
      <c r="D609" t="s">
        <v>183</v>
      </c>
      <c r="E609" s="6" t="s">
        <v>184</v>
      </c>
      <c r="F609" s="11" t="s">
        <v>58</v>
      </c>
      <c r="G609" s="2">
        <v>13.3567</v>
      </c>
      <c r="H609" s="13">
        <v>13</v>
      </c>
      <c r="I609" s="13">
        <v>0</v>
      </c>
      <c r="J609" s="13">
        <v>0</v>
      </c>
      <c r="K609" s="10">
        <v>13</v>
      </c>
      <c r="L609" s="2">
        <v>173.6371</v>
      </c>
      <c r="M609" s="1">
        <v>45467.800694444442</v>
      </c>
      <c r="N609" t="s">
        <v>26</v>
      </c>
    </row>
    <row r="610" spans="1:14" x14ac:dyDescent="0.25">
      <c r="A610" s="9" t="s">
        <v>5211</v>
      </c>
      <c r="B610" s="10">
        <v>636</v>
      </c>
      <c r="C610" s="10" t="s">
        <v>143</v>
      </c>
      <c r="D610" t="s">
        <v>1116</v>
      </c>
      <c r="E610" t="s">
        <v>1117</v>
      </c>
      <c r="F610" s="10" t="s">
        <v>39</v>
      </c>
      <c r="G610" s="2">
        <v>16.8246</v>
      </c>
      <c r="H610" s="13">
        <v>13</v>
      </c>
      <c r="I610" s="13">
        <v>6</v>
      </c>
      <c r="J610" s="13">
        <v>-6</v>
      </c>
      <c r="K610" s="10">
        <v>13</v>
      </c>
      <c r="L610" s="2">
        <v>218.71979999999999</v>
      </c>
      <c r="M610" s="1">
        <v>45779.334722222222</v>
      </c>
      <c r="N610" t="s">
        <v>26</v>
      </c>
    </row>
    <row r="611" spans="1:14" x14ac:dyDescent="0.25">
      <c r="A611" s="9" t="s">
        <v>5211</v>
      </c>
      <c r="B611" s="10">
        <v>636</v>
      </c>
      <c r="C611" s="10" t="s">
        <v>143</v>
      </c>
      <c r="D611" t="s">
        <v>993</v>
      </c>
      <c r="E611" t="s">
        <v>994</v>
      </c>
      <c r="F611" s="10" t="s">
        <v>29</v>
      </c>
      <c r="G611" s="2">
        <v>19.481300000000001</v>
      </c>
      <c r="H611" s="13">
        <v>13</v>
      </c>
      <c r="I611" s="13">
        <v>0</v>
      </c>
      <c r="J611" s="13">
        <v>0</v>
      </c>
      <c r="K611" s="10">
        <v>13</v>
      </c>
      <c r="L611" s="2">
        <v>253.2569</v>
      </c>
      <c r="M611" s="1">
        <v>45827.498611111114</v>
      </c>
      <c r="N611" t="s">
        <v>26</v>
      </c>
    </row>
    <row r="612" spans="1:14" x14ac:dyDescent="0.25">
      <c r="A612" s="9" t="s">
        <v>5211</v>
      </c>
      <c r="B612" s="10">
        <v>634</v>
      </c>
      <c r="C612" s="10" t="s">
        <v>12</v>
      </c>
      <c r="D612" t="s">
        <v>1906</v>
      </c>
      <c r="E612" t="s">
        <v>1907</v>
      </c>
      <c r="F612" s="10" t="s">
        <v>15</v>
      </c>
      <c r="G612" s="2">
        <v>5.9665999999999997</v>
      </c>
      <c r="H612" s="13">
        <v>13</v>
      </c>
      <c r="I612" s="13">
        <v>-51</v>
      </c>
      <c r="J612" s="13">
        <v>51</v>
      </c>
      <c r="K612" s="10">
        <v>13</v>
      </c>
      <c r="L612" s="2">
        <v>77.565799999999996</v>
      </c>
      <c r="M612" s="1">
        <v>45863.606249999997</v>
      </c>
      <c r="N612" t="s">
        <v>16</v>
      </c>
    </row>
    <row r="613" spans="1:14" x14ac:dyDescent="0.25">
      <c r="A613" s="9" t="s">
        <v>5211</v>
      </c>
      <c r="B613" s="10">
        <v>636</v>
      </c>
      <c r="C613" s="10" t="s">
        <v>323</v>
      </c>
      <c r="D613" t="s">
        <v>1312</v>
      </c>
      <c r="E613" t="s">
        <v>1313</v>
      </c>
      <c r="F613" s="10" t="s">
        <v>23</v>
      </c>
      <c r="G613" s="2">
        <v>151.01499999999999</v>
      </c>
      <c r="H613" s="13">
        <v>13</v>
      </c>
      <c r="I613" s="13">
        <v>-4</v>
      </c>
      <c r="J613" s="13">
        <v>4</v>
      </c>
      <c r="K613" s="10">
        <v>13</v>
      </c>
      <c r="L613" s="2">
        <v>1963.1949999999999</v>
      </c>
      <c r="M613" s="1">
        <v>46069.413194444445</v>
      </c>
      <c r="N613" t="s">
        <v>151</v>
      </c>
    </row>
    <row r="614" spans="1:14" x14ac:dyDescent="0.25">
      <c r="A614" s="9" t="s">
        <v>5211</v>
      </c>
      <c r="B614" s="10">
        <v>636</v>
      </c>
      <c r="C614" s="10" t="s">
        <v>323</v>
      </c>
      <c r="D614" t="s">
        <v>1711</v>
      </c>
      <c r="E614" t="s">
        <v>1712</v>
      </c>
      <c r="F614" s="10" t="s">
        <v>23</v>
      </c>
      <c r="G614" s="2">
        <v>129.3229</v>
      </c>
      <c r="H614" s="13">
        <v>13</v>
      </c>
      <c r="I614" s="13">
        <v>-4</v>
      </c>
      <c r="J614" s="13">
        <v>4</v>
      </c>
      <c r="K614" s="10">
        <v>13</v>
      </c>
      <c r="L614" s="2">
        <v>1681.1976999999999</v>
      </c>
      <c r="M614" s="1">
        <v>46079.574305555558</v>
      </c>
      <c r="N614" t="s">
        <v>1234</v>
      </c>
    </row>
    <row r="615" spans="1:14" x14ac:dyDescent="0.25">
      <c r="A615" s="9" t="s">
        <v>5211</v>
      </c>
      <c r="B615" s="10">
        <v>714</v>
      </c>
      <c r="C615" s="10" t="s">
        <v>323</v>
      </c>
      <c r="D615" t="s">
        <v>3270</v>
      </c>
      <c r="E615" t="s">
        <v>3271</v>
      </c>
      <c r="F615" s="10" t="s">
        <v>19</v>
      </c>
      <c r="G615" s="2">
        <v>133.3092</v>
      </c>
      <c r="H615" s="13">
        <v>13</v>
      </c>
      <c r="I615" s="13">
        <v>0</v>
      </c>
      <c r="J615" s="13">
        <v>0</v>
      </c>
      <c r="K615" s="10">
        <v>13</v>
      </c>
      <c r="L615" s="2">
        <v>1733.0196000000001</v>
      </c>
      <c r="M615" s="1">
        <v>46098.450694444444</v>
      </c>
      <c r="N615" t="s">
        <v>345</v>
      </c>
    </row>
    <row r="616" spans="1:14" x14ac:dyDescent="0.25">
      <c r="A616" s="9" t="s">
        <v>5211</v>
      </c>
      <c r="B616" s="10">
        <v>714</v>
      </c>
      <c r="C616" s="10" t="s">
        <v>70</v>
      </c>
      <c r="D616" t="s">
        <v>90</v>
      </c>
      <c r="E616" t="s">
        <v>91</v>
      </c>
      <c r="F616" s="10" t="s">
        <v>123</v>
      </c>
      <c r="G616" s="2">
        <v>5.3125</v>
      </c>
      <c r="H616" s="13">
        <v>13</v>
      </c>
      <c r="I616" s="13">
        <v>-20</v>
      </c>
      <c r="J616" s="13">
        <v>20</v>
      </c>
      <c r="K616" s="10">
        <v>13</v>
      </c>
      <c r="L616" s="2">
        <v>69.0625</v>
      </c>
      <c r="M616" s="1">
        <v>46102.36041666667</v>
      </c>
      <c r="N616" t="s">
        <v>26</v>
      </c>
    </row>
    <row r="617" spans="1:14" x14ac:dyDescent="0.25">
      <c r="A617" s="9" t="s">
        <v>5211</v>
      </c>
      <c r="B617" s="10">
        <v>636</v>
      </c>
      <c r="C617" s="10" t="s">
        <v>143</v>
      </c>
      <c r="D617" t="s">
        <v>1144</v>
      </c>
      <c r="E617" t="s">
        <v>1145</v>
      </c>
      <c r="F617" s="10" t="s">
        <v>29</v>
      </c>
      <c r="G617" s="2">
        <v>119.4607</v>
      </c>
      <c r="H617" s="13">
        <v>13</v>
      </c>
      <c r="I617" s="13">
        <v>4</v>
      </c>
      <c r="J617" s="13">
        <v>-4</v>
      </c>
      <c r="K617" s="10">
        <v>13</v>
      </c>
      <c r="L617" s="2">
        <v>1552.9891</v>
      </c>
      <c r="M617" s="1">
        <v>46119.593055555553</v>
      </c>
      <c r="N617" t="s">
        <v>236</v>
      </c>
    </row>
    <row r="618" spans="1:14" x14ac:dyDescent="0.25">
      <c r="A618" s="9" t="s">
        <v>5211</v>
      </c>
      <c r="B618" s="10">
        <v>634</v>
      </c>
      <c r="C618" s="10" t="s">
        <v>143</v>
      </c>
      <c r="D618" t="s">
        <v>4194</v>
      </c>
      <c r="E618" t="s">
        <v>4195</v>
      </c>
      <c r="F618" s="10" t="s">
        <v>43</v>
      </c>
      <c r="G618" s="2">
        <v>20.9908</v>
      </c>
      <c r="H618" s="13">
        <v>13</v>
      </c>
      <c r="I618" s="13">
        <v>49</v>
      </c>
      <c r="J618" s="13">
        <v>-49</v>
      </c>
      <c r="K618" s="10">
        <v>13</v>
      </c>
      <c r="L618" s="2">
        <v>272.88040000000001</v>
      </c>
      <c r="M618" s="1">
        <v>46126.656944444447</v>
      </c>
      <c r="N618" t="s">
        <v>26</v>
      </c>
    </row>
    <row r="619" spans="1:14" x14ac:dyDescent="0.25">
      <c r="A619" s="9" t="s">
        <v>5211</v>
      </c>
      <c r="B619" s="10">
        <v>636</v>
      </c>
      <c r="C619" s="10" t="s">
        <v>143</v>
      </c>
      <c r="D619" t="s">
        <v>4218</v>
      </c>
      <c r="E619" t="s">
        <v>4219</v>
      </c>
      <c r="F619" s="10" t="s">
        <v>43</v>
      </c>
      <c r="G619" s="2">
        <v>26.685500000000001</v>
      </c>
      <c r="H619" s="13">
        <v>13</v>
      </c>
      <c r="I619" s="13">
        <v>16</v>
      </c>
      <c r="J619" s="13">
        <v>-16</v>
      </c>
      <c r="K619" s="10">
        <v>13</v>
      </c>
      <c r="L619" s="2">
        <v>346.91149999999999</v>
      </c>
      <c r="M619" s="1">
        <v>46127.302777777775</v>
      </c>
      <c r="N619" t="s">
        <v>162</v>
      </c>
    </row>
    <row r="620" spans="1:14" x14ac:dyDescent="0.25">
      <c r="A620" s="9" t="s">
        <v>5211</v>
      </c>
      <c r="B620" s="10">
        <v>636</v>
      </c>
      <c r="C620" s="10" t="s">
        <v>12</v>
      </c>
      <c r="D620" t="s">
        <v>4401</v>
      </c>
      <c r="E620" t="s">
        <v>4402</v>
      </c>
      <c r="F620" s="10" t="s">
        <v>29</v>
      </c>
      <c r="G620" s="2">
        <v>6.9939</v>
      </c>
      <c r="H620" s="13">
        <v>13</v>
      </c>
      <c r="I620" s="13">
        <v>13</v>
      </c>
      <c r="J620" s="13">
        <v>-13</v>
      </c>
      <c r="K620" s="10">
        <v>13</v>
      </c>
      <c r="L620" s="2">
        <v>90.920699999999997</v>
      </c>
      <c r="M620" s="1">
        <v>46129.474999999999</v>
      </c>
      <c r="N620" t="s">
        <v>40</v>
      </c>
    </row>
    <row r="621" spans="1:14" x14ac:dyDescent="0.25">
      <c r="A621" s="9" t="s">
        <v>5211</v>
      </c>
      <c r="B621" s="10">
        <v>714</v>
      </c>
      <c r="C621" s="10" t="s">
        <v>12</v>
      </c>
      <c r="D621" t="s">
        <v>1832</v>
      </c>
      <c r="E621" t="s">
        <v>1833</v>
      </c>
      <c r="F621" s="10" t="s">
        <v>39</v>
      </c>
      <c r="G621" s="2">
        <v>6.5460000000000003</v>
      </c>
      <c r="H621" s="13">
        <v>13</v>
      </c>
      <c r="I621" s="13">
        <v>0</v>
      </c>
      <c r="J621" s="13">
        <v>0</v>
      </c>
      <c r="K621" s="10">
        <v>13</v>
      </c>
      <c r="L621" s="2">
        <v>85.097999999999999</v>
      </c>
      <c r="M621" s="1">
        <v>46130.406944444447</v>
      </c>
      <c r="N621" t="s">
        <v>16</v>
      </c>
    </row>
    <row r="622" spans="1:14" x14ac:dyDescent="0.25">
      <c r="A622" s="9" t="s">
        <v>5211</v>
      </c>
      <c r="B622" s="10">
        <v>714</v>
      </c>
      <c r="C622" s="10" t="s">
        <v>323</v>
      </c>
      <c r="D622" t="s">
        <v>3198</v>
      </c>
      <c r="E622" t="s">
        <v>3199</v>
      </c>
      <c r="F622" s="10" t="s">
        <v>23</v>
      </c>
      <c r="G622" s="2">
        <v>193.1764</v>
      </c>
      <c r="H622" s="13">
        <v>13</v>
      </c>
      <c r="I622" s="13">
        <v>0</v>
      </c>
      <c r="J622" s="13">
        <v>0</v>
      </c>
      <c r="K622" s="10">
        <v>13</v>
      </c>
      <c r="L622" s="2">
        <v>2511.2932000000001</v>
      </c>
      <c r="M622" s="1">
        <v>46130.412499999999</v>
      </c>
      <c r="N622" t="s">
        <v>1224</v>
      </c>
    </row>
    <row r="623" spans="1:14" x14ac:dyDescent="0.25">
      <c r="A623" s="9" t="s">
        <v>5211</v>
      </c>
      <c r="B623" s="10">
        <v>714</v>
      </c>
      <c r="C623" s="10" t="s">
        <v>323</v>
      </c>
      <c r="D623" t="s">
        <v>3296</v>
      </c>
      <c r="E623" t="s">
        <v>3297</v>
      </c>
      <c r="F623" s="10" t="s">
        <v>158</v>
      </c>
      <c r="G623" s="2">
        <v>225.67869999999999</v>
      </c>
      <c r="H623" s="13">
        <v>13</v>
      </c>
      <c r="I623" s="13">
        <v>0</v>
      </c>
      <c r="J623" s="13">
        <v>0</v>
      </c>
      <c r="K623" s="10">
        <v>13</v>
      </c>
      <c r="L623" s="2">
        <v>2933.8231000000001</v>
      </c>
      <c r="M623" s="1">
        <v>46132.39166666667</v>
      </c>
      <c r="N623" t="s">
        <v>2423</v>
      </c>
    </row>
    <row r="624" spans="1:14" x14ac:dyDescent="0.25">
      <c r="A624" s="9" t="s">
        <v>5211</v>
      </c>
      <c r="B624" s="10">
        <v>636</v>
      </c>
      <c r="C624" s="10" t="s">
        <v>143</v>
      </c>
      <c r="D624" t="s">
        <v>2587</v>
      </c>
      <c r="E624" t="s">
        <v>2588</v>
      </c>
      <c r="F624" s="10" t="s">
        <v>112</v>
      </c>
      <c r="G624" s="2">
        <v>16.2654</v>
      </c>
      <c r="H624" s="13">
        <v>13</v>
      </c>
      <c r="I624" s="13">
        <v>1</v>
      </c>
      <c r="J624" s="13">
        <v>-1</v>
      </c>
      <c r="K624" s="10">
        <v>13</v>
      </c>
      <c r="L624" s="2">
        <v>211.4502</v>
      </c>
      <c r="M624" s="1">
        <v>46132.693749999999</v>
      </c>
      <c r="N624" t="s">
        <v>26</v>
      </c>
    </row>
    <row r="625" spans="1:14" x14ac:dyDescent="0.25">
      <c r="A625" s="9" t="s">
        <v>5211</v>
      </c>
      <c r="B625" s="10">
        <v>718</v>
      </c>
      <c r="C625" s="10" t="s">
        <v>12</v>
      </c>
      <c r="D625" t="s">
        <v>1935</v>
      </c>
      <c r="E625" t="s">
        <v>1936</v>
      </c>
      <c r="F625" s="10" t="s">
        <v>112</v>
      </c>
      <c r="G625" s="2">
        <v>9.6683000000000003</v>
      </c>
      <c r="H625" s="13">
        <v>13</v>
      </c>
      <c r="I625" s="13">
        <v>0</v>
      </c>
      <c r="J625" s="13">
        <v>0</v>
      </c>
      <c r="K625" s="10">
        <v>13</v>
      </c>
      <c r="L625" s="2">
        <v>125.6879</v>
      </c>
      <c r="M625" s="1">
        <v>46143.445138888892</v>
      </c>
      <c r="N625" t="s">
        <v>1841</v>
      </c>
    </row>
    <row r="626" spans="1:14" x14ac:dyDescent="0.25">
      <c r="A626" s="9" t="s">
        <v>5211</v>
      </c>
      <c r="B626" s="10">
        <v>714</v>
      </c>
      <c r="C626" s="10" t="s">
        <v>70</v>
      </c>
      <c r="D626" t="s">
        <v>2095</v>
      </c>
      <c r="E626" t="s">
        <v>2096</v>
      </c>
      <c r="F626" s="10" t="s">
        <v>29</v>
      </c>
      <c r="G626" s="2">
        <v>6.3117999999999999</v>
      </c>
      <c r="H626" s="13">
        <v>13</v>
      </c>
      <c r="I626" s="13">
        <v>0</v>
      </c>
      <c r="J626" s="13">
        <v>0</v>
      </c>
      <c r="K626" s="10">
        <v>13</v>
      </c>
      <c r="L626" s="2">
        <v>82.053399999999996</v>
      </c>
      <c r="M626" s="1">
        <v>46155.599305555559</v>
      </c>
      <c r="N626" t="s">
        <v>878</v>
      </c>
    </row>
    <row r="627" spans="1:14" x14ac:dyDescent="0.25">
      <c r="A627" s="9" t="s">
        <v>5211</v>
      </c>
      <c r="B627" s="10">
        <v>634</v>
      </c>
      <c r="C627" s="10" t="s">
        <v>126</v>
      </c>
      <c r="D627" t="s">
        <v>4066</v>
      </c>
      <c r="E627" t="s">
        <v>4067</v>
      </c>
      <c r="F627" s="10" t="s">
        <v>39</v>
      </c>
      <c r="G627" s="2">
        <v>6.6571999999999996</v>
      </c>
      <c r="H627" s="13">
        <v>13</v>
      </c>
      <c r="I627" s="13">
        <v>-58</v>
      </c>
      <c r="J627" s="13">
        <v>58</v>
      </c>
      <c r="K627" s="10">
        <v>13</v>
      </c>
      <c r="L627" s="2">
        <v>86.543599999999998</v>
      </c>
      <c r="M627" s="1">
        <v>46161.400694444441</v>
      </c>
      <c r="N627" t="s">
        <v>16</v>
      </c>
    </row>
    <row r="628" spans="1:14" x14ac:dyDescent="0.25">
      <c r="A628" s="9" t="s">
        <v>5211</v>
      </c>
      <c r="B628" s="10">
        <v>714</v>
      </c>
      <c r="C628" s="10" t="s">
        <v>143</v>
      </c>
      <c r="D628" t="s">
        <v>315</v>
      </c>
      <c r="E628" t="s">
        <v>316</v>
      </c>
      <c r="F628" s="10" t="s">
        <v>158</v>
      </c>
      <c r="G628" s="2">
        <v>144.6859</v>
      </c>
      <c r="H628" s="13">
        <v>13</v>
      </c>
      <c r="I628" s="13">
        <v>0</v>
      </c>
      <c r="J628" s="13">
        <v>0</v>
      </c>
      <c r="K628" s="10">
        <v>13</v>
      </c>
      <c r="L628" s="2">
        <v>1880.9167</v>
      </c>
      <c r="M628" s="1">
        <v>46171.532638888886</v>
      </c>
      <c r="N628" t="s">
        <v>137</v>
      </c>
    </row>
    <row r="629" spans="1:14" x14ac:dyDescent="0.25">
      <c r="A629" s="9" t="s">
        <v>5211</v>
      </c>
      <c r="B629" s="10">
        <v>714</v>
      </c>
      <c r="C629" s="10" t="s">
        <v>143</v>
      </c>
      <c r="D629" t="s">
        <v>2296</v>
      </c>
      <c r="E629" t="s">
        <v>2297</v>
      </c>
      <c r="F629" s="10" t="s">
        <v>158</v>
      </c>
      <c r="G629" s="2">
        <v>62.304699999999997</v>
      </c>
      <c r="H629" s="13">
        <v>13</v>
      </c>
      <c r="I629" s="13">
        <v>0</v>
      </c>
      <c r="J629" s="13">
        <v>0</v>
      </c>
      <c r="K629" s="10">
        <v>13</v>
      </c>
      <c r="L629" s="2">
        <v>809.96109999999999</v>
      </c>
      <c r="M629" s="1">
        <v>46171.535416666666</v>
      </c>
      <c r="N629" t="s">
        <v>195</v>
      </c>
    </row>
    <row r="630" spans="1:14" x14ac:dyDescent="0.25">
      <c r="A630" s="9" t="s">
        <v>5211</v>
      </c>
      <c r="B630" s="10">
        <v>718</v>
      </c>
      <c r="C630" s="10" t="s">
        <v>143</v>
      </c>
      <c r="D630" t="s">
        <v>4751</v>
      </c>
      <c r="E630" t="s">
        <v>4752</v>
      </c>
      <c r="F630" s="10" t="s">
        <v>43</v>
      </c>
      <c r="G630" s="2">
        <v>37.1282</v>
      </c>
      <c r="H630" s="13">
        <v>13</v>
      </c>
      <c r="I630" s="13">
        <v>28</v>
      </c>
      <c r="J630" s="13">
        <v>-28</v>
      </c>
      <c r="K630" s="10">
        <v>13</v>
      </c>
      <c r="L630" s="2">
        <v>482.66660000000002</v>
      </c>
      <c r="M630" s="1">
        <v>46181.580555555556</v>
      </c>
      <c r="N630" t="s">
        <v>67</v>
      </c>
    </row>
    <row r="631" spans="1:14" x14ac:dyDescent="0.25">
      <c r="A631" s="9" t="s">
        <v>5211</v>
      </c>
      <c r="B631" s="10">
        <v>714</v>
      </c>
      <c r="C631" s="10" t="s">
        <v>143</v>
      </c>
      <c r="D631" t="s">
        <v>2278</v>
      </c>
      <c r="E631" t="s">
        <v>2279</v>
      </c>
      <c r="F631" s="10" t="s">
        <v>23</v>
      </c>
      <c r="G631" s="2">
        <v>124.7483</v>
      </c>
      <c r="H631" s="13">
        <v>13</v>
      </c>
      <c r="I631" s="13">
        <v>0</v>
      </c>
      <c r="J631" s="13">
        <v>0</v>
      </c>
      <c r="K631" s="10">
        <v>13</v>
      </c>
      <c r="L631" s="2">
        <v>1621.7279000000001</v>
      </c>
      <c r="M631" s="1">
        <v>46182.442361111112</v>
      </c>
      <c r="N631" t="s">
        <v>1062</v>
      </c>
    </row>
    <row r="632" spans="1:14" x14ac:dyDescent="0.25">
      <c r="A632" s="9" t="s">
        <v>5211</v>
      </c>
      <c r="B632" s="10">
        <v>636</v>
      </c>
      <c r="C632" s="10" t="s">
        <v>143</v>
      </c>
      <c r="D632" t="s">
        <v>1039</v>
      </c>
      <c r="E632" t="s">
        <v>1040</v>
      </c>
      <c r="F632" s="10" t="s">
        <v>29</v>
      </c>
      <c r="G632" s="2">
        <v>91.812299999999993</v>
      </c>
      <c r="H632" s="13">
        <v>13</v>
      </c>
      <c r="I632" s="13">
        <v>3</v>
      </c>
      <c r="J632" s="13">
        <v>-3</v>
      </c>
      <c r="K632" s="10">
        <v>13</v>
      </c>
      <c r="L632" s="2">
        <v>1193.5599</v>
      </c>
      <c r="M632" s="1">
        <v>46184.431250000001</v>
      </c>
      <c r="N632" t="s">
        <v>151</v>
      </c>
    </row>
    <row r="633" spans="1:14" x14ac:dyDescent="0.25">
      <c r="A633" s="9" t="s">
        <v>5211</v>
      </c>
      <c r="B633" s="10">
        <v>714</v>
      </c>
      <c r="C633" s="10" t="s">
        <v>323</v>
      </c>
      <c r="D633" t="s">
        <v>4995</v>
      </c>
      <c r="E633" t="s">
        <v>4996</v>
      </c>
      <c r="F633" s="10" t="s">
        <v>158</v>
      </c>
      <c r="G633" s="2">
        <v>123.0827</v>
      </c>
      <c r="H633" s="13">
        <v>13</v>
      </c>
      <c r="I633" s="13">
        <v>10</v>
      </c>
      <c r="J633" s="13">
        <v>-10</v>
      </c>
      <c r="K633" s="10">
        <v>13</v>
      </c>
      <c r="L633" s="2">
        <v>1600.0751</v>
      </c>
      <c r="M633" s="1">
        <v>46184.652777777781</v>
      </c>
      <c r="N633" t="s">
        <v>366</v>
      </c>
    </row>
    <row r="634" spans="1:14" x14ac:dyDescent="0.25">
      <c r="A634" s="9" t="s">
        <v>5211</v>
      </c>
      <c r="B634" s="10">
        <v>714</v>
      </c>
      <c r="C634" s="10" t="s">
        <v>143</v>
      </c>
      <c r="D634" t="s">
        <v>2628</v>
      </c>
      <c r="E634" t="s">
        <v>2629</v>
      </c>
      <c r="F634" s="10" t="s">
        <v>23</v>
      </c>
      <c r="G634" s="2">
        <v>43.2592</v>
      </c>
      <c r="H634" s="13">
        <v>13</v>
      </c>
      <c r="I634" s="13">
        <v>0</v>
      </c>
      <c r="J634" s="13">
        <v>0</v>
      </c>
      <c r="K634" s="10">
        <v>13</v>
      </c>
      <c r="L634" s="2">
        <v>562.36959999999999</v>
      </c>
      <c r="M634" s="1">
        <v>46188.35</v>
      </c>
      <c r="N634" t="s">
        <v>26</v>
      </c>
    </row>
    <row r="635" spans="1:14" x14ac:dyDescent="0.25">
      <c r="A635" s="9" t="s">
        <v>5211</v>
      </c>
      <c r="B635" s="10">
        <v>714</v>
      </c>
      <c r="C635" s="10" t="s">
        <v>143</v>
      </c>
      <c r="D635" t="s">
        <v>4817</v>
      </c>
      <c r="E635" t="s">
        <v>4818</v>
      </c>
      <c r="F635" s="10" t="s">
        <v>19</v>
      </c>
      <c r="G635" s="2">
        <v>15.383800000000001</v>
      </c>
      <c r="H635" s="13">
        <v>13</v>
      </c>
      <c r="I635" s="13">
        <v>0</v>
      </c>
      <c r="J635" s="13">
        <v>0</v>
      </c>
      <c r="K635" s="10">
        <v>13</v>
      </c>
      <c r="L635" s="2">
        <v>199.98939999999999</v>
      </c>
      <c r="M635" s="1">
        <v>46188.356249999997</v>
      </c>
      <c r="N635" t="s">
        <v>509</v>
      </c>
    </row>
    <row r="636" spans="1:14" x14ac:dyDescent="0.25">
      <c r="A636" s="9" t="s">
        <v>5211</v>
      </c>
      <c r="B636" s="10">
        <v>718</v>
      </c>
      <c r="C636" s="10" t="s">
        <v>143</v>
      </c>
      <c r="D636" t="s">
        <v>3780</v>
      </c>
      <c r="E636" t="s">
        <v>3781</v>
      </c>
      <c r="F636" s="10" t="s">
        <v>29</v>
      </c>
      <c r="G636" s="2">
        <v>12.683400000000001</v>
      </c>
      <c r="H636" s="13">
        <v>13</v>
      </c>
      <c r="I636" s="13">
        <v>0</v>
      </c>
      <c r="J636" s="13">
        <v>0</v>
      </c>
      <c r="K636" s="10">
        <v>13</v>
      </c>
      <c r="L636" s="2">
        <v>164.88419999999999</v>
      </c>
      <c r="M636" s="1">
        <v>46190.654166666667</v>
      </c>
      <c r="N636" t="s">
        <v>47</v>
      </c>
    </row>
    <row r="637" spans="1:14" x14ac:dyDescent="0.25">
      <c r="A637" s="9" t="s">
        <v>5211</v>
      </c>
      <c r="B637" s="10">
        <v>714</v>
      </c>
      <c r="C637" s="10" t="s">
        <v>143</v>
      </c>
      <c r="D637" t="s">
        <v>906</v>
      </c>
      <c r="E637" t="s">
        <v>907</v>
      </c>
      <c r="F637" s="10" t="s">
        <v>43</v>
      </c>
      <c r="G637" s="2">
        <v>27.930700000000002</v>
      </c>
      <c r="H637" s="13">
        <v>13</v>
      </c>
      <c r="I637" s="13">
        <v>6</v>
      </c>
      <c r="J637" s="13">
        <v>-6</v>
      </c>
      <c r="K637" s="10">
        <v>13</v>
      </c>
      <c r="L637" s="2">
        <v>363.09910000000002</v>
      </c>
      <c r="M637" s="1">
        <v>46191.669444444444</v>
      </c>
      <c r="N637" t="s">
        <v>140</v>
      </c>
    </row>
    <row r="638" spans="1:14" x14ac:dyDescent="0.25">
      <c r="A638" s="9" t="s">
        <v>5211</v>
      </c>
      <c r="B638" s="10">
        <v>634</v>
      </c>
      <c r="C638" s="10" t="s">
        <v>12</v>
      </c>
      <c r="D638" t="s">
        <v>48</v>
      </c>
      <c r="E638" t="s">
        <v>49</v>
      </c>
      <c r="F638" s="10" t="s">
        <v>29</v>
      </c>
      <c r="G638" s="2">
        <v>7.5324999999999998</v>
      </c>
      <c r="H638" s="13">
        <v>13</v>
      </c>
      <c r="I638" s="13">
        <v>6</v>
      </c>
      <c r="J638" s="13">
        <v>-6</v>
      </c>
      <c r="K638" s="10">
        <v>13</v>
      </c>
      <c r="L638" s="2">
        <v>97.922499999999999</v>
      </c>
      <c r="M638" s="1">
        <v>46192.486111111109</v>
      </c>
      <c r="N638" t="s">
        <v>26</v>
      </c>
    </row>
    <row r="639" spans="1:14" x14ac:dyDescent="0.25">
      <c r="A639" s="9" t="s">
        <v>5211</v>
      </c>
      <c r="B639" s="10">
        <v>636</v>
      </c>
      <c r="C639" s="10" t="s">
        <v>143</v>
      </c>
      <c r="D639" t="s">
        <v>4130</v>
      </c>
      <c r="E639" t="s">
        <v>4131</v>
      </c>
      <c r="F639" s="10" t="s">
        <v>112</v>
      </c>
      <c r="G639" s="2">
        <v>15.383800000000001</v>
      </c>
      <c r="H639" s="13">
        <v>13</v>
      </c>
      <c r="I639" s="13">
        <v>37</v>
      </c>
      <c r="J639" s="13">
        <v>-37</v>
      </c>
      <c r="K639" s="10">
        <v>13</v>
      </c>
      <c r="L639" s="2">
        <v>199.98939999999999</v>
      </c>
      <c r="M639" s="1">
        <v>46192.487500000003</v>
      </c>
      <c r="N639" t="s">
        <v>162</v>
      </c>
    </row>
    <row r="640" spans="1:14" x14ac:dyDescent="0.25">
      <c r="A640" s="9" t="s">
        <v>5211</v>
      </c>
      <c r="B640" s="10">
        <v>714</v>
      </c>
      <c r="C640" s="10" t="s">
        <v>323</v>
      </c>
      <c r="D640" t="s">
        <v>2844</v>
      </c>
      <c r="E640" t="s">
        <v>2845</v>
      </c>
      <c r="F640" s="10" t="s">
        <v>23</v>
      </c>
      <c r="G640" s="2">
        <v>128.53149999999999</v>
      </c>
      <c r="H640" s="13">
        <v>13</v>
      </c>
      <c r="I640" s="13">
        <v>0</v>
      </c>
      <c r="J640" s="13">
        <v>0</v>
      </c>
      <c r="K640" s="10">
        <v>13</v>
      </c>
      <c r="L640" s="2">
        <v>1670.9095</v>
      </c>
      <c r="M640" s="1">
        <v>46198.373611111114</v>
      </c>
      <c r="N640" t="s">
        <v>67</v>
      </c>
    </row>
    <row r="641" spans="1:14" x14ac:dyDescent="0.25">
      <c r="A641" s="9" t="s">
        <v>5211</v>
      </c>
      <c r="B641" s="10">
        <v>714</v>
      </c>
      <c r="C641" s="10" t="s">
        <v>70</v>
      </c>
      <c r="D641" t="s">
        <v>2001</v>
      </c>
      <c r="E641" t="s">
        <v>2002</v>
      </c>
      <c r="F641" s="10" t="s">
        <v>112</v>
      </c>
      <c r="G641" s="2">
        <v>8.7927</v>
      </c>
      <c r="H641" s="13">
        <v>13</v>
      </c>
      <c r="I641" s="13">
        <v>0</v>
      </c>
      <c r="J641" s="13">
        <v>0</v>
      </c>
      <c r="K641" s="10">
        <v>13</v>
      </c>
      <c r="L641" s="2">
        <v>114.3051</v>
      </c>
      <c r="M641" s="1">
        <v>46200.377083333333</v>
      </c>
      <c r="N641" t="s">
        <v>40</v>
      </c>
    </row>
    <row r="642" spans="1:14" x14ac:dyDescent="0.25">
      <c r="A642" s="9" t="s">
        <v>5211</v>
      </c>
      <c r="B642" s="10">
        <v>636</v>
      </c>
      <c r="C642" s="10" t="s">
        <v>70</v>
      </c>
      <c r="D642" t="s">
        <v>4441</v>
      </c>
      <c r="E642" t="s">
        <v>4442</v>
      </c>
      <c r="F642" s="10" t="s">
        <v>23</v>
      </c>
      <c r="G642" s="2">
        <v>7.5042</v>
      </c>
      <c r="H642" s="13">
        <v>13</v>
      </c>
      <c r="I642" s="13">
        <v>0</v>
      </c>
      <c r="J642" s="13">
        <v>0</v>
      </c>
      <c r="K642" s="10">
        <v>13</v>
      </c>
      <c r="L642" s="2">
        <v>97.554599999999994</v>
      </c>
      <c r="M642" s="1">
        <v>46205.582638888889</v>
      </c>
      <c r="N642" t="s">
        <v>26</v>
      </c>
    </row>
    <row r="643" spans="1:14" x14ac:dyDescent="0.25">
      <c r="A643" s="9" t="s">
        <v>5211</v>
      </c>
      <c r="B643" s="10">
        <v>718</v>
      </c>
      <c r="C643" s="10" t="s">
        <v>143</v>
      </c>
      <c r="D643" t="s">
        <v>4100</v>
      </c>
      <c r="E643" t="s">
        <v>4101</v>
      </c>
      <c r="F643" s="10" t="s">
        <v>43</v>
      </c>
      <c r="G643" s="2">
        <v>129.72229999999999</v>
      </c>
      <c r="H643" s="13">
        <v>13</v>
      </c>
      <c r="I643" s="13">
        <v>20</v>
      </c>
      <c r="J643" s="13">
        <v>-20</v>
      </c>
      <c r="K643" s="10">
        <v>13</v>
      </c>
      <c r="L643" s="2">
        <v>1686.3898999999999</v>
      </c>
      <c r="M643" s="1">
        <v>46213.429861111108</v>
      </c>
      <c r="N643" t="s">
        <v>175</v>
      </c>
    </row>
    <row r="644" spans="1:14" x14ac:dyDescent="0.25">
      <c r="A644" s="9" t="s">
        <v>5211</v>
      </c>
      <c r="B644" s="10">
        <v>714</v>
      </c>
      <c r="C644" s="10" t="s">
        <v>70</v>
      </c>
      <c r="D644" t="s">
        <v>2056</v>
      </c>
      <c r="E644" t="s">
        <v>2057</v>
      </c>
      <c r="F644" s="10" t="s">
        <v>29</v>
      </c>
      <c r="G644" s="2">
        <v>11.1533</v>
      </c>
      <c r="H644" s="13">
        <v>13</v>
      </c>
      <c r="I644" s="13">
        <v>0</v>
      </c>
      <c r="J644" s="13">
        <v>0</v>
      </c>
      <c r="K644" s="10">
        <v>13</v>
      </c>
      <c r="L644" s="2">
        <v>144.99289999999999</v>
      </c>
      <c r="M644" s="1">
        <v>46213.455555555556</v>
      </c>
      <c r="N644" t="s">
        <v>573</v>
      </c>
    </row>
    <row r="645" spans="1:14" x14ac:dyDescent="0.25">
      <c r="A645" s="9" t="s">
        <v>5211</v>
      </c>
      <c r="B645" s="10">
        <v>636</v>
      </c>
      <c r="C645" s="10" t="s">
        <v>143</v>
      </c>
      <c r="D645" t="s">
        <v>1104</v>
      </c>
      <c r="E645" t="s">
        <v>1105</v>
      </c>
      <c r="F645" s="10" t="s">
        <v>23</v>
      </c>
      <c r="G645" s="2">
        <v>15.2835</v>
      </c>
      <c r="H645" s="13">
        <v>13</v>
      </c>
      <c r="I645" s="13">
        <v>0</v>
      </c>
      <c r="J645" s="13">
        <v>0</v>
      </c>
      <c r="K645" s="10">
        <v>13</v>
      </c>
      <c r="L645" s="2">
        <v>198.68549999999999</v>
      </c>
      <c r="M645" s="1">
        <v>46216.52847222222</v>
      </c>
      <c r="N645" t="s">
        <v>40</v>
      </c>
    </row>
    <row r="646" spans="1:14" x14ac:dyDescent="0.25">
      <c r="A646" s="9" t="s">
        <v>5211</v>
      </c>
      <c r="B646" s="10">
        <v>634</v>
      </c>
      <c r="C646" s="10" t="s">
        <v>12</v>
      </c>
      <c r="D646" t="s">
        <v>21</v>
      </c>
      <c r="E646" t="s">
        <v>22</v>
      </c>
      <c r="F646" s="10" t="s">
        <v>23</v>
      </c>
      <c r="G646" s="2">
        <v>3.6911999999999998</v>
      </c>
      <c r="H646" s="13">
        <v>13</v>
      </c>
      <c r="I646" s="13">
        <v>0</v>
      </c>
      <c r="J646" s="13">
        <v>0</v>
      </c>
      <c r="K646" s="10">
        <v>13</v>
      </c>
      <c r="L646" s="2">
        <v>47.985599999999998</v>
      </c>
      <c r="M646" s="1">
        <v>46217.382638888892</v>
      </c>
      <c r="N646" t="s">
        <v>20</v>
      </c>
    </row>
    <row r="647" spans="1:14" x14ac:dyDescent="0.25">
      <c r="A647" s="9" t="s">
        <v>5211</v>
      </c>
      <c r="B647" s="10">
        <v>636</v>
      </c>
      <c r="C647" s="10" t="s">
        <v>12</v>
      </c>
      <c r="D647" t="s">
        <v>4383</v>
      </c>
      <c r="E647" t="s">
        <v>4384</v>
      </c>
      <c r="F647" s="10" t="s">
        <v>23</v>
      </c>
      <c r="G647" s="2">
        <v>9.3905999999999992</v>
      </c>
      <c r="H647" s="13">
        <v>13</v>
      </c>
      <c r="I647" s="13">
        <v>92</v>
      </c>
      <c r="J647" s="13">
        <v>-92</v>
      </c>
      <c r="K647" s="10">
        <v>13</v>
      </c>
      <c r="L647" s="2">
        <v>122.0778</v>
      </c>
      <c r="M647" s="1">
        <v>46227.383333333331</v>
      </c>
      <c r="N647" t="s">
        <v>40</v>
      </c>
    </row>
    <row r="648" spans="1:14" x14ac:dyDescent="0.25">
      <c r="A648" s="9" t="s">
        <v>5211</v>
      </c>
      <c r="B648" s="10">
        <v>718</v>
      </c>
      <c r="C648" s="10" t="s">
        <v>70</v>
      </c>
      <c r="D648" t="s">
        <v>628</v>
      </c>
      <c r="E648" t="s">
        <v>629</v>
      </c>
      <c r="F648" s="10" t="s">
        <v>112</v>
      </c>
      <c r="G648" s="2">
        <v>6.4252000000000002</v>
      </c>
      <c r="H648" s="13">
        <v>13</v>
      </c>
      <c r="I648" s="13">
        <v>0</v>
      </c>
      <c r="J648" s="13">
        <v>0</v>
      </c>
      <c r="K648" s="10">
        <v>13</v>
      </c>
      <c r="L648" s="2">
        <v>83.527600000000007</v>
      </c>
      <c r="M648" s="1">
        <v>46234.345138888886</v>
      </c>
      <c r="N648" t="s">
        <v>16</v>
      </c>
    </row>
    <row r="649" spans="1:14" x14ac:dyDescent="0.25">
      <c r="A649" s="9" t="s">
        <v>5211</v>
      </c>
      <c r="B649" s="10">
        <v>714</v>
      </c>
      <c r="C649" s="10" t="s">
        <v>12</v>
      </c>
      <c r="D649" t="s">
        <v>1861</v>
      </c>
      <c r="E649" t="s">
        <v>1862</v>
      </c>
      <c r="F649" s="10" t="s">
        <v>39</v>
      </c>
      <c r="G649" s="2">
        <v>16.95</v>
      </c>
      <c r="H649" s="13">
        <v>13</v>
      </c>
      <c r="I649" s="13">
        <v>-8</v>
      </c>
      <c r="J649" s="13">
        <v>8</v>
      </c>
      <c r="K649" s="10">
        <v>13</v>
      </c>
      <c r="L649" s="2">
        <v>220.35</v>
      </c>
      <c r="M649" s="1">
        <v>46244.670138888891</v>
      </c>
      <c r="N649" t="s">
        <v>1836</v>
      </c>
    </row>
    <row r="650" spans="1:14" x14ac:dyDescent="0.25">
      <c r="A650" s="9" t="s">
        <v>5211</v>
      </c>
      <c r="B650" s="10">
        <v>634</v>
      </c>
      <c r="C650" s="10" t="s">
        <v>12</v>
      </c>
      <c r="D650" t="s">
        <v>52</v>
      </c>
      <c r="E650" t="s">
        <v>53</v>
      </c>
      <c r="F650" s="10" t="s">
        <v>29</v>
      </c>
      <c r="G650" s="2">
        <v>1</v>
      </c>
      <c r="H650" s="13">
        <v>12</v>
      </c>
      <c r="I650" s="13">
        <v>0</v>
      </c>
      <c r="J650" s="13">
        <v>0</v>
      </c>
      <c r="K650" s="10">
        <v>12</v>
      </c>
      <c r="L650" s="2">
        <v>12</v>
      </c>
      <c r="M650" s="1">
        <v>43614.540972222225</v>
      </c>
      <c r="N650" t="s">
        <v>40</v>
      </c>
    </row>
    <row r="651" spans="1:14" x14ac:dyDescent="0.25">
      <c r="A651" s="9" t="s">
        <v>5211</v>
      </c>
      <c r="B651" s="10">
        <v>714</v>
      </c>
      <c r="C651" s="10" t="s">
        <v>143</v>
      </c>
      <c r="D651" t="s">
        <v>2306</v>
      </c>
      <c r="E651" t="s">
        <v>2307</v>
      </c>
      <c r="F651" s="10" t="s">
        <v>35</v>
      </c>
      <c r="G651" s="2">
        <v>15.5313</v>
      </c>
      <c r="H651" s="13">
        <v>12</v>
      </c>
      <c r="I651" s="13">
        <v>0</v>
      </c>
      <c r="J651" s="13">
        <v>0</v>
      </c>
      <c r="K651" s="10">
        <v>12</v>
      </c>
      <c r="L651" s="2">
        <v>186.37559999999999</v>
      </c>
      <c r="M651" s="1">
        <v>45749.587500000001</v>
      </c>
      <c r="N651" t="s">
        <v>162</v>
      </c>
    </row>
    <row r="652" spans="1:14" x14ac:dyDescent="0.25">
      <c r="A652" s="9" t="s">
        <v>5211</v>
      </c>
      <c r="B652" s="10">
        <v>714</v>
      </c>
      <c r="C652" s="10" t="s">
        <v>143</v>
      </c>
      <c r="D652" t="s">
        <v>916</v>
      </c>
      <c r="E652" t="s">
        <v>917</v>
      </c>
      <c r="F652" s="10" t="s">
        <v>39</v>
      </c>
      <c r="G652" s="2">
        <v>13.7636</v>
      </c>
      <c r="H652" s="13">
        <v>12</v>
      </c>
      <c r="I652" s="13">
        <v>0</v>
      </c>
      <c r="J652" s="13">
        <v>0</v>
      </c>
      <c r="K652" s="10">
        <v>12</v>
      </c>
      <c r="L652" s="2">
        <v>165.16319999999999</v>
      </c>
      <c r="M652" s="1">
        <v>45822.546527777777</v>
      </c>
      <c r="N652" t="s">
        <v>26</v>
      </c>
    </row>
    <row r="653" spans="1:14" x14ac:dyDescent="0.25">
      <c r="A653" s="9" t="s">
        <v>5211</v>
      </c>
      <c r="B653" s="10">
        <v>718</v>
      </c>
      <c r="C653" s="10" t="s">
        <v>323</v>
      </c>
      <c r="D653" t="s">
        <v>3897</v>
      </c>
      <c r="E653" t="s">
        <v>3898</v>
      </c>
      <c r="F653" s="10" t="s">
        <v>19</v>
      </c>
      <c r="G653" s="2">
        <v>107.1</v>
      </c>
      <c r="H653" s="13">
        <v>12</v>
      </c>
      <c r="I653" s="13">
        <v>0</v>
      </c>
      <c r="J653" s="13">
        <v>0</v>
      </c>
      <c r="K653" s="10">
        <v>12</v>
      </c>
      <c r="L653" s="2">
        <v>1285.2</v>
      </c>
      <c r="M653" s="1">
        <v>45897.445138888892</v>
      </c>
      <c r="N653" t="s">
        <v>345</v>
      </c>
    </row>
    <row r="654" spans="1:14" x14ac:dyDescent="0.25">
      <c r="A654" s="9" t="s">
        <v>5211</v>
      </c>
      <c r="B654" s="10">
        <v>718</v>
      </c>
      <c r="C654" s="10" t="s">
        <v>12</v>
      </c>
      <c r="D654" t="s">
        <v>31</v>
      </c>
      <c r="E654" t="s">
        <v>32</v>
      </c>
      <c r="F654" s="10" t="s">
        <v>29</v>
      </c>
      <c r="G654" s="2">
        <v>19.4404</v>
      </c>
      <c r="H654" s="13">
        <v>12</v>
      </c>
      <c r="I654" s="13">
        <v>1</v>
      </c>
      <c r="J654" s="13">
        <v>-1</v>
      </c>
      <c r="K654" s="10">
        <v>12</v>
      </c>
      <c r="L654" s="2">
        <v>233.28479999999999</v>
      </c>
      <c r="M654" s="1">
        <v>45897.587500000001</v>
      </c>
      <c r="N654" t="s">
        <v>26</v>
      </c>
    </row>
    <row r="655" spans="1:14" x14ac:dyDescent="0.25">
      <c r="A655" s="9" t="s">
        <v>5211</v>
      </c>
      <c r="B655" s="10">
        <v>714</v>
      </c>
      <c r="C655" s="10" t="s">
        <v>323</v>
      </c>
      <c r="D655" t="s">
        <v>4962</v>
      </c>
      <c r="E655" t="s">
        <v>4963</v>
      </c>
      <c r="F655" s="10" t="s">
        <v>23</v>
      </c>
      <c r="G655" s="2">
        <v>76.318100000000001</v>
      </c>
      <c r="H655" s="13">
        <v>12</v>
      </c>
      <c r="I655" s="13">
        <v>17</v>
      </c>
      <c r="J655" s="13">
        <v>-17</v>
      </c>
      <c r="K655" s="10">
        <v>12</v>
      </c>
      <c r="L655" s="2">
        <v>915.81719999999996</v>
      </c>
      <c r="M655" s="1">
        <v>45933.449305555558</v>
      </c>
      <c r="N655" t="s">
        <v>903</v>
      </c>
    </row>
    <row r="656" spans="1:14" x14ac:dyDescent="0.25">
      <c r="A656" s="9" t="s">
        <v>5211</v>
      </c>
      <c r="B656" s="10">
        <v>718</v>
      </c>
      <c r="C656" s="10" t="s">
        <v>323</v>
      </c>
      <c r="D656" t="s">
        <v>2869</v>
      </c>
      <c r="E656" t="s">
        <v>2870</v>
      </c>
      <c r="F656" s="10" t="s">
        <v>23</v>
      </c>
      <c r="G656" s="2">
        <v>153.68770000000001</v>
      </c>
      <c r="H656" s="13">
        <v>12</v>
      </c>
      <c r="I656" s="13">
        <v>6</v>
      </c>
      <c r="J656" s="13">
        <v>-6</v>
      </c>
      <c r="K656" s="10">
        <v>12</v>
      </c>
      <c r="L656" s="2">
        <v>1844.2524000000001</v>
      </c>
      <c r="M656" s="1">
        <v>46077.418055555558</v>
      </c>
      <c r="N656" t="s">
        <v>151</v>
      </c>
    </row>
    <row r="657" spans="1:14" x14ac:dyDescent="0.25">
      <c r="A657" s="9" t="s">
        <v>5211</v>
      </c>
      <c r="B657" s="10">
        <v>636</v>
      </c>
      <c r="C657" s="10" t="s">
        <v>323</v>
      </c>
      <c r="D657" t="s">
        <v>1353</v>
      </c>
      <c r="E657" t="s">
        <v>1354</v>
      </c>
      <c r="F657" s="10" t="s">
        <v>23</v>
      </c>
      <c r="G657" s="2">
        <v>115.18810000000001</v>
      </c>
      <c r="H657" s="13">
        <v>12</v>
      </c>
      <c r="I657" s="13">
        <v>0</v>
      </c>
      <c r="J657" s="13">
        <v>0</v>
      </c>
      <c r="K657" s="10">
        <v>12</v>
      </c>
      <c r="L657" s="2">
        <v>1382.2572</v>
      </c>
      <c r="M657" s="1">
        <v>46084.367361111108</v>
      </c>
      <c r="N657" t="s">
        <v>151</v>
      </c>
    </row>
    <row r="658" spans="1:14" x14ac:dyDescent="0.25">
      <c r="A658" s="9" t="s">
        <v>5211</v>
      </c>
      <c r="B658" s="10">
        <v>714</v>
      </c>
      <c r="C658" s="10" t="s">
        <v>143</v>
      </c>
      <c r="D658" t="s">
        <v>144</v>
      </c>
      <c r="E658" t="s">
        <v>145</v>
      </c>
      <c r="F658" s="10" t="s">
        <v>43</v>
      </c>
      <c r="G658" s="2">
        <v>14.5617</v>
      </c>
      <c r="H658" s="13">
        <v>12</v>
      </c>
      <c r="I658" s="13">
        <v>53</v>
      </c>
      <c r="J658" s="13">
        <v>-53</v>
      </c>
      <c r="K658" s="10">
        <v>12</v>
      </c>
      <c r="L658" s="2">
        <v>174.74039999999999</v>
      </c>
      <c r="M658" s="1">
        <v>46099.543055555558</v>
      </c>
      <c r="N658" t="s">
        <v>146</v>
      </c>
    </row>
    <row r="659" spans="1:14" x14ac:dyDescent="0.25">
      <c r="A659" s="9" t="s">
        <v>5211</v>
      </c>
      <c r="B659" s="10">
        <v>636</v>
      </c>
      <c r="C659" s="10" t="s">
        <v>143</v>
      </c>
      <c r="D659" t="s">
        <v>232</v>
      </c>
      <c r="E659" t="s">
        <v>233</v>
      </c>
      <c r="F659" s="10" t="s">
        <v>23</v>
      </c>
      <c r="G659" s="2">
        <v>108.94329999999999</v>
      </c>
      <c r="H659" s="13">
        <v>12</v>
      </c>
      <c r="I659" s="13">
        <v>0</v>
      </c>
      <c r="J659" s="13">
        <v>0</v>
      </c>
      <c r="K659" s="10">
        <v>12</v>
      </c>
      <c r="L659" s="2">
        <v>1307.3196</v>
      </c>
      <c r="M659" s="1">
        <v>46107.539583333331</v>
      </c>
      <c r="N659" t="s">
        <v>295</v>
      </c>
    </row>
    <row r="660" spans="1:14" x14ac:dyDescent="0.25">
      <c r="A660" s="9" t="s">
        <v>5211</v>
      </c>
      <c r="B660" s="10">
        <v>714</v>
      </c>
      <c r="C660" s="10" t="s">
        <v>323</v>
      </c>
      <c r="D660" t="s">
        <v>5053</v>
      </c>
      <c r="E660" t="s">
        <v>5054</v>
      </c>
      <c r="F660" s="10" t="s">
        <v>23</v>
      </c>
      <c r="G660" s="2">
        <v>214.18369999999999</v>
      </c>
      <c r="H660" s="13">
        <v>12</v>
      </c>
      <c r="I660" s="13">
        <v>12</v>
      </c>
      <c r="J660" s="13">
        <v>-12</v>
      </c>
      <c r="K660" s="10">
        <v>12</v>
      </c>
      <c r="L660" s="2">
        <v>2570.2044000000001</v>
      </c>
      <c r="M660" s="1">
        <v>46111.46597222222</v>
      </c>
      <c r="N660" t="s">
        <v>2358</v>
      </c>
    </row>
    <row r="661" spans="1:14" x14ac:dyDescent="0.25">
      <c r="A661" s="9" t="s">
        <v>5211</v>
      </c>
      <c r="B661" s="10">
        <v>636</v>
      </c>
      <c r="C661" s="10" t="s">
        <v>323</v>
      </c>
      <c r="D661" t="s">
        <v>1294</v>
      </c>
      <c r="E661" t="s">
        <v>1295</v>
      </c>
      <c r="F661" s="10" t="s">
        <v>23</v>
      </c>
      <c r="G661" s="2">
        <v>183.6354</v>
      </c>
      <c r="H661" s="13">
        <v>12</v>
      </c>
      <c r="I661" s="13">
        <v>1</v>
      </c>
      <c r="J661" s="13">
        <v>-1</v>
      </c>
      <c r="K661" s="10">
        <v>12</v>
      </c>
      <c r="L661" s="2">
        <v>2203.6248000000001</v>
      </c>
      <c r="M661" s="1">
        <v>46112.343055555553</v>
      </c>
      <c r="N661" t="s">
        <v>137</v>
      </c>
    </row>
    <row r="662" spans="1:14" x14ac:dyDescent="0.25">
      <c r="A662" s="9" t="s">
        <v>5211</v>
      </c>
      <c r="B662" s="10">
        <v>636</v>
      </c>
      <c r="C662" s="10" t="s">
        <v>323</v>
      </c>
      <c r="D662" t="s">
        <v>434</v>
      </c>
      <c r="E662" t="s">
        <v>435</v>
      </c>
      <c r="F662" s="10" t="s">
        <v>23</v>
      </c>
      <c r="G662" s="2">
        <v>156.45490000000001</v>
      </c>
      <c r="H662" s="13">
        <v>12</v>
      </c>
      <c r="I662" s="13">
        <v>0</v>
      </c>
      <c r="J662" s="13">
        <v>0</v>
      </c>
      <c r="K662" s="10">
        <v>12</v>
      </c>
      <c r="L662" s="2">
        <v>1877.4588000000001</v>
      </c>
      <c r="M662" s="1">
        <v>46121.533333333333</v>
      </c>
      <c r="N662" t="s">
        <v>371</v>
      </c>
    </row>
    <row r="663" spans="1:14" x14ac:dyDescent="0.25">
      <c r="A663" s="9" t="s">
        <v>5211</v>
      </c>
      <c r="B663" s="10">
        <v>714</v>
      </c>
      <c r="C663" s="10" t="s">
        <v>323</v>
      </c>
      <c r="D663" t="s">
        <v>3097</v>
      </c>
      <c r="E663" t="s">
        <v>3098</v>
      </c>
      <c r="F663" s="10" t="s">
        <v>23</v>
      </c>
      <c r="G663" s="2">
        <v>181.6754</v>
      </c>
      <c r="H663" s="13">
        <v>12</v>
      </c>
      <c r="I663" s="13">
        <v>0</v>
      </c>
      <c r="J663" s="13">
        <v>0</v>
      </c>
      <c r="K663" s="10">
        <v>12</v>
      </c>
      <c r="L663" s="2">
        <v>2180.1048000000001</v>
      </c>
      <c r="M663" s="1">
        <v>46126.29791666667</v>
      </c>
      <c r="N663" t="s">
        <v>2379</v>
      </c>
    </row>
    <row r="664" spans="1:14" x14ac:dyDescent="0.25">
      <c r="A664" s="9" t="s">
        <v>5211</v>
      </c>
      <c r="B664" s="10">
        <v>714</v>
      </c>
      <c r="C664" s="10" t="s">
        <v>1208</v>
      </c>
      <c r="D664" t="s">
        <v>2810</v>
      </c>
      <c r="E664" t="s">
        <v>2811</v>
      </c>
      <c r="F664" s="10" t="s">
        <v>29</v>
      </c>
      <c r="G664" s="2">
        <v>42.038499999999999</v>
      </c>
      <c r="H664" s="13">
        <v>12</v>
      </c>
      <c r="I664" s="13">
        <v>1</v>
      </c>
      <c r="J664" s="13">
        <v>-1</v>
      </c>
      <c r="K664" s="10">
        <v>12</v>
      </c>
      <c r="L664" s="2">
        <v>504.46199999999999</v>
      </c>
      <c r="M664" s="1">
        <v>46126.649305555555</v>
      </c>
      <c r="N664" t="s">
        <v>67</v>
      </c>
    </row>
    <row r="665" spans="1:14" x14ac:dyDescent="0.25">
      <c r="A665" s="9" t="s">
        <v>5211</v>
      </c>
      <c r="B665" s="10">
        <v>636</v>
      </c>
      <c r="C665" s="10" t="s">
        <v>323</v>
      </c>
      <c r="D665" t="s">
        <v>1662</v>
      </c>
      <c r="E665" t="s">
        <v>1663</v>
      </c>
      <c r="F665" s="10" t="s">
        <v>19</v>
      </c>
      <c r="G665" s="2">
        <v>342.51909999999998</v>
      </c>
      <c r="H665" s="13">
        <v>12</v>
      </c>
      <c r="I665" s="13">
        <v>0</v>
      </c>
      <c r="J665" s="13">
        <v>0</v>
      </c>
      <c r="K665" s="10">
        <v>12</v>
      </c>
      <c r="L665" s="2">
        <v>4110.2291999999998</v>
      </c>
      <c r="M665" s="1">
        <v>46127.309027777781</v>
      </c>
      <c r="N665" t="s">
        <v>1224</v>
      </c>
    </row>
    <row r="666" spans="1:14" x14ac:dyDescent="0.25">
      <c r="A666" s="9" t="s">
        <v>5211</v>
      </c>
      <c r="B666" s="10">
        <v>636</v>
      </c>
      <c r="C666" s="10" t="s">
        <v>143</v>
      </c>
      <c r="D666" t="s">
        <v>1005</v>
      </c>
      <c r="E666" t="s">
        <v>1006</v>
      </c>
      <c r="F666" s="10" t="s">
        <v>29</v>
      </c>
      <c r="G666" s="2">
        <v>38.995899999999999</v>
      </c>
      <c r="H666" s="13">
        <v>12</v>
      </c>
      <c r="I666" s="13">
        <v>0</v>
      </c>
      <c r="J666" s="13">
        <v>0</v>
      </c>
      <c r="K666" s="10">
        <v>12</v>
      </c>
      <c r="L666" s="2">
        <v>467.95080000000002</v>
      </c>
      <c r="M666" s="1">
        <v>46140.29583333333</v>
      </c>
      <c r="N666" t="s">
        <v>501</v>
      </c>
    </row>
    <row r="667" spans="1:14" x14ac:dyDescent="0.25">
      <c r="A667" s="9" t="s">
        <v>5211</v>
      </c>
      <c r="B667" s="10">
        <v>718</v>
      </c>
      <c r="C667" s="10" t="s">
        <v>143</v>
      </c>
      <c r="D667" t="s">
        <v>2266</v>
      </c>
      <c r="E667" t="s">
        <v>2267</v>
      </c>
      <c r="F667" s="10" t="s">
        <v>23</v>
      </c>
      <c r="G667" s="2">
        <v>52.221600000000002</v>
      </c>
      <c r="H667" s="13">
        <v>12</v>
      </c>
      <c r="I667" s="13">
        <v>0</v>
      </c>
      <c r="J667" s="13">
        <v>0</v>
      </c>
      <c r="K667" s="10">
        <v>12</v>
      </c>
      <c r="L667" s="2">
        <v>626.65920000000006</v>
      </c>
      <c r="M667" s="1">
        <v>46140.665277777778</v>
      </c>
      <c r="N667" t="s">
        <v>2268</v>
      </c>
    </row>
    <row r="668" spans="1:14" x14ac:dyDescent="0.25">
      <c r="A668" s="9" t="s">
        <v>5211</v>
      </c>
      <c r="B668" s="10">
        <v>636</v>
      </c>
      <c r="C668" s="10" t="s">
        <v>323</v>
      </c>
      <c r="D668" t="s">
        <v>4341</v>
      </c>
      <c r="E668" t="s">
        <v>4342</v>
      </c>
      <c r="F668" s="10" t="s">
        <v>43</v>
      </c>
      <c r="G668" s="2">
        <v>174.6816</v>
      </c>
      <c r="H668" s="13">
        <v>12</v>
      </c>
      <c r="I668" s="13">
        <v>35</v>
      </c>
      <c r="J668" s="13">
        <v>-35</v>
      </c>
      <c r="K668" s="10">
        <v>12</v>
      </c>
      <c r="L668" s="2">
        <v>2096.1792</v>
      </c>
      <c r="M668" s="1">
        <v>46143.452777777777</v>
      </c>
      <c r="N668" t="s">
        <v>1271</v>
      </c>
    </row>
    <row r="669" spans="1:14" x14ac:dyDescent="0.25">
      <c r="A669" s="9" t="s">
        <v>5211</v>
      </c>
      <c r="B669" s="10">
        <v>718</v>
      </c>
      <c r="C669" s="10" t="s">
        <v>323</v>
      </c>
      <c r="D669" t="s">
        <v>4264</v>
      </c>
      <c r="E669" t="s">
        <v>4265</v>
      </c>
      <c r="F669" s="10" t="s">
        <v>158</v>
      </c>
      <c r="G669" s="2">
        <v>249.92959999999999</v>
      </c>
      <c r="H669" s="13">
        <v>12</v>
      </c>
      <c r="I669" s="13">
        <v>6</v>
      </c>
      <c r="J669" s="13">
        <v>-6</v>
      </c>
      <c r="K669" s="10">
        <v>12</v>
      </c>
      <c r="L669" s="2">
        <v>2999.1552000000001</v>
      </c>
      <c r="M669" s="1">
        <v>46147.4375</v>
      </c>
      <c r="N669" t="s">
        <v>402</v>
      </c>
    </row>
    <row r="670" spans="1:14" x14ac:dyDescent="0.25">
      <c r="A670" s="9" t="s">
        <v>5211</v>
      </c>
      <c r="B670" s="10">
        <v>636</v>
      </c>
      <c r="C670" s="10" t="s">
        <v>126</v>
      </c>
      <c r="D670" t="s">
        <v>866</v>
      </c>
      <c r="E670" t="s">
        <v>867</v>
      </c>
      <c r="F670" s="10" t="s">
        <v>112</v>
      </c>
      <c r="G670" s="2">
        <v>6.6989999999999998</v>
      </c>
      <c r="H670" s="13">
        <v>12</v>
      </c>
      <c r="I670" s="13">
        <v>0</v>
      </c>
      <c r="J670" s="13">
        <v>0</v>
      </c>
      <c r="K670" s="10">
        <v>12</v>
      </c>
      <c r="L670" s="2">
        <v>80.388000000000005</v>
      </c>
      <c r="M670" s="1">
        <v>46149.36041666667</v>
      </c>
      <c r="N670" t="s">
        <v>542</v>
      </c>
    </row>
    <row r="671" spans="1:14" x14ac:dyDescent="0.25">
      <c r="A671" s="9" t="s">
        <v>5211</v>
      </c>
      <c r="B671" s="10">
        <v>714</v>
      </c>
      <c r="C671" s="10" t="s">
        <v>143</v>
      </c>
      <c r="D671" t="s">
        <v>2667</v>
      </c>
      <c r="E671" t="s">
        <v>2668</v>
      </c>
      <c r="F671" s="10" t="s">
        <v>23</v>
      </c>
      <c r="G671" s="2">
        <v>31.9787</v>
      </c>
      <c r="H671" s="13">
        <v>12</v>
      </c>
      <c r="I671" s="13">
        <v>-15</v>
      </c>
      <c r="J671" s="13">
        <v>15</v>
      </c>
      <c r="K671" s="10">
        <v>12</v>
      </c>
      <c r="L671" s="2">
        <v>383.74439999999998</v>
      </c>
      <c r="M671" s="1">
        <v>46154.626388888886</v>
      </c>
      <c r="N671" t="s">
        <v>36</v>
      </c>
    </row>
    <row r="672" spans="1:14" x14ac:dyDescent="0.25">
      <c r="A672" s="9" t="s">
        <v>5211</v>
      </c>
      <c r="B672" s="10">
        <v>634</v>
      </c>
      <c r="C672" s="10" t="s">
        <v>143</v>
      </c>
      <c r="D672" t="s">
        <v>173</v>
      </c>
      <c r="E672" t="s">
        <v>174</v>
      </c>
      <c r="F672" s="10" t="s">
        <v>39</v>
      </c>
      <c r="G672" s="2">
        <v>28.628799999999998</v>
      </c>
      <c r="H672" s="13">
        <v>12</v>
      </c>
      <c r="I672" s="13">
        <v>0</v>
      </c>
      <c r="J672" s="13">
        <v>0</v>
      </c>
      <c r="K672" s="10">
        <v>12</v>
      </c>
      <c r="L672" s="2">
        <v>343.54559999999998</v>
      </c>
      <c r="M672" s="1">
        <v>46157.606249999997</v>
      </c>
      <c r="N672" t="s">
        <v>175</v>
      </c>
    </row>
    <row r="673" spans="1:14" x14ac:dyDescent="0.25">
      <c r="A673" s="9" t="s">
        <v>5211</v>
      </c>
      <c r="B673" s="10">
        <v>714</v>
      </c>
      <c r="C673" s="10" t="s">
        <v>323</v>
      </c>
      <c r="D673" t="s">
        <v>3192</v>
      </c>
      <c r="E673" t="s">
        <v>3193</v>
      </c>
      <c r="F673" s="10" t="s">
        <v>35</v>
      </c>
      <c r="G673" s="2">
        <v>198.1601</v>
      </c>
      <c r="H673" s="13">
        <v>12</v>
      </c>
      <c r="I673" s="13">
        <v>0</v>
      </c>
      <c r="J673" s="13">
        <v>0</v>
      </c>
      <c r="K673" s="10">
        <v>12</v>
      </c>
      <c r="L673" s="2">
        <v>2377.9212000000002</v>
      </c>
      <c r="M673" s="1">
        <v>46161.380555555559</v>
      </c>
      <c r="N673" t="s">
        <v>151</v>
      </c>
    </row>
    <row r="674" spans="1:14" x14ac:dyDescent="0.25">
      <c r="A674" s="9" t="s">
        <v>5211</v>
      </c>
      <c r="B674" s="10">
        <v>714</v>
      </c>
      <c r="C674" s="10" t="s">
        <v>323</v>
      </c>
      <c r="D674" t="s">
        <v>2832</v>
      </c>
      <c r="E674" t="s">
        <v>2833</v>
      </c>
      <c r="F674" s="10" t="s">
        <v>29</v>
      </c>
      <c r="G674" s="2">
        <v>146.69999999999999</v>
      </c>
      <c r="H674" s="13">
        <v>12</v>
      </c>
      <c r="I674" s="13">
        <v>1</v>
      </c>
      <c r="J674" s="13">
        <v>-1</v>
      </c>
      <c r="K674" s="10">
        <v>12</v>
      </c>
      <c r="L674" s="2">
        <v>1760.4</v>
      </c>
      <c r="M674" s="1">
        <v>46162.505555555559</v>
      </c>
      <c r="N674" t="s">
        <v>1234</v>
      </c>
    </row>
    <row r="675" spans="1:14" x14ac:dyDescent="0.25">
      <c r="A675" s="9" t="s">
        <v>5211</v>
      </c>
      <c r="B675" s="10">
        <v>714</v>
      </c>
      <c r="C675" s="10" t="s">
        <v>143</v>
      </c>
      <c r="D675" t="s">
        <v>2555</v>
      </c>
      <c r="E675" t="s">
        <v>2556</v>
      </c>
      <c r="F675" s="10" t="s">
        <v>19</v>
      </c>
      <c r="G675" s="2">
        <v>194.95590000000001</v>
      </c>
      <c r="H675" s="13">
        <v>12</v>
      </c>
      <c r="I675" s="13">
        <v>0</v>
      </c>
      <c r="J675" s="13">
        <v>0</v>
      </c>
      <c r="K675" s="10">
        <v>12</v>
      </c>
      <c r="L675" s="2">
        <v>2339.4708000000001</v>
      </c>
      <c r="M675" s="1">
        <v>46171.532638888886</v>
      </c>
      <c r="N675" t="s">
        <v>137</v>
      </c>
    </row>
    <row r="676" spans="1:14" x14ac:dyDescent="0.25">
      <c r="A676" s="9" t="s">
        <v>5211</v>
      </c>
      <c r="B676" s="10">
        <v>714</v>
      </c>
      <c r="C676" s="10" t="s">
        <v>143</v>
      </c>
      <c r="D676" t="s">
        <v>193</v>
      </c>
      <c r="E676" t="s">
        <v>194</v>
      </c>
      <c r="F676" s="10" t="s">
        <v>112</v>
      </c>
      <c r="G676" s="2">
        <v>50.314</v>
      </c>
      <c r="H676" s="13">
        <v>12</v>
      </c>
      <c r="I676" s="13">
        <v>0</v>
      </c>
      <c r="J676" s="13">
        <v>0</v>
      </c>
      <c r="K676" s="10">
        <v>12</v>
      </c>
      <c r="L676" s="2">
        <v>603.76800000000003</v>
      </c>
      <c r="M676" s="1">
        <v>46171.535416666666</v>
      </c>
      <c r="N676" t="s">
        <v>195</v>
      </c>
    </row>
    <row r="677" spans="1:14" x14ac:dyDescent="0.25">
      <c r="A677" s="9" t="s">
        <v>5211</v>
      </c>
      <c r="B677" s="10">
        <v>636</v>
      </c>
      <c r="C677" s="10" t="s">
        <v>70</v>
      </c>
      <c r="D677" t="s">
        <v>835</v>
      </c>
      <c r="E677" t="s">
        <v>836</v>
      </c>
      <c r="F677" s="10" t="s">
        <v>39</v>
      </c>
      <c r="G677" s="2">
        <v>5.5449000000000002</v>
      </c>
      <c r="H677" s="13">
        <v>12</v>
      </c>
      <c r="I677" s="13">
        <v>0</v>
      </c>
      <c r="J677" s="13">
        <v>0</v>
      </c>
      <c r="K677" s="10">
        <v>12</v>
      </c>
      <c r="L677" s="2">
        <v>66.538799999999995</v>
      </c>
      <c r="M677" s="1">
        <v>46177.399305555555</v>
      </c>
      <c r="N677" t="s">
        <v>16</v>
      </c>
    </row>
    <row r="678" spans="1:14" x14ac:dyDescent="0.25">
      <c r="A678" s="9" t="s">
        <v>5211</v>
      </c>
      <c r="B678" s="10">
        <v>718</v>
      </c>
      <c r="C678" s="10" t="s">
        <v>143</v>
      </c>
      <c r="D678" t="s">
        <v>154</v>
      </c>
      <c r="E678" t="s">
        <v>155</v>
      </c>
      <c r="F678" s="10" t="s">
        <v>112</v>
      </c>
      <c r="G678" s="2">
        <v>28.3596</v>
      </c>
      <c r="H678" s="13">
        <v>12</v>
      </c>
      <c r="I678" s="13">
        <v>4</v>
      </c>
      <c r="J678" s="13">
        <v>-4</v>
      </c>
      <c r="K678" s="10">
        <v>12</v>
      </c>
      <c r="L678" s="2">
        <v>340.3152</v>
      </c>
      <c r="M678" s="1">
        <v>46185.552777777775</v>
      </c>
      <c r="N678" t="s">
        <v>26</v>
      </c>
    </row>
    <row r="679" spans="1:14" x14ac:dyDescent="0.25">
      <c r="A679" s="9" t="s">
        <v>5211</v>
      </c>
      <c r="B679" s="10">
        <v>714</v>
      </c>
      <c r="C679" s="10" t="s">
        <v>1749</v>
      </c>
      <c r="D679" t="s">
        <v>3538</v>
      </c>
      <c r="E679" t="s">
        <v>3539</v>
      </c>
      <c r="F679" s="10" t="s">
        <v>29</v>
      </c>
      <c r="G679" s="2">
        <v>42.970100000000002</v>
      </c>
      <c r="H679" s="13">
        <v>12</v>
      </c>
      <c r="I679" s="13">
        <v>-4</v>
      </c>
      <c r="J679" s="13">
        <v>4</v>
      </c>
      <c r="K679" s="10">
        <v>12</v>
      </c>
      <c r="L679" s="2">
        <v>515.64120000000003</v>
      </c>
      <c r="M679" s="1">
        <v>46185.630555555559</v>
      </c>
      <c r="N679" t="s">
        <v>1825</v>
      </c>
    </row>
    <row r="680" spans="1:14" x14ac:dyDescent="0.25">
      <c r="A680" s="9" t="s">
        <v>5211</v>
      </c>
      <c r="B680" s="10">
        <v>714</v>
      </c>
      <c r="C680" s="10" t="s">
        <v>143</v>
      </c>
      <c r="D680" t="s">
        <v>2314</v>
      </c>
      <c r="E680" t="s">
        <v>2315</v>
      </c>
      <c r="F680" s="10" t="s">
        <v>158</v>
      </c>
      <c r="G680" s="2">
        <v>33.75</v>
      </c>
      <c r="H680" s="13">
        <v>12</v>
      </c>
      <c r="I680" s="13">
        <v>5</v>
      </c>
      <c r="J680" s="13">
        <v>-5</v>
      </c>
      <c r="K680" s="10">
        <v>12</v>
      </c>
      <c r="L680" s="2">
        <v>405</v>
      </c>
      <c r="M680" s="1">
        <v>46188.35</v>
      </c>
      <c r="N680" t="s">
        <v>26</v>
      </c>
    </row>
    <row r="681" spans="1:14" x14ac:dyDescent="0.25">
      <c r="A681" s="9" t="s">
        <v>5211</v>
      </c>
      <c r="B681" s="10">
        <v>714</v>
      </c>
      <c r="C681" s="10" t="s">
        <v>143</v>
      </c>
      <c r="D681" t="s">
        <v>2748</v>
      </c>
      <c r="E681" t="s">
        <v>2749</v>
      </c>
      <c r="F681" s="10" t="s">
        <v>23</v>
      </c>
      <c r="G681" s="2">
        <v>45.903799999999997</v>
      </c>
      <c r="H681" s="13">
        <v>12</v>
      </c>
      <c r="I681" s="13">
        <v>0</v>
      </c>
      <c r="J681" s="13">
        <v>0</v>
      </c>
      <c r="K681" s="10">
        <v>12</v>
      </c>
      <c r="L681" s="2">
        <v>550.84559999999999</v>
      </c>
      <c r="M681" s="1">
        <v>46196.347916666666</v>
      </c>
      <c r="N681" t="s">
        <v>36</v>
      </c>
    </row>
    <row r="682" spans="1:14" x14ac:dyDescent="0.25">
      <c r="A682" s="9" t="s">
        <v>5211</v>
      </c>
      <c r="B682" s="10">
        <v>718</v>
      </c>
      <c r="C682" s="10" t="s">
        <v>143</v>
      </c>
      <c r="D682" t="s">
        <v>914</v>
      </c>
      <c r="E682" t="s">
        <v>915</v>
      </c>
      <c r="F682" s="10" t="s">
        <v>23</v>
      </c>
      <c r="G682" s="2">
        <v>79.467200000000005</v>
      </c>
      <c r="H682" s="13">
        <v>12</v>
      </c>
      <c r="I682" s="13">
        <v>3</v>
      </c>
      <c r="J682" s="13">
        <v>-3</v>
      </c>
      <c r="K682" s="10">
        <v>12</v>
      </c>
      <c r="L682" s="2">
        <v>953.60640000000001</v>
      </c>
      <c r="M682" s="1">
        <v>46205.533333333333</v>
      </c>
      <c r="N682" t="s">
        <v>26</v>
      </c>
    </row>
    <row r="683" spans="1:14" x14ac:dyDescent="0.25">
      <c r="A683" s="9" t="s">
        <v>5211</v>
      </c>
      <c r="B683" s="10">
        <v>634</v>
      </c>
      <c r="C683" s="10" t="s">
        <v>70</v>
      </c>
      <c r="D683" t="s">
        <v>121</v>
      </c>
      <c r="E683" t="s">
        <v>122</v>
      </c>
      <c r="F683" s="10" t="s">
        <v>123</v>
      </c>
      <c r="G683" s="2">
        <v>6.1688000000000001</v>
      </c>
      <c r="H683" s="13">
        <v>12</v>
      </c>
      <c r="I683" s="13">
        <v>-37</v>
      </c>
      <c r="J683" s="13">
        <v>37</v>
      </c>
      <c r="K683" s="10">
        <v>12</v>
      </c>
      <c r="L683" s="2">
        <v>74.025599999999997</v>
      </c>
      <c r="M683" s="1">
        <v>46217.376388888886</v>
      </c>
      <c r="N683" t="s">
        <v>94</v>
      </c>
    </row>
    <row r="684" spans="1:14" x14ac:dyDescent="0.25">
      <c r="A684" s="9" t="s">
        <v>5211</v>
      </c>
      <c r="B684" s="10">
        <v>718</v>
      </c>
      <c r="C684" s="10" t="s">
        <v>323</v>
      </c>
      <c r="D684" t="s">
        <v>2871</v>
      </c>
      <c r="E684" t="s">
        <v>2872</v>
      </c>
      <c r="F684" s="10" t="s">
        <v>43</v>
      </c>
      <c r="G684" s="2">
        <v>134.49119999999999</v>
      </c>
      <c r="H684" s="13">
        <v>12</v>
      </c>
      <c r="I684" s="13">
        <v>0</v>
      </c>
      <c r="J684" s="13">
        <v>0</v>
      </c>
      <c r="K684" s="10">
        <v>12</v>
      </c>
      <c r="L684" s="2">
        <v>1613.8943999999999</v>
      </c>
      <c r="M684" s="1">
        <v>46218.515277777777</v>
      </c>
      <c r="N684" t="s">
        <v>216</v>
      </c>
    </row>
    <row r="685" spans="1:14" x14ac:dyDescent="0.25">
      <c r="A685" s="9" t="s">
        <v>5211</v>
      </c>
      <c r="B685" s="10">
        <v>714</v>
      </c>
      <c r="C685" s="10" t="s">
        <v>70</v>
      </c>
      <c r="D685" t="s">
        <v>569</v>
      </c>
      <c r="E685" t="s">
        <v>570</v>
      </c>
      <c r="F685" s="10" t="s">
        <v>112</v>
      </c>
      <c r="G685" s="2">
        <v>10.351800000000001</v>
      </c>
      <c r="H685" s="13">
        <v>12</v>
      </c>
      <c r="I685" s="13">
        <v>7</v>
      </c>
      <c r="J685" s="13">
        <v>-7</v>
      </c>
      <c r="K685" s="10">
        <v>12</v>
      </c>
      <c r="L685" s="2">
        <v>124.2216</v>
      </c>
      <c r="M685" s="1">
        <v>46218.660416666666</v>
      </c>
      <c r="N685" t="s">
        <v>16</v>
      </c>
    </row>
    <row r="686" spans="1:14" x14ac:dyDescent="0.25">
      <c r="A686" s="9" t="s">
        <v>5211</v>
      </c>
      <c r="B686" s="10">
        <v>714</v>
      </c>
      <c r="C686" s="10" t="s">
        <v>143</v>
      </c>
      <c r="D686" t="s">
        <v>2750</v>
      </c>
      <c r="E686" t="s">
        <v>2751</v>
      </c>
      <c r="F686" s="10" t="s">
        <v>112</v>
      </c>
      <c r="G686" s="2">
        <v>31.611000000000001</v>
      </c>
      <c r="H686" s="13">
        <v>12</v>
      </c>
      <c r="I686" s="13">
        <v>0</v>
      </c>
      <c r="J686" s="13">
        <v>0</v>
      </c>
      <c r="K686" s="10">
        <v>12</v>
      </c>
      <c r="L686" s="2">
        <v>379.33199999999999</v>
      </c>
      <c r="M686" s="1">
        <v>46220.35833333333</v>
      </c>
      <c r="N686" t="s">
        <v>195</v>
      </c>
    </row>
    <row r="687" spans="1:14" x14ac:dyDescent="0.25">
      <c r="A687" s="9" t="s">
        <v>5211</v>
      </c>
      <c r="B687" s="10">
        <v>636</v>
      </c>
      <c r="C687" s="10" t="s">
        <v>143</v>
      </c>
      <c r="D687" t="s">
        <v>4555</v>
      </c>
      <c r="E687" t="s">
        <v>4556</v>
      </c>
      <c r="F687" s="10" t="s">
        <v>158</v>
      </c>
      <c r="G687" s="2">
        <v>37.7789</v>
      </c>
      <c r="H687" s="13">
        <v>12</v>
      </c>
      <c r="I687" s="13">
        <v>0</v>
      </c>
      <c r="J687" s="13">
        <v>0</v>
      </c>
      <c r="K687" s="10">
        <v>12</v>
      </c>
      <c r="L687" s="2">
        <v>453.34679999999997</v>
      </c>
      <c r="M687" s="1">
        <v>46225.522222222222</v>
      </c>
      <c r="N687" t="s">
        <v>175</v>
      </c>
    </row>
    <row r="688" spans="1:14" x14ac:dyDescent="0.25">
      <c r="A688" s="9" t="s">
        <v>5211</v>
      </c>
      <c r="B688" s="10">
        <v>636</v>
      </c>
      <c r="C688" s="10" t="s">
        <v>12</v>
      </c>
      <c r="D688" t="s">
        <v>4403</v>
      </c>
      <c r="E688" t="s">
        <v>4404</v>
      </c>
      <c r="F688" s="10" t="s">
        <v>112</v>
      </c>
      <c r="G688" s="2">
        <v>6.4659000000000004</v>
      </c>
      <c r="H688" s="13">
        <v>12</v>
      </c>
      <c r="I688" s="13">
        <v>116</v>
      </c>
      <c r="J688" s="13">
        <v>-116</v>
      </c>
      <c r="K688" s="10">
        <v>12</v>
      </c>
      <c r="L688" s="2">
        <v>77.590800000000002</v>
      </c>
      <c r="M688" s="1">
        <v>46226.376388888886</v>
      </c>
      <c r="N688" t="s">
        <v>94</v>
      </c>
    </row>
    <row r="689" spans="1:14" x14ac:dyDescent="0.25">
      <c r="A689" s="9" t="s">
        <v>5211</v>
      </c>
      <c r="B689" s="10">
        <v>714</v>
      </c>
      <c r="C689" s="10" t="s">
        <v>70</v>
      </c>
      <c r="D689" t="s">
        <v>4020</v>
      </c>
      <c r="E689" t="s">
        <v>4021</v>
      </c>
      <c r="F689" s="10" t="s">
        <v>112</v>
      </c>
      <c r="G689" s="2">
        <v>6.3324999999999996</v>
      </c>
      <c r="H689" s="13">
        <v>12</v>
      </c>
      <c r="I689" s="13">
        <v>14</v>
      </c>
      <c r="J689" s="13">
        <v>-14</v>
      </c>
      <c r="K689" s="10">
        <v>12</v>
      </c>
      <c r="L689" s="2">
        <v>75.989999999999995</v>
      </c>
      <c r="M689" s="1">
        <v>46227.602777777778</v>
      </c>
      <c r="N689" t="s">
        <v>94</v>
      </c>
    </row>
    <row r="690" spans="1:14" x14ac:dyDescent="0.25">
      <c r="A690" s="9" t="s">
        <v>5211</v>
      </c>
      <c r="B690" s="10">
        <v>634</v>
      </c>
      <c r="C690" s="10" t="s">
        <v>143</v>
      </c>
      <c r="D690" t="s">
        <v>156</v>
      </c>
      <c r="E690" t="s">
        <v>157</v>
      </c>
      <c r="F690" s="10" t="s">
        <v>158</v>
      </c>
      <c r="G690" s="2">
        <v>83.951800000000006</v>
      </c>
      <c r="H690" s="13">
        <v>12</v>
      </c>
      <c r="I690" s="13">
        <v>0</v>
      </c>
      <c r="J690" s="13">
        <v>0</v>
      </c>
      <c r="K690" s="10">
        <v>12</v>
      </c>
      <c r="L690" s="2">
        <v>1007.4216</v>
      </c>
      <c r="M690" s="1">
        <v>46231.362500000003</v>
      </c>
      <c r="N690" t="s">
        <v>159</v>
      </c>
    </row>
    <row r="691" spans="1:14" x14ac:dyDescent="0.25">
      <c r="A691" s="9" t="s">
        <v>5211</v>
      </c>
      <c r="B691" s="10">
        <v>714</v>
      </c>
      <c r="C691" s="10" t="s">
        <v>143</v>
      </c>
      <c r="D691" t="s">
        <v>1142</v>
      </c>
      <c r="E691" t="s">
        <v>1143</v>
      </c>
      <c r="F691" s="10" t="s">
        <v>23</v>
      </c>
      <c r="G691" s="2">
        <v>34.521900000000002</v>
      </c>
      <c r="H691" s="13">
        <v>12</v>
      </c>
      <c r="I691" s="13">
        <v>0</v>
      </c>
      <c r="J691" s="13">
        <v>0</v>
      </c>
      <c r="K691" s="10">
        <v>12</v>
      </c>
      <c r="L691" s="2">
        <v>414.26280000000003</v>
      </c>
      <c r="M691" s="1">
        <v>46231.491666666669</v>
      </c>
      <c r="N691" t="s">
        <v>2066</v>
      </c>
    </row>
    <row r="692" spans="1:14" x14ac:dyDescent="0.25">
      <c r="A692" s="9" t="s">
        <v>5211</v>
      </c>
      <c r="B692" s="10">
        <v>718</v>
      </c>
      <c r="C692" s="10" t="s">
        <v>70</v>
      </c>
      <c r="D692" t="s">
        <v>806</v>
      </c>
      <c r="E692" t="s">
        <v>807</v>
      </c>
      <c r="F692" s="10" t="s">
        <v>29</v>
      </c>
      <c r="G692" s="2">
        <v>8.5510000000000002</v>
      </c>
      <c r="H692" s="13">
        <v>12</v>
      </c>
      <c r="I692" s="13">
        <v>0</v>
      </c>
      <c r="J692" s="13">
        <v>0</v>
      </c>
      <c r="K692" s="10">
        <v>12</v>
      </c>
      <c r="L692" s="2">
        <v>102.61199999999999</v>
      </c>
      <c r="M692" s="1">
        <v>46232.6</v>
      </c>
      <c r="N692" t="s">
        <v>573</v>
      </c>
    </row>
    <row r="693" spans="1:14" x14ac:dyDescent="0.25">
      <c r="A693" s="9" t="s">
        <v>5211</v>
      </c>
      <c r="B693" s="10">
        <v>718</v>
      </c>
      <c r="C693" s="10" t="s">
        <v>126</v>
      </c>
      <c r="D693" t="s">
        <v>870</v>
      </c>
      <c r="E693" t="s">
        <v>871</v>
      </c>
      <c r="F693" s="10" t="s">
        <v>43</v>
      </c>
      <c r="G693" s="2">
        <v>6.2546999999999997</v>
      </c>
      <c r="H693" s="13">
        <v>12</v>
      </c>
      <c r="I693" s="13">
        <v>0</v>
      </c>
      <c r="J693" s="13">
        <v>0</v>
      </c>
      <c r="K693" s="10">
        <v>12</v>
      </c>
      <c r="L693" s="2">
        <v>75.056399999999996</v>
      </c>
      <c r="M693" s="1">
        <v>46234.345138888886</v>
      </c>
      <c r="N693" t="s">
        <v>16</v>
      </c>
    </row>
    <row r="694" spans="1:14" x14ac:dyDescent="0.25">
      <c r="A694" s="9" t="s">
        <v>5211</v>
      </c>
      <c r="B694" s="10">
        <v>634</v>
      </c>
      <c r="C694" s="10" t="s">
        <v>143</v>
      </c>
      <c r="D694" t="s">
        <v>4092</v>
      </c>
      <c r="E694" t="s">
        <v>4093</v>
      </c>
      <c r="F694" s="10" t="s">
        <v>23</v>
      </c>
      <c r="G694" s="2">
        <v>63.930500000000002</v>
      </c>
      <c r="H694" s="13">
        <v>12</v>
      </c>
      <c r="I694" s="13">
        <v>10</v>
      </c>
      <c r="J694" s="13">
        <v>-10</v>
      </c>
      <c r="K694" s="10">
        <v>12</v>
      </c>
      <c r="L694" s="2">
        <v>767.16600000000005</v>
      </c>
      <c r="M694" s="1">
        <v>46239.336111111108</v>
      </c>
      <c r="N694" t="s">
        <v>195</v>
      </c>
    </row>
    <row r="695" spans="1:14" x14ac:dyDescent="0.25">
      <c r="A695" s="9" t="s">
        <v>5211</v>
      </c>
      <c r="B695" s="10">
        <v>714</v>
      </c>
      <c r="C695" s="10" t="s">
        <v>70</v>
      </c>
      <c r="D695" t="s">
        <v>2083</v>
      </c>
      <c r="E695" t="s">
        <v>2084</v>
      </c>
      <c r="F695" s="10" t="s">
        <v>39</v>
      </c>
      <c r="G695" s="2">
        <v>8.4338999999999995</v>
      </c>
      <c r="H695" s="13">
        <v>12</v>
      </c>
      <c r="I695" s="13">
        <v>0</v>
      </c>
      <c r="J695" s="13">
        <v>0</v>
      </c>
      <c r="K695" s="10">
        <v>12</v>
      </c>
      <c r="L695" s="2">
        <v>101.2068</v>
      </c>
      <c r="M695" s="1">
        <v>46239.576388888891</v>
      </c>
      <c r="N695" t="s">
        <v>573</v>
      </c>
    </row>
    <row r="696" spans="1:14" x14ac:dyDescent="0.25">
      <c r="A696" s="9" t="s">
        <v>5211</v>
      </c>
      <c r="B696" s="10">
        <v>718</v>
      </c>
      <c r="C696" s="10" t="s">
        <v>70</v>
      </c>
      <c r="D696" t="s">
        <v>115</v>
      </c>
      <c r="E696" t="s">
        <v>116</v>
      </c>
      <c r="F696" s="10" t="s">
        <v>112</v>
      </c>
      <c r="G696" s="2">
        <v>6.6551999999999998</v>
      </c>
      <c r="H696" s="13">
        <v>12</v>
      </c>
      <c r="I696" s="13">
        <v>0</v>
      </c>
      <c r="J696" s="13">
        <v>0</v>
      </c>
      <c r="K696" s="10">
        <v>12</v>
      </c>
      <c r="L696" s="2">
        <v>79.862399999999994</v>
      </c>
      <c r="M696" s="1">
        <v>46241.365277777775</v>
      </c>
      <c r="N696" t="s">
        <v>26</v>
      </c>
    </row>
    <row r="697" spans="1:14" x14ac:dyDescent="0.25">
      <c r="A697" s="9" t="s">
        <v>5211</v>
      </c>
      <c r="B697" s="10">
        <v>718</v>
      </c>
      <c r="C697" s="10" t="s">
        <v>70</v>
      </c>
      <c r="D697" t="s">
        <v>3677</v>
      </c>
      <c r="E697" t="s">
        <v>3678</v>
      </c>
      <c r="F697" s="10" t="s">
        <v>112</v>
      </c>
      <c r="G697" s="2">
        <v>8.0454000000000008</v>
      </c>
      <c r="H697" s="13">
        <v>12</v>
      </c>
      <c r="I697" s="13">
        <v>0</v>
      </c>
      <c r="J697" s="13">
        <v>0</v>
      </c>
      <c r="K697" s="10">
        <v>12</v>
      </c>
      <c r="L697" s="2">
        <v>96.544799999999995</v>
      </c>
      <c r="M697" s="1">
        <v>46246.392361111109</v>
      </c>
      <c r="N697" t="s">
        <v>40</v>
      </c>
    </row>
    <row r="698" spans="1:14" x14ac:dyDescent="0.25">
      <c r="A698" s="9" t="s">
        <v>5211</v>
      </c>
      <c r="B698" s="10">
        <v>718</v>
      </c>
      <c r="C698" s="10" t="s">
        <v>143</v>
      </c>
      <c r="D698" t="s">
        <v>160</v>
      </c>
      <c r="E698" t="s">
        <v>161</v>
      </c>
      <c r="F698" s="10" t="s">
        <v>112</v>
      </c>
      <c r="G698" s="2">
        <v>27.673999999999999</v>
      </c>
      <c r="H698" s="13">
        <v>12</v>
      </c>
      <c r="I698" s="13">
        <v>5</v>
      </c>
      <c r="J698" s="13">
        <v>-5</v>
      </c>
      <c r="K698" s="10">
        <v>12</v>
      </c>
      <c r="L698" s="2">
        <v>332.08800000000002</v>
      </c>
      <c r="M698" s="1">
        <v>46246.392361111109</v>
      </c>
      <c r="N698" t="s">
        <v>40</v>
      </c>
    </row>
    <row r="699" spans="1:14" x14ac:dyDescent="0.25">
      <c r="A699" s="9" t="s">
        <v>5211</v>
      </c>
      <c r="B699" s="10">
        <v>636</v>
      </c>
      <c r="C699" s="10" t="s">
        <v>70</v>
      </c>
      <c r="D699" t="s">
        <v>618</v>
      </c>
      <c r="E699" t="s">
        <v>619</v>
      </c>
      <c r="F699" s="10" t="s">
        <v>29</v>
      </c>
      <c r="G699" s="2">
        <v>7.5644999999999998</v>
      </c>
      <c r="H699" s="13">
        <v>12</v>
      </c>
      <c r="I699" s="13">
        <v>6</v>
      </c>
      <c r="J699" s="13">
        <v>-6</v>
      </c>
      <c r="K699" s="10">
        <v>12</v>
      </c>
      <c r="L699" s="2">
        <v>90.774000000000001</v>
      </c>
      <c r="M699" s="1">
        <v>46248.390277777777</v>
      </c>
      <c r="N699" t="s">
        <v>16</v>
      </c>
    </row>
    <row r="700" spans="1:14" x14ac:dyDescent="0.25">
      <c r="A700" s="9" t="s">
        <v>5211</v>
      </c>
      <c r="B700" s="10">
        <v>714</v>
      </c>
      <c r="C700" s="10" t="s">
        <v>70</v>
      </c>
      <c r="D700" t="s">
        <v>2115</v>
      </c>
      <c r="E700" t="s">
        <v>2116</v>
      </c>
      <c r="F700" s="10" t="s">
        <v>39</v>
      </c>
      <c r="G700" s="2">
        <v>7.6875999999999998</v>
      </c>
      <c r="H700" s="13">
        <v>11</v>
      </c>
      <c r="I700" s="13">
        <v>0</v>
      </c>
      <c r="J700" s="13">
        <v>0</v>
      </c>
      <c r="K700" s="10">
        <v>11</v>
      </c>
      <c r="L700" s="2">
        <v>84.563599999999994</v>
      </c>
      <c r="M700" s="1">
        <v>45446.334722222222</v>
      </c>
      <c r="N700" t="s">
        <v>16</v>
      </c>
    </row>
    <row r="701" spans="1:14" x14ac:dyDescent="0.25">
      <c r="A701" s="9" t="s">
        <v>5211</v>
      </c>
      <c r="B701" s="10">
        <v>634</v>
      </c>
      <c r="C701" s="10" t="s">
        <v>70</v>
      </c>
      <c r="D701" t="s">
        <v>4008</v>
      </c>
      <c r="E701" t="s">
        <v>4009</v>
      </c>
      <c r="F701" s="10" t="s">
        <v>29</v>
      </c>
      <c r="G701" s="2">
        <v>4.7434000000000003</v>
      </c>
      <c r="H701" s="13">
        <v>11</v>
      </c>
      <c r="I701" s="13">
        <v>-3</v>
      </c>
      <c r="J701" s="13">
        <v>3</v>
      </c>
      <c r="K701" s="10">
        <v>11</v>
      </c>
      <c r="L701" s="2">
        <v>52.177399999999999</v>
      </c>
      <c r="M701" s="1">
        <v>45762.431944444441</v>
      </c>
      <c r="N701" t="s">
        <v>16</v>
      </c>
    </row>
    <row r="702" spans="1:14" x14ac:dyDescent="0.25">
      <c r="A702" s="9" t="s">
        <v>5211</v>
      </c>
      <c r="B702" s="10">
        <v>718</v>
      </c>
      <c r="C702" s="10" t="s">
        <v>143</v>
      </c>
      <c r="D702" t="s">
        <v>3732</v>
      </c>
      <c r="E702" s="6" t="s">
        <v>3733</v>
      </c>
      <c r="F702" s="11" t="s">
        <v>58</v>
      </c>
      <c r="G702" s="2">
        <v>26.473500000000001</v>
      </c>
      <c r="H702" s="13">
        <v>11</v>
      </c>
      <c r="I702" s="13">
        <v>0</v>
      </c>
      <c r="J702" s="13">
        <v>0</v>
      </c>
      <c r="K702" s="10">
        <v>11</v>
      </c>
      <c r="L702" s="2">
        <v>291.20850000000002</v>
      </c>
      <c r="M702" s="1">
        <v>45793.486111111109</v>
      </c>
      <c r="N702" t="s">
        <v>2468</v>
      </c>
    </row>
    <row r="703" spans="1:14" x14ac:dyDescent="0.25">
      <c r="A703" s="9" t="s">
        <v>5211</v>
      </c>
      <c r="B703" s="10">
        <v>714</v>
      </c>
      <c r="C703" s="10" t="s">
        <v>70</v>
      </c>
      <c r="D703" t="s">
        <v>2067</v>
      </c>
      <c r="E703" t="s">
        <v>2068</v>
      </c>
      <c r="F703" s="10" t="s">
        <v>39</v>
      </c>
      <c r="G703" s="2">
        <v>6.8676000000000004</v>
      </c>
      <c r="H703" s="13">
        <v>11</v>
      </c>
      <c r="I703" s="13">
        <v>0</v>
      </c>
      <c r="J703" s="13">
        <v>0</v>
      </c>
      <c r="K703" s="10">
        <v>11</v>
      </c>
      <c r="L703" s="2">
        <v>75.543599999999998</v>
      </c>
      <c r="M703" s="1">
        <v>45811.379861111112</v>
      </c>
      <c r="N703" t="s">
        <v>44</v>
      </c>
    </row>
    <row r="704" spans="1:14" x14ac:dyDescent="0.25">
      <c r="A704" s="9" t="s">
        <v>5211</v>
      </c>
      <c r="B704" s="10">
        <v>634</v>
      </c>
      <c r="C704" s="10" t="s">
        <v>70</v>
      </c>
      <c r="D704" t="s">
        <v>4044</v>
      </c>
      <c r="E704" t="s">
        <v>4045</v>
      </c>
      <c r="F704" s="10" t="s">
        <v>15</v>
      </c>
      <c r="G704" s="2">
        <v>5.6390000000000002</v>
      </c>
      <c r="H704" s="13">
        <v>11</v>
      </c>
      <c r="I704" s="13">
        <v>30</v>
      </c>
      <c r="J704" s="13">
        <v>-30</v>
      </c>
      <c r="K704" s="10">
        <v>11</v>
      </c>
      <c r="L704" s="2">
        <v>62.029000000000003</v>
      </c>
      <c r="M704" s="1">
        <v>45895.508333333331</v>
      </c>
      <c r="N704" t="s">
        <v>40</v>
      </c>
    </row>
    <row r="705" spans="1:14" x14ac:dyDescent="0.25">
      <c r="A705" s="9" t="s">
        <v>5211</v>
      </c>
      <c r="B705" s="10">
        <v>714</v>
      </c>
      <c r="C705" s="10" t="s">
        <v>143</v>
      </c>
      <c r="D705" t="s">
        <v>1052</v>
      </c>
      <c r="E705" t="s">
        <v>1053</v>
      </c>
      <c r="F705" s="10" t="s">
        <v>39</v>
      </c>
      <c r="G705" s="2">
        <v>14.680099999999999</v>
      </c>
      <c r="H705" s="13">
        <v>11</v>
      </c>
      <c r="I705" s="13">
        <v>0</v>
      </c>
      <c r="J705" s="13">
        <v>0</v>
      </c>
      <c r="K705" s="10">
        <v>11</v>
      </c>
      <c r="L705" s="2">
        <v>161.4811</v>
      </c>
      <c r="M705" s="1">
        <v>45930.470833333333</v>
      </c>
      <c r="N705" t="s">
        <v>40</v>
      </c>
    </row>
    <row r="706" spans="1:14" x14ac:dyDescent="0.25">
      <c r="A706" s="9" t="s">
        <v>5211</v>
      </c>
      <c r="B706" s="10">
        <v>718</v>
      </c>
      <c r="C706" s="10" t="s">
        <v>143</v>
      </c>
      <c r="D706" t="s">
        <v>2533</v>
      </c>
      <c r="E706" t="s">
        <v>2534</v>
      </c>
      <c r="F706" s="10" t="s">
        <v>23</v>
      </c>
      <c r="G706" s="2">
        <v>20.5549</v>
      </c>
      <c r="H706" s="13">
        <v>11</v>
      </c>
      <c r="I706" s="13">
        <v>41</v>
      </c>
      <c r="J706" s="13">
        <v>-41</v>
      </c>
      <c r="K706" s="10">
        <v>11</v>
      </c>
      <c r="L706" s="2">
        <v>226.10390000000001</v>
      </c>
      <c r="M706" s="1">
        <v>46104.57708333333</v>
      </c>
      <c r="N706" t="s">
        <v>310</v>
      </c>
    </row>
    <row r="707" spans="1:14" x14ac:dyDescent="0.25">
      <c r="A707" s="9" t="s">
        <v>5211</v>
      </c>
      <c r="B707" s="10">
        <v>634</v>
      </c>
      <c r="C707" s="10" t="s">
        <v>12</v>
      </c>
      <c r="D707" t="s">
        <v>31</v>
      </c>
      <c r="E707" t="s">
        <v>32</v>
      </c>
      <c r="F707" s="10" t="s">
        <v>23</v>
      </c>
      <c r="G707" s="2">
        <v>21.920100000000001</v>
      </c>
      <c r="H707" s="13">
        <v>11</v>
      </c>
      <c r="I707" s="13">
        <v>1</v>
      </c>
      <c r="J707" s="13">
        <v>-1</v>
      </c>
      <c r="K707" s="10">
        <v>11</v>
      </c>
      <c r="L707" s="2">
        <v>241.12110000000001</v>
      </c>
      <c r="M707" s="1">
        <v>46108.673611111109</v>
      </c>
      <c r="N707" t="s">
        <v>26</v>
      </c>
    </row>
    <row r="708" spans="1:14" x14ac:dyDescent="0.25">
      <c r="A708" s="9" t="s">
        <v>5211</v>
      </c>
      <c r="B708" s="10">
        <v>714</v>
      </c>
      <c r="C708" s="10" t="s">
        <v>323</v>
      </c>
      <c r="D708" t="s">
        <v>3482</v>
      </c>
      <c r="E708" t="s">
        <v>3483</v>
      </c>
      <c r="F708" s="10" t="s">
        <v>19</v>
      </c>
      <c r="G708" s="2">
        <v>170.80099999999999</v>
      </c>
      <c r="H708" s="13">
        <v>11</v>
      </c>
      <c r="I708" s="13">
        <v>3</v>
      </c>
      <c r="J708" s="13">
        <v>-3</v>
      </c>
      <c r="K708" s="10">
        <v>11</v>
      </c>
      <c r="L708" s="2">
        <v>1878.8109999999999</v>
      </c>
      <c r="M708" s="1">
        <v>46112.315972222219</v>
      </c>
      <c r="N708" t="s">
        <v>36</v>
      </c>
    </row>
    <row r="709" spans="1:14" x14ac:dyDescent="0.25">
      <c r="A709" s="9" t="s">
        <v>5211</v>
      </c>
      <c r="B709" s="10">
        <v>636</v>
      </c>
      <c r="C709" s="10" t="s">
        <v>323</v>
      </c>
      <c r="D709" t="s">
        <v>1540</v>
      </c>
      <c r="E709" t="s">
        <v>1541</v>
      </c>
      <c r="F709" s="10" t="s">
        <v>29</v>
      </c>
      <c r="G709" s="2">
        <v>328.97329999999999</v>
      </c>
      <c r="H709" s="13">
        <v>11</v>
      </c>
      <c r="I709" s="13">
        <v>-1</v>
      </c>
      <c r="J709" s="13">
        <v>1</v>
      </c>
      <c r="K709" s="10">
        <v>11</v>
      </c>
      <c r="L709" s="2">
        <v>3618.7062999999998</v>
      </c>
      <c r="M709" s="1">
        <v>46114.394444444442</v>
      </c>
      <c r="N709" t="s">
        <v>486</v>
      </c>
    </row>
    <row r="710" spans="1:14" x14ac:dyDescent="0.25">
      <c r="A710" s="9" t="s">
        <v>5211</v>
      </c>
      <c r="B710" s="10">
        <v>714</v>
      </c>
      <c r="C710" s="10" t="s">
        <v>323</v>
      </c>
      <c r="D710" t="s">
        <v>2817</v>
      </c>
      <c r="E710" t="s">
        <v>2818</v>
      </c>
      <c r="F710" s="10" t="s">
        <v>23</v>
      </c>
      <c r="G710" s="2">
        <v>186.1028</v>
      </c>
      <c r="H710" s="13">
        <v>11</v>
      </c>
      <c r="I710" s="13">
        <v>0</v>
      </c>
      <c r="J710" s="13">
        <v>0</v>
      </c>
      <c r="K710" s="10">
        <v>11</v>
      </c>
      <c r="L710" s="2">
        <v>2047.1307999999999</v>
      </c>
      <c r="M710" s="1">
        <v>46118.304861111108</v>
      </c>
      <c r="N710" t="s">
        <v>2423</v>
      </c>
    </row>
    <row r="711" spans="1:14" x14ac:dyDescent="0.25">
      <c r="A711" s="9" t="s">
        <v>5211</v>
      </c>
      <c r="B711" s="10">
        <v>636</v>
      </c>
      <c r="C711" s="10" t="s">
        <v>143</v>
      </c>
      <c r="D711" t="s">
        <v>980</v>
      </c>
      <c r="E711" t="s">
        <v>981</v>
      </c>
      <c r="F711" s="10" t="s">
        <v>158</v>
      </c>
      <c r="G711" s="2">
        <v>185.21879999999999</v>
      </c>
      <c r="H711" s="13">
        <v>11</v>
      </c>
      <c r="I711" s="13">
        <v>2</v>
      </c>
      <c r="J711" s="13">
        <v>-2</v>
      </c>
      <c r="K711" s="10">
        <v>11</v>
      </c>
      <c r="L711" s="2">
        <v>2037.4068</v>
      </c>
      <c r="M711" s="1">
        <v>46119.593055555553</v>
      </c>
      <c r="N711" t="s">
        <v>236</v>
      </c>
    </row>
    <row r="712" spans="1:14" x14ac:dyDescent="0.25">
      <c r="A712" s="9" t="s">
        <v>5211</v>
      </c>
      <c r="B712" s="10">
        <v>636</v>
      </c>
      <c r="C712" s="10" t="s">
        <v>143</v>
      </c>
      <c r="D712" t="s">
        <v>2401</v>
      </c>
      <c r="E712" t="s">
        <v>2402</v>
      </c>
      <c r="F712" s="10" t="s">
        <v>23</v>
      </c>
      <c r="G712" s="2">
        <v>35.323799999999999</v>
      </c>
      <c r="H712" s="13">
        <v>11</v>
      </c>
      <c r="I712" s="13">
        <v>8</v>
      </c>
      <c r="J712" s="13">
        <v>-8</v>
      </c>
      <c r="K712" s="10">
        <v>11</v>
      </c>
      <c r="L712" s="2">
        <v>388.56180000000001</v>
      </c>
      <c r="M712" s="1">
        <v>46125.395833333336</v>
      </c>
      <c r="N712" t="s">
        <v>40</v>
      </c>
    </row>
    <row r="713" spans="1:14" x14ac:dyDescent="0.25">
      <c r="A713" s="9" t="s">
        <v>5211</v>
      </c>
      <c r="B713" s="10">
        <v>634</v>
      </c>
      <c r="C713" s="10" t="s">
        <v>143</v>
      </c>
      <c r="D713" t="s">
        <v>221</v>
      </c>
      <c r="E713" t="s">
        <v>222</v>
      </c>
      <c r="F713" s="10" t="s">
        <v>29</v>
      </c>
      <c r="G713" s="2">
        <v>35.0929</v>
      </c>
      <c r="H713" s="13">
        <v>11</v>
      </c>
      <c r="I713" s="13">
        <v>0</v>
      </c>
      <c r="J713" s="13">
        <v>0</v>
      </c>
      <c r="K713" s="10">
        <v>11</v>
      </c>
      <c r="L713" s="2">
        <v>386.02190000000002</v>
      </c>
      <c r="M713" s="1">
        <v>46134.53125</v>
      </c>
      <c r="N713" t="s">
        <v>40</v>
      </c>
    </row>
    <row r="714" spans="1:14" x14ac:dyDescent="0.25">
      <c r="A714" s="9" t="s">
        <v>5211</v>
      </c>
      <c r="B714" s="10">
        <v>718</v>
      </c>
      <c r="C714" s="10" t="s">
        <v>323</v>
      </c>
      <c r="D714" t="s">
        <v>5107</v>
      </c>
      <c r="E714" t="s">
        <v>5108</v>
      </c>
      <c r="F714" s="10" t="s">
        <v>158</v>
      </c>
      <c r="G714" s="2">
        <v>108.291</v>
      </c>
      <c r="H714" s="13">
        <v>11</v>
      </c>
      <c r="I714" s="13">
        <v>22</v>
      </c>
      <c r="J714" s="13">
        <v>-22</v>
      </c>
      <c r="K714" s="10">
        <v>11</v>
      </c>
      <c r="L714" s="2">
        <v>1191.201</v>
      </c>
      <c r="M714" s="1">
        <v>46135.540277777778</v>
      </c>
      <c r="N714" t="s">
        <v>903</v>
      </c>
    </row>
    <row r="715" spans="1:14" x14ac:dyDescent="0.25">
      <c r="A715" s="9" t="s">
        <v>5211</v>
      </c>
      <c r="B715" s="10">
        <v>714</v>
      </c>
      <c r="C715" s="10" t="s">
        <v>323</v>
      </c>
      <c r="D715" t="s">
        <v>1723</v>
      </c>
      <c r="E715" t="s">
        <v>1724</v>
      </c>
      <c r="F715" s="10" t="s">
        <v>158</v>
      </c>
      <c r="G715" s="2">
        <v>170.58629999999999</v>
      </c>
      <c r="H715" s="13">
        <v>11</v>
      </c>
      <c r="I715" s="13">
        <v>-6</v>
      </c>
      <c r="J715" s="13">
        <v>6</v>
      </c>
      <c r="K715" s="10">
        <v>11</v>
      </c>
      <c r="L715" s="2">
        <v>1876.4493</v>
      </c>
      <c r="M715" s="1">
        <v>46137.60833333333</v>
      </c>
      <c r="N715" t="s">
        <v>2379</v>
      </c>
    </row>
    <row r="716" spans="1:14" x14ac:dyDescent="0.25">
      <c r="A716" s="9" t="s">
        <v>5211</v>
      </c>
      <c r="B716" s="10">
        <v>714</v>
      </c>
      <c r="C716" s="10" t="s">
        <v>143</v>
      </c>
      <c r="D716" t="s">
        <v>2703</v>
      </c>
      <c r="E716" t="s">
        <v>2704</v>
      </c>
      <c r="F716" s="10" t="s">
        <v>39</v>
      </c>
      <c r="G716" s="2">
        <v>20.915099999999999</v>
      </c>
      <c r="H716" s="13">
        <v>11</v>
      </c>
      <c r="I716" s="13">
        <v>0</v>
      </c>
      <c r="J716" s="13">
        <v>0</v>
      </c>
      <c r="K716" s="10">
        <v>11</v>
      </c>
      <c r="L716" s="2">
        <v>230.06610000000001</v>
      </c>
      <c r="M716" s="1">
        <v>46140.479166666664</v>
      </c>
      <c r="N716" t="s">
        <v>1841</v>
      </c>
    </row>
    <row r="717" spans="1:14" x14ac:dyDescent="0.25">
      <c r="A717" s="9" t="s">
        <v>5211</v>
      </c>
      <c r="B717" s="10">
        <v>714</v>
      </c>
      <c r="C717" s="10" t="s">
        <v>143</v>
      </c>
      <c r="D717" t="s">
        <v>2447</v>
      </c>
      <c r="E717" t="s">
        <v>2448</v>
      </c>
      <c r="F717" s="10" t="s">
        <v>39</v>
      </c>
      <c r="G717" s="2">
        <v>19.253799999999998</v>
      </c>
      <c r="H717" s="13">
        <v>11</v>
      </c>
      <c r="I717" s="13">
        <v>0</v>
      </c>
      <c r="J717" s="13">
        <v>0</v>
      </c>
      <c r="K717" s="10">
        <v>11</v>
      </c>
      <c r="L717" s="2">
        <v>211.79179999999999</v>
      </c>
      <c r="M717" s="1">
        <v>46140.479166666664</v>
      </c>
      <c r="N717" t="s">
        <v>1841</v>
      </c>
    </row>
    <row r="718" spans="1:14" x14ac:dyDescent="0.25">
      <c r="A718" s="9" t="s">
        <v>5211</v>
      </c>
      <c r="B718" s="10">
        <v>714</v>
      </c>
      <c r="C718" s="10" t="s">
        <v>323</v>
      </c>
      <c r="D718" t="s">
        <v>4302</v>
      </c>
      <c r="E718" t="s">
        <v>4303</v>
      </c>
      <c r="F718" s="10" t="s">
        <v>43</v>
      </c>
      <c r="G718" s="2">
        <v>162.67449999999999</v>
      </c>
      <c r="H718" s="13">
        <v>11</v>
      </c>
      <c r="I718" s="13">
        <v>34</v>
      </c>
      <c r="J718" s="13">
        <v>-34</v>
      </c>
      <c r="K718" s="10">
        <v>11</v>
      </c>
      <c r="L718" s="2">
        <v>1789.4195</v>
      </c>
      <c r="M718" s="1">
        <v>46141.759027777778</v>
      </c>
      <c r="N718" t="s">
        <v>1500</v>
      </c>
    </row>
    <row r="719" spans="1:14" x14ac:dyDescent="0.25">
      <c r="A719" s="9" t="s">
        <v>5211</v>
      </c>
      <c r="B719" s="10">
        <v>636</v>
      </c>
      <c r="C719" s="10" t="s">
        <v>323</v>
      </c>
      <c r="D719" t="s">
        <v>348</v>
      </c>
      <c r="E719" t="s">
        <v>349</v>
      </c>
      <c r="F719" s="10" t="s">
        <v>23</v>
      </c>
      <c r="G719" s="2">
        <v>229.8329</v>
      </c>
      <c r="H719" s="13">
        <v>11</v>
      </c>
      <c r="I719" s="13">
        <v>0</v>
      </c>
      <c r="J719" s="13">
        <v>0</v>
      </c>
      <c r="K719" s="10">
        <v>11</v>
      </c>
      <c r="L719" s="2">
        <v>2528.1619000000001</v>
      </c>
      <c r="M719" s="1">
        <v>46142.609027777777</v>
      </c>
      <c r="N719" t="s">
        <v>137</v>
      </c>
    </row>
    <row r="720" spans="1:14" x14ac:dyDescent="0.25">
      <c r="A720" s="9" t="s">
        <v>5211</v>
      </c>
      <c r="B720" s="10">
        <v>634</v>
      </c>
      <c r="C720" s="10" t="s">
        <v>12</v>
      </c>
      <c r="D720" t="s">
        <v>54</v>
      </c>
      <c r="E720" t="s">
        <v>55</v>
      </c>
      <c r="F720" s="10" t="s">
        <v>29</v>
      </c>
      <c r="G720" s="2">
        <v>13.5952</v>
      </c>
      <c r="H720" s="13">
        <v>11</v>
      </c>
      <c r="I720" s="13">
        <v>0</v>
      </c>
      <c r="J720" s="13">
        <v>0</v>
      </c>
      <c r="K720" s="10">
        <v>11</v>
      </c>
      <c r="L720" s="2">
        <v>149.5472</v>
      </c>
      <c r="M720" s="1">
        <v>46161.400694444441</v>
      </c>
      <c r="N720" t="s">
        <v>16</v>
      </c>
    </row>
    <row r="721" spans="1:14" x14ac:dyDescent="0.25">
      <c r="A721" s="9" t="s">
        <v>5211</v>
      </c>
      <c r="B721" s="10">
        <v>636</v>
      </c>
      <c r="C721" s="10" t="s">
        <v>143</v>
      </c>
      <c r="D721" t="s">
        <v>3772</v>
      </c>
      <c r="E721" t="s">
        <v>3773</v>
      </c>
      <c r="F721" s="10" t="s">
        <v>29</v>
      </c>
      <c r="G721" s="2">
        <v>18.658999999999999</v>
      </c>
      <c r="H721" s="13">
        <v>11</v>
      </c>
      <c r="I721" s="13">
        <v>4</v>
      </c>
      <c r="J721" s="13">
        <v>-4</v>
      </c>
      <c r="K721" s="10">
        <v>11</v>
      </c>
      <c r="L721" s="2">
        <v>205.249</v>
      </c>
      <c r="M721" s="1">
        <v>46163.503472222219</v>
      </c>
      <c r="N721" t="s">
        <v>40</v>
      </c>
    </row>
    <row r="722" spans="1:14" x14ac:dyDescent="0.25">
      <c r="A722" s="9" t="s">
        <v>5211</v>
      </c>
      <c r="B722" s="10">
        <v>718</v>
      </c>
      <c r="C722" s="10" t="s">
        <v>323</v>
      </c>
      <c r="D722" t="s">
        <v>3917</v>
      </c>
      <c r="E722" t="s">
        <v>3918</v>
      </c>
      <c r="F722" s="10" t="s">
        <v>23</v>
      </c>
      <c r="G722" s="2">
        <v>82.878900000000002</v>
      </c>
      <c r="H722" s="13">
        <v>11</v>
      </c>
      <c r="I722" s="13">
        <v>0</v>
      </c>
      <c r="J722" s="13">
        <v>0</v>
      </c>
      <c r="K722" s="10">
        <v>11</v>
      </c>
      <c r="L722" s="2">
        <v>911.66790000000003</v>
      </c>
      <c r="M722" s="1">
        <v>46175.657638888886</v>
      </c>
      <c r="N722" t="s">
        <v>3755</v>
      </c>
    </row>
    <row r="723" spans="1:14" x14ac:dyDescent="0.25">
      <c r="A723" s="9" t="s">
        <v>5211</v>
      </c>
      <c r="B723" s="10">
        <v>714</v>
      </c>
      <c r="C723" s="10" t="s">
        <v>70</v>
      </c>
      <c r="D723" t="s">
        <v>1989</v>
      </c>
      <c r="E723" t="s">
        <v>1990</v>
      </c>
      <c r="F723" s="10" t="s">
        <v>39</v>
      </c>
      <c r="G723" s="2">
        <v>7.0179999999999998</v>
      </c>
      <c r="H723" s="13">
        <v>11</v>
      </c>
      <c r="I723" s="13">
        <v>0</v>
      </c>
      <c r="J723" s="13">
        <v>0</v>
      </c>
      <c r="K723" s="10">
        <v>11</v>
      </c>
      <c r="L723" s="2">
        <v>77.197999999999993</v>
      </c>
      <c r="M723" s="1">
        <v>46176.375</v>
      </c>
      <c r="N723" t="s">
        <v>40</v>
      </c>
    </row>
    <row r="724" spans="1:14" x14ac:dyDescent="0.25">
      <c r="A724" s="9" t="s">
        <v>5211</v>
      </c>
      <c r="B724" s="10">
        <v>714</v>
      </c>
      <c r="C724" s="10" t="s">
        <v>70</v>
      </c>
      <c r="D724" t="s">
        <v>4745</v>
      </c>
      <c r="E724" t="s">
        <v>4746</v>
      </c>
      <c r="F724" s="10" t="s">
        <v>39</v>
      </c>
      <c r="G724" s="2">
        <v>7.2853000000000003</v>
      </c>
      <c r="H724" s="13">
        <v>11</v>
      </c>
      <c r="I724" s="13">
        <v>22</v>
      </c>
      <c r="J724" s="13">
        <v>-22</v>
      </c>
      <c r="K724" s="10">
        <v>11</v>
      </c>
      <c r="L724" s="2">
        <v>80.138300000000001</v>
      </c>
      <c r="M724" s="1">
        <v>46176.70416666667</v>
      </c>
      <c r="N724" t="s">
        <v>94</v>
      </c>
    </row>
    <row r="725" spans="1:14" x14ac:dyDescent="0.25">
      <c r="A725" s="9" t="s">
        <v>5211</v>
      </c>
      <c r="B725" s="10">
        <v>714</v>
      </c>
      <c r="C725" s="10" t="s">
        <v>70</v>
      </c>
      <c r="D725" t="s">
        <v>2155</v>
      </c>
      <c r="E725" t="s">
        <v>2156</v>
      </c>
      <c r="F725" s="10" t="s">
        <v>39</v>
      </c>
      <c r="G725" s="2">
        <v>7.2794999999999996</v>
      </c>
      <c r="H725" s="13">
        <v>11</v>
      </c>
      <c r="I725" s="13">
        <v>0</v>
      </c>
      <c r="J725" s="13">
        <v>0</v>
      </c>
      <c r="K725" s="10">
        <v>11</v>
      </c>
      <c r="L725" s="2">
        <v>80.0745</v>
      </c>
      <c r="M725" s="1">
        <v>46176.70416666667</v>
      </c>
      <c r="N725" t="s">
        <v>94</v>
      </c>
    </row>
    <row r="726" spans="1:14" x14ac:dyDescent="0.25">
      <c r="A726" s="9" t="s">
        <v>5211</v>
      </c>
      <c r="B726" s="10">
        <v>634</v>
      </c>
      <c r="C726" s="10" t="s">
        <v>323</v>
      </c>
      <c r="D726" t="s">
        <v>4296</v>
      </c>
      <c r="E726" t="s">
        <v>4297</v>
      </c>
      <c r="F726" s="10" t="s">
        <v>43</v>
      </c>
      <c r="G726" s="2">
        <v>254.6551</v>
      </c>
      <c r="H726" s="13">
        <v>11</v>
      </c>
      <c r="I726" s="13">
        <v>42</v>
      </c>
      <c r="J726" s="13">
        <v>-42</v>
      </c>
      <c r="K726" s="10">
        <v>11</v>
      </c>
      <c r="L726" s="2">
        <v>2801.2060999999999</v>
      </c>
      <c r="M726" s="1">
        <v>46178.479166666664</v>
      </c>
      <c r="N726" t="s">
        <v>146</v>
      </c>
    </row>
    <row r="727" spans="1:14" x14ac:dyDescent="0.25">
      <c r="A727" s="9" t="s">
        <v>5211</v>
      </c>
      <c r="B727" s="10">
        <v>714</v>
      </c>
      <c r="C727" s="10" t="s">
        <v>70</v>
      </c>
      <c r="D727" t="s">
        <v>4739</v>
      </c>
      <c r="E727" t="s">
        <v>4740</v>
      </c>
      <c r="F727" s="10" t="s">
        <v>23</v>
      </c>
      <c r="G727" s="2">
        <v>5.6125999999999996</v>
      </c>
      <c r="H727" s="13">
        <v>11</v>
      </c>
      <c r="I727" s="13">
        <v>58</v>
      </c>
      <c r="J727" s="13">
        <v>-58</v>
      </c>
      <c r="K727" s="10">
        <v>11</v>
      </c>
      <c r="L727" s="2">
        <v>61.738599999999998</v>
      </c>
      <c r="M727" s="1">
        <v>46178.753472222219</v>
      </c>
      <c r="N727" t="s">
        <v>40</v>
      </c>
    </row>
    <row r="728" spans="1:14" x14ac:dyDescent="0.25">
      <c r="A728" s="9" t="s">
        <v>5211</v>
      </c>
      <c r="B728" s="10">
        <v>714</v>
      </c>
      <c r="C728" s="10" t="s">
        <v>143</v>
      </c>
      <c r="D728" t="s">
        <v>4112</v>
      </c>
      <c r="E728" t="s">
        <v>4113</v>
      </c>
      <c r="F728" s="10" t="s">
        <v>43</v>
      </c>
      <c r="G728" s="2">
        <v>78.34</v>
      </c>
      <c r="H728" s="13">
        <v>11</v>
      </c>
      <c r="I728" s="13">
        <v>13</v>
      </c>
      <c r="J728" s="13">
        <v>-13</v>
      </c>
      <c r="K728" s="10">
        <v>11</v>
      </c>
      <c r="L728" s="2">
        <v>861.74</v>
      </c>
      <c r="M728" s="1">
        <v>46183.468055555553</v>
      </c>
      <c r="N728" t="s">
        <v>175</v>
      </c>
    </row>
    <row r="729" spans="1:14" x14ac:dyDescent="0.25">
      <c r="A729" s="9" t="s">
        <v>5211</v>
      </c>
      <c r="B729" s="10">
        <v>714</v>
      </c>
      <c r="C729" s="10" t="s">
        <v>323</v>
      </c>
      <c r="D729" t="s">
        <v>4280</v>
      </c>
      <c r="E729" t="s">
        <v>4281</v>
      </c>
      <c r="F729" s="10" t="s">
        <v>158</v>
      </c>
      <c r="G729" s="2">
        <v>411.69040000000001</v>
      </c>
      <c r="H729" s="13">
        <v>11</v>
      </c>
      <c r="I729" s="13">
        <v>41</v>
      </c>
      <c r="J729" s="13">
        <v>-41</v>
      </c>
      <c r="K729" s="10">
        <v>11</v>
      </c>
      <c r="L729" s="2">
        <v>4528.5944</v>
      </c>
      <c r="M729" s="1">
        <v>46183.614583333336</v>
      </c>
      <c r="N729" t="s">
        <v>402</v>
      </c>
    </row>
    <row r="730" spans="1:14" x14ac:dyDescent="0.25">
      <c r="A730" s="9" t="s">
        <v>5211</v>
      </c>
      <c r="B730" s="10">
        <v>714</v>
      </c>
      <c r="C730" s="10" t="s">
        <v>143</v>
      </c>
      <c r="D730" t="s">
        <v>4068</v>
      </c>
      <c r="E730" t="s">
        <v>4069</v>
      </c>
      <c r="F730" s="10" t="s">
        <v>23</v>
      </c>
      <c r="G730" s="2">
        <v>16.428799999999999</v>
      </c>
      <c r="H730" s="13">
        <v>11</v>
      </c>
      <c r="I730" s="13">
        <v>43</v>
      </c>
      <c r="J730" s="13">
        <v>-43</v>
      </c>
      <c r="K730" s="10">
        <v>11</v>
      </c>
      <c r="L730" s="2">
        <v>180.71680000000001</v>
      </c>
      <c r="M730" s="1">
        <v>46188.356249999997</v>
      </c>
      <c r="N730" t="s">
        <v>509</v>
      </c>
    </row>
    <row r="731" spans="1:14" x14ac:dyDescent="0.25">
      <c r="A731" s="9" t="s">
        <v>5211</v>
      </c>
      <c r="B731" s="10">
        <v>636</v>
      </c>
      <c r="C731" s="10" t="s">
        <v>143</v>
      </c>
      <c r="D731" t="s">
        <v>932</v>
      </c>
      <c r="E731" t="s">
        <v>933</v>
      </c>
      <c r="F731" s="10" t="s">
        <v>23</v>
      </c>
      <c r="G731" s="2">
        <v>23.826499999999999</v>
      </c>
      <c r="H731" s="13">
        <v>11</v>
      </c>
      <c r="I731" s="13">
        <v>0</v>
      </c>
      <c r="J731" s="13">
        <v>0</v>
      </c>
      <c r="K731" s="10">
        <v>11</v>
      </c>
      <c r="L731" s="2">
        <v>262.0915</v>
      </c>
      <c r="M731" s="1">
        <v>46188.603472222225</v>
      </c>
      <c r="N731" t="s">
        <v>261</v>
      </c>
    </row>
    <row r="732" spans="1:14" x14ac:dyDescent="0.25">
      <c r="A732" s="9" t="s">
        <v>5211</v>
      </c>
      <c r="B732" s="10">
        <v>714</v>
      </c>
      <c r="C732" s="10" t="s">
        <v>143</v>
      </c>
      <c r="D732" t="s">
        <v>4190</v>
      </c>
      <c r="E732" t="s">
        <v>4191</v>
      </c>
      <c r="F732" s="10" t="s">
        <v>39</v>
      </c>
      <c r="G732" s="2">
        <v>15.2837</v>
      </c>
      <c r="H732" s="13">
        <v>11</v>
      </c>
      <c r="I732" s="13">
        <v>37</v>
      </c>
      <c r="J732" s="13">
        <v>-37</v>
      </c>
      <c r="K732" s="10">
        <v>11</v>
      </c>
      <c r="L732" s="2">
        <v>168.1207</v>
      </c>
      <c r="M732" s="1">
        <v>46193.431250000001</v>
      </c>
      <c r="N732" t="s">
        <v>26</v>
      </c>
    </row>
    <row r="733" spans="1:14" x14ac:dyDescent="0.25">
      <c r="A733" s="9" t="s">
        <v>5211</v>
      </c>
      <c r="B733" s="10">
        <v>718</v>
      </c>
      <c r="C733" s="10" t="s">
        <v>70</v>
      </c>
      <c r="D733" t="s">
        <v>3637</v>
      </c>
      <c r="E733" t="s">
        <v>3638</v>
      </c>
      <c r="F733" s="10" t="s">
        <v>112</v>
      </c>
      <c r="G733" s="2">
        <v>6.3160999999999996</v>
      </c>
      <c r="H733" s="13">
        <v>11</v>
      </c>
      <c r="I733" s="13">
        <v>0</v>
      </c>
      <c r="J733" s="13">
        <v>0</v>
      </c>
      <c r="K733" s="10">
        <v>11</v>
      </c>
      <c r="L733" s="2">
        <v>69.477099999999993</v>
      </c>
      <c r="M733" s="1">
        <v>46193.592361111114</v>
      </c>
      <c r="N733" t="s">
        <v>26</v>
      </c>
    </row>
    <row r="734" spans="1:14" x14ac:dyDescent="0.25">
      <c r="A734" s="9" t="s">
        <v>5211</v>
      </c>
      <c r="B734" s="10">
        <v>718</v>
      </c>
      <c r="C734" s="10" t="s">
        <v>323</v>
      </c>
      <c r="D734" t="s">
        <v>4953</v>
      </c>
      <c r="E734" t="s">
        <v>4954</v>
      </c>
      <c r="F734" s="10" t="s">
        <v>158</v>
      </c>
      <c r="G734" s="2">
        <v>199.5198</v>
      </c>
      <c r="H734" s="13">
        <v>11</v>
      </c>
      <c r="I734" s="13">
        <v>14</v>
      </c>
      <c r="J734" s="13">
        <v>-14</v>
      </c>
      <c r="K734" s="10">
        <v>11</v>
      </c>
      <c r="L734" s="2">
        <v>2194.7177999999999</v>
      </c>
      <c r="M734" s="1">
        <v>46196.34375</v>
      </c>
      <c r="N734" t="s">
        <v>2225</v>
      </c>
    </row>
    <row r="735" spans="1:14" x14ac:dyDescent="0.25">
      <c r="A735" s="9" t="s">
        <v>5211</v>
      </c>
      <c r="B735" s="10">
        <v>634</v>
      </c>
      <c r="C735" s="10" t="s">
        <v>143</v>
      </c>
      <c r="D735" t="s">
        <v>1184</v>
      </c>
      <c r="E735" t="s">
        <v>1185</v>
      </c>
      <c r="F735" s="10" t="s">
        <v>112</v>
      </c>
      <c r="G735" s="2">
        <v>37.1571</v>
      </c>
      <c r="H735" s="13">
        <v>11</v>
      </c>
      <c r="I735" s="13">
        <v>4</v>
      </c>
      <c r="J735" s="13">
        <v>-4</v>
      </c>
      <c r="K735" s="10">
        <v>11</v>
      </c>
      <c r="L735" s="2">
        <v>408.72809999999998</v>
      </c>
      <c r="M735" s="1">
        <v>46198.595138888886</v>
      </c>
      <c r="N735" t="s">
        <v>40</v>
      </c>
    </row>
    <row r="736" spans="1:14" x14ac:dyDescent="0.25">
      <c r="A736" s="9" t="s">
        <v>5211</v>
      </c>
      <c r="B736" s="10">
        <v>714</v>
      </c>
      <c r="C736" s="10" t="s">
        <v>70</v>
      </c>
      <c r="D736" t="s">
        <v>3633</v>
      </c>
      <c r="E736" t="s">
        <v>3634</v>
      </c>
      <c r="F736" s="10" t="s">
        <v>112</v>
      </c>
      <c r="G736" s="2">
        <v>7.4313000000000002</v>
      </c>
      <c r="H736" s="13">
        <v>11</v>
      </c>
      <c r="I736" s="13">
        <v>6</v>
      </c>
      <c r="J736" s="13">
        <v>-6</v>
      </c>
      <c r="K736" s="10">
        <v>11</v>
      </c>
      <c r="L736" s="2">
        <v>81.744299999999996</v>
      </c>
      <c r="M736" s="1">
        <v>46199.499305555553</v>
      </c>
      <c r="N736" t="s">
        <v>16</v>
      </c>
    </row>
    <row r="737" spans="1:14" x14ac:dyDescent="0.25">
      <c r="A737" s="9" t="s">
        <v>5211</v>
      </c>
      <c r="B737" s="10">
        <v>718</v>
      </c>
      <c r="C737" s="10" t="s">
        <v>143</v>
      </c>
      <c r="D737" t="s">
        <v>245</v>
      </c>
      <c r="E737" t="s">
        <v>246</v>
      </c>
      <c r="F737" s="10" t="s">
        <v>43</v>
      </c>
      <c r="G737" s="2">
        <v>54.625999999999998</v>
      </c>
      <c r="H737" s="13">
        <v>11</v>
      </c>
      <c r="I737" s="13">
        <v>0</v>
      </c>
      <c r="J737" s="13">
        <v>0</v>
      </c>
      <c r="K737" s="10">
        <v>11</v>
      </c>
      <c r="L737" s="2">
        <v>600.88599999999997</v>
      </c>
      <c r="M737" s="1">
        <v>46199.635416666664</v>
      </c>
      <c r="N737" t="s">
        <v>26</v>
      </c>
    </row>
    <row r="738" spans="1:14" x14ac:dyDescent="0.25">
      <c r="A738" s="9" t="s">
        <v>5211</v>
      </c>
      <c r="B738" s="10">
        <v>714</v>
      </c>
      <c r="C738" s="10" t="s">
        <v>323</v>
      </c>
      <c r="D738" t="s">
        <v>5073</v>
      </c>
      <c r="E738" t="s">
        <v>5074</v>
      </c>
      <c r="F738" s="10" t="s">
        <v>43</v>
      </c>
      <c r="G738" s="2">
        <v>9.0521999999999991</v>
      </c>
      <c r="H738" s="13">
        <v>11</v>
      </c>
      <c r="I738" s="13">
        <v>52</v>
      </c>
      <c r="J738" s="13">
        <v>-52</v>
      </c>
      <c r="K738" s="10">
        <v>11</v>
      </c>
      <c r="L738" s="2">
        <v>99.574200000000005</v>
      </c>
      <c r="M738" s="1">
        <v>46204.573611111111</v>
      </c>
      <c r="N738" t="s">
        <v>2225</v>
      </c>
    </row>
    <row r="739" spans="1:14" x14ac:dyDescent="0.25">
      <c r="A739" s="9" t="s">
        <v>5211</v>
      </c>
      <c r="B739" s="10">
        <v>634</v>
      </c>
      <c r="C739" s="10" t="s">
        <v>143</v>
      </c>
      <c r="D739" t="s">
        <v>4190</v>
      </c>
      <c r="E739" t="s">
        <v>4191</v>
      </c>
      <c r="F739" s="10" t="s">
        <v>112</v>
      </c>
      <c r="G739" s="2">
        <v>16.929500000000001</v>
      </c>
      <c r="H739" s="13">
        <v>11</v>
      </c>
      <c r="I739" s="13">
        <v>37</v>
      </c>
      <c r="J739" s="13">
        <v>-37</v>
      </c>
      <c r="K739" s="10">
        <v>11</v>
      </c>
      <c r="L739" s="2">
        <v>186.22450000000001</v>
      </c>
      <c r="M739" s="1">
        <v>46209.361111111109</v>
      </c>
      <c r="N739" t="s">
        <v>26</v>
      </c>
    </row>
    <row r="740" spans="1:14" x14ac:dyDescent="0.25">
      <c r="A740" s="9" t="s">
        <v>5211</v>
      </c>
      <c r="B740" s="10">
        <v>636</v>
      </c>
      <c r="C740" s="10" t="s">
        <v>143</v>
      </c>
      <c r="D740" t="s">
        <v>4084</v>
      </c>
      <c r="E740" t="s">
        <v>4085</v>
      </c>
      <c r="F740" s="10" t="s">
        <v>23</v>
      </c>
      <c r="G740" s="2">
        <v>52.116799999999998</v>
      </c>
      <c r="H740" s="13">
        <v>11</v>
      </c>
      <c r="I740" s="13">
        <v>0</v>
      </c>
      <c r="J740" s="13">
        <v>0</v>
      </c>
      <c r="K740" s="10">
        <v>11</v>
      </c>
      <c r="L740" s="2">
        <v>573.28480000000002</v>
      </c>
      <c r="M740" s="1">
        <v>46210.334722222222</v>
      </c>
      <c r="N740" t="s">
        <v>195</v>
      </c>
    </row>
    <row r="741" spans="1:14" x14ac:dyDescent="0.25">
      <c r="A741" s="9" t="s">
        <v>5211</v>
      </c>
      <c r="B741" s="10">
        <v>714</v>
      </c>
      <c r="C741" s="10" t="s">
        <v>70</v>
      </c>
      <c r="D741" t="s">
        <v>2099</v>
      </c>
      <c r="E741" t="s">
        <v>2100</v>
      </c>
      <c r="F741" s="10" t="s">
        <v>39</v>
      </c>
      <c r="G741" s="2">
        <v>8.9829000000000008</v>
      </c>
      <c r="H741" s="13">
        <v>11</v>
      </c>
      <c r="I741" s="13">
        <v>0</v>
      </c>
      <c r="J741" s="13">
        <v>0</v>
      </c>
      <c r="K741" s="10">
        <v>11</v>
      </c>
      <c r="L741" s="2">
        <v>98.811899999999994</v>
      </c>
      <c r="M741" s="1">
        <v>46213.455555555556</v>
      </c>
      <c r="N741" t="s">
        <v>573</v>
      </c>
    </row>
    <row r="742" spans="1:14" x14ac:dyDescent="0.25">
      <c r="A742" s="9" t="s">
        <v>5211</v>
      </c>
      <c r="B742" s="10">
        <v>634</v>
      </c>
      <c r="C742" s="10" t="s">
        <v>70</v>
      </c>
      <c r="D742" t="s">
        <v>4020</v>
      </c>
      <c r="E742" t="s">
        <v>4021</v>
      </c>
      <c r="F742" s="10" t="s">
        <v>39</v>
      </c>
      <c r="G742" s="2">
        <v>6.9009999999999998</v>
      </c>
      <c r="H742" s="13">
        <v>11</v>
      </c>
      <c r="I742" s="13">
        <v>14</v>
      </c>
      <c r="J742" s="13">
        <v>-14</v>
      </c>
      <c r="K742" s="10">
        <v>11</v>
      </c>
      <c r="L742" s="2">
        <v>75.911000000000001</v>
      </c>
      <c r="M742" s="1">
        <v>46217.376388888886</v>
      </c>
      <c r="N742" t="s">
        <v>94</v>
      </c>
    </row>
    <row r="743" spans="1:14" x14ac:dyDescent="0.25">
      <c r="A743" s="9" t="s">
        <v>5211</v>
      </c>
      <c r="B743" s="10">
        <v>714</v>
      </c>
      <c r="C743" s="10" t="s">
        <v>323</v>
      </c>
      <c r="D743" t="s">
        <v>3089</v>
      </c>
      <c r="E743" t="s">
        <v>3090</v>
      </c>
      <c r="F743" s="10" t="s">
        <v>23</v>
      </c>
      <c r="G743" s="2">
        <v>75.545000000000002</v>
      </c>
      <c r="H743" s="13">
        <v>11</v>
      </c>
      <c r="I743" s="13">
        <v>0</v>
      </c>
      <c r="J743" s="13">
        <v>0</v>
      </c>
      <c r="K743" s="10">
        <v>11</v>
      </c>
      <c r="L743" s="2">
        <v>830.995</v>
      </c>
      <c r="M743" s="1">
        <v>46220.577777777777</v>
      </c>
      <c r="N743" t="s">
        <v>366</v>
      </c>
    </row>
    <row r="744" spans="1:14" x14ac:dyDescent="0.25">
      <c r="A744" s="9" t="s">
        <v>5211</v>
      </c>
      <c r="B744" s="10">
        <v>636</v>
      </c>
      <c r="C744" s="10" t="s">
        <v>143</v>
      </c>
      <c r="D744" t="s">
        <v>1118</v>
      </c>
      <c r="E744" t="s">
        <v>1119</v>
      </c>
      <c r="F744" s="10" t="s">
        <v>158</v>
      </c>
      <c r="G744" s="2">
        <v>108.43940000000001</v>
      </c>
      <c r="H744" s="13">
        <v>11</v>
      </c>
      <c r="I744" s="13">
        <v>0</v>
      </c>
      <c r="J744" s="13">
        <v>0</v>
      </c>
      <c r="K744" s="10">
        <v>11</v>
      </c>
      <c r="L744" s="2">
        <v>1192.8334</v>
      </c>
      <c r="M744" s="1">
        <v>46225.496527777781</v>
      </c>
      <c r="N744" t="s">
        <v>195</v>
      </c>
    </row>
    <row r="745" spans="1:14" x14ac:dyDescent="0.25">
      <c r="A745" s="9" t="s">
        <v>5211</v>
      </c>
      <c r="B745" s="10">
        <v>714</v>
      </c>
      <c r="C745" s="10" t="s">
        <v>323</v>
      </c>
      <c r="D745" t="s">
        <v>4365</v>
      </c>
      <c r="E745" t="s">
        <v>4366</v>
      </c>
      <c r="F745" s="10" t="s">
        <v>158</v>
      </c>
      <c r="G745" s="2">
        <v>181.8879</v>
      </c>
      <c r="H745" s="13">
        <v>11</v>
      </c>
      <c r="I745" s="13">
        <v>15</v>
      </c>
      <c r="J745" s="13">
        <v>-15</v>
      </c>
      <c r="K745" s="10">
        <v>11</v>
      </c>
      <c r="L745" s="2">
        <v>2000.7669000000001</v>
      </c>
      <c r="M745" s="1">
        <v>46226.429166666669</v>
      </c>
      <c r="N745" t="s">
        <v>371</v>
      </c>
    </row>
    <row r="746" spans="1:14" x14ac:dyDescent="0.25">
      <c r="A746" s="9" t="s">
        <v>5211</v>
      </c>
      <c r="B746" s="10">
        <v>718</v>
      </c>
      <c r="C746" s="10" t="s">
        <v>70</v>
      </c>
      <c r="D746" t="s">
        <v>2159</v>
      </c>
      <c r="E746" t="s">
        <v>2160</v>
      </c>
      <c r="F746" s="10" t="s">
        <v>39</v>
      </c>
      <c r="G746" s="2">
        <v>6.9968000000000004</v>
      </c>
      <c r="H746" s="13">
        <v>11</v>
      </c>
      <c r="I746" s="13">
        <v>0</v>
      </c>
      <c r="J746" s="13">
        <v>0</v>
      </c>
      <c r="K746" s="10">
        <v>11</v>
      </c>
      <c r="L746" s="2">
        <v>76.964799999999997</v>
      </c>
      <c r="M746" s="1">
        <v>46232.6</v>
      </c>
      <c r="N746" t="s">
        <v>573</v>
      </c>
    </row>
    <row r="747" spans="1:14" x14ac:dyDescent="0.25">
      <c r="A747" s="9" t="s">
        <v>5211</v>
      </c>
      <c r="B747" s="10">
        <v>718</v>
      </c>
      <c r="C747" s="10" t="s">
        <v>70</v>
      </c>
      <c r="D747" t="s">
        <v>2099</v>
      </c>
      <c r="E747" t="s">
        <v>2100</v>
      </c>
      <c r="F747" s="10" t="s">
        <v>29</v>
      </c>
      <c r="G747" s="2">
        <v>8.3377999999999997</v>
      </c>
      <c r="H747" s="13">
        <v>11</v>
      </c>
      <c r="I747" s="13">
        <v>0</v>
      </c>
      <c r="J747" s="13">
        <v>0</v>
      </c>
      <c r="K747" s="10">
        <v>11</v>
      </c>
      <c r="L747" s="2">
        <v>91.715800000000002</v>
      </c>
      <c r="M747" s="1">
        <v>46232.6</v>
      </c>
      <c r="N747" t="s">
        <v>573</v>
      </c>
    </row>
    <row r="748" spans="1:14" x14ac:dyDescent="0.25">
      <c r="A748" s="9" t="s">
        <v>5211</v>
      </c>
      <c r="B748" s="10">
        <v>718</v>
      </c>
      <c r="C748" s="10" t="s">
        <v>70</v>
      </c>
      <c r="D748" t="s">
        <v>4036</v>
      </c>
      <c r="E748" t="s">
        <v>4037</v>
      </c>
      <c r="F748" s="10" t="s">
        <v>112</v>
      </c>
      <c r="G748" s="2">
        <v>5.4142999999999999</v>
      </c>
      <c r="H748" s="13">
        <v>11</v>
      </c>
      <c r="I748" s="13">
        <v>14</v>
      </c>
      <c r="J748" s="13">
        <v>-14</v>
      </c>
      <c r="K748" s="10">
        <v>11</v>
      </c>
      <c r="L748" s="2">
        <v>59.557299999999998</v>
      </c>
      <c r="M748" s="1">
        <v>46234.60833333333</v>
      </c>
      <c r="N748" t="s">
        <v>26</v>
      </c>
    </row>
    <row r="749" spans="1:14" x14ac:dyDescent="0.25">
      <c r="A749" s="9" t="s">
        <v>5211</v>
      </c>
      <c r="B749" s="10">
        <v>714</v>
      </c>
      <c r="C749" s="10" t="s">
        <v>70</v>
      </c>
      <c r="D749" t="s">
        <v>1971</v>
      </c>
      <c r="E749" t="s">
        <v>1972</v>
      </c>
      <c r="F749" s="10" t="s">
        <v>39</v>
      </c>
      <c r="G749" s="2">
        <v>7.3026</v>
      </c>
      <c r="H749" s="13">
        <v>11</v>
      </c>
      <c r="I749" s="13">
        <v>0</v>
      </c>
      <c r="J749" s="13">
        <v>0</v>
      </c>
      <c r="K749" s="10">
        <v>11</v>
      </c>
      <c r="L749" s="2">
        <v>80.328599999999994</v>
      </c>
      <c r="M749" s="1">
        <v>46234.623611111114</v>
      </c>
      <c r="N749" t="s">
        <v>16</v>
      </c>
    </row>
    <row r="750" spans="1:14" x14ac:dyDescent="0.25">
      <c r="A750" s="9" t="s">
        <v>5211</v>
      </c>
      <c r="B750" s="10">
        <v>634</v>
      </c>
      <c r="C750" s="10" t="s">
        <v>143</v>
      </c>
      <c r="D750" t="s">
        <v>4100</v>
      </c>
      <c r="E750" t="s">
        <v>4101</v>
      </c>
      <c r="F750" s="10" t="s">
        <v>43</v>
      </c>
      <c r="G750" s="2">
        <v>129.30969999999999</v>
      </c>
      <c r="H750" s="13">
        <v>11</v>
      </c>
      <c r="I750" s="13">
        <v>20</v>
      </c>
      <c r="J750" s="13">
        <v>-20</v>
      </c>
      <c r="K750" s="10">
        <v>11</v>
      </c>
      <c r="L750" s="2">
        <v>1422.4067</v>
      </c>
      <c r="M750" s="1">
        <v>46239.402777777781</v>
      </c>
      <c r="N750" t="s">
        <v>175</v>
      </c>
    </row>
    <row r="751" spans="1:14" x14ac:dyDescent="0.25">
      <c r="A751" s="9" t="s">
        <v>5211</v>
      </c>
      <c r="B751" s="10">
        <v>714</v>
      </c>
      <c r="C751" s="10" t="s">
        <v>143</v>
      </c>
      <c r="D751" t="s">
        <v>920</v>
      </c>
      <c r="E751" t="s">
        <v>921</v>
      </c>
      <c r="F751" s="10" t="s">
        <v>112</v>
      </c>
      <c r="G751" s="2">
        <v>31.9434</v>
      </c>
      <c r="H751" s="13">
        <v>11</v>
      </c>
      <c r="I751" s="13">
        <v>12</v>
      </c>
      <c r="J751" s="13">
        <v>-12</v>
      </c>
      <c r="K751" s="10">
        <v>11</v>
      </c>
      <c r="L751" s="2">
        <v>351.37740000000002</v>
      </c>
      <c r="M751" s="1">
        <v>46239.595833333333</v>
      </c>
      <c r="N751" t="s">
        <v>40</v>
      </c>
    </row>
    <row r="752" spans="1:14" x14ac:dyDescent="0.25">
      <c r="A752" s="9" t="s">
        <v>5211</v>
      </c>
      <c r="B752" s="10">
        <v>718</v>
      </c>
      <c r="C752" s="10" t="s">
        <v>143</v>
      </c>
      <c r="D752" t="s">
        <v>4911</v>
      </c>
      <c r="E752" t="s">
        <v>4912</v>
      </c>
      <c r="F752" s="10" t="s">
        <v>112</v>
      </c>
      <c r="G752" s="2">
        <v>15.545500000000001</v>
      </c>
      <c r="H752" s="13">
        <v>11</v>
      </c>
      <c r="I752" s="13">
        <v>22</v>
      </c>
      <c r="J752" s="13">
        <v>-22</v>
      </c>
      <c r="K752" s="10">
        <v>11</v>
      </c>
      <c r="L752" s="2">
        <v>171.00049999999999</v>
      </c>
      <c r="M752" s="1">
        <v>46240.421527777777</v>
      </c>
      <c r="N752" t="s">
        <v>175</v>
      </c>
    </row>
    <row r="753" spans="1:14" x14ac:dyDescent="0.25">
      <c r="A753" s="9" t="s">
        <v>5211</v>
      </c>
      <c r="B753" s="10">
        <v>714</v>
      </c>
      <c r="C753" s="10" t="s">
        <v>12</v>
      </c>
      <c r="D753" t="s">
        <v>1937</v>
      </c>
      <c r="E753" t="s">
        <v>1938</v>
      </c>
      <c r="F753" s="10" t="s">
        <v>29</v>
      </c>
      <c r="G753" s="2">
        <v>20.95</v>
      </c>
      <c r="H753" s="13">
        <v>11</v>
      </c>
      <c r="I753" s="13">
        <v>0</v>
      </c>
      <c r="J753" s="13">
        <v>0</v>
      </c>
      <c r="K753" s="10">
        <v>11</v>
      </c>
      <c r="L753" s="2">
        <v>230.45</v>
      </c>
      <c r="M753" s="1">
        <v>46244.670138888891</v>
      </c>
      <c r="N753" t="s">
        <v>1836</v>
      </c>
    </row>
    <row r="754" spans="1:14" x14ac:dyDescent="0.25">
      <c r="A754" s="9" t="s">
        <v>5211</v>
      </c>
      <c r="B754" s="10">
        <v>636</v>
      </c>
      <c r="C754" s="10" t="s">
        <v>323</v>
      </c>
      <c r="D754" t="s">
        <v>4302</v>
      </c>
      <c r="E754" t="s">
        <v>4303</v>
      </c>
      <c r="F754" s="10" t="s">
        <v>43</v>
      </c>
      <c r="G754" s="2">
        <v>200.61940000000001</v>
      </c>
      <c r="H754" s="13">
        <v>11</v>
      </c>
      <c r="I754" s="13">
        <v>34</v>
      </c>
      <c r="J754" s="13">
        <v>-34</v>
      </c>
      <c r="K754" s="10">
        <v>11</v>
      </c>
      <c r="L754" s="2">
        <v>2206.8134</v>
      </c>
      <c r="M754" s="1">
        <v>46248.600694444445</v>
      </c>
      <c r="N754" t="s">
        <v>151</v>
      </c>
    </row>
    <row r="755" spans="1:14" x14ac:dyDescent="0.25">
      <c r="A755" s="9" t="s">
        <v>5211</v>
      </c>
      <c r="B755" s="10">
        <v>714</v>
      </c>
      <c r="C755" s="10" t="s">
        <v>70</v>
      </c>
      <c r="D755" t="s">
        <v>2163</v>
      </c>
      <c r="E755" t="s">
        <v>2164</v>
      </c>
      <c r="F755" s="10" t="s">
        <v>29</v>
      </c>
      <c r="G755" s="2">
        <v>6.5632999999999999</v>
      </c>
      <c r="H755" s="13">
        <v>10</v>
      </c>
      <c r="I755" s="13">
        <v>0</v>
      </c>
      <c r="J755" s="13">
        <v>0</v>
      </c>
      <c r="K755" s="10">
        <v>10</v>
      </c>
      <c r="L755" s="2">
        <v>65.632999999999996</v>
      </c>
      <c r="M755" s="1">
        <v>45413.527777777781</v>
      </c>
      <c r="N755" t="s">
        <v>94</v>
      </c>
    </row>
    <row r="756" spans="1:14" x14ac:dyDescent="0.25">
      <c r="A756" s="9" t="s">
        <v>5211</v>
      </c>
      <c r="B756" s="10">
        <v>714</v>
      </c>
      <c r="C756" s="10" t="s">
        <v>323</v>
      </c>
      <c r="D756" t="s">
        <v>3319</v>
      </c>
      <c r="E756" t="s">
        <v>3320</v>
      </c>
      <c r="F756" s="10" t="s">
        <v>1047</v>
      </c>
      <c r="G756" s="2">
        <v>132.0256</v>
      </c>
      <c r="H756" s="13">
        <v>10</v>
      </c>
      <c r="I756" s="13">
        <v>0</v>
      </c>
      <c r="J756" s="13">
        <v>0</v>
      </c>
      <c r="K756" s="10">
        <v>10</v>
      </c>
      <c r="L756" s="2">
        <v>1320.2560000000001</v>
      </c>
      <c r="M756" s="1">
        <v>45735.563888888886</v>
      </c>
      <c r="N756" t="s">
        <v>1234</v>
      </c>
    </row>
    <row r="757" spans="1:14" x14ac:dyDescent="0.25">
      <c r="A757" s="9" t="s">
        <v>5211</v>
      </c>
      <c r="B757" s="10">
        <v>714</v>
      </c>
      <c r="C757" s="10" t="s">
        <v>323</v>
      </c>
      <c r="D757" t="s">
        <v>3255</v>
      </c>
      <c r="E757" t="s">
        <v>3256</v>
      </c>
      <c r="F757" s="10" t="s">
        <v>35</v>
      </c>
      <c r="G757" s="2">
        <v>116.25</v>
      </c>
      <c r="H757" s="13">
        <v>10</v>
      </c>
      <c r="I757" s="13">
        <v>0</v>
      </c>
      <c r="J757" s="13">
        <v>0</v>
      </c>
      <c r="K757" s="10">
        <v>10</v>
      </c>
      <c r="L757" s="2">
        <v>1162.5</v>
      </c>
      <c r="M757" s="1">
        <v>45759.335416666669</v>
      </c>
      <c r="N757" t="s">
        <v>2719</v>
      </c>
    </row>
    <row r="758" spans="1:14" x14ac:dyDescent="0.25">
      <c r="A758" s="9" t="s">
        <v>5211</v>
      </c>
      <c r="B758" s="10">
        <v>634</v>
      </c>
      <c r="C758" s="10" t="s">
        <v>70</v>
      </c>
      <c r="D758" t="s">
        <v>90</v>
      </c>
      <c r="E758" t="s">
        <v>91</v>
      </c>
      <c r="F758" s="10" t="s">
        <v>15</v>
      </c>
      <c r="G758" s="2">
        <v>7.4907000000000004</v>
      </c>
      <c r="H758" s="13">
        <v>10</v>
      </c>
      <c r="I758" s="13">
        <v>-20</v>
      </c>
      <c r="J758" s="13">
        <v>20</v>
      </c>
      <c r="K758" s="10">
        <v>10</v>
      </c>
      <c r="L758" s="2">
        <v>74.906999999999996</v>
      </c>
      <c r="M758" s="1">
        <v>45762.431944444441</v>
      </c>
      <c r="N758" t="s">
        <v>16</v>
      </c>
    </row>
    <row r="759" spans="1:14" x14ac:dyDescent="0.25">
      <c r="A759" s="9" t="s">
        <v>5211</v>
      </c>
      <c r="B759" s="10">
        <v>718</v>
      </c>
      <c r="C759" s="10" t="s">
        <v>323</v>
      </c>
      <c r="D759" t="s">
        <v>3881</v>
      </c>
      <c r="E759" t="s">
        <v>3882</v>
      </c>
      <c r="F759" s="10" t="s">
        <v>29</v>
      </c>
      <c r="G759" s="2">
        <v>260.26229999999998</v>
      </c>
      <c r="H759" s="13">
        <v>10</v>
      </c>
      <c r="I759" s="13">
        <v>0</v>
      </c>
      <c r="J759" s="13">
        <v>0</v>
      </c>
      <c r="K759" s="10">
        <v>10</v>
      </c>
      <c r="L759" s="2">
        <v>2602.623</v>
      </c>
      <c r="M759" s="1">
        <v>45765.479861111111</v>
      </c>
      <c r="N759" t="s">
        <v>151</v>
      </c>
    </row>
    <row r="760" spans="1:14" x14ac:dyDescent="0.25">
      <c r="A760" s="9" t="s">
        <v>5211</v>
      </c>
      <c r="B760" s="10">
        <v>714</v>
      </c>
      <c r="C760" s="10" t="s">
        <v>143</v>
      </c>
      <c r="D760" t="s">
        <v>2453</v>
      </c>
      <c r="E760" t="s">
        <v>2454</v>
      </c>
      <c r="F760" s="10" t="s">
        <v>29</v>
      </c>
      <c r="G760" s="2">
        <v>90.746399999999994</v>
      </c>
      <c r="H760" s="13">
        <v>10</v>
      </c>
      <c r="I760" s="13">
        <v>0</v>
      </c>
      <c r="J760" s="13">
        <v>0</v>
      </c>
      <c r="K760" s="10">
        <v>10</v>
      </c>
      <c r="L760" s="2">
        <v>907.46400000000006</v>
      </c>
      <c r="M760" s="1">
        <v>45775.37777777778</v>
      </c>
      <c r="N760" t="s">
        <v>903</v>
      </c>
    </row>
    <row r="761" spans="1:14" x14ac:dyDescent="0.25">
      <c r="A761" s="9" t="s">
        <v>5211</v>
      </c>
      <c r="B761" s="10">
        <v>714</v>
      </c>
      <c r="C761" s="10" t="s">
        <v>143</v>
      </c>
      <c r="D761" t="s">
        <v>2332</v>
      </c>
      <c r="E761" s="6" t="s">
        <v>2333</v>
      </c>
      <c r="F761" s="11" t="s">
        <v>58</v>
      </c>
      <c r="G761" s="2">
        <v>10.5566</v>
      </c>
      <c r="H761" s="13">
        <v>10</v>
      </c>
      <c r="I761" s="13">
        <v>0</v>
      </c>
      <c r="J761" s="13">
        <v>0</v>
      </c>
      <c r="K761" s="10">
        <v>10</v>
      </c>
      <c r="L761" s="2">
        <v>105.566</v>
      </c>
      <c r="M761" s="1">
        <v>45821.42291666667</v>
      </c>
      <c r="N761" t="s">
        <v>26</v>
      </c>
    </row>
    <row r="762" spans="1:14" x14ac:dyDescent="0.25">
      <c r="A762" s="9" t="s">
        <v>5211</v>
      </c>
      <c r="B762" s="10">
        <v>634</v>
      </c>
      <c r="C762" s="10" t="s">
        <v>70</v>
      </c>
      <c r="D762" t="s">
        <v>75</v>
      </c>
      <c r="E762" t="s">
        <v>76</v>
      </c>
      <c r="F762" s="10" t="s">
        <v>29</v>
      </c>
      <c r="G762" s="2">
        <v>6.5984999999999996</v>
      </c>
      <c r="H762" s="13">
        <v>10</v>
      </c>
      <c r="I762" s="13">
        <v>0</v>
      </c>
      <c r="J762" s="13">
        <v>0</v>
      </c>
      <c r="K762" s="10">
        <v>10</v>
      </c>
      <c r="L762" s="2">
        <v>65.984999999999999</v>
      </c>
      <c r="M762" s="1">
        <v>45860.554861111108</v>
      </c>
      <c r="N762" t="s">
        <v>40</v>
      </c>
    </row>
    <row r="763" spans="1:14" x14ac:dyDescent="0.25">
      <c r="A763" s="9" t="s">
        <v>5211</v>
      </c>
      <c r="B763" s="10">
        <v>714</v>
      </c>
      <c r="C763" s="10" t="s">
        <v>143</v>
      </c>
      <c r="D763" t="s">
        <v>4240</v>
      </c>
      <c r="E763" t="s">
        <v>4241</v>
      </c>
      <c r="F763" s="10" t="s">
        <v>23</v>
      </c>
      <c r="G763" s="2">
        <v>30.630299999999998</v>
      </c>
      <c r="H763" s="13">
        <v>10</v>
      </c>
      <c r="I763" s="13">
        <v>2</v>
      </c>
      <c r="J763" s="13">
        <v>-2</v>
      </c>
      <c r="K763" s="10">
        <v>10</v>
      </c>
      <c r="L763" s="2">
        <v>306.303</v>
      </c>
      <c r="M763" s="1">
        <v>45875.683333333334</v>
      </c>
      <c r="N763" t="s">
        <v>26</v>
      </c>
    </row>
    <row r="764" spans="1:14" x14ac:dyDescent="0.25">
      <c r="A764" s="9" t="s">
        <v>5211</v>
      </c>
      <c r="B764" s="10">
        <v>714</v>
      </c>
      <c r="C764" s="10" t="s">
        <v>126</v>
      </c>
      <c r="D764" t="s">
        <v>2194</v>
      </c>
      <c r="E764" t="s">
        <v>2195</v>
      </c>
      <c r="F764" s="10" t="s">
        <v>29</v>
      </c>
      <c r="G764" s="2">
        <v>79.7012</v>
      </c>
      <c r="H764" s="13">
        <v>10</v>
      </c>
      <c r="I764" s="13">
        <v>0</v>
      </c>
      <c r="J764" s="13">
        <v>0</v>
      </c>
      <c r="K764" s="10">
        <v>10</v>
      </c>
      <c r="L764" s="2">
        <v>797.01199999999994</v>
      </c>
      <c r="M764" s="1">
        <v>45938.415972222225</v>
      </c>
      <c r="N764" t="s">
        <v>2196</v>
      </c>
    </row>
    <row r="765" spans="1:14" x14ac:dyDescent="0.25">
      <c r="A765" s="9" t="s">
        <v>5211</v>
      </c>
      <c r="B765" s="10">
        <v>714</v>
      </c>
      <c r="C765" s="10" t="s">
        <v>70</v>
      </c>
      <c r="D765" t="s">
        <v>4014</v>
      </c>
      <c r="E765" t="s">
        <v>4015</v>
      </c>
      <c r="F765" s="10" t="s">
        <v>29</v>
      </c>
      <c r="G765" s="2">
        <v>5.5468999999999999</v>
      </c>
      <c r="H765" s="13">
        <v>10</v>
      </c>
      <c r="I765" s="13">
        <v>-9</v>
      </c>
      <c r="J765" s="13">
        <v>9</v>
      </c>
      <c r="K765" s="10">
        <v>10</v>
      </c>
      <c r="L765" s="2">
        <v>55.469000000000001</v>
      </c>
      <c r="M765" s="1">
        <v>45946.561111111114</v>
      </c>
      <c r="N765" t="s">
        <v>40</v>
      </c>
    </row>
    <row r="766" spans="1:14" x14ac:dyDescent="0.25">
      <c r="A766" s="9" t="s">
        <v>5211</v>
      </c>
      <c r="B766" s="10">
        <v>636</v>
      </c>
      <c r="C766" s="10" t="s">
        <v>323</v>
      </c>
      <c r="D766" t="s">
        <v>1392</v>
      </c>
      <c r="E766" t="s">
        <v>1393</v>
      </c>
      <c r="F766" s="10" t="s">
        <v>29</v>
      </c>
      <c r="G766" s="2">
        <v>75</v>
      </c>
      <c r="H766" s="13">
        <v>10</v>
      </c>
      <c r="I766" s="13">
        <v>1</v>
      </c>
      <c r="J766" s="13">
        <v>-1</v>
      </c>
      <c r="K766" s="10">
        <v>10</v>
      </c>
      <c r="L766" s="2">
        <v>750</v>
      </c>
      <c r="M766" s="1">
        <v>45951.508333333331</v>
      </c>
      <c r="N766" t="s">
        <v>1224</v>
      </c>
    </row>
    <row r="767" spans="1:14" x14ac:dyDescent="0.25">
      <c r="A767" s="9" t="s">
        <v>5211</v>
      </c>
      <c r="B767" s="10">
        <v>636</v>
      </c>
      <c r="C767" s="10" t="s">
        <v>323</v>
      </c>
      <c r="D767" t="s">
        <v>369</v>
      </c>
      <c r="E767" t="s">
        <v>370</v>
      </c>
      <c r="F767" s="10" t="s">
        <v>23</v>
      </c>
      <c r="G767" s="2">
        <v>132.21010000000001</v>
      </c>
      <c r="H767" s="13">
        <v>10</v>
      </c>
      <c r="I767" s="13">
        <v>4</v>
      </c>
      <c r="J767" s="13">
        <v>-4</v>
      </c>
      <c r="K767" s="10">
        <v>10</v>
      </c>
      <c r="L767" s="2">
        <v>1322.1010000000001</v>
      </c>
      <c r="M767" s="1">
        <v>45961.574999999997</v>
      </c>
      <c r="N767" t="s">
        <v>151</v>
      </c>
    </row>
    <row r="768" spans="1:14" x14ac:dyDescent="0.25">
      <c r="A768" s="9" t="s">
        <v>5211</v>
      </c>
      <c r="B768" s="10">
        <v>714</v>
      </c>
      <c r="C768" s="10" t="s">
        <v>323</v>
      </c>
      <c r="D768" t="s">
        <v>2912</v>
      </c>
      <c r="E768" t="s">
        <v>2913</v>
      </c>
      <c r="F768" s="10" t="s">
        <v>29</v>
      </c>
      <c r="G768" s="2">
        <v>145.22059999999999</v>
      </c>
      <c r="H768" s="13">
        <v>10</v>
      </c>
      <c r="I768" s="13">
        <v>0</v>
      </c>
      <c r="J768" s="13">
        <v>0</v>
      </c>
      <c r="K768" s="10">
        <v>10</v>
      </c>
      <c r="L768" s="2">
        <v>1452.2059999999999</v>
      </c>
      <c r="M768" s="1">
        <v>46073.629861111112</v>
      </c>
      <c r="N768" t="s">
        <v>159</v>
      </c>
    </row>
    <row r="769" spans="1:14" x14ac:dyDescent="0.25">
      <c r="A769" s="9" t="s">
        <v>5211</v>
      </c>
      <c r="B769" s="10">
        <v>636</v>
      </c>
      <c r="C769" s="10" t="s">
        <v>323</v>
      </c>
      <c r="D769" t="s">
        <v>1259</v>
      </c>
      <c r="E769" t="s">
        <v>1260</v>
      </c>
      <c r="F769" s="10" t="s">
        <v>158</v>
      </c>
      <c r="G769" s="2">
        <v>186.214</v>
      </c>
      <c r="H769" s="13">
        <v>10</v>
      </c>
      <c r="I769" s="13">
        <v>0</v>
      </c>
      <c r="J769" s="13">
        <v>0</v>
      </c>
      <c r="K769" s="10">
        <v>10</v>
      </c>
      <c r="L769" s="2">
        <v>1862.14</v>
      </c>
      <c r="M769" s="1">
        <v>46078.44027777778</v>
      </c>
      <c r="N769" t="s">
        <v>151</v>
      </c>
    </row>
    <row r="770" spans="1:14" x14ac:dyDescent="0.25">
      <c r="A770" s="9" t="s">
        <v>5211</v>
      </c>
      <c r="B770" s="10">
        <v>714</v>
      </c>
      <c r="C770" s="10" t="s">
        <v>323</v>
      </c>
      <c r="D770" t="s">
        <v>5103</v>
      </c>
      <c r="E770" t="s">
        <v>5104</v>
      </c>
      <c r="F770" s="10" t="s">
        <v>23</v>
      </c>
      <c r="G770" s="2">
        <v>158.708</v>
      </c>
      <c r="H770" s="13">
        <v>10</v>
      </c>
      <c r="I770" s="13">
        <v>5</v>
      </c>
      <c r="J770" s="13">
        <v>-5</v>
      </c>
      <c r="K770" s="10">
        <v>10</v>
      </c>
      <c r="L770" s="2">
        <v>1587.08</v>
      </c>
      <c r="M770" s="1">
        <v>46079.423611111109</v>
      </c>
      <c r="N770" t="s">
        <v>159</v>
      </c>
    </row>
    <row r="771" spans="1:14" x14ac:dyDescent="0.25">
      <c r="A771" s="9" t="s">
        <v>5211</v>
      </c>
      <c r="B771" s="10">
        <v>634</v>
      </c>
      <c r="C771" s="10" t="s">
        <v>323</v>
      </c>
      <c r="D771" t="s">
        <v>412</v>
      </c>
      <c r="E771" t="s">
        <v>413</v>
      </c>
      <c r="F771" s="10" t="s">
        <v>19</v>
      </c>
      <c r="G771" s="2">
        <v>186.38419999999999</v>
      </c>
      <c r="H771" s="13">
        <v>10</v>
      </c>
      <c r="I771" s="13">
        <v>0</v>
      </c>
      <c r="J771" s="13">
        <v>0</v>
      </c>
      <c r="K771" s="10">
        <v>10</v>
      </c>
      <c r="L771" s="2">
        <v>1863.8420000000001</v>
      </c>
      <c r="M771" s="1">
        <v>46080.318749999999</v>
      </c>
      <c r="N771" t="s">
        <v>151</v>
      </c>
    </row>
    <row r="772" spans="1:14" x14ac:dyDescent="0.25">
      <c r="A772" s="9" t="s">
        <v>5211</v>
      </c>
      <c r="B772" s="10">
        <v>634</v>
      </c>
      <c r="C772" s="10" t="s">
        <v>323</v>
      </c>
      <c r="D772" t="s">
        <v>4351</v>
      </c>
      <c r="E772" t="s">
        <v>4352</v>
      </c>
      <c r="F772" s="10" t="s">
        <v>43</v>
      </c>
      <c r="G772" s="2">
        <v>142.1233</v>
      </c>
      <c r="H772" s="13">
        <v>10</v>
      </c>
      <c r="I772" s="13">
        <v>10</v>
      </c>
      <c r="J772" s="13">
        <v>-10</v>
      </c>
      <c r="K772" s="10">
        <v>10</v>
      </c>
      <c r="L772" s="2">
        <v>1421.2329999999999</v>
      </c>
      <c r="M772" s="1">
        <v>46080.506249999999</v>
      </c>
      <c r="N772" t="s">
        <v>159</v>
      </c>
    </row>
    <row r="773" spans="1:14" x14ac:dyDescent="0.25">
      <c r="A773" s="9" t="s">
        <v>5211</v>
      </c>
      <c r="B773" s="10">
        <v>634</v>
      </c>
      <c r="C773" s="10" t="s">
        <v>323</v>
      </c>
      <c r="D773" t="s">
        <v>416</v>
      </c>
      <c r="E773" t="s">
        <v>417</v>
      </c>
      <c r="F773" s="10" t="s">
        <v>29</v>
      </c>
      <c r="G773" s="2">
        <v>140.50880000000001</v>
      </c>
      <c r="H773" s="13">
        <v>10</v>
      </c>
      <c r="I773" s="13">
        <v>1</v>
      </c>
      <c r="J773" s="13">
        <v>-1</v>
      </c>
      <c r="K773" s="10">
        <v>10</v>
      </c>
      <c r="L773" s="2">
        <v>1405.088</v>
      </c>
      <c r="M773" s="1">
        <v>46083.431250000001</v>
      </c>
      <c r="N773" t="s">
        <v>151</v>
      </c>
    </row>
    <row r="774" spans="1:14" x14ac:dyDescent="0.25">
      <c r="A774" s="9" t="s">
        <v>5211</v>
      </c>
      <c r="B774" s="10">
        <v>634</v>
      </c>
      <c r="C774" s="10" t="s">
        <v>323</v>
      </c>
      <c r="D774" t="s">
        <v>464</v>
      </c>
      <c r="E774" t="s">
        <v>465</v>
      </c>
      <c r="F774" s="10" t="s">
        <v>29</v>
      </c>
      <c r="G774" s="2">
        <v>199.82339999999999</v>
      </c>
      <c r="H774" s="13">
        <v>10</v>
      </c>
      <c r="I774" s="13">
        <v>3</v>
      </c>
      <c r="J774" s="13">
        <v>-3</v>
      </c>
      <c r="K774" s="10">
        <v>10</v>
      </c>
      <c r="L774" s="2">
        <v>1998.2339999999999</v>
      </c>
      <c r="M774" s="1">
        <v>46083.431250000001</v>
      </c>
      <c r="N774" t="s">
        <v>151</v>
      </c>
    </row>
    <row r="775" spans="1:14" x14ac:dyDescent="0.25">
      <c r="A775" s="9" t="s">
        <v>5211</v>
      </c>
      <c r="B775" s="10">
        <v>636</v>
      </c>
      <c r="C775" s="10" t="s">
        <v>323</v>
      </c>
      <c r="D775" t="s">
        <v>1580</v>
      </c>
      <c r="E775" t="s">
        <v>1581</v>
      </c>
      <c r="F775" s="10" t="s">
        <v>43</v>
      </c>
      <c r="G775" s="2">
        <v>177.70169999999999</v>
      </c>
      <c r="H775" s="13">
        <v>10</v>
      </c>
      <c r="I775" s="13">
        <v>4</v>
      </c>
      <c r="J775" s="13">
        <v>-4</v>
      </c>
      <c r="K775" s="10">
        <v>10</v>
      </c>
      <c r="L775" s="2">
        <v>1777.0170000000001</v>
      </c>
      <c r="M775" s="1">
        <v>46084.367361111108</v>
      </c>
      <c r="N775" t="s">
        <v>151</v>
      </c>
    </row>
    <row r="776" spans="1:14" x14ac:dyDescent="0.25">
      <c r="A776" s="9" t="s">
        <v>5211</v>
      </c>
      <c r="B776" s="10">
        <v>636</v>
      </c>
      <c r="C776" s="10" t="s">
        <v>323</v>
      </c>
      <c r="D776" t="s">
        <v>422</v>
      </c>
      <c r="E776" t="s">
        <v>423</v>
      </c>
      <c r="F776" s="10" t="s">
        <v>23</v>
      </c>
      <c r="G776" s="2">
        <v>183.61930000000001</v>
      </c>
      <c r="H776" s="13">
        <v>10</v>
      </c>
      <c r="I776" s="13">
        <v>0</v>
      </c>
      <c r="J776" s="13">
        <v>0</v>
      </c>
      <c r="K776" s="10">
        <v>10</v>
      </c>
      <c r="L776" s="2">
        <v>1836.193</v>
      </c>
      <c r="M776" s="1">
        <v>46084.367361111108</v>
      </c>
      <c r="N776" t="s">
        <v>151</v>
      </c>
    </row>
    <row r="777" spans="1:14" x14ac:dyDescent="0.25">
      <c r="A777" s="9" t="s">
        <v>5211</v>
      </c>
      <c r="B777" s="10">
        <v>714</v>
      </c>
      <c r="C777" s="10" t="s">
        <v>323</v>
      </c>
      <c r="D777" t="s">
        <v>1369</v>
      </c>
      <c r="E777" t="s">
        <v>1370</v>
      </c>
      <c r="F777" s="10" t="s">
        <v>29</v>
      </c>
      <c r="G777" s="2">
        <v>169.28139999999999</v>
      </c>
      <c r="H777" s="13">
        <v>10</v>
      </c>
      <c r="I777" s="13">
        <v>0</v>
      </c>
      <c r="J777" s="13">
        <v>0</v>
      </c>
      <c r="K777" s="10">
        <v>10</v>
      </c>
      <c r="L777" s="2">
        <v>1692.8140000000001</v>
      </c>
      <c r="M777" s="1">
        <v>46101.384722222225</v>
      </c>
      <c r="N777" t="s">
        <v>2257</v>
      </c>
    </row>
    <row r="778" spans="1:14" x14ac:dyDescent="0.25">
      <c r="A778" s="9" t="s">
        <v>5211</v>
      </c>
      <c r="B778" s="10">
        <v>636</v>
      </c>
      <c r="C778" s="10" t="s">
        <v>323</v>
      </c>
      <c r="D778" t="s">
        <v>1654</v>
      </c>
      <c r="E778" t="s">
        <v>1655</v>
      </c>
      <c r="F778" s="10" t="s">
        <v>23</v>
      </c>
      <c r="G778" s="2">
        <v>89.203299999999999</v>
      </c>
      <c r="H778" s="13">
        <v>10</v>
      </c>
      <c r="I778" s="13">
        <v>0</v>
      </c>
      <c r="J778" s="13">
        <v>0</v>
      </c>
      <c r="K778" s="10">
        <v>10</v>
      </c>
      <c r="L778" s="2">
        <v>892.03300000000002</v>
      </c>
      <c r="M778" s="1">
        <v>46101.626388888886</v>
      </c>
      <c r="N778" t="s">
        <v>1271</v>
      </c>
    </row>
    <row r="779" spans="1:14" x14ac:dyDescent="0.25">
      <c r="A779" s="9" t="s">
        <v>5211</v>
      </c>
      <c r="B779" s="10">
        <v>636</v>
      </c>
      <c r="C779" s="10" t="s">
        <v>70</v>
      </c>
      <c r="D779" t="s">
        <v>791</v>
      </c>
      <c r="E779" t="s">
        <v>792</v>
      </c>
      <c r="F779" s="10" t="s">
        <v>29</v>
      </c>
      <c r="G779" s="2">
        <v>6.2728999999999999</v>
      </c>
      <c r="H779" s="13">
        <v>10</v>
      </c>
      <c r="I779" s="13">
        <v>0</v>
      </c>
      <c r="J779" s="13">
        <v>0</v>
      </c>
      <c r="K779" s="10">
        <v>10</v>
      </c>
      <c r="L779" s="2">
        <v>62.728999999999999</v>
      </c>
      <c r="M779" s="1">
        <v>46105.411111111112</v>
      </c>
      <c r="N779" t="s">
        <v>16</v>
      </c>
    </row>
    <row r="780" spans="1:14" x14ac:dyDescent="0.25">
      <c r="A780" s="9" t="s">
        <v>5211</v>
      </c>
      <c r="B780" s="10">
        <v>636</v>
      </c>
      <c r="C780" s="10" t="s">
        <v>323</v>
      </c>
      <c r="D780" t="s">
        <v>1656</v>
      </c>
      <c r="E780" t="s">
        <v>1657</v>
      </c>
      <c r="F780" s="10" t="s">
        <v>29</v>
      </c>
      <c r="G780" s="2">
        <v>117.34869999999999</v>
      </c>
      <c r="H780" s="13">
        <v>10</v>
      </c>
      <c r="I780" s="13">
        <v>0</v>
      </c>
      <c r="J780" s="13">
        <v>0</v>
      </c>
      <c r="K780" s="10">
        <v>10</v>
      </c>
      <c r="L780" s="2">
        <v>1173.4870000000001</v>
      </c>
      <c r="M780" s="1">
        <v>46106.444444444445</v>
      </c>
      <c r="N780" t="s">
        <v>357</v>
      </c>
    </row>
    <row r="781" spans="1:14" x14ac:dyDescent="0.25">
      <c r="A781" s="9" t="s">
        <v>5211</v>
      </c>
      <c r="B781" s="10">
        <v>636</v>
      </c>
      <c r="C781" s="10" t="s">
        <v>323</v>
      </c>
      <c r="D781" t="s">
        <v>1590</v>
      </c>
      <c r="E781" t="s">
        <v>1591</v>
      </c>
      <c r="F781" s="10" t="s">
        <v>29</v>
      </c>
      <c r="G781" s="2">
        <v>209.5513</v>
      </c>
      <c r="H781" s="13">
        <v>10</v>
      </c>
      <c r="I781" s="13">
        <v>-1</v>
      </c>
      <c r="J781" s="13">
        <v>1</v>
      </c>
      <c r="K781" s="10">
        <v>10</v>
      </c>
      <c r="L781" s="2">
        <v>2095.5129999999999</v>
      </c>
      <c r="M781" s="1">
        <v>46106.444444444445</v>
      </c>
      <c r="N781" t="s">
        <v>357</v>
      </c>
    </row>
    <row r="782" spans="1:14" x14ac:dyDescent="0.25">
      <c r="A782" s="9" t="s">
        <v>5211</v>
      </c>
      <c r="B782" s="10">
        <v>636</v>
      </c>
      <c r="C782" s="10" t="s">
        <v>323</v>
      </c>
      <c r="D782" t="s">
        <v>1695</v>
      </c>
      <c r="E782" t="s">
        <v>1696</v>
      </c>
      <c r="F782" s="10" t="s">
        <v>29</v>
      </c>
      <c r="G782" s="2">
        <v>271.4144</v>
      </c>
      <c r="H782" s="13">
        <v>10</v>
      </c>
      <c r="I782" s="13">
        <v>0</v>
      </c>
      <c r="J782" s="13">
        <v>0</v>
      </c>
      <c r="K782" s="10">
        <v>10</v>
      </c>
      <c r="L782" s="2">
        <v>2714.1439999999998</v>
      </c>
      <c r="M782" s="1">
        <v>46114.394444444442</v>
      </c>
      <c r="N782" t="s">
        <v>486</v>
      </c>
    </row>
    <row r="783" spans="1:14" x14ac:dyDescent="0.25">
      <c r="A783" s="9" t="s">
        <v>5211</v>
      </c>
      <c r="B783" s="10">
        <v>636</v>
      </c>
      <c r="C783" s="10" t="s">
        <v>1749</v>
      </c>
      <c r="D783" t="s">
        <v>1804</v>
      </c>
      <c r="E783" t="s">
        <v>1805</v>
      </c>
      <c r="F783" s="10" t="s">
        <v>81</v>
      </c>
      <c r="G783" s="2">
        <v>20.3718</v>
      </c>
      <c r="H783" s="13">
        <v>10</v>
      </c>
      <c r="I783" s="13">
        <v>1</v>
      </c>
      <c r="J783" s="13">
        <v>-1</v>
      </c>
      <c r="K783" s="10">
        <v>10</v>
      </c>
      <c r="L783" s="2">
        <v>203.71799999999999</v>
      </c>
      <c r="M783" s="1">
        <v>46114.597916666666</v>
      </c>
      <c r="N783" t="s">
        <v>797</v>
      </c>
    </row>
    <row r="784" spans="1:14" x14ac:dyDescent="0.25">
      <c r="A784" s="9" t="s">
        <v>5211</v>
      </c>
      <c r="B784" s="10">
        <v>714</v>
      </c>
      <c r="C784" s="10" t="s">
        <v>12</v>
      </c>
      <c r="D784" t="s">
        <v>1958</v>
      </c>
      <c r="E784" t="s">
        <v>1959</v>
      </c>
      <c r="F784" s="10" t="s">
        <v>23</v>
      </c>
      <c r="G784" s="2">
        <v>7.2568000000000001</v>
      </c>
      <c r="H784" s="13">
        <v>10</v>
      </c>
      <c r="I784" s="13">
        <v>1</v>
      </c>
      <c r="J784" s="13">
        <v>-1</v>
      </c>
      <c r="K784" s="10">
        <v>10</v>
      </c>
      <c r="L784" s="2">
        <v>72.567999999999998</v>
      </c>
      <c r="M784" s="1">
        <v>46119.337500000001</v>
      </c>
      <c r="N784" t="s">
        <v>94</v>
      </c>
    </row>
    <row r="785" spans="1:14" x14ac:dyDescent="0.25">
      <c r="A785" s="9" t="s">
        <v>5211</v>
      </c>
      <c r="B785" s="10">
        <v>634</v>
      </c>
      <c r="C785" s="10" t="s">
        <v>143</v>
      </c>
      <c r="D785" t="s">
        <v>319</v>
      </c>
      <c r="E785" t="s">
        <v>320</v>
      </c>
      <c r="F785" s="10" t="s">
        <v>19</v>
      </c>
      <c r="G785" s="2">
        <v>105.3261</v>
      </c>
      <c r="H785" s="13">
        <v>10</v>
      </c>
      <c r="I785" s="13">
        <v>0</v>
      </c>
      <c r="J785" s="13">
        <v>0</v>
      </c>
      <c r="K785" s="10">
        <v>10</v>
      </c>
      <c r="L785" s="2">
        <v>1053.261</v>
      </c>
      <c r="M785" s="1">
        <v>46119.382638888892</v>
      </c>
      <c r="N785" t="s">
        <v>170</v>
      </c>
    </row>
    <row r="786" spans="1:14" x14ac:dyDescent="0.25">
      <c r="A786" s="9" t="s">
        <v>5211</v>
      </c>
      <c r="B786" s="10">
        <v>718</v>
      </c>
      <c r="C786" s="10" t="s">
        <v>12</v>
      </c>
      <c r="D786" t="s">
        <v>3613</v>
      </c>
      <c r="E786" t="s">
        <v>3614</v>
      </c>
      <c r="F786" s="10" t="s">
        <v>29</v>
      </c>
      <c r="G786" s="2">
        <v>43.5749</v>
      </c>
      <c r="H786" s="13">
        <v>10</v>
      </c>
      <c r="I786" s="13">
        <v>0</v>
      </c>
      <c r="J786" s="13">
        <v>0</v>
      </c>
      <c r="K786" s="10">
        <v>10</v>
      </c>
      <c r="L786" s="2">
        <v>435.74900000000002</v>
      </c>
      <c r="M786" s="1">
        <v>46119.636111111111</v>
      </c>
      <c r="N786" t="s">
        <v>573</v>
      </c>
    </row>
    <row r="787" spans="1:14" x14ac:dyDescent="0.25">
      <c r="A787" s="9" t="s">
        <v>5211</v>
      </c>
      <c r="B787" s="10">
        <v>634</v>
      </c>
      <c r="C787" s="10" t="s">
        <v>12</v>
      </c>
      <c r="D787" t="s">
        <v>37</v>
      </c>
      <c r="E787" t="s">
        <v>38</v>
      </c>
      <c r="F787" s="10" t="s">
        <v>39</v>
      </c>
      <c r="G787" s="2">
        <v>10.739100000000001</v>
      </c>
      <c r="H787" s="13">
        <v>10</v>
      </c>
      <c r="I787" s="13">
        <v>6</v>
      </c>
      <c r="J787" s="13">
        <v>-6</v>
      </c>
      <c r="K787" s="10">
        <v>10</v>
      </c>
      <c r="L787" s="2">
        <v>107.39100000000001</v>
      </c>
      <c r="M787" s="1">
        <v>46120.659722222219</v>
      </c>
      <c r="N787" t="s">
        <v>30</v>
      </c>
    </row>
    <row r="788" spans="1:14" x14ac:dyDescent="0.25">
      <c r="A788" s="9" t="s">
        <v>5211</v>
      </c>
      <c r="B788" s="10">
        <v>634</v>
      </c>
      <c r="C788" s="10" t="s">
        <v>323</v>
      </c>
      <c r="D788" t="s">
        <v>487</v>
      </c>
      <c r="E788" t="s">
        <v>488</v>
      </c>
      <c r="F788" s="10" t="s">
        <v>29</v>
      </c>
      <c r="G788" s="2">
        <v>180.48570000000001</v>
      </c>
      <c r="H788" s="13">
        <v>10</v>
      </c>
      <c r="I788" s="13">
        <v>0</v>
      </c>
      <c r="J788" s="13">
        <v>0</v>
      </c>
      <c r="K788" s="10">
        <v>10</v>
      </c>
      <c r="L788" s="2">
        <v>1804.857</v>
      </c>
      <c r="M788" s="1">
        <v>46122.515277777777</v>
      </c>
      <c r="N788" t="s">
        <v>354</v>
      </c>
    </row>
    <row r="789" spans="1:14" x14ac:dyDescent="0.25">
      <c r="A789" s="9" t="s">
        <v>5211</v>
      </c>
      <c r="B789" s="10">
        <v>714</v>
      </c>
      <c r="C789" s="10" t="s">
        <v>323</v>
      </c>
      <c r="D789" t="s">
        <v>2828</v>
      </c>
      <c r="E789" t="s">
        <v>2829</v>
      </c>
      <c r="F789" s="10" t="s">
        <v>23</v>
      </c>
      <c r="G789" s="2">
        <v>80.918400000000005</v>
      </c>
      <c r="H789" s="13">
        <v>10</v>
      </c>
      <c r="I789" s="13">
        <v>2</v>
      </c>
      <c r="J789" s="13">
        <v>-2</v>
      </c>
      <c r="K789" s="10">
        <v>10</v>
      </c>
      <c r="L789" s="2">
        <v>809.18399999999997</v>
      </c>
      <c r="M789" s="1">
        <v>46123.461805555555</v>
      </c>
      <c r="N789" t="s">
        <v>40</v>
      </c>
    </row>
    <row r="790" spans="1:14" x14ac:dyDescent="0.25">
      <c r="A790" s="9" t="s">
        <v>5211</v>
      </c>
      <c r="B790" s="10">
        <v>634</v>
      </c>
      <c r="C790" s="10" t="s">
        <v>143</v>
      </c>
      <c r="D790" t="s">
        <v>214</v>
      </c>
      <c r="E790" t="s">
        <v>215</v>
      </c>
      <c r="F790" s="10" t="s">
        <v>29</v>
      </c>
      <c r="G790" s="2">
        <v>30.6188</v>
      </c>
      <c r="H790" s="13">
        <v>10</v>
      </c>
      <c r="I790" s="13">
        <v>4</v>
      </c>
      <c r="J790" s="13">
        <v>-4</v>
      </c>
      <c r="K790" s="10">
        <v>10</v>
      </c>
      <c r="L790" s="2">
        <v>306.18799999999999</v>
      </c>
      <c r="M790" s="1">
        <v>46125.589583333334</v>
      </c>
      <c r="N790" t="s">
        <v>216</v>
      </c>
    </row>
    <row r="791" spans="1:14" x14ac:dyDescent="0.25">
      <c r="A791" s="9" t="s">
        <v>5211</v>
      </c>
      <c r="B791" s="10">
        <v>636</v>
      </c>
      <c r="C791" s="10" t="s">
        <v>323</v>
      </c>
      <c r="D791" t="s">
        <v>1241</v>
      </c>
      <c r="E791" t="s">
        <v>1242</v>
      </c>
      <c r="F791" s="10" t="s">
        <v>29</v>
      </c>
      <c r="G791" s="2">
        <v>197.85429999999999</v>
      </c>
      <c r="H791" s="13">
        <v>10</v>
      </c>
      <c r="I791" s="13">
        <v>0</v>
      </c>
      <c r="J791" s="13">
        <v>0</v>
      </c>
      <c r="K791" s="10">
        <v>10</v>
      </c>
      <c r="L791" s="2">
        <v>1978.5429999999999</v>
      </c>
      <c r="M791" s="1">
        <v>46127.468055555553</v>
      </c>
      <c r="N791" t="s">
        <v>1224</v>
      </c>
    </row>
    <row r="792" spans="1:14" x14ac:dyDescent="0.25">
      <c r="A792" s="9" t="s">
        <v>5211</v>
      </c>
      <c r="B792" s="10">
        <v>714</v>
      </c>
      <c r="C792" s="10" t="s">
        <v>323</v>
      </c>
      <c r="D792" t="s">
        <v>3268</v>
      </c>
      <c r="E792" t="s">
        <v>3269</v>
      </c>
      <c r="F792" s="10" t="s">
        <v>29</v>
      </c>
      <c r="G792" s="2">
        <v>187.67240000000001</v>
      </c>
      <c r="H792" s="13">
        <v>10</v>
      </c>
      <c r="I792" s="13">
        <v>2</v>
      </c>
      <c r="J792" s="13">
        <v>-2</v>
      </c>
      <c r="K792" s="10">
        <v>10</v>
      </c>
      <c r="L792" s="2">
        <v>1876.7239999999999</v>
      </c>
      <c r="M792" s="1">
        <v>46127.478472222225</v>
      </c>
      <c r="N792" t="s">
        <v>1224</v>
      </c>
    </row>
    <row r="793" spans="1:14" x14ac:dyDescent="0.25">
      <c r="A793" s="9" t="s">
        <v>5211</v>
      </c>
      <c r="B793" s="10">
        <v>636</v>
      </c>
      <c r="C793" s="10" t="s">
        <v>323</v>
      </c>
      <c r="D793" t="s">
        <v>1562</v>
      </c>
      <c r="E793" t="s">
        <v>1563</v>
      </c>
      <c r="F793" s="10" t="s">
        <v>158</v>
      </c>
      <c r="G793" s="2">
        <v>191.0043</v>
      </c>
      <c r="H793" s="13">
        <v>10</v>
      </c>
      <c r="I793" s="13">
        <v>-10</v>
      </c>
      <c r="J793" s="13">
        <v>10</v>
      </c>
      <c r="K793" s="10">
        <v>10</v>
      </c>
      <c r="L793" s="2">
        <v>1910.0429999999999</v>
      </c>
      <c r="M793" s="1">
        <v>46128.305555555555</v>
      </c>
      <c r="N793" t="s">
        <v>903</v>
      </c>
    </row>
    <row r="794" spans="1:14" x14ac:dyDescent="0.25">
      <c r="A794" s="9" t="s">
        <v>5211</v>
      </c>
      <c r="B794" s="10">
        <v>714</v>
      </c>
      <c r="C794" s="10" t="s">
        <v>323</v>
      </c>
      <c r="D794" t="s">
        <v>2906</v>
      </c>
      <c r="E794" t="s">
        <v>2907</v>
      </c>
      <c r="F794" s="10" t="s">
        <v>19</v>
      </c>
      <c r="G794" s="2">
        <v>86.214200000000005</v>
      </c>
      <c r="H794" s="13">
        <v>10</v>
      </c>
      <c r="I794" s="13">
        <v>2</v>
      </c>
      <c r="J794" s="13">
        <v>-2</v>
      </c>
      <c r="K794" s="10">
        <v>10</v>
      </c>
      <c r="L794" s="2">
        <v>862.14200000000005</v>
      </c>
      <c r="M794" s="1">
        <v>46129.377083333333</v>
      </c>
      <c r="N794" t="s">
        <v>30</v>
      </c>
    </row>
    <row r="795" spans="1:14" x14ac:dyDescent="0.25">
      <c r="A795" s="9" t="s">
        <v>5211</v>
      </c>
      <c r="B795" s="10">
        <v>714</v>
      </c>
      <c r="C795" s="10" t="s">
        <v>323</v>
      </c>
      <c r="D795" t="s">
        <v>442</v>
      </c>
      <c r="E795" t="s">
        <v>443</v>
      </c>
      <c r="F795" s="10" t="s">
        <v>29</v>
      </c>
      <c r="G795" s="2">
        <v>669.94550000000004</v>
      </c>
      <c r="H795" s="13">
        <v>10</v>
      </c>
      <c r="I795" s="13">
        <v>0</v>
      </c>
      <c r="J795" s="13">
        <v>0</v>
      </c>
      <c r="K795" s="10">
        <v>10</v>
      </c>
      <c r="L795" s="2">
        <v>6699.4549999999999</v>
      </c>
      <c r="M795" s="1">
        <v>46129.443055555559</v>
      </c>
      <c r="N795" t="s">
        <v>444</v>
      </c>
    </row>
    <row r="796" spans="1:14" x14ac:dyDescent="0.25">
      <c r="A796" s="9" t="s">
        <v>5211</v>
      </c>
      <c r="B796" s="10">
        <v>718</v>
      </c>
      <c r="C796" s="10" t="s">
        <v>143</v>
      </c>
      <c r="D796" t="s">
        <v>2665</v>
      </c>
      <c r="E796" t="s">
        <v>2666</v>
      </c>
      <c r="F796" s="10" t="s">
        <v>29</v>
      </c>
      <c r="G796" s="2">
        <v>144.8297</v>
      </c>
      <c r="H796" s="13">
        <v>10</v>
      </c>
      <c r="I796" s="13">
        <v>0</v>
      </c>
      <c r="J796" s="13">
        <v>0</v>
      </c>
      <c r="K796" s="10">
        <v>10</v>
      </c>
      <c r="L796" s="2">
        <v>1448.297</v>
      </c>
      <c r="M796" s="1">
        <v>46130.615277777775</v>
      </c>
      <c r="N796" t="s">
        <v>30</v>
      </c>
    </row>
    <row r="797" spans="1:14" x14ac:dyDescent="0.25">
      <c r="A797" s="9" t="s">
        <v>5211</v>
      </c>
      <c r="B797" s="10">
        <v>636</v>
      </c>
      <c r="C797" s="10" t="s">
        <v>323</v>
      </c>
      <c r="D797" t="s">
        <v>1336</v>
      </c>
      <c r="E797" t="s">
        <v>1337</v>
      </c>
      <c r="F797" s="10" t="s">
        <v>19</v>
      </c>
      <c r="G797" s="2">
        <v>322.13729999999998</v>
      </c>
      <c r="H797" s="13">
        <v>10</v>
      </c>
      <c r="I797" s="13">
        <v>0</v>
      </c>
      <c r="J797" s="13">
        <v>0</v>
      </c>
      <c r="K797" s="10">
        <v>10</v>
      </c>
      <c r="L797" s="2">
        <v>3221.373</v>
      </c>
      <c r="M797" s="1">
        <v>46133.45</v>
      </c>
      <c r="N797" t="s">
        <v>137</v>
      </c>
    </row>
    <row r="798" spans="1:14" x14ac:dyDescent="0.25">
      <c r="A798" s="9" t="s">
        <v>5211</v>
      </c>
      <c r="B798" s="10">
        <v>636</v>
      </c>
      <c r="C798" s="10" t="s">
        <v>70</v>
      </c>
      <c r="D798" t="s">
        <v>763</v>
      </c>
      <c r="E798" t="s">
        <v>764</v>
      </c>
      <c r="F798" s="10" t="s">
        <v>29</v>
      </c>
      <c r="G798" s="2">
        <v>19.0411</v>
      </c>
      <c r="H798" s="13">
        <v>10</v>
      </c>
      <c r="I798" s="13">
        <v>0</v>
      </c>
      <c r="J798" s="13">
        <v>0</v>
      </c>
      <c r="K798" s="10">
        <v>10</v>
      </c>
      <c r="L798" s="2">
        <v>190.411</v>
      </c>
      <c r="M798" s="1">
        <v>46135.408333333333</v>
      </c>
      <c r="N798" t="s">
        <v>16</v>
      </c>
    </row>
    <row r="799" spans="1:14" x14ac:dyDescent="0.25">
      <c r="A799" s="9" t="s">
        <v>5211</v>
      </c>
      <c r="B799" s="10">
        <v>636</v>
      </c>
      <c r="C799" s="10" t="s">
        <v>143</v>
      </c>
      <c r="D799" t="s">
        <v>912</v>
      </c>
      <c r="E799" t="s">
        <v>913</v>
      </c>
      <c r="F799" s="10" t="s">
        <v>158</v>
      </c>
      <c r="G799" s="2">
        <v>100.73699999999999</v>
      </c>
      <c r="H799" s="13">
        <v>10</v>
      </c>
      <c r="I799" s="13">
        <v>3</v>
      </c>
      <c r="J799" s="13">
        <v>-3</v>
      </c>
      <c r="K799" s="10">
        <v>10</v>
      </c>
      <c r="L799" s="2">
        <v>1007.37</v>
      </c>
      <c r="M799" s="1">
        <v>46136.45208333333</v>
      </c>
      <c r="N799" t="s">
        <v>216</v>
      </c>
    </row>
    <row r="800" spans="1:14" x14ac:dyDescent="0.25">
      <c r="A800" s="9" t="s">
        <v>5211</v>
      </c>
      <c r="B800" s="10">
        <v>714</v>
      </c>
      <c r="C800" s="10" t="s">
        <v>143</v>
      </c>
      <c r="D800" t="s">
        <v>4072</v>
      </c>
      <c r="E800" t="s">
        <v>4073</v>
      </c>
      <c r="F800" s="10" t="s">
        <v>29</v>
      </c>
      <c r="G800" s="2">
        <v>29.063400000000001</v>
      </c>
      <c r="H800" s="13">
        <v>10</v>
      </c>
      <c r="I800" s="13">
        <v>2</v>
      </c>
      <c r="J800" s="13">
        <v>-2</v>
      </c>
      <c r="K800" s="10">
        <v>10</v>
      </c>
      <c r="L800" s="2">
        <v>290.63400000000001</v>
      </c>
      <c r="M800" s="1">
        <v>46136.467361111114</v>
      </c>
      <c r="N800" t="s">
        <v>40</v>
      </c>
    </row>
    <row r="801" spans="1:14" x14ac:dyDescent="0.25">
      <c r="A801" s="9" t="s">
        <v>5211</v>
      </c>
      <c r="B801" s="10">
        <v>636</v>
      </c>
      <c r="C801" s="10" t="s">
        <v>323</v>
      </c>
      <c r="D801" t="s">
        <v>1452</v>
      </c>
      <c r="E801" t="s">
        <v>1453</v>
      </c>
      <c r="F801" s="10" t="s">
        <v>29</v>
      </c>
      <c r="G801" s="2">
        <v>132.3895</v>
      </c>
      <c r="H801" s="13">
        <v>10</v>
      </c>
      <c r="I801" s="13">
        <v>0</v>
      </c>
      <c r="J801" s="13">
        <v>0</v>
      </c>
      <c r="K801" s="10">
        <v>10</v>
      </c>
      <c r="L801" s="2">
        <v>1323.895</v>
      </c>
      <c r="M801" s="1">
        <v>46140.29583333333</v>
      </c>
      <c r="N801" t="s">
        <v>501</v>
      </c>
    </row>
    <row r="802" spans="1:14" x14ac:dyDescent="0.25">
      <c r="A802" s="9" t="s">
        <v>5211</v>
      </c>
      <c r="B802" s="10">
        <v>636</v>
      </c>
      <c r="C802" s="10" t="s">
        <v>143</v>
      </c>
      <c r="D802" t="s">
        <v>1035</v>
      </c>
      <c r="E802" t="s">
        <v>1036</v>
      </c>
      <c r="F802" s="10" t="s">
        <v>158</v>
      </c>
      <c r="G802" s="2">
        <v>192.2045</v>
      </c>
      <c r="H802" s="13">
        <v>10</v>
      </c>
      <c r="I802" s="13">
        <v>-3</v>
      </c>
      <c r="J802" s="13">
        <v>3</v>
      </c>
      <c r="K802" s="10">
        <v>10</v>
      </c>
      <c r="L802" s="2">
        <v>1922.0450000000001</v>
      </c>
      <c r="M802" s="1">
        <v>46142.486111111109</v>
      </c>
      <c r="N802" t="s">
        <v>903</v>
      </c>
    </row>
    <row r="803" spans="1:14" x14ac:dyDescent="0.25">
      <c r="A803" s="9" t="s">
        <v>5211</v>
      </c>
      <c r="B803" s="10">
        <v>714</v>
      </c>
      <c r="C803" s="10" t="s">
        <v>12</v>
      </c>
      <c r="D803" t="s">
        <v>1956</v>
      </c>
      <c r="E803" t="s">
        <v>1957</v>
      </c>
      <c r="F803" s="10" t="s">
        <v>29</v>
      </c>
      <c r="G803" s="2">
        <v>6.25</v>
      </c>
      <c r="H803" s="13">
        <v>10</v>
      </c>
      <c r="I803" s="13">
        <v>0</v>
      </c>
      <c r="J803" s="13">
        <v>0</v>
      </c>
      <c r="K803" s="10">
        <v>10</v>
      </c>
      <c r="L803" s="2">
        <v>62.5</v>
      </c>
      <c r="M803" s="1">
        <v>46143.719444444447</v>
      </c>
      <c r="N803" t="s">
        <v>550</v>
      </c>
    </row>
    <row r="804" spans="1:14" x14ac:dyDescent="0.25">
      <c r="A804" s="9" t="s">
        <v>5211</v>
      </c>
      <c r="B804" s="10">
        <v>636</v>
      </c>
      <c r="C804" s="10" t="s">
        <v>1749</v>
      </c>
      <c r="D804" t="s">
        <v>1806</v>
      </c>
      <c r="E804" t="s">
        <v>1807</v>
      </c>
      <c r="F804" s="10" t="s">
        <v>39</v>
      </c>
      <c r="G804" s="2">
        <v>35.013500000000001</v>
      </c>
      <c r="H804" s="13">
        <v>10</v>
      </c>
      <c r="I804" s="13">
        <v>0</v>
      </c>
      <c r="J804" s="13">
        <v>0</v>
      </c>
      <c r="K804" s="10">
        <v>10</v>
      </c>
      <c r="L804" s="2">
        <v>350.13499999999999</v>
      </c>
      <c r="M804" s="1">
        <v>46146.344444444447</v>
      </c>
      <c r="N804" t="s">
        <v>797</v>
      </c>
    </row>
    <row r="805" spans="1:14" x14ac:dyDescent="0.25">
      <c r="A805" s="9" t="s">
        <v>5211</v>
      </c>
      <c r="B805" s="10">
        <v>714</v>
      </c>
      <c r="C805" s="10" t="s">
        <v>323</v>
      </c>
      <c r="D805" t="s">
        <v>1344</v>
      </c>
      <c r="E805" t="s">
        <v>1345</v>
      </c>
      <c r="F805" s="10" t="s">
        <v>23</v>
      </c>
      <c r="G805" s="2">
        <v>133.8775</v>
      </c>
      <c r="H805" s="13">
        <v>10</v>
      </c>
      <c r="I805" s="13">
        <v>0</v>
      </c>
      <c r="J805" s="13">
        <v>0</v>
      </c>
      <c r="K805" s="10">
        <v>10</v>
      </c>
      <c r="L805" s="2">
        <v>1338.7750000000001</v>
      </c>
      <c r="M805" s="1">
        <v>46147.435416666667</v>
      </c>
      <c r="N805" t="s">
        <v>137</v>
      </c>
    </row>
    <row r="806" spans="1:14" x14ac:dyDescent="0.25">
      <c r="A806" s="9" t="s">
        <v>5211</v>
      </c>
      <c r="B806" s="10">
        <v>714</v>
      </c>
      <c r="C806" s="10" t="s">
        <v>70</v>
      </c>
      <c r="D806" t="s">
        <v>2028</v>
      </c>
      <c r="E806" t="s">
        <v>2029</v>
      </c>
      <c r="F806" s="10" t="s">
        <v>39</v>
      </c>
      <c r="G806" s="2">
        <v>5.2698999999999998</v>
      </c>
      <c r="H806" s="13">
        <v>10</v>
      </c>
      <c r="I806" s="13">
        <v>0</v>
      </c>
      <c r="J806" s="13">
        <v>0</v>
      </c>
      <c r="K806" s="10">
        <v>10</v>
      </c>
      <c r="L806" s="2">
        <v>52.698999999999998</v>
      </c>
      <c r="M806" s="1">
        <v>46149.382638888892</v>
      </c>
      <c r="N806" t="s">
        <v>573</v>
      </c>
    </row>
    <row r="807" spans="1:14" x14ac:dyDescent="0.25">
      <c r="A807" s="9" t="s">
        <v>5211</v>
      </c>
      <c r="B807" s="10">
        <v>636</v>
      </c>
      <c r="C807" s="10" t="s">
        <v>143</v>
      </c>
      <c r="D807" t="s">
        <v>1094</v>
      </c>
      <c r="E807" t="s">
        <v>1095</v>
      </c>
      <c r="F807" s="10" t="s">
        <v>29</v>
      </c>
      <c r="G807" s="2">
        <v>19.5456</v>
      </c>
      <c r="H807" s="13">
        <v>10</v>
      </c>
      <c r="I807" s="13">
        <v>0</v>
      </c>
      <c r="J807" s="13">
        <v>0</v>
      </c>
      <c r="K807" s="10">
        <v>10</v>
      </c>
      <c r="L807" s="2">
        <v>195.45599999999999</v>
      </c>
      <c r="M807" s="1">
        <v>46149.512499999997</v>
      </c>
      <c r="N807" t="s">
        <v>195</v>
      </c>
    </row>
    <row r="808" spans="1:14" x14ac:dyDescent="0.25">
      <c r="A808" s="9" t="s">
        <v>5211</v>
      </c>
      <c r="B808" s="10">
        <v>714</v>
      </c>
      <c r="C808" s="10" t="s">
        <v>70</v>
      </c>
      <c r="D808" t="s">
        <v>104</v>
      </c>
      <c r="E808" t="s">
        <v>105</v>
      </c>
      <c r="F808" s="10" t="s">
        <v>39</v>
      </c>
      <c r="G808" s="2">
        <v>8.6220999999999997</v>
      </c>
      <c r="H808" s="13">
        <v>10</v>
      </c>
      <c r="I808" s="13">
        <v>14</v>
      </c>
      <c r="J808" s="13">
        <v>-14</v>
      </c>
      <c r="K808" s="10">
        <v>10</v>
      </c>
      <c r="L808" s="2">
        <v>86.221000000000004</v>
      </c>
      <c r="M808" s="1">
        <v>46153.676388888889</v>
      </c>
      <c r="N808" t="s">
        <v>16</v>
      </c>
    </row>
    <row r="809" spans="1:14" x14ac:dyDescent="0.25">
      <c r="A809" s="9" t="s">
        <v>5211</v>
      </c>
      <c r="B809" s="10">
        <v>714</v>
      </c>
      <c r="C809" s="10" t="s">
        <v>143</v>
      </c>
      <c r="D809" t="s">
        <v>2298</v>
      </c>
      <c r="E809" t="s">
        <v>2299</v>
      </c>
      <c r="F809" s="10" t="s">
        <v>29</v>
      </c>
      <c r="G809" s="2">
        <v>48.456000000000003</v>
      </c>
      <c r="H809" s="13">
        <v>10</v>
      </c>
      <c r="I809" s="13">
        <v>0</v>
      </c>
      <c r="J809" s="13">
        <v>0</v>
      </c>
      <c r="K809" s="10">
        <v>10</v>
      </c>
      <c r="L809" s="2">
        <v>484.56</v>
      </c>
      <c r="M809" s="1">
        <v>46154.629861111112</v>
      </c>
      <c r="N809" t="s">
        <v>30</v>
      </c>
    </row>
    <row r="810" spans="1:14" x14ac:dyDescent="0.25">
      <c r="A810" s="9" t="s">
        <v>5211</v>
      </c>
      <c r="B810" s="10">
        <v>714</v>
      </c>
      <c r="C810" s="10" t="s">
        <v>70</v>
      </c>
      <c r="D810" t="s">
        <v>2040</v>
      </c>
      <c r="E810" t="s">
        <v>2041</v>
      </c>
      <c r="F810" s="10" t="s">
        <v>29</v>
      </c>
      <c r="G810" s="2">
        <v>7.13</v>
      </c>
      <c r="H810" s="13">
        <v>10</v>
      </c>
      <c r="I810" s="13">
        <v>0</v>
      </c>
      <c r="J810" s="13">
        <v>0</v>
      </c>
      <c r="K810" s="10">
        <v>10</v>
      </c>
      <c r="L810" s="2">
        <v>71.3</v>
      </c>
      <c r="M810" s="1">
        <v>46155.413888888892</v>
      </c>
      <c r="N810" t="s">
        <v>522</v>
      </c>
    </row>
    <row r="811" spans="1:14" x14ac:dyDescent="0.25">
      <c r="A811" s="9" t="s">
        <v>5211</v>
      </c>
      <c r="B811" s="10">
        <v>714</v>
      </c>
      <c r="C811" s="10" t="s">
        <v>143</v>
      </c>
      <c r="D811" t="s">
        <v>2713</v>
      </c>
      <c r="E811" t="s">
        <v>2714</v>
      </c>
      <c r="F811" s="10" t="s">
        <v>15</v>
      </c>
      <c r="G811" s="2">
        <v>12.6279</v>
      </c>
      <c r="H811" s="13">
        <v>10</v>
      </c>
      <c r="I811" s="13">
        <v>0</v>
      </c>
      <c r="J811" s="13">
        <v>0</v>
      </c>
      <c r="K811" s="10">
        <v>10</v>
      </c>
      <c r="L811" s="2">
        <v>126.279</v>
      </c>
      <c r="M811" s="1">
        <v>46157.474999999999</v>
      </c>
      <c r="N811" t="s">
        <v>67</v>
      </c>
    </row>
    <row r="812" spans="1:14" x14ac:dyDescent="0.25">
      <c r="A812" s="9" t="s">
        <v>5211</v>
      </c>
      <c r="B812" s="10">
        <v>714</v>
      </c>
      <c r="C812" s="10" t="s">
        <v>323</v>
      </c>
      <c r="D812" t="s">
        <v>2987</v>
      </c>
      <c r="E812" t="s">
        <v>2988</v>
      </c>
      <c r="F812" s="10" t="s">
        <v>29</v>
      </c>
      <c r="G812" s="2">
        <v>314.61320000000001</v>
      </c>
      <c r="H812" s="13">
        <v>10</v>
      </c>
      <c r="I812" s="13">
        <v>0</v>
      </c>
      <c r="J812" s="13">
        <v>0</v>
      </c>
      <c r="K812" s="10">
        <v>10</v>
      </c>
      <c r="L812" s="2">
        <v>3146.1320000000001</v>
      </c>
      <c r="M812" s="1">
        <v>46161.368750000001</v>
      </c>
      <c r="N812" t="s">
        <v>1224</v>
      </c>
    </row>
    <row r="813" spans="1:14" x14ac:dyDescent="0.25">
      <c r="A813" s="9" t="s">
        <v>5211</v>
      </c>
      <c r="B813" s="10">
        <v>714</v>
      </c>
      <c r="C813" s="10" t="s">
        <v>323</v>
      </c>
      <c r="D813" t="s">
        <v>2922</v>
      </c>
      <c r="E813" t="s">
        <v>2923</v>
      </c>
      <c r="F813" s="10" t="s">
        <v>29</v>
      </c>
      <c r="G813" s="2">
        <v>323.1619</v>
      </c>
      <c r="H813" s="13">
        <v>10</v>
      </c>
      <c r="I813" s="13">
        <v>0</v>
      </c>
      <c r="J813" s="13">
        <v>0</v>
      </c>
      <c r="K813" s="10">
        <v>10</v>
      </c>
      <c r="L813" s="2">
        <v>3231.6190000000001</v>
      </c>
      <c r="M813" s="1">
        <v>46161.368750000001</v>
      </c>
      <c r="N813" t="s">
        <v>1224</v>
      </c>
    </row>
    <row r="814" spans="1:14" x14ac:dyDescent="0.25">
      <c r="A814" s="9" t="s">
        <v>5211</v>
      </c>
      <c r="B814" s="10">
        <v>634</v>
      </c>
      <c r="C814" s="10" t="s">
        <v>143</v>
      </c>
      <c r="D814" t="s">
        <v>4148</v>
      </c>
      <c r="E814" t="s">
        <v>4149</v>
      </c>
      <c r="F814" s="10" t="s">
        <v>23</v>
      </c>
      <c r="G814" s="2">
        <v>76.413600000000002</v>
      </c>
      <c r="H814" s="13">
        <v>10</v>
      </c>
      <c r="I814" s="13">
        <v>4</v>
      </c>
      <c r="J814" s="13">
        <v>-4</v>
      </c>
      <c r="K814" s="10">
        <v>10</v>
      </c>
      <c r="L814" s="2">
        <v>764.13599999999997</v>
      </c>
      <c r="M814" s="1">
        <v>46161.469444444447</v>
      </c>
      <c r="N814" t="s">
        <v>310</v>
      </c>
    </row>
    <row r="815" spans="1:14" x14ac:dyDescent="0.25">
      <c r="A815" s="9" t="s">
        <v>5211</v>
      </c>
      <c r="B815" s="10">
        <v>634</v>
      </c>
      <c r="C815" s="10" t="s">
        <v>143</v>
      </c>
      <c r="D815" t="s">
        <v>4248</v>
      </c>
      <c r="E815" t="s">
        <v>4249</v>
      </c>
      <c r="F815" s="10" t="s">
        <v>29</v>
      </c>
      <c r="G815" s="2">
        <v>59.4328</v>
      </c>
      <c r="H815" s="13">
        <v>10</v>
      </c>
      <c r="I815" s="13">
        <v>12</v>
      </c>
      <c r="J815" s="13">
        <v>-12</v>
      </c>
      <c r="K815" s="10">
        <v>10</v>
      </c>
      <c r="L815" s="2">
        <v>594.32799999999997</v>
      </c>
      <c r="M815" s="1">
        <v>46161.469444444447</v>
      </c>
      <c r="N815" t="s">
        <v>310</v>
      </c>
    </row>
    <row r="816" spans="1:14" x14ac:dyDescent="0.25">
      <c r="A816" s="9" t="s">
        <v>5211</v>
      </c>
      <c r="B816" s="10">
        <v>634</v>
      </c>
      <c r="C816" s="10" t="s">
        <v>143</v>
      </c>
      <c r="D816" t="s">
        <v>306</v>
      </c>
      <c r="E816" t="s">
        <v>307</v>
      </c>
      <c r="F816" s="10" t="s">
        <v>23</v>
      </c>
      <c r="G816" s="2">
        <v>66.969300000000004</v>
      </c>
      <c r="H816" s="13">
        <v>10</v>
      </c>
      <c r="I816" s="13">
        <v>1</v>
      </c>
      <c r="J816" s="13">
        <v>-1</v>
      </c>
      <c r="K816" s="10">
        <v>10</v>
      </c>
      <c r="L816" s="2">
        <v>669.69299999999998</v>
      </c>
      <c r="M816" s="1">
        <v>46162.544444444444</v>
      </c>
      <c r="N816" t="s">
        <v>162</v>
      </c>
    </row>
    <row r="817" spans="1:14" x14ac:dyDescent="0.25">
      <c r="A817" s="9" t="s">
        <v>5211</v>
      </c>
      <c r="B817" s="10">
        <v>636</v>
      </c>
      <c r="C817" s="10" t="s">
        <v>558</v>
      </c>
      <c r="D817" t="s">
        <v>559</v>
      </c>
      <c r="E817" t="s">
        <v>560</v>
      </c>
      <c r="F817" s="10" t="s">
        <v>29</v>
      </c>
      <c r="G817" s="2" t="s">
        <v>561</v>
      </c>
      <c r="H817" s="13">
        <v>10</v>
      </c>
      <c r="I817" s="13">
        <v>0</v>
      </c>
      <c r="J817" s="13">
        <v>0</v>
      </c>
      <c r="K817" s="10">
        <v>10</v>
      </c>
      <c r="L817" s="2" t="s">
        <v>561</v>
      </c>
      <c r="M817" s="1">
        <v>46162.611805555556</v>
      </c>
      <c r="N817" t="s">
        <v>562</v>
      </c>
    </row>
    <row r="818" spans="1:14" x14ac:dyDescent="0.25">
      <c r="A818" s="9" t="s">
        <v>5211</v>
      </c>
      <c r="B818" s="10">
        <v>718</v>
      </c>
      <c r="C818" s="10" t="s">
        <v>143</v>
      </c>
      <c r="D818" t="s">
        <v>3800</v>
      </c>
      <c r="E818" t="s">
        <v>3801</v>
      </c>
      <c r="F818" s="10" t="s">
        <v>23</v>
      </c>
      <c r="G818" s="2">
        <v>11.696899999999999</v>
      </c>
      <c r="H818" s="13">
        <v>10</v>
      </c>
      <c r="I818" s="13">
        <v>2</v>
      </c>
      <c r="J818" s="13">
        <v>-2</v>
      </c>
      <c r="K818" s="10">
        <v>10</v>
      </c>
      <c r="L818" s="2">
        <v>116.96899999999999</v>
      </c>
      <c r="M818" s="1">
        <v>46164.548611111109</v>
      </c>
      <c r="N818" t="s">
        <v>26</v>
      </c>
    </row>
    <row r="819" spans="1:14" x14ac:dyDescent="0.25">
      <c r="A819" s="9" t="s">
        <v>5211</v>
      </c>
      <c r="B819" s="10">
        <v>636</v>
      </c>
      <c r="C819" s="10" t="s">
        <v>323</v>
      </c>
      <c r="D819" t="s">
        <v>1729</v>
      </c>
      <c r="E819" t="s">
        <v>1730</v>
      </c>
      <c r="F819" s="10" t="s">
        <v>29</v>
      </c>
      <c r="G819" s="2">
        <v>337.17660000000001</v>
      </c>
      <c r="H819" s="13">
        <v>10</v>
      </c>
      <c r="I819" s="13">
        <v>4</v>
      </c>
      <c r="J819" s="13">
        <v>-4</v>
      </c>
      <c r="K819" s="10">
        <v>10</v>
      </c>
      <c r="L819" s="2">
        <v>3371.7660000000001</v>
      </c>
      <c r="M819" s="1">
        <v>46170.59097222222</v>
      </c>
      <c r="N819" t="s">
        <v>137</v>
      </c>
    </row>
    <row r="820" spans="1:14" x14ac:dyDescent="0.25">
      <c r="A820" s="9" t="s">
        <v>5211</v>
      </c>
      <c r="B820" s="10">
        <v>634</v>
      </c>
      <c r="C820" s="10" t="s">
        <v>143</v>
      </c>
      <c r="D820" t="s">
        <v>300</v>
      </c>
      <c r="E820" t="s">
        <v>301</v>
      </c>
      <c r="F820" s="10" t="s">
        <v>43</v>
      </c>
      <c r="G820" s="2">
        <v>79.993200000000002</v>
      </c>
      <c r="H820" s="13">
        <v>10</v>
      </c>
      <c r="I820" s="13">
        <v>5</v>
      </c>
      <c r="J820" s="13">
        <v>-5</v>
      </c>
      <c r="K820" s="10">
        <v>10</v>
      </c>
      <c r="L820" s="2">
        <v>799.93200000000002</v>
      </c>
      <c r="M820" s="1">
        <v>46171.646527777775</v>
      </c>
      <c r="N820" t="s">
        <v>40</v>
      </c>
    </row>
    <row r="821" spans="1:14" x14ac:dyDescent="0.25">
      <c r="A821" s="9" t="s">
        <v>5211</v>
      </c>
      <c r="B821" s="10">
        <v>714</v>
      </c>
      <c r="C821" s="10" t="s">
        <v>70</v>
      </c>
      <c r="D821" t="s">
        <v>4711</v>
      </c>
      <c r="E821" t="s">
        <v>4712</v>
      </c>
      <c r="F821" s="10" t="s">
        <v>39</v>
      </c>
      <c r="G821" s="2">
        <v>7.7043999999999997</v>
      </c>
      <c r="H821" s="13">
        <v>10</v>
      </c>
      <c r="I821" s="13">
        <v>3</v>
      </c>
      <c r="J821" s="13">
        <v>-3</v>
      </c>
      <c r="K821" s="10">
        <v>10</v>
      </c>
      <c r="L821" s="2">
        <v>77.043999999999997</v>
      </c>
      <c r="M821" s="1">
        <v>46176.375</v>
      </c>
      <c r="N821" t="s">
        <v>40</v>
      </c>
    </row>
    <row r="822" spans="1:14" x14ac:dyDescent="0.25">
      <c r="A822" s="9" t="s">
        <v>5211</v>
      </c>
      <c r="B822" s="10">
        <v>714</v>
      </c>
      <c r="C822" s="10" t="s">
        <v>143</v>
      </c>
      <c r="D822" t="s">
        <v>4515</v>
      </c>
      <c r="E822" t="s">
        <v>4516</v>
      </c>
      <c r="F822" s="10" t="s">
        <v>23</v>
      </c>
      <c r="G822" s="2">
        <v>11.6617</v>
      </c>
      <c r="H822" s="13">
        <v>10</v>
      </c>
      <c r="I822" s="13">
        <v>41</v>
      </c>
      <c r="J822" s="13">
        <v>-41</v>
      </c>
      <c r="K822" s="10">
        <v>10</v>
      </c>
      <c r="L822" s="2">
        <v>116.617</v>
      </c>
      <c r="M822" s="1">
        <v>46176.695833333331</v>
      </c>
      <c r="N822" t="s">
        <v>2225</v>
      </c>
    </row>
    <row r="823" spans="1:14" x14ac:dyDescent="0.25">
      <c r="A823" s="9" t="s">
        <v>5211</v>
      </c>
      <c r="B823" s="10">
        <v>636</v>
      </c>
      <c r="C823" s="10" t="s">
        <v>70</v>
      </c>
      <c r="D823" t="s">
        <v>814</v>
      </c>
      <c r="E823" t="s">
        <v>815</v>
      </c>
      <c r="F823" s="10" t="s">
        <v>39</v>
      </c>
      <c r="G823" s="2">
        <v>6.3418000000000001</v>
      </c>
      <c r="H823" s="13">
        <v>10</v>
      </c>
      <c r="I823" s="13">
        <v>0</v>
      </c>
      <c r="J823" s="13">
        <v>0</v>
      </c>
      <c r="K823" s="10">
        <v>10</v>
      </c>
      <c r="L823" s="2">
        <v>63.417999999999999</v>
      </c>
      <c r="M823" s="1">
        <v>46177.399305555555</v>
      </c>
      <c r="N823" t="s">
        <v>16</v>
      </c>
    </row>
    <row r="824" spans="1:14" x14ac:dyDescent="0.25">
      <c r="A824" s="9" t="s">
        <v>5211</v>
      </c>
      <c r="B824" s="10">
        <v>636</v>
      </c>
      <c r="C824" s="10" t="s">
        <v>70</v>
      </c>
      <c r="D824" t="s">
        <v>851</v>
      </c>
      <c r="E824" t="s">
        <v>852</v>
      </c>
      <c r="F824" s="10" t="s">
        <v>39</v>
      </c>
      <c r="G824" s="2">
        <v>6.9751000000000003</v>
      </c>
      <c r="H824" s="13">
        <v>10</v>
      </c>
      <c r="I824" s="13">
        <v>0</v>
      </c>
      <c r="J824" s="13">
        <v>0</v>
      </c>
      <c r="K824" s="10">
        <v>10</v>
      </c>
      <c r="L824" s="2">
        <v>69.751000000000005</v>
      </c>
      <c r="M824" s="1">
        <v>46177.399305555555</v>
      </c>
      <c r="N824" t="s">
        <v>16</v>
      </c>
    </row>
    <row r="825" spans="1:14" x14ac:dyDescent="0.25">
      <c r="A825" s="9" t="s">
        <v>5211</v>
      </c>
      <c r="B825" s="10">
        <v>636</v>
      </c>
      <c r="C825" s="10" t="s">
        <v>143</v>
      </c>
      <c r="D825" t="s">
        <v>943</v>
      </c>
      <c r="E825" t="s">
        <v>944</v>
      </c>
      <c r="F825" s="10" t="s">
        <v>112</v>
      </c>
      <c r="G825" s="2">
        <v>22.575099999999999</v>
      </c>
      <c r="H825" s="13">
        <v>10</v>
      </c>
      <c r="I825" s="13">
        <v>0</v>
      </c>
      <c r="J825" s="13">
        <v>0</v>
      </c>
      <c r="K825" s="10">
        <v>10</v>
      </c>
      <c r="L825" s="2">
        <v>225.751</v>
      </c>
      <c r="M825" s="1">
        <v>46181.511111111111</v>
      </c>
      <c r="N825" t="s">
        <v>599</v>
      </c>
    </row>
    <row r="826" spans="1:14" x14ac:dyDescent="0.25">
      <c r="A826" s="9" t="s">
        <v>5211</v>
      </c>
      <c r="B826" s="10">
        <v>714</v>
      </c>
      <c r="C826" s="10" t="s">
        <v>143</v>
      </c>
      <c r="D826" t="s">
        <v>4078</v>
      </c>
      <c r="E826" t="s">
        <v>4079</v>
      </c>
      <c r="F826" s="10" t="s">
        <v>23</v>
      </c>
      <c r="G826" s="2">
        <v>79.037000000000006</v>
      </c>
      <c r="H826" s="13">
        <v>10</v>
      </c>
      <c r="I826" s="13">
        <v>45</v>
      </c>
      <c r="J826" s="13">
        <v>-45</v>
      </c>
      <c r="K826" s="10">
        <v>10</v>
      </c>
      <c r="L826" s="2">
        <v>790.37</v>
      </c>
      <c r="M826" s="1">
        <v>46183.468055555553</v>
      </c>
      <c r="N826" t="s">
        <v>175</v>
      </c>
    </row>
    <row r="827" spans="1:14" x14ac:dyDescent="0.25">
      <c r="A827" s="9" t="s">
        <v>5211</v>
      </c>
      <c r="B827" s="10">
        <v>636</v>
      </c>
      <c r="C827" s="10" t="s">
        <v>70</v>
      </c>
      <c r="D827" t="s">
        <v>735</v>
      </c>
      <c r="E827" t="s">
        <v>736</v>
      </c>
      <c r="F827" s="10" t="s">
        <v>39</v>
      </c>
      <c r="G827" s="2">
        <v>5.8784999999999998</v>
      </c>
      <c r="H827" s="13">
        <v>10</v>
      </c>
      <c r="I827" s="13">
        <v>0</v>
      </c>
      <c r="J827" s="13">
        <v>0</v>
      </c>
      <c r="K827" s="10">
        <v>10</v>
      </c>
      <c r="L827" s="2">
        <v>58.784999999999997</v>
      </c>
      <c r="M827" s="1">
        <v>46184.540277777778</v>
      </c>
      <c r="N827" t="s">
        <v>16</v>
      </c>
    </row>
    <row r="828" spans="1:14" x14ac:dyDescent="0.25">
      <c r="A828" s="9" t="s">
        <v>5211</v>
      </c>
      <c r="B828" s="10">
        <v>714</v>
      </c>
      <c r="C828" s="10" t="s">
        <v>143</v>
      </c>
      <c r="D828" t="s">
        <v>2509</v>
      </c>
      <c r="E828" t="s">
        <v>2510</v>
      </c>
      <c r="F828" s="10" t="s">
        <v>112</v>
      </c>
      <c r="G828" s="2">
        <v>22.258700000000001</v>
      </c>
      <c r="H828" s="13">
        <v>10</v>
      </c>
      <c r="I828" s="13">
        <v>0</v>
      </c>
      <c r="J828" s="13">
        <v>0</v>
      </c>
      <c r="K828" s="10">
        <v>10</v>
      </c>
      <c r="L828" s="2">
        <v>222.58699999999999</v>
      </c>
      <c r="M828" s="1">
        <v>46188.35</v>
      </c>
      <c r="N828" t="s">
        <v>26</v>
      </c>
    </row>
    <row r="829" spans="1:14" x14ac:dyDescent="0.25">
      <c r="A829" s="9" t="s">
        <v>5211</v>
      </c>
      <c r="B829" s="10">
        <v>636</v>
      </c>
      <c r="C829" s="10" t="s">
        <v>143</v>
      </c>
      <c r="D829" t="s">
        <v>1120</v>
      </c>
      <c r="E829" t="s">
        <v>1121</v>
      </c>
      <c r="F829" s="10" t="s">
        <v>43</v>
      </c>
      <c r="G829" s="2">
        <v>63.466799999999999</v>
      </c>
      <c r="H829" s="13">
        <v>10</v>
      </c>
      <c r="I829" s="13">
        <v>0</v>
      </c>
      <c r="J829" s="13">
        <v>0</v>
      </c>
      <c r="K829" s="10">
        <v>10</v>
      </c>
      <c r="L829" s="2">
        <v>634.66800000000001</v>
      </c>
      <c r="M829" s="1">
        <v>46188.605555555558</v>
      </c>
      <c r="N829" t="s">
        <v>1122</v>
      </c>
    </row>
    <row r="830" spans="1:14" x14ac:dyDescent="0.25">
      <c r="A830" s="9" t="s">
        <v>5211</v>
      </c>
      <c r="B830" s="10">
        <v>714</v>
      </c>
      <c r="C830" s="10" t="s">
        <v>70</v>
      </c>
      <c r="D830" t="s">
        <v>757</v>
      </c>
      <c r="E830" t="s">
        <v>758</v>
      </c>
      <c r="F830" s="10" t="s">
        <v>158</v>
      </c>
      <c r="G830" s="2">
        <v>7.0220000000000002</v>
      </c>
      <c r="H830" s="13">
        <v>10</v>
      </c>
      <c r="I830" s="13">
        <v>0</v>
      </c>
      <c r="J830" s="13">
        <v>0</v>
      </c>
      <c r="K830" s="10">
        <v>10</v>
      </c>
      <c r="L830" s="2">
        <v>70.22</v>
      </c>
      <c r="M830" s="1">
        <v>46190.381944444445</v>
      </c>
      <c r="N830" t="s">
        <v>720</v>
      </c>
    </row>
    <row r="831" spans="1:14" x14ac:dyDescent="0.25">
      <c r="A831" s="9" t="s">
        <v>5211</v>
      </c>
      <c r="B831" s="10">
        <v>718</v>
      </c>
      <c r="C831" s="10" t="s">
        <v>12</v>
      </c>
      <c r="D831" t="s">
        <v>4695</v>
      </c>
      <c r="E831" t="s">
        <v>4696</v>
      </c>
      <c r="F831" s="10" t="s">
        <v>112</v>
      </c>
      <c r="G831" s="2">
        <v>10.368399999999999</v>
      </c>
      <c r="H831" s="13">
        <v>10</v>
      </c>
      <c r="I831" s="13">
        <v>58</v>
      </c>
      <c r="J831" s="13">
        <v>-58</v>
      </c>
      <c r="K831" s="10">
        <v>10</v>
      </c>
      <c r="L831" s="2">
        <v>103.684</v>
      </c>
      <c r="M831" s="1">
        <v>46191.441666666666</v>
      </c>
      <c r="N831" t="s">
        <v>5127</v>
      </c>
    </row>
    <row r="832" spans="1:14" x14ac:dyDescent="0.25">
      <c r="A832" s="9" t="s">
        <v>5211</v>
      </c>
      <c r="B832" s="10">
        <v>636</v>
      </c>
      <c r="C832" s="10" t="s">
        <v>70</v>
      </c>
      <c r="D832" t="s">
        <v>583</v>
      </c>
      <c r="E832" t="s">
        <v>584</v>
      </c>
      <c r="F832" s="10" t="s">
        <v>29</v>
      </c>
      <c r="G832" s="2">
        <v>6.7813999999999997</v>
      </c>
      <c r="H832" s="13">
        <v>10</v>
      </c>
      <c r="I832" s="13">
        <v>-4</v>
      </c>
      <c r="J832" s="13">
        <v>4</v>
      </c>
      <c r="K832" s="10">
        <v>10</v>
      </c>
      <c r="L832" s="2">
        <v>67.813999999999993</v>
      </c>
      <c r="M832" s="1">
        <v>46191.495833333334</v>
      </c>
      <c r="N832" t="s">
        <v>522</v>
      </c>
    </row>
    <row r="833" spans="1:14" x14ac:dyDescent="0.25">
      <c r="A833" s="9" t="s">
        <v>5211</v>
      </c>
      <c r="B833" s="10">
        <v>718</v>
      </c>
      <c r="C833" s="10" t="s">
        <v>323</v>
      </c>
      <c r="D833" t="s">
        <v>1578</v>
      </c>
      <c r="E833" t="s">
        <v>1579</v>
      </c>
      <c r="F833" s="10" t="s">
        <v>158</v>
      </c>
      <c r="G833" s="2">
        <v>91.079700000000003</v>
      </c>
      <c r="H833" s="13">
        <v>10</v>
      </c>
      <c r="I833" s="13">
        <v>5</v>
      </c>
      <c r="J833" s="13">
        <v>-5</v>
      </c>
      <c r="K833" s="10">
        <v>10</v>
      </c>
      <c r="L833" s="2">
        <v>910.79700000000003</v>
      </c>
      <c r="M833" s="1">
        <v>46191.520138888889</v>
      </c>
      <c r="N833" t="s">
        <v>3740</v>
      </c>
    </row>
    <row r="834" spans="1:14" x14ac:dyDescent="0.25">
      <c r="A834" s="9" t="s">
        <v>5211</v>
      </c>
      <c r="B834" s="10">
        <v>714</v>
      </c>
      <c r="C834" s="10" t="s">
        <v>12</v>
      </c>
      <c r="D834" t="s">
        <v>1920</v>
      </c>
      <c r="E834" t="s">
        <v>1921</v>
      </c>
      <c r="F834" s="10" t="s">
        <v>39</v>
      </c>
      <c r="G834" s="2">
        <v>12.4742</v>
      </c>
      <c r="H834" s="13">
        <v>10</v>
      </c>
      <c r="I834" s="13">
        <v>0</v>
      </c>
      <c r="J834" s="13">
        <v>0</v>
      </c>
      <c r="K834" s="10">
        <v>10</v>
      </c>
      <c r="L834" s="2">
        <v>124.742</v>
      </c>
      <c r="M834" s="1">
        <v>46193.431250000001</v>
      </c>
      <c r="N834" t="s">
        <v>26</v>
      </c>
    </row>
    <row r="835" spans="1:14" x14ac:dyDescent="0.25">
      <c r="A835" s="9" t="s">
        <v>5211</v>
      </c>
      <c r="B835" s="10">
        <v>714</v>
      </c>
      <c r="C835" s="10" t="s">
        <v>12</v>
      </c>
      <c r="D835" t="s">
        <v>1910</v>
      </c>
      <c r="E835" t="s">
        <v>1911</v>
      </c>
      <c r="F835" s="10" t="s">
        <v>39</v>
      </c>
      <c r="G835" s="2">
        <v>12.4764</v>
      </c>
      <c r="H835" s="13">
        <v>10</v>
      </c>
      <c r="I835" s="13">
        <v>0</v>
      </c>
      <c r="J835" s="13">
        <v>0</v>
      </c>
      <c r="K835" s="10">
        <v>10</v>
      </c>
      <c r="L835" s="2">
        <v>124.764</v>
      </c>
      <c r="M835" s="1">
        <v>46193.431250000001</v>
      </c>
      <c r="N835" t="s">
        <v>26</v>
      </c>
    </row>
    <row r="836" spans="1:14" x14ac:dyDescent="0.25">
      <c r="A836" s="9" t="s">
        <v>5211</v>
      </c>
      <c r="B836" s="10">
        <v>718</v>
      </c>
      <c r="C836" s="10" t="s">
        <v>70</v>
      </c>
      <c r="D836" t="s">
        <v>3661</v>
      </c>
      <c r="E836" t="s">
        <v>3662</v>
      </c>
      <c r="F836" s="10" t="s">
        <v>112</v>
      </c>
      <c r="G836" s="2">
        <v>6.3160999999999996</v>
      </c>
      <c r="H836" s="13">
        <v>10</v>
      </c>
      <c r="I836" s="13">
        <v>-17</v>
      </c>
      <c r="J836" s="13">
        <v>17</v>
      </c>
      <c r="K836" s="10">
        <v>10</v>
      </c>
      <c r="L836" s="2">
        <v>63.161000000000001</v>
      </c>
      <c r="M836" s="1">
        <v>46193.592361111114</v>
      </c>
      <c r="N836" t="s">
        <v>26</v>
      </c>
    </row>
    <row r="837" spans="1:14" x14ac:dyDescent="0.25">
      <c r="A837" s="9" t="s">
        <v>5211</v>
      </c>
      <c r="B837" s="10">
        <v>714</v>
      </c>
      <c r="C837" s="10" t="s">
        <v>143</v>
      </c>
      <c r="D837" t="s">
        <v>2689</v>
      </c>
      <c r="E837" t="s">
        <v>2690</v>
      </c>
      <c r="F837" s="10" t="s">
        <v>158</v>
      </c>
      <c r="G837" s="2">
        <v>70.337199999999996</v>
      </c>
      <c r="H837" s="13">
        <v>10</v>
      </c>
      <c r="I837" s="13">
        <v>0</v>
      </c>
      <c r="J837" s="13">
        <v>0</v>
      </c>
      <c r="K837" s="10">
        <v>10</v>
      </c>
      <c r="L837" s="2">
        <v>703.37199999999996</v>
      </c>
      <c r="M837" s="1">
        <v>46195.554861111108</v>
      </c>
      <c r="N837" t="s">
        <v>310</v>
      </c>
    </row>
    <row r="838" spans="1:14" x14ac:dyDescent="0.25">
      <c r="A838" s="9" t="s">
        <v>5211</v>
      </c>
      <c r="B838" s="10">
        <v>714</v>
      </c>
      <c r="C838" s="10" t="s">
        <v>143</v>
      </c>
      <c r="D838" t="s">
        <v>2413</v>
      </c>
      <c r="E838" t="s">
        <v>2414</v>
      </c>
      <c r="F838" s="10" t="s">
        <v>23</v>
      </c>
      <c r="G838" s="2">
        <v>100.93899999999999</v>
      </c>
      <c r="H838" s="13">
        <v>10</v>
      </c>
      <c r="I838" s="13">
        <v>0</v>
      </c>
      <c r="J838" s="13">
        <v>0</v>
      </c>
      <c r="K838" s="10">
        <v>10</v>
      </c>
      <c r="L838" s="2">
        <v>1009.39</v>
      </c>
      <c r="M838" s="1">
        <v>46196.347916666666</v>
      </c>
      <c r="N838" t="s">
        <v>36</v>
      </c>
    </row>
    <row r="839" spans="1:14" x14ac:dyDescent="0.25">
      <c r="A839" s="9" t="s">
        <v>5211</v>
      </c>
      <c r="B839" s="10">
        <v>714</v>
      </c>
      <c r="C839" s="10" t="s">
        <v>323</v>
      </c>
      <c r="D839" t="s">
        <v>3290</v>
      </c>
      <c r="E839" t="s">
        <v>3291</v>
      </c>
      <c r="F839" s="10" t="s">
        <v>19</v>
      </c>
      <c r="G839" s="2">
        <v>192.7217</v>
      </c>
      <c r="H839" s="13">
        <v>10</v>
      </c>
      <c r="I839" s="13">
        <v>9</v>
      </c>
      <c r="J839" s="13">
        <v>-9</v>
      </c>
      <c r="K839" s="10">
        <v>10</v>
      </c>
      <c r="L839" s="2">
        <v>1927.2170000000001</v>
      </c>
      <c r="M839" s="1">
        <v>46200.335416666669</v>
      </c>
      <c r="N839" t="s">
        <v>151</v>
      </c>
    </row>
    <row r="840" spans="1:14" x14ac:dyDescent="0.25">
      <c r="A840" s="9" t="s">
        <v>5211</v>
      </c>
      <c r="B840" s="10">
        <v>634</v>
      </c>
      <c r="C840" s="10" t="s">
        <v>323</v>
      </c>
      <c r="D840" t="s">
        <v>4264</v>
      </c>
      <c r="E840" t="s">
        <v>4265</v>
      </c>
      <c r="F840" s="10" t="s">
        <v>19</v>
      </c>
      <c r="G840" s="2">
        <v>297.05410000000001</v>
      </c>
      <c r="H840" s="13">
        <v>10</v>
      </c>
      <c r="I840" s="13">
        <v>6</v>
      </c>
      <c r="J840" s="13">
        <v>-6</v>
      </c>
      <c r="K840" s="10">
        <v>10</v>
      </c>
      <c r="L840" s="2">
        <v>2970.5410000000002</v>
      </c>
      <c r="M840" s="1">
        <v>46203.579861111109</v>
      </c>
      <c r="N840" t="s">
        <v>402</v>
      </c>
    </row>
    <row r="841" spans="1:14" x14ac:dyDescent="0.25">
      <c r="A841" s="9" t="s">
        <v>5211</v>
      </c>
      <c r="B841" s="10">
        <v>634</v>
      </c>
      <c r="C841" s="10" t="s">
        <v>323</v>
      </c>
      <c r="D841" t="s">
        <v>367</v>
      </c>
      <c r="E841" t="s">
        <v>368</v>
      </c>
      <c r="F841" s="10" t="s">
        <v>158</v>
      </c>
      <c r="G841" s="2">
        <v>218.41130000000001</v>
      </c>
      <c r="H841" s="13">
        <v>10</v>
      </c>
      <c r="I841" s="13">
        <v>3</v>
      </c>
      <c r="J841" s="13">
        <v>-3</v>
      </c>
      <c r="K841" s="10">
        <v>10</v>
      </c>
      <c r="L841" s="2">
        <v>2184.1129999999998</v>
      </c>
      <c r="M841" s="1">
        <v>46209.655555555553</v>
      </c>
      <c r="N841" t="s">
        <v>151</v>
      </c>
    </row>
    <row r="842" spans="1:14" x14ac:dyDescent="0.25">
      <c r="A842" s="9" t="s">
        <v>5211</v>
      </c>
      <c r="B842" s="10">
        <v>718</v>
      </c>
      <c r="C842" s="10" t="s">
        <v>70</v>
      </c>
      <c r="D842" t="s">
        <v>682</v>
      </c>
      <c r="E842" t="s">
        <v>683</v>
      </c>
      <c r="F842" s="10" t="s">
        <v>29</v>
      </c>
      <c r="G842" s="2">
        <v>7.1074999999999999</v>
      </c>
      <c r="H842" s="13">
        <v>10</v>
      </c>
      <c r="I842" s="13">
        <v>0</v>
      </c>
      <c r="J842" s="13">
        <v>0</v>
      </c>
      <c r="K842" s="10">
        <v>10</v>
      </c>
      <c r="L842" s="2">
        <v>71.075000000000003</v>
      </c>
      <c r="M842" s="1">
        <v>46212.438888888886</v>
      </c>
      <c r="N842" t="s">
        <v>40</v>
      </c>
    </row>
    <row r="843" spans="1:14" x14ac:dyDescent="0.25">
      <c r="A843" s="9" t="s">
        <v>5211</v>
      </c>
      <c r="B843" s="10">
        <v>718</v>
      </c>
      <c r="C843" s="10" t="s">
        <v>70</v>
      </c>
      <c r="D843" t="s">
        <v>3669</v>
      </c>
      <c r="E843" t="s">
        <v>3670</v>
      </c>
      <c r="F843" s="10" t="s">
        <v>39</v>
      </c>
      <c r="G843" s="2">
        <v>5.71</v>
      </c>
      <c r="H843" s="13">
        <v>10</v>
      </c>
      <c r="I843" s="13">
        <v>0</v>
      </c>
      <c r="J843" s="13">
        <v>0</v>
      </c>
      <c r="K843" s="10">
        <v>10</v>
      </c>
      <c r="L843" s="2">
        <v>57.1</v>
      </c>
      <c r="M843" s="1">
        <v>46213.561805555553</v>
      </c>
      <c r="N843" t="s">
        <v>573</v>
      </c>
    </row>
    <row r="844" spans="1:14" x14ac:dyDescent="0.25">
      <c r="A844" s="9" t="s">
        <v>5211</v>
      </c>
      <c r="B844" s="10">
        <v>718</v>
      </c>
      <c r="C844" s="10" t="s">
        <v>143</v>
      </c>
      <c r="D844" t="s">
        <v>2804</v>
      </c>
      <c r="E844" t="s">
        <v>2805</v>
      </c>
      <c r="F844" s="10" t="s">
        <v>39</v>
      </c>
      <c r="G844" s="2">
        <v>25.061800000000002</v>
      </c>
      <c r="H844" s="13">
        <v>10</v>
      </c>
      <c r="I844" s="13">
        <v>0</v>
      </c>
      <c r="J844" s="13">
        <v>0</v>
      </c>
      <c r="K844" s="10">
        <v>10</v>
      </c>
      <c r="L844" s="2">
        <v>250.61799999999999</v>
      </c>
      <c r="M844" s="1">
        <v>46224.686805555553</v>
      </c>
      <c r="N844" t="s">
        <v>2225</v>
      </c>
    </row>
    <row r="845" spans="1:14" x14ac:dyDescent="0.25">
      <c r="A845" s="9" t="s">
        <v>5211</v>
      </c>
      <c r="B845" s="10">
        <v>718</v>
      </c>
      <c r="C845" s="10" t="s">
        <v>143</v>
      </c>
      <c r="D845" t="s">
        <v>4114</v>
      </c>
      <c r="E845" t="s">
        <v>4115</v>
      </c>
      <c r="F845" s="10" t="s">
        <v>43</v>
      </c>
      <c r="G845" s="2">
        <v>40.014800000000001</v>
      </c>
      <c r="H845" s="13">
        <v>10</v>
      </c>
      <c r="I845" s="13">
        <v>24</v>
      </c>
      <c r="J845" s="13">
        <v>-24</v>
      </c>
      <c r="K845" s="10">
        <v>10</v>
      </c>
      <c r="L845" s="2">
        <v>400.14800000000002</v>
      </c>
      <c r="M845" s="1">
        <v>46226.609722222223</v>
      </c>
      <c r="N845" t="s">
        <v>371</v>
      </c>
    </row>
    <row r="846" spans="1:14" x14ac:dyDescent="0.25">
      <c r="A846" s="9" t="s">
        <v>5211</v>
      </c>
      <c r="B846" s="10">
        <v>714</v>
      </c>
      <c r="C846" s="10" t="s">
        <v>323</v>
      </c>
      <c r="D846" t="s">
        <v>4935</v>
      </c>
      <c r="E846" t="s">
        <v>4936</v>
      </c>
      <c r="F846" s="10" t="s">
        <v>43</v>
      </c>
      <c r="G846" s="2">
        <v>69.606800000000007</v>
      </c>
      <c r="H846" s="13">
        <v>10</v>
      </c>
      <c r="I846" s="13">
        <v>16</v>
      </c>
      <c r="J846" s="13">
        <v>-16</v>
      </c>
      <c r="K846" s="10">
        <v>10</v>
      </c>
      <c r="L846" s="2">
        <v>696.06799999999998</v>
      </c>
      <c r="M846" s="1">
        <v>46227.429861111108</v>
      </c>
      <c r="N846" t="s">
        <v>366</v>
      </c>
    </row>
    <row r="847" spans="1:14" x14ac:dyDescent="0.25">
      <c r="A847" s="9" t="s">
        <v>5211</v>
      </c>
      <c r="B847" s="10">
        <v>714</v>
      </c>
      <c r="C847" s="10" t="s">
        <v>143</v>
      </c>
      <c r="D847" t="s">
        <v>4128</v>
      </c>
      <c r="E847" t="s">
        <v>4129</v>
      </c>
      <c r="F847" s="10" t="s">
        <v>43</v>
      </c>
      <c r="G847" s="2">
        <v>45.459800000000001</v>
      </c>
      <c r="H847" s="13">
        <v>10</v>
      </c>
      <c r="I847" s="13">
        <v>52</v>
      </c>
      <c r="J847" s="13">
        <v>-52</v>
      </c>
      <c r="K847" s="10">
        <v>10</v>
      </c>
      <c r="L847" s="2">
        <v>454.59800000000001</v>
      </c>
      <c r="M847" s="1">
        <v>46231.365972222222</v>
      </c>
      <c r="N847" t="s">
        <v>1535</v>
      </c>
    </row>
    <row r="848" spans="1:14" x14ac:dyDescent="0.25">
      <c r="A848" s="9" t="s">
        <v>5211</v>
      </c>
      <c r="B848" s="10">
        <v>714</v>
      </c>
      <c r="C848" s="10" t="s">
        <v>12</v>
      </c>
      <c r="D848" t="s">
        <v>538</v>
      </c>
      <c r="E848" t="s">
        <v>539</v>
      </c>
      <c r="F848" s="10" t="s">
        <v>39</v>
      </c>
      <c r="G848" s="2">
        <v>7.8270999999999997</v>
      </c>
      <c r="H848" s="13">
        <v>10</v>
      </c>
      <c r="I848" s="13">
        <v>-6</v>
      </c>
      <c r="J848" s="13">
        <v>6</v>
      </c>
      <c r="K848" s="10">
        <v>10</v>
      </c>
      <c r="L848" s="2">
        <v>78.271000000000001</v>
      </c>
      <c r="M848" s="1">
        <v>46239.576388888891</v>
      </c>
      <c r="N848" t="s">
        <v>573</v>
      </c>
    </row>
    <row r="849" spans="1:14" x14ac:dyDescent="0.25">
      <c r="A849" s="9" t="s">
        <v>5211</v>
      </c>
      <c r="B849" s="10">
        <v>718</v>
      </c>
      <c r="C849" s="10" t="s">
        <v>70</v>
      </c>
      <c r="D849" t="s">
        <v>845</v>
      </c>
      <c r="E849" t="s">
        <v>846</v>
      </c>
      <c r="F849" s="10" t="s">
        <v>112</v>
      </c>
      <c r="G849" s="2">
        <v>6.0015000000000001</v>
      </c>
      <c r="H849" s="13">
        <v>10</v>
      </c>
      <c r="I849" s="13">
        <v>5</v>
      </c>
      <c r="J849" s="13">
        <v>-5</v>
      </c>
      <c r="K849" s="10">
        <v>10</v>
      </c>
      <c r="L849" s="2">
        <v>60.015000000000001</v>
      </c>
      <c r="M849" s="1">
        <v>46246.392361111109</v>
      </c>
      <c r="N849" t="s">
        <v>40</v>
      </c>
    </row>
    <row r="850" spans="1:14" x14ac:dyDescent="0.25">
      <c r="A850" s="9" t="s">
        <v>5211</v>
      </c>
      <c r="B850" s="10">
        <v>718</v>
      </c>
      <c r="C850" s="10" t="s">
        <v>143</v>
      </c>
      <c r="D850" t="s">
        <v>4124</v>
      </c>
      <c r="E850" t="s">
        <v>4125</v>
      </c>
      <c r="F850" s="10" t="s">
        <v>112</v>
      </c>
      <c r="G850" s="2">
        <v>14.5153</v>
      </c>
      <c r="H850" s="13">
        <v>10</v>
      </c>
      <c r="I850" s="13">
        <v>28</v>
      </c>
      <c r="J850" s="13">
        <v>-28</v>
      </c>
      <c r="K850" s="10">
        <v>10</v>
      </c>
      <c r="L850" s="2">
        <v>145.15299999999999</v>
      </c>
      <c r="M850" s="1">
        <v>46246.515972222223</v>
      </c>
      <c r="N850" t="s">
        <v>159</v>
      </c>
    </row>
    <row r="851" spans="1:14" x14ac:dyDescent="0.25">
      <c r="A851" s="9" t="s">
        <v>5211</v>
      </c>
      <c r="B851" s="10">
        <v>714</v>
      </c>
      <c r="C851" s="10" t="s">
        <v>323</v>
      </c>
      <c r="D851" t="s">
        <v>5047</v>
      </c>
      <c r="E851" t="s">
        <v>5048</v>
      </c>
      <c r="F851" s="10" t="s">
        <v>158</v>
      </c>
      <c r="G851" s="2">
        <v>72</v>
      </c>
      <c r="H851" s="13">
        <v>10</v>
      </c>
      <c r="I851" s="13">
        <v>14</v>
      </c>
      <c r="J851" s="13">
        <v>-14</v>
      </c>
      <c r="K851" s="10">
        <v>10</v>
      </c>
      <c r="L851" s="2">
        <v>720</v>
      </c>
      <c r="M851" s="1">
        <v>46248.381944444445</v>
      </c>
      <c r="N851" t="s">
        <v>2444</v>
      </c>
    </row>
    <row r="852" spans="1:14" x14ac:dyDescent="0.25">
      <c r="A852" s="9" t="s">
        <v>5211</v>
      </c>
      <c r="B852" s="10">
        <v>718</v>
      </c>
      <c r="C852" s="10" t="s">
        <v>70</v>
      </c>
      <c r="D852" t="s">
        <v>3645</v>
      </c>
      <c r="E852" t="s">
        <v>3646</v>
      </c>
      <c r="F852" s="10" t="s">
        <v>29</v>
      </c>
      <c r="G852" s="2">
        <v>7.0248999999999997</v>
      </c>
      <c r="H852" s="13">
        <v>9</v>
      </c>
      <c r="I852" s="13">
        <v>8</v>
      </c>
      <c r="J852" s="13">
        <v>-8</v>
      </c>
      <c r="K852" s="10">
        <v>9</v>
      </c>
      <c r="L852" s="2">
        <v>63.2241</v>
      </c>
      <c r="M852" s="1">
        <v>45210.365277777775</v>
      </c>
      <c r="N852" t="s">
        <v>40</v>
      </c>
    </row>
    <row r="853" spans="1:14" x14ac:dyDescent="0.25">
      <c r="A853" s="9" t="s">
        <v>5211</v>
      </c>
      <c r="B853" s="10">
        <v>714</v>
      </c>
      <c r="C853" s="10" t="s">
        <v>323</v>
      </c>
      <c r="D853" t="s">
        <v>3282</v>
      </c>
      <c r="E853" t="s">
        <v>3283</v>
      </c>
      <c r="F853" s="10" t="s">
        <v>23</v>
      </c>
      <c r="G853" s="2">
        <v>258.68979999999999</v>
      </c>
      <c r="H853" s="13">
        <v>9</v>
      </c>
      <c r="I853" s="13">
        <v>0</v>
      </c>
      <c r="J853" s="13">
        <v>0</v>
      </c>
      <c r="K853" s="10">
        <v>9</v>
      </c>
      <c r="L853" s="2">
        <v>2328.2082</v>
      </c>
      <c r="M853" s="1">
        <v>45406.614583333336</v>
      </c>
      <c r="N853" t="s">
        <v>137</v>
      </c>
    </row>
    <row r="854" spans="1:14" x14ac:dyDescent="0.25">
      <c r="A854" s="9" t="s">
        <v>5211</v>
      </c>
      <c r="B854" s="10">
        <v>714</v>
      </c>
      <c r="C854" s="10" t="s">
        <v>143</v>
      </c>
      <c r="D854" t="s">
        <v>4559</v>
      </c>
      <c r="E854" t="s">
        <v>4560</v>
      </c>
      <c r="F854" s="10" t="s">
        <v>23</v>
      </c>
      <c r="G854" s="2">
        <v>11.7</v>
      </c>
      <c r="H854" s="13">
        <v>9</v>
      </c>
      <c r="I854" s="13">
        <v>2</v>
      </c>
      <c r="J854" s="13">
        <v>-2</v>
      </c>
      <c r="K854" s="10">
        <v>9</v>
      </c>
      <c r="L854" s="2">
        <v>105.3</v>
      </c>
      <c r="M854" s="1">
        <v>45742.349305555559</v>
      </c>
      <c r="N854" t="s">
        <v>229</v>
      </c>
    </row>
    <row r="855" spans="1:14" x14ac:dyDescent="0.25">
      <c r="A855" s="9" t="s">
        <v>5211</v>
      </c>
      <c r="B855" s="10">
        <v>714</v>
      </c>
      <c r="C855" s="10" t="s">
        <v>70</v>
      </c>
      <c r="D855" t="s">
        <v>1999</v>
      </c>
      <c r="E855" t="s">
        <v>2000</v>
      </c>
      <c r="F855" s="10" t="s">
        <v>15</v>
      </c>
      <c r="G855" s="2">
        <v>7.7919999999999998</v>
      </c>
      <c r="H855" s="13">
        <v>9</v>
      </c>
      <c r="I855" s="13">
        <v>0</v>
      </c>
      <c r="J855" s="13">
        <v>0</v>
      </c>
      <c r="K855" s="10">
        <v>9</v>
      </c>
      <c r="L855" s="2">
        <v>70.128</v>
      </c>
      <c r="M855" s="1">
        <v>45768.525000000001</v>
      </c>
      <c r="N855" t="s">
        <v>573</v>
      </c>
    </row>
    <row r="856" spans="1:14" x14ac:dyDescent="0.25">
      <c r="A856" s="9" t="s">
        <v>5211</v>
      </c>
      <c r="B856" s="10">
        <v>634</v>
      </c>
      <c r="C856" s="10" t="s">
        <v>12</v>
      </c>
      <c r="D856" t="s">
        <v>24</v>
      </c>
      <c r="E856" t="s">
        <v>25</v>
      </c>
      <c r="F856" s="10" t="s">
        <v>15</v>
      </c>
      <c r="G856" s="2">
        <v>21.256900000000002</v>
      </c>
      <c r="H856" s="13">
        <v>9</v>
      </c>
      <c r="I856" s="13">
        <v>8</v>
      </c>
      <c r="J856" s="13">
        <v>-8</v>
      </c>
      <c r="K856" s="10">
        <v>9</v>
      </c>
      <c r="L856" s="2">
        <v>191.31209999999999</v>
      </c>
      <c r="M856" s="1">
        <v>45770.384722222225</v>
      </c>
      <c r="N856" t="s">
        <v>26</v>
      </c>
    </row>
    <row r="857" spans="1:14" x14ac:dyDescent="0.25">
      <c r="A857" s="9" t="s">
        <v>5211</v>
      </c>
      <c r="B857" s="10">
        <v>714</v>
      </c>
      <c r="C857" s="10" t="s">
        <v>70</v>
      </c>
      <c r="D857" t="s">
        <v>674</v>
      </c>
      <c r="E857" t="s">
        <v>675</v>
      </c>
      <c r="F857" s="10" t="s">
        <v>35</v>
      </c>
      <c r="G857" s="2">
        <v>7.9413</v>
      </c>
      <c r="H857" s="13">
        <v>9</v>
      </c>
      <c r="I857" s="13">
        <v>-3</v>
      </c>
      <c r="J857" s="13">
        <v>3</v>
      </c>
      <c r="K857" s="10">
        <v>9</v>
      </c>
      <c r="L857" s="2">
        <v>71.471699999999998</v>
      </c>
      <c r="M857" s="1">
        <v>45792.576388888891</v>
      </c>
      <c r="N857" t="s">
        <v>573</v>
      </c>
    </row>
    <row r="858" spans="1:14" x14ac:dyDescent="0.25">
      <c r="A858" s="9" t="s">
        <v>5211</v>
      </c>
      <c r="B858" s="10">
        <v>636</v>
      </c>
      <c r="C858" s="10" t="s">
        <v>143</v>
      </c>
      <c r="D858" t="s">
        <v>4499</v>
      </c>
      <c r="E858" t="s">
        <v>4500</v>
      </c>
      <c r="F858" s="10" t="s">
        <v>123</v>
      </c>
      <c r="G858" s="2">
        <v>14.7866</v>
      </c>
      <c r="H858" s="13">
        <v>9</v>
      </c>
      <c r="I858" s="13">
        <v>12</v>
      </c>
      <c r="J858" s="13">
        <v>-12</v>
      </c>
      <c r="K858" s="10">
        <v>9</v>
      </c>
      <c r="L858" s="2">
        <v>133.07939999999999</v>
      </c>
      <c r="M858" s="1">
        <v>45797.456250000003</v>
      </c>
      <c r="N858" t="s">
        <v>162</v>
      </c>
    </row>
    <row r="859" spans="1:14" x14ac:dyDescent="0.25">
      <c r="A859" s="9" t="s">
        <v>5211</v>
      </c>
      <c r="B859" s="10">
        <v>714</v>
      </c>
      <c r="C859" s="10" t="s">
        <v>143</v>
      </c>
      <c r="D859" t="s">
        <v>2432</v>
      </c>
      <c r="E859" t="s">
        <v>2433</v>
      </c>
      <c r="F859" s="10" t="s">
        <v>29</v>
      </c>
      <c r="G859" s="2">
        <v>14.63</v>
      </c>
      <c r="H859" s="13">
        <v>9</v>
      </c>
      <c r="I859" s="13">
        <v>0</v>
      </c>
      <c r="J859" s="13">
        <v>0</v>
      </c>
      <c r="K859" s="10">
        <v>9</v>
      </c>
      <c r="L859" s="2">
        <v>131.66999999999999</v>
      </c>
      <c r="M859" s="1">
        <v>45838.636111111111</v>
      </c>
      <c r="N859" t="s">
        <v>26</v>
      </c>
    </row>
    <row r="860" spans="1:14" x14ac:dyDescent="0.25">
      <c r="A860" s="9" t="s">
        <v>5211</v>
      </c>
      <c r="B860" s="10">
        <v>636</v>
      </c>
      <c r="C860" s="10" t="s">
        <v>143</v>
      </c>
      <c r="D860" t="s">
        <v>4136</v>
      </c>
      <c r="E860" t="s">
        <v>4137</v>
      </c>
      <c r="F860" s="10" t="s">
        <v>39</v>
      </c>
      <c r="G860" s="2">
        <v>15.6892</v>
      </c>
      <c r="H860" s="13">
        <v>9</v>
      </c>
      <c r="I860" s="13">
        <v>1</v>
      </c>
      <c r="J860" s="13">
        <v>-1</v>
      </c>
      <c r="K860" s="10">
        <v>9</v>
      </c>
      <c r="L860" s="2">
        <v>141.2028</v>
      </c>
      <c r="M860" s="1">
        <v>45849.467361111114</v>
      </c>
      <c r="N860" t="s">
        <v>195</v>
      </c>
    </row>
    <row r="861" spans="1:14" x14ac:dyDescent="0.25">
      <c r="A861" s="9" t="s">
        <v>5211</v>
      </c>
      <c r="B861" s="10">
        <v>714</v>
      </c>
      <c r="C861" s="10" t="s">
        <v>143</v>
      </c>
      <c r="D861" t="s">
        <v>2262</v>
      </c>
      <c r="E861" t="s">
        <v>2263</v>
      </c>
      <c r="F861" s="10" t="s">
        <v>35</v>
      </c>
      <c r="G861" s="2">
        <v>17.5</v>
      </c>
      <c r="H861" s="13">
        <v>9</v>
      </c>
      <c r="I861" s="13">
        <v>0</v>
      </c>
      <c r="J861" s="13">
        <v>0</v>
      </c>
      <c r="K861" s="10">
        <v>9</v>
      </c>
      <c r="L861" s="2">
        <v>157.5</v>
      </c>
      <c r="M861" s="1">
        <v>45853.355555555558</v>
      </c>
      <c r="N861" t="s">
        <v>229</v>
      </c>
    </row>
    <row r="862" spans="1:14" x14ac:dyDescent="0.25">
      <c r="A862" s="9" t="s">
        <v>5211</v>
      </c>
      <c r="B862" s="10">
        <v>714</v>
      </c>
      <c r="C862" s="10" t="s">
        <v>126</v>
      </c>
      <c r="D862" t="s">
        <v>3705</v>
      </c>
      <c r="E862" t="s">
        <v>3706</v>
      </c>
      <c r="F862" s="10" t="s">
        <v>39</v>
      </c>
      <c r="G862" s="2">
        <v>16.683599999999998</v>
      </c>
      <c r="H862" s="13">
        <v>9</v>
      </c>
      <c r="I862" s="13">
        <v>8</v>
      </c>
      <c r="J862" s="13">
        <v>-8</v>
      </c>
      <c r="K862" s="10">
        <v>9</v>
      </c>
      <c r="L862" s="2">
        <v>150.1524</v>
      </c>
      <c r="M862" s="1">
        <v>45899.359722222223</v>
      </c>
      <c r="N862" t="s">
        <v>140</v>
      </c>
    </row>
    <row r="863" spans="1:14" x14ac:dyDescent="0.25">
      <c r="A863" s="9" t="s">
        <v>5211</v>
      </c>
      <c r="B863" s="10">
        <v>718</v>
      </c>
      <c r="C863" s="10" t="s">
        <v>323</v>
      </c>
      <c r="D863" t="s">
        <v>3935</v>
      </c>
      <c r="E863" t="s">
        <v>3936</v>
      </c>
      <c r="F863" s="10" t="s">
        <v>1047</v>
      </c>
      <c r="G863" s="2">
        <v>130.6885</v>
      </c>
      <c r="H863" s="13">
        <v>9</v>
      </c>
      <c r="I863" s="13">
        <v>0</v>
      </c>
      <c r="J863" s="13">
        <v>0</v>
      </c>
      <c r="K863" s="10">
        <v>9</v>
      </c>
      <c r="L863" s="2">
        <v>1176.1965</v>
      </c>
      <c r="M863" s="1">
        <v>45926.795138888891</v>
      </c>
      <c r="N863" t="s">
        <v>1870</v>
      </c>
    </row>
    <row r="864" spans="1:14" x14ac:dyDescent="0.25">
      <c r="A864" s="9" t="s">
        <v>5211</v>
      </c>
      <c r="B864" s="10">
        <v>714</v>
      </c>
      <c r="C864" s="10" t="s">
        <v>323</v>
      </c>
      <c r="D864" t="s">
        <v>1513</v>
      </c>
      <c r="E864" t="s">
        <v>1514</v>
      </c>
      <c r="F864" s="10" t="s">
        <v>19</v>
      </c>
      <c r="G864" s="2">
        <v>90.472999999999999</v>
      </c>
      <c r="H864" s="13">
        <v>9</v>
      </c>
      <c r="I864" s="13">
        <v>0</v>
      </c>
      <c r="J864" s="13">
        <v>0</v>
      </c>
      <c r="K864" s="10">
        <v>9</v>
      </c>
      <c r="L864" s="2">
        <v>814.25699999999995</v>
      </c>
      <c r="M864" s="1">
        <v>45947.566666666666</v>
      </c>
      <c r="N864" t="s">
        <v>1224</v>
      </c>
    </row>
    <row r="865" spans="1:14" x14ac:dyDescent="0.25">
      <c r="A865" s="9" t="s">
        <v>5211</v>
      </c>
      <c r="B865" s="10">
        <v>634</v>
      </c>
      <c r="C865" s="10" t="s">
        <v>143</v>
      </c>
      <c r="D865" t="s">
        <v>4250</v>
      </c>
      <c r="E865" t="s">
        <v>4251</v>
      </c>
      <c r="F865" s="10" t="s">
        <v>39</v>
      </c>
      <c r="G865" s="2">
        <v>15.575799999999999</v>
      </c>
      <c r="H865" s="13">
        <v>9</v>
      </c>
      <c r="I865" s="13">
        <v>113</v>
      </c>
      <c r="J865" s="13">
        <v>-113</v>
      </c>
      <c r="K865" s="10">
        <v>9</v>
      </c>
      <c r="L865" s="2">
        <v>140.18219999999999</v>
      </c>
      <c r="M865" s="1">
        <v>45975.527777777781</v>
      </c>
      <c r="N865" t="s">
        <v>40</v>
      </c>
    </row>
    <row r="866" spans="1:14" x14ac:dyDescent="0.25">
      <c r="A866" s="9" t="s">
        <v>5211</v>
      </c>
      <c r="B866" s="10">
        <v>714</v>
      </c>
      <c r="C866" s="10" t="s">
        <v>323</v>
      </c>
      <c r="D866" t="s">
        <v>4343</v>
      </c>
      <c r="E866" t="s">
        <v>4344</v>
      </c>
      <c r="F866" s="10" t="s">
        <v>43</v>
      </c>
      <c r="G866" s="2">
        <v>199.77250000000001</v>
      </c>
      <c r="H866" s="13">
        <v>9</v>
      </c>
      <c r="I866" s="13">
        <v>26</v>
      </c>
      <c r="J866" s="13">
        <v>-26</v>
      </c>
      <c r="K866" s="10">
        <v>9</v>
      </c>
      <c r="L866" s="2">
        <v>1797.9525000000001</v>
      </c>
      <c r="M866" s="1">
        <v>46079.423611111109</v>
      </c>
      <c r="N866" t="s">
        <v>159</v>
      </c>
    </row>
    <row r="867" spans="1:14" x14ac:dyDescent="0.25">
      <c r="A867" s="9" t="s">
        <v>5211</v>
      </c>
      <c r="B867" s="10">
        <v>714</v>
      </c>
      <c r="C867" s="10" t="s">
        <v>323</v>
      </c>
      <c r="D867" t="s">
        <v>2901</v>
      </c>
      <c r="E867" t="s">
        <v>2902</v>
      </c>
      <c r="F867" s="10" t="s">
        <v>29</v>
      </c>
      <c r="G867" s="2">
        <v>135.62309999999999</v>
      </c>
      <c r="H867" s="13">
        <v>9</v>
      </c>
      <c r="I867" s="13">
        <v>0</v>
      </c>
      <c r="J867" s="13">
        <v>0</v>
      </c>
      <c r="K867" s="10">
        <v>9</v>
      </c>
      <c r="L867" s="2">
        <v>1220.6079</v>
      </c>
      <c r="M867" s="1">
        <v>46085.367361111108</v>
      </c>
      <c r="N867" t="s">
        <v>2257</v>
      </c>
    </row>
    <row r="868" spans="1:14" x14ac:dyDescent="0.25">
      <c r="A868" s="9" t="s">
        <v>5211</v>
      </c>
      <c r="B868" s="10">
        <v>636</v>
      </c>
      <c r="C868" s="10" t="s">
        <v>323</v>
      </c>
      <c r="D868" t="s">
        <v>418</v>
      </c>
      <c r="E868" t="s">
        <v>419</v>
      </c>
      <c r="F868" s="10" t="s">
        <v>23</v>
      </c>
      <c r="G868" s="2">
        <v>154.64859999999999</v>
      </c>
      <c r="H868" s="13">
        <v>9</v>
      </c>
      <c r="I868" s="13">
        <v>3</v>
      </c>
      <c r="J868" s="13">
        <v>-3</v>
      </c>
      <c r="K868" s="10">
        <v>9</v>
      </c>
      <c r="L868" s="2">
        <v>1391.8373999999999</v>
      </c>
      <c r="M868" s="1">
        <v>46085.617361111108</v>
      </c>
      <c r="N868" t="s">
        <v>159</v>
      </c>
    </row>
    <row r="869" spans="1:14" x14ac:dyDescent="0.25">
      <c r="A869" s="9" t="s">
        <v>5211</v>
      </c>
      <c r="B869" s="10">
        <v>714</v>
      </c>
      <c r="C869" s="10" t="s">
        <v>70</v>
      </c>
      <c r="D869" t="s">
        <v>2165</v>
      </c>
      <c r="E869" t="s">
        <v>2166</v>
      </c>
      <c r="F869" s="10" t="s">
        <v>29</v>
      </c>
      <c r="G869" s="2">
        <v>10.95</v>
      </c>
      <c r="H869" s="13">
        <v>9</v>
      </c>
      <c r="I869" s="13">
        <v>0</v>
      </c>
      <c r="J869" s="13">
        <v>0</v>
      </c>
      <c r="K869" s="10">
        <v>9</v>
      </c>
      <c r="L869" s="2">
        <v>98.55</v>
      </c>
      <c r="M869" s="1">
        <v>46104.636805555558</v>
      </c>
      <c r="N869" t="s">
        <v>2167</v>
      </c>
    </row>
    <row r="870" spans="1:14" x14ac:dyDescent="0.25">
      <c r="A870" s="9" t="s">
        <v>5211</v>
      </c>
      <c r="B870" s="10">
        <v>636</v>
      </c>
      <c r="C870" s="10" t="s">
        <v>323</v>
      </c>
      <c r="D870" t="s">
        <v>476</v>
      </c>
      <c r="E870" t="s">
        <v>477</v>
      </c>
      <c r="F870" s="10" t="s">
        <v>29</v>
      </c>
      <c r="G870" s="2">
        <v>174.1696</v>
      </c>
      <c r="H870" s="13">
        <v>9</v>
      </c>
      <c r="I870" s="13">
        <v>0</v>
      </c>
      <c r="J870" s="13">
        <v>0</v>
      </c>
      <c r="K870" s="10">
        <v>9</v>
      </c>
      <c r="L870" s="2">
        <v>1567.5264</v>
      </c>
      <c r="M870" s="1">
        <v>46107.402083333334</v>
      </c>
      <c r="N870" t="s">
        <v>354</v>
      </c>
    </row>
    <row r="871" spans="1:14" x14ac:dyDescent="0.25">
      <c r="A871" s="9" t="s">
        <v>5211</v>
      </c>
      <c r="B871" s="10">
        <v>714</v>
      </c>
      <c r="C871" s="10" t="s">
        <v>70</v>
      </c>
      <c r="D871" t="s">
        <v>622</v>
      </c>
      <c r="E871" t="s">
        <v>623</v>
      </c>
      <c r="F871" s="10" t="s">
        <v>39</v>
      </c>
      <c r="G871" s="2">
        <v>7.6528999999999998</v>
      </c>
      <c r="H871" s="13">
        <v>9</v>
      </c>
      <c r="I871" s="13">
        <v>-12</v>
      </c>
      <c r="J871" s="13">
        <v>12</v>
      </c>
      <c r="K871" s="10">
        <v>9</v>
      </c>
      <c r="L871" s="2">
        <v>68.876099999999994</v>
      </c>
      <c r="M871" s="1">
        <v>46107.425000000003</v>
      </c>
      <c r="N871" t="s">
        <v>16</v>
      </c>
    </row>
    <row r="872" spans="1:14" x14ac:dyDescent="0.25">
      <c r="A872" s="9" t="s">
        <v>5211</v>
      </c>
      <c r="B872" s="10">
        <v>714</v>
      </c>
      <c r="C872" s="10" t="s">
        <v>323</v>
      </c>
      <c r="D872" t="s">
        <v>3186</v>
      </c>
      <c r="E872" t="s">
        <v>3187</v>
      </c>
      <c r="F872" s="10" t="s">
        <v>35</v>
      </c>
      <c r="G872" s="2">
        <v>100.85129999999999</v>
      </c>
      <c r="H872" s="13">
        <v>9</v>
      </c>
      <c r="I872" s="13">
        <v>0</v>
      </c>
      <c r="J872" s="13">
        <v>0</v>
      </c>
      <c r="K872" s="10">
        <v>9</v>
      </c>
      <c r="L872" s="2">
        <v>907.6617</v>
      </c>
      <c r="M872" s="1">
        <v>46112.315972222219</v>
      </c>
      <c r="N872" t="s">
        <v>36</v>
      </c>
    </row>
    <row r="873" spans="1:14" x14ac:dyDescent="0.25">
      <c r="A873" s="9" t="s">
        <v>5211</v>
      </c>
      <c r="B873" s="10">
        <v>634</v>
      </c>
      <c r="C873" s="10" t="s">
        <v>143</v>
      </c>
      <c r="D873" t="s">
        <v>296</v>
      </c>
      <c r="E873" t="s">
        <v>297</v>
      </c>
      <c r="F873" s="10" t="s">
        <v>158</v>
      </c>
      <c r="G873" s="2">
        <v>121.9889</v>
      </c>
      <c r="H873" s="13">
        <v>9</v>
      </c>
      <c r="I873" s="13">
        <v>0</v>
      </c>
      <c r="J873" s="13">
        <v>0</v>
      </c>
      <c r="K873" s="10">
        <v>9</v>
      </c>
      <c r="L873" s="2">
        <v>1097.9001000000001</v>
      </c>
      <c r="M873" s="1">
        <v>46113.665277777778</v>
      </c>
      <c r="N873" t="s">
        <v>137</v>
      </c>
    </row>
    <row r="874" spans="1:14" x14ac:dyDescent="0.25">
      <c r="A874" s="9" t="s">
        <v>5211</v>
      </c>
      <c r="B874" s="10">
        <v>636</v>
      </c>
      <c r="C874" s="10" t="s">
        <v>1749</v>
      </c>
      <c r="D874" t="s">
        <v>1750</v>
      </c>
      <c r="E874" t="s">
        <v>1751</v>
      </c>
      <c r="F874" s="10" t="s">
        <v>15</v>
      </c>
      <c r="G874" s="2">
        <v>30.451000000000001</v>
      </c>
      <c r="H874" s="13">
        <v>9</v>
      </c>
      <c r="I874" s="13">
        <v>0</v>
      </c>
      <c r="J874" s="13">
        <v>0</v>
      </c>
      <c r="K874" s="10">
        <v>9</v>
      </c>
      <c r="L874" s="2">
        <v>274.05900000000003</v>
      </c>
      <c r="M874" s="1">
        <v>46114.597916666666</v>
      </c>
      <c r="N874" t="s">
        <v>797</v>
      </c>
    </row>
    <row r="875" spans="1:14" x14ac:dyDescent="0.25">
      <c r="A875" s="9" t="s">
        <v>5211</v>
      </c>
      <c r="B875" s="10">
        <v>714</v>
      </c>
      <c r="C875" s="10" t="s">
        <v>323</v>
      </c>
      <c r="D875" t="s">
        <v>3330</v>
      </c>
      <c r="E875" t="s">
        <v>3331</v>
      </c>
      <c r="F875" s="10" t="s">
        <v>29</v>
      </c>
      <c r="G875" s="2">
        <v>136.9828</v>
      </c>
      <c r="H875" s="13">
        <v>9</v>
      </c>
      <c r="I875" s="13">
        <v>-1</v>
      </c>
      <c r="J875" s="13">
        <v>1</v>
      </c>
      <c r="K875" s="10">
        <v>9</v>
      </c>
      <c r="L875" s="2">
        <v>1232.8452</v>
      </c>
      <c r="M875" s="1">
        <v>46118.304861111108</v>
      </c>
      <c r="N875" t="s">
        <v>2423</v>
      </c>
    </row>
    <row r="876" spans="1:14" x14ac:dyDescent="0.25">
      <c r="A876" s="9" t="s">
        <v>5211</v>
      </c>
      <c r="B876" s="10">
        <v>714</v>
      </c>
      <c r="C876" s="10" t="s">
        <v>70</v>
      </c>
      <c r="D876" t="s">
        <v>739</v>
      </c>
      <c r="E876" t="s">
        <v>740</v>
      </c>
      <c r="F876" s="10" t="s">
        <v>39</v>
      </c>
      <c r="G876" s="2">
        <v>6.9756</v>
      </c>
      <c r="H876" s="13">
        <v>9</v>
      </c>
      <c r="I876" s="13">
        <v>-3</v>
      </c>
      <c r="J876" s="13">
        <v>3</v>
      </c>
      <c r="K876" s="10">
        <v>9</v>
      </c>
      <c r="L876" s="2">
        <v>62.7804</v>
      </c>
      <c r="M876" s="1">
        <v>46118.575694444444</v>
      </c>
      <c r="N876" t="s">
        <v>573</v>
      </c>
    </row>
    <row r="877" spans="1:14" x14ac:dyDescent="0.25">
      <c r="A877" s="9" t="s">
        <v>5211</v>
      </c>
      <c r="B877" s="10">
        <v>634</v>
      </c>
      <c r="C877" s="10" t="s">
        <v>143</v>
      </c>
      <c r="D877" t="s">
        <v>1146</v>
      </c>
      <c r="E877" t="s">
        <v>1147</v>
      </c>
      <c r="F877" s="10" t="s">
        <v>158</v>
      </c>
      <c r="G877" s="2">
        <v>124.2625</v>
      </c>
      <c r="H877" s="13">
        <v>9</v>
      </c>
      <c r="I877" s="13">
        <v>10</v>
      </c>
      <c r="J877" s="13">
        <v>-10</v>
      </c>
      <c r="K877" s="10">
        <v>9</v>
      </c>
      <c r="L877" s="2">
        <v>1118.3625</v>
      </c>
      <c r="M877" s="1">
        <v>46119.597222222219</v>
      </c>
      <c r="N877" t="s">
        <v>236</v>
      </c>
    </row>
    <row r="878" spans="1:14" x14ac:dyDescent="0.25">
      <c r="A878" s="9" t="s">
        <v>5211</v>
      </c>
      <c r="B878" s="10">
        <v>718</v>
      </c>
      <c r="C878" s="10" t="s">
        <v>12</v>
      </c>
      <c r="D878" t="s">
        <v>1939</v>
      </c>
      <c r="E878" t="s">
        <v>1940</v>
      </c>
      <c r="F878" s="10" t="s">
        <v>29</v>
      </c>
      <c r="G878" s="2">
        <v>23.354199999999999</v>
      </c>
      <c r="H878" s="13">
        <v>9</v>
      </c>
      <c r="I878" s="13">
        <v>0</v>
      </c>
      <c r="J878" s="13">
        <v>0</v>
      </c>
      <c r="K878" s="10">
        <v>9</v>
      </c>
      <c r="L878" s="2">
        <v>210.18780000000001</v>
      </c>
      <c r="M878" s="1">
        <v>46119.636111111111</v>
      </c>
      <c r="N878" t="s">
        <v>573</v>
      </c>
    </row>
    <row r="879" spans="1:14" x14ac:dyDescent="0.25">
      <c r="A879" s="9" t="s">
        <v>5211</v>
      </c>
      <c r="B879" s="10">
        <v>714</v>
      </c>
      <c r="C879" s="10" t="s">
        <v>70</v>
      </c>
      <c r="D879" t="s">
        <v>4707</v>
      </c>
      <c r="E879" t="s">
        <v>4708</v>
      </c>
      <c r="F879" s="10" t="s">
        <v>23</v>
      </c>
      <c r="G879" s="2">
        <v>7.1898</v>
      </c>
      <c r="H879" s="13">
        <v>9</v>
      </c>
      <c r="I879" s="13">
        <v>28</v>
      </c>
      <c r="J879" s="13">
        <v>-28</v>
      </c>
      <c r="K879" s="10">
        <v>9</v>
      </c>
      <c r="L879" s="2">
        <v>64.708200000000005</v>
      </c>
      <c r="M879" s="1">
        <v>46125.365277777775</v>
      </c>
      <c r="N879" t="s">
        <v>26</v>
      </c>
    </row>
    <row r="880" spans="1:14" x14ac:dyDescent="0.25">
      <c r="A880" s="9" t="s">
        <v>5211</v>
      </c>
      <c r="B880" s="10">
        <v>634</v>
      </c>
      <c r="C880" s="10" t="s">
        <v>143</v>
      </c>
      <c r="D880" t="s">
        <v>4120</v>
      </c>
      <c r="E880" t="s">
        <v>4121</v>
      </c>
      <c r="F880" s="10" t="s">
        <v>39</v>
      </c>
      <c r="G880" s="2">
        <v>29.9909</v>
      </c>
      <c r="H880" s="13">
        <v>9</v>
      </c>
      <c r="I880" s="13">
        <v>58</v>
      </c>
      <c r="J880" s="13">
        <v>-58</v>
      </c>
      <c r="K880" s="10">
        <v>9</v>
      </c>
      <c r="L880" s="2">
        <v>269.91809999999998</v>
      </c>
      <c r="M880" s="1">
        <v>46126.546527777777</v>
      </c>
      <c r="N880" t="s">
        <v>162</v>
      </c>
    </row>
    <row r="881" spans="1:14" x14ac:dyDescent="0.25">
      <c r="A881" s="9" t="s">
        <v>5211</v>
      </c>
      <c r="B881" s="10">
        <v>714</v>
      </c>
      <c r="C881" s="10" t="s">
        <v>143</v>
      </c>
      <c r="D881" t="s">
        <v>2280</v>
      </c>
      <c r="E881" t="s">
        <v>2281</v>
      </c>
      <c r="F881" s="10" t="s">
        <v>23</v>
      </c>
      <c r="G881" s="2">
        <v>76.718400000000003</v>
      </c>
      <c r="H881" s="13">
        <v>9</v>
      </c>
      <c r="I881" s="13">
        <v>0</v>
      </c>
      <c r="J881" s="13">
        <v>0</v>
      </c>
      <c r="K881" s="10">
        <v>9</v>
      </c>
      <c r="L881" s="2">
        <v>690.46559999999999</v>
      </c>
      <c r="M881" s="1">
        <v>46126.649305555555</v>
      </c>
      <c r="N881" t="s">
        <v>67</v>
      </c>
    </row>
    <row r="882" spans="1:14" x14ac:dyDescent="0.25">
      <c r="A882" s="9" t="s">
        <v>5211</v>
      </c>
      <c r="B882" s="10">
        <v>714</v>
      </c>
      <c r="C882" s="10" t="s">
        <v>70</v>
      </c>
      <c r="D882" t="s">
        <v>2135</v>
      </c>
      <c r="E882" t="s">
        <v>2136</v>
      </c>
      <c r="F882" s="10" t="s">
        <v>23</v>
      </c>
      <c r="G882" s="2">
        <v>44.3872</v>
      </c>
      <c r="H882" s="13">
        <v>9</v>
      </c>
      <c r="I882" s="13">
        <v>0</v>
      </c>
      <c r="J882" s="13">
        <v>0</v>
      </c>
      <c r="K882" s="10">
        <v>9</v>
      </c>
      <c r="L882" s="2">
        <v>399.48480000000001</v>
      </c>
      <c r="M882" s="1">
        <v>46126.649305555555</v>
      </c>
      <c r="N882" t="s">
        <v>67</v>
      </c>
    </row>
    <row r="883" spans="1:14" x14ac:dyDescent="0.25">
      <c r="A883" s="9" t="s">
        <v>5211</v>
      </c>
      <c r="B883" s="10">
        <v>636</v>
      </c>
      <c r="C883" s="10" t="s">
        <v>143</v>
      </c>
      <c r="D883" t="s">
        <v>4495</v>
      </c>
      <c r="E883" t="s">
        <v>4496</v>
      </c>
      <c r="F883" s="10" t="s">
        <v>23</v>
      </c>
      <c r="G883" s="2">
        <v>14.562900000000001</v>
      </c>
      <c r="H883" s="13">
        <v>9</v>
      </c>
      <c r="I883" s="13">
        <v>4</v>
      </c>
      <c r="J883" s="13">
        <v>-4</v>
      </c>
      <c r="K883" s="10">
        <v>9</v>
      </c>
      <c r="L883" s="2">
        <v>131.06610000000001</v>
      </c>
      <c r="M883" s="1">
        <v>46127.302777777775</v>
      </c>
      <c r="N883" t="s">
        <v>162</v>
      </c>
    </row>
    <row r="884" spans="1:14" x14ac:dyDescent="0.25">
      <c r="A884" s="9" t="s">
        <v>5211</v>
      </c>
      <c r="B884" s="10">
        <v>636</v>
      </c>
      <c r="C884" s="10" t="s">
        <v>143</v>
      </c>
      <c r="D884" t="s">
        <v>4156</v>
      </c>
      <c r="E884" t="s">
        <v>4157</v>
      </c>
      <c r="F884" s="10" t="s">
        <v>112</v>
      </c>
      <c r="G884" s="2">
        <v>24.790500000000002</v>
      </c>
      <c r="H884" s="13">
        <v>9</v>
      </c>
      <c r="I884" s="13">
        <v>11</v>
      </c>
      <c r="J884" s="13">
        <v>-11</v>
      </c>
      <c r="K884" s="10">
        <v>9</v>
      </c>
      <c r="L884" s="2">
        <v>223.11449999999999</v>
      </c>
      <c r="M884" s="1">
        <v>46132.693749999999</v>
      </c>
      <c r="N884" t="s">
        <v>26</v>
      </c>
    </row>
    <row r="885" spans="1:14" x14ac:dyDescent="0.25">
      <c r="A885" s="9" t="s">
        <v>5211</v>
      </c>
      <c r="B885" s="10">
        <v>714</v>
      </c>
      <c r="C885" s="10" t="s">
        <v>143</v>
      </c>
      <c r="D885" t="s">
        <v>4094</v>
      </c>
      <c r="E885" t="s">
        <v>4095</v>
      </c>
      <c r="F885" s="10" t="s">
        <v>23</v>
      </c>
      <c r="G885" s="2">
        <v>45.953200000000002</v>
      </c>
      <c r="H885" s="13">
        <v>9</v>
      </c>
      <c r="I885" s="13">
        <v>4</v>
      </c>
      <c r="J885" s="13">
        <v>-4</v>
      </c>
      <c r="K885" s="10">
        <v>9</v>
      </c>
      <c r="L885" s="2">
        <v>413.5788</v>
      </c>
      <c r="M885" s="1">
        <v>46134.511805555558</v>
      </c>
      <c r="N885" t="s">
        <v>175</v>
      </c>
    </row>
    <row r="886" spans="1:14" x14ac:dyDescent="0.25">
      <c r="A886" s="9" t="s">
        <v>5211</v>
      </c>
      <c r="B886" s="10">
        <v>718</v>
      </c>
      <c r="C886" s="10" t="s">
        <v>323</v>
      </c>
      <c r="D886" t="s">
        <v>3861</v>
      </c>
      <c r="E886" t="s">
        <v>3862</v>
      </c>
      <c r="F886" s="10" t="s">
        <v>158</v>
      </c>
      <c r="G886" s="2">
        <v>228.46199999999999</v>
      </c>
      <c r="H886" s="13">
        <v>9</v>
      </c>
      <c r="I886" s="13">
        <v>1</v>
      </c>
      <c r="J886" s="13">
        <v>-1</v>
      </c>
      <c r="K886" s="10">
        <v>9</v>
      </c>
      <c r="L886" s="2">
        <v>2056.1579999999999</v>
      </c>
      <c r="M886" s="1">
        <v>46134.54791666667</v>
      </c>
      <c r="N886" t="s">
        <v>2423</v>
      </c>
    </row>
    <row r="887" spans="1:14" x14ac:dyDescent="0.25">
      <c r="A887" s="9" t="s">
        <v>5211</v>
      </c>
      <c r="B887" s="10">
        <v>718</v>
      </c>
      <c r="C887" s="10" t="s">
        <v>143</v>
      </c>
      <c r="D887" t="s">
        <v>4837</v>
      </c>
      <c r="E887" t="s">
        <v>4838</v>
      </c>
      <c r="F887" s="10" t="s">
        <v>43</v>
      </c>
      <c r="G887" s="2">
        <v>74.888900000000007</v>
      </c>
      <c r="H887" s="13">
        <v>9</v>
      </c>
      <c r="I887" s="13">
        <v>74</v>
      </c>
      <c r="J887" s="13">
        <v>-74</v>
      </c>
      <c r="K887" s="10">
        <v>9</v>
      </c>
      <c r="L887" s="2">
        <v>674.00009999999997</v>
      </c>
      <c r="M887" s="1">
        <v>46135.509027777778</v>
      </c>
      <c r="N887" t="s">
        <v>2423</v>
      </c>
    </row>
    <row r="888" spans="1:14" x14ac:dyDescent="0.25">
      <c r="A888" s="9" t="s">
        <v>5211</v>
      </c>
      <c r="B888" s="10">
        <v>636</v>
      </c>
      <c r="C888" s="10" t="s">
        <v>143</v>
      </c>
      <c r="D888" t="s">
        <v>1041</v>
      </c>
      <c r="E888" t="s">
        <v>1042</v>
      </c>
      <c r="F888" s="10" t="s">
        <v>39</v>
      </c>
      <c r="G888" s="2">
        <v>11.224399999999999</v>
      </c>
      <c r="H888" s="13">
        <v>9</v>
      </c>
      <c r="I888" s="13">
        <v>0</v>
      </c>
      <c r="J888" s="13">
        <v>0</v>
      </c>
      <c r="K888" s="10">
        <v>9</v>
      </c>
      <c r="L888" s="2">
        <v>101.0196</v>
      </c>
      <c r="M888" s="1">
        <v>46135.595833333333</v>
      </c>
      <c r="N888" t="s">
        <v>599</v>
      </c>
    </row>
    <row r="889" spans="1:14" x14ac:dyDescent="0.25">
      <c r="A889" s="9" t="s">
        <v>5211</v>
      </c>
      <c r="B889" s="10">
        <v>714</v>
      </c>
      <c r="C889" s="10" t="s">
        <v>70</v>
      </c>
      <c r="D889" t="s">
        <v>612</v>
      </c>
      <c r="E889" t="s">
        <v>613</v>
      </c>
      <c r="F889" s="10" t="s">
        <v>81</v>
      </c>
      <c r="G889" s="2">
        <v>2.3407</v>
      </c>
      <c r="H889" s="13">
        <v>9</v>
      </c>
      <c r="I889" s="13">
        <v>0</v>
      </c>
      <c r="J889" s="13">
        <v>0</v>
      </c>
      <c r="K889" s="10">
        <v>9</v>
      </c>
      <c r="L889" s="2">
        <v>21.066299999999998</v>
      </c>
      <c r="M889" s="1">
        <v>46140.479861111111</v>
      </c>
      <c r="N889" t="s">
        <v>1836</v>
      </c>
    </row>
    <row r="890" spans="1:14" x14ac:dyDescent="0.25">
      <c r="A890" s="9" t="s">
        <v>5211</v>
      </c>
      <c r="B890" s="10">
        <v>636</v>
      </c>
      <c r="C890" s="10" t="s">
        <v>143</v>
      </c>
      <c r="D890" t="s">
        <v>883</v>
      </c>
      <c r="E890" t="s">
        <v>884</v>
      </c>
      <c r="F890" s="10" t="s">
        <v>29</v>
      </c>
      <c r="G890" s="2">
        <v>46.018599999999999</v>
      </c>
      <c r="H890" s="13">
        <v>9</v>
      </c>
      <c r="I890" s="13">
        <v>0</v>
      </c>
      <c r="J890" s="13">
        <v>0</v>
      </c>
      <c r="K890" s="10">
        <v>9</v>
      </c>
      <c r="L890" s="2">
        <v>414.16739999999999</v>
      </c>
      <c r="M890" s="1">
        <v>46140.540972222225</v>
      </c>
      <c r="N890" t="s">
        <v>885</v>
      </c>
    </row>
    <row r="891" spans="1:14" x14ac:dyDescent="0.25">
      <c r="A891" s="9" t="s">
        <v>5211</v>
      </c>
      <c r="B891" s="10">
        <v>714</v>
      </c>
      <c r="C891" s="10" t="s">
        <v>143</v>
      </c>
      <c r="D891" t="s">
        <v>2730</v>
      </c>
      <c r="E891" t="s">
        <v>2731</v>
      </c>
      <c r="F891" s="10" t="s">
        <v>29</v>
      </c>
      <c r="G891" s="2">
        <v>40.1629</v>
      </c>
      <c r="H891" s="13">
        <v>9</v>
      </c>
      <c r="I891" s="13">
        <v>0</v>
      </c>
      <c r="J891" s="13">
        <v>0</v>
      </c>
      <c r="K891" s="10">
        <v>9</v>
      </c>
      <c r="L891" s="2">
        <v>361.46609999999998</v>
      </c>
      <c r="M891" s="1">
        <v>46143.318749999999</v>
      </c>
      <c r="N891" t="s">
        <v>36</v>
      </c>
    </row>
    <row r="892" spans="1:14" x14ac:dyDescent="0.25">
      <c r="A892" s="9" t="s">
        <v>5211</v>
      </c>
      <c r="B892" s="10">
        <v>718</v>
      </c>
      <c r="C892" s="10" t="s">
        <v>323</v>
      </c>
      <c r="D892" t="s">
        <v>4945</v>
      </c>
      <c r="E892" t="s">
        <v>4946</v>
      </c>
      <c r="F892" s="10" t="s">
        <v>23</v>
      </c>
      <c r="G892" s="2">
        <v>139.15520000000001</v>
      </c>
      <c r="H892" s="13">
        <v>9</v>
      </c>
      <c r="I892" s="13">
        <v>8</v>
      </c>
      <c r="J892" s="13">
        <v>-8</v>
      </c>
      <c r="K892" s="10">
        <v>9</v>
      </c>
      <c r="L892" s="2">
        <v>1252.3968</v>
      </c>
      <c r="M892" s="1">
        <v>46143.611805555556</v>
      </c>
      <c r="N892" t="s">
        <v>354</v>
      </c>
    </row>
    <row r="893" spans="1:14" x14ac:dyDescent="0.25">
      <c r="A893" s="9" t="s">
        <v>5211</v>
      </c>
      <c r="B893" s="10">
        <v>718</v>
      </c>
      <c r="C893" s="10" t="s">
        <v>1208</v>
      </c>
      <c r="D893" t="s">
        <v>3826</v>
      </c>
      <c r="E893" t="s">
        <v>3827</v>
      </c>
      <c r="F893" s="10" t="s">
        <v>29</v>
      </c>
      <c r="G893" s="2">
        <v>32.928699999999999</v>
      </c>
      <c r="H893" s="13">
        <v>9</v>
      </c>
      <c r="I893" s="13">
        <v>0</v>
      </c>
      <c r="J893" s="13">
        <v>0</v>
      </c>
      <c r="K893" s="10">
        <v>9</v>
      </c>
      <c r="L893" s="2">
        <v>296.35829999999999</v>
      </c>
      <c r="M893" s="1">
        <v>46147.688194444447</v>
      </c>
      <c r="N893" t="s">
        <v>2066</v>
      </c>
    </row>
    <row r="894" spans="1:14" x14ac:dyDescent="0.25">
      <c r="A894" s="9" t="s">
        <v>5211</v>
      </c>
      <c r="B894" s="10">
        <v>718</v>
      </c>
      <c r="C894" s="10" t="s">
        <v>323</v>
      </c>
      <c r="D894" t="s">
        <v>5027</v>
      </c>
      <c r="E894" t="s">
        <v>5028</v>
      </c>
      <c r="F894" s="10" t="s">
        <v>43</v>
      </c>
      <c r="G894" s="2">
        <v>111.1773</v>
      </c>
      <c r="H894" s="13">
        <v>9</v>
      </c>
      <c r="I894" s="13">
        <v>10</v>
      </c>
      <c r="J894" s="13">
        <v>-10</v>
      </c>
      <c r="K894" s="10">
        <v>9</v>
      </c>
      <c r="L894" s="2">
        <v>1000.5957</v>
      </c>
      <c r="M894" s="1">
        <v>46150.7</v>
      </c>
      <c r="N894" t="s">
        <v>175</v>
      </c>
    </row>
    <row r="895" spans="1:14" x14ac:dyDescent="0.25">
      <c r="A895" s="9" t="s">
        <v>5211</v>
      </c>
      <c r="B895" s="10">
        <v>718</v>
      </c>
      <c r="C895" s="10" t="s">
        <v>143</v>
      </c>
      <c r="D895" t="s">
        <v>4148</v>
      </c>
      <c r="E895" t="s">
        <v>4149</v>
      </c>
      <c r="F895" s="10" t="s">
        <v>29</v>
      </c>
      <c r="G895" s="2">
        <v>62.318899999999999</v>
      </c>
      <c r="H895" s="13">
        <v>9</v>
      </c>
      <c r="I895" s="13">
        <v>4</v>
      </c>
      <c r="J895" s="13">
        <v>-4</v>
      </c>
      <c r="K895" s="10">
        <v>9</v>
      </c>
      <c r="L895" s="2">
        <v>560.87009999999998</v>
      </c>
      <c r="M895" s="1">
        <v>46154.724999999999</v>
      </c>
      <c r="N895" t="s">
        <v>310</v>
      </c>
    </row>
    <row r="896" spans="1:14" x14ac:dyDescent="0.25">
      <c r="A896" s="9" t="s">
        <v>5211</v>
      </c>
      <c r="B896" s="10">
        <v>714</v>
      </c>
      <c r="C896" s="10" t="s">
        <v>143</v>
      </c>
      <c r="D896" t="s">
        <v>2681</v>
      </c>
      <c r="E896" t="s">
        <v>2682</v>
      </c>
      <c r="F896" s="10" t="s">
        <v>158</v>
      </c>
      <c r="G896" s="2">
        <v>138.64359999999999</v>
      </c>
      <c r="H896" s="13">
        <v>9</v>
      </c>
      <c r="I896" s="13">
        <v>0</v>
      </c>
      <c r="J896" s="13">
        <v>0</v>
      </c>
      <c r="K896" s="10">
        <v>9</v>
      </c>
      <c r="L896" s="2">
        <v>1247.7924</v>
      </c>
      <c r="M896" s="1">
        <v>46157.461805555555</v>
      </c>
      <c r="N896" t="s">
        <v>402</v>
      </c>
    </row>
    <row r="897" spans="1:14" x14ac:dyDescent="0.25">
      <c r="A897" s="9" t="s">
        <v>5211</v>
      </c>
      <c r="B897" s="10">
        <v>634</v>
      </c>
      <c r="C897" s="10" t="s">
        <v>143</v>
      </c>
      <c r="D897" t="s">
        <v>4176</v>
      </c>
      <c r="E897" t="s">
        <v>4177</v>
      </c>
      <c r="F897" s="10" t="s">
        <v>158</v>
      </c>
      <c r="G897" s="2">
        <v>91.553600000000003</v>
      </c>
      <c r="H897" s="13">
        <v>9</v>
      </c>
      <c r="I897" s="13">
        <v>6</v>
      </c>
      <c r="J897" s="13">
        <v>-6</v>
      </c>
      <c r="K897" s="10">
        <v>9</v>
      </c>
      <c r="L897" s="2">
        <v>823.98239999999998</v>
      </c>
      <c r="M897" s="1">
        <v>46161.469444444447</v>
      </c>
      <c r="N897" t="s">
        <v>310</v>
      </c>
    </row>
    <row r="898" spans="1:14" x14ac:dyDescent="0.25">
      <c r="A898" s="9" t="s">
        <v>5211</v>
      </c>
      <c r="B898" s="10">
        <v>718</v>
      </c>
      <c r="C898" s="10" t="s">
        <v>143</v>
      </c>
      <c r="D898" t="s">
        <v>4767</v>
      </c>
      <c r="E898" t="s">
        <v>4768</v>
      </c>
      <c r="F898" s="10" t="s">
        <v>29</v>
      </c>
      <c r="G898" s="2">
        <v>24.866800000000001</v>
      </c>
      <c r="H898" s="13">
        <v>9</v>
      </c>
      <c r="I898" s="13">
        <v>8</v>
      </c>
      <c r="J898" s="13">
        <v>-8</v>
      </c>
      <c r="K898" s="10">
        <v>9</v>
      </c>
      <c r="L898" s="2">
        <v>223.80119999999999</v>
      </c>
      <c r="M898" s="1">
        <v>46161.677083333336</v>
      </c>
      <c r="N898" t="s">
        <v>36</v>
      </c>
    </row>
    <row r="899" spans="1:14" x14ac:dyDescent="0.25">
      <c r="A899" s="9" t="s">
        <v>5211</v>
      </c>
      <c r="B899" s="10">
        <v>714</v>
      </c>
      <c r="C899" s="10" t="s">
        <v>323</v>
      </c>
      <c r="D899" t="s">
        <v>2933</v>
      </c>
      <c r="E899" t="s">
        <v>2934</v>
      </c>
      <c r="F899" s="10" t="s">
        <v>19</v>
      </c>
      <c r="G899" s="2">
        <v>151.61689999999999</v>
      </c>
      <c r="H899" s="13">
        <v>9</v>
      </c>
      <c r="I899" s="13">
        <v>1</v>
      </c>
      <c r="J899" s="13">
        <v>-1</v>
      </c>
      <c r="K899" s="10">
        <v>9</v>
      </c>
      <c r="L899" s="2">
        <v>1364.5521000000001</v>
      </c>
      <c r="M899" s="1">
        <v>46165.331944444442</v>
      </c>
      <c r="N899" t="s">
        <v>1062</v>
      </c>
    </row>
    <row r="900" spans="1:14" x14ac:dyDescent="0.25">
      <c r="A900" s="9" t="s">
        <v>5211</v>
      </c>
      <c r="B900" s="10">
        <v>636</v>
      </c>
      <c r="C900" s="10" t="s">
        <v>143</v>
      </c>
      <c r="D900" t="s">
        <v>1132</v>
      </c>
      <c r="E900" t="s">
        <v>1133</v>
      </c>
      <c r="F900" s="10" t="s">
        <v>29</v>
      </c>
      <c r="G900" s="2">
        <v>50.772599999999997</v>
      </c>
      <c r="H900" s="13">
        <v>9</v>
      </c>
      <c r="I900" s="13">
        <v>0</v>
      </c>
      <c r="J900" s="13">
        <v>0</v>
      </c>
      <c r="K900" s="10">
        <v>9</v>
      </c>
      <c r="L900" s="2">
        <v>456.95339999999999</v>
      </c>
      <c r="M900" s="1">
        <v>46169.390972222223</v>
      </c>
      <c r="N900" t="s">
        <v>261</v>
      </c>
    </row>
    <row r="901" spans="1:14" x14ac:dyDescent="0.25">
      <c r="A901" s="9" t="s">
        <v>5211</v>
      </c>
      <c r="B901" s="10">
        <v>634</v>
      </c>
      <c r="C901" s="10" t="s">
        <v>323</v>
      </c>
      <c r="D901" t="s">
        <v>4369</v>
      </c>
      <c r="E901" s="6" t="s">
        <v>4370</v>
      </c>
      <c r="F901" s="11" t="s">
        <v>58</v>
      </c>
      <c r="G901" s="2">
        <v>267.36380000000003</v>
      </c>
      <c r="H901" s="13">
        <v>9</v>
      </c>
      <c r="I901" s="13">
        <v>16</v>
      </c>
      <c r="J901" s="13">
        <v>-16</v>
      </c>
      <c r="K901" s="10">
        <v>9</v>
      </c>
      <c r="L901" s="2">
        <v>2406.2741999999998</v>
      </c>
      <c r="M901" s="1">
        <v>46169.459027777775</v>
      </c>
      <c r="N901" t="s">
        <v>151</v>
      </c>
    </row>
    <row r="902" spans="1:14" x14ac:dyDescent="0.25">
      <c r="A902" s="9" t="s">
        <v>5211</v>
      </c>
      <c r="B902" s="10">
        <v>636</v>
      </c>
      <c r="C902" s="10" t="s">
        <v>70</v>
      </c>
      <c r="D902" t="s">
        <v>682</v>
      </c>
      <c r="E902" t="s">
        <v>683</v>
      </c>
      <c r="F902" s="10" t="s">
        <v>29</v>
      </c>
      <c r="G902" s="2">
        <v>10.066700000000001</v>
      </c>
      <c r="H902" s="13">
        <v>9</v>
      </c>
      <c r="I902" s="13">
        <v>0</v>
      </c>
      <c r="J902" s="13">
        <v>0</v>
      </c>
      <c r="K902" s="10">
        <v>9</v>
      </c>
      <c r="L902" s="2">
        <v>90.600300000000004</v>
      </c>
      <c r="M902" s="1">
        <v>46171.48541666667</v>
      </c>
      <c r="N902" t="s">
        <v>16</v>
      </c>
    </row>
    <row r="903" spans="1:14" x14ac:dyDescent="0.25">
      <c r="A903" s="9" t="s">
        <v>5211</v>
      </c>
      <c r="B903" s="10">
        <v>718</v>
      </c>
      <c r="C903" s="10" t="s">
        <v>323</v>
      </c>
      <c r="D903" t="s">
        <v>3931</v>
      </c>
      <c r="E903" t="s">
        <v>3932</v>
      </c>
      <c r="F903" s="10" t="s">
        <v>29</v>
      </c>
      <c r="G903" s="2">
        <v>86.751499999999993</v>
      </c>
      <c r="H903" s="13">
        <v>9</v>
      </c>
      <c r="I903" s="13">
        <v>0</v>
      </c>
      <c r="J903" s="13">
        <v>0</v>
      </c>
      <c r="K903" s="10">
        <v>9</v>
      </c>
      <c r="L903" s="2">
        <v>780.76350000000002</v>
      </c>
      <c r="M903" s="1">
        <v>46175.657638888886</v>
      </c>
      <c r="N903" t="s">
        <v>3755</v>
      </c>
    </row>
    <row r="904" spans="1:14" x14ac:dyDescent="0.25">
      <c r="A904" s="9" t="s">
        <v>5211</v>
      </c>
      <c r="B904" s="10">
        <v>714</v>
      </c>
      <c r="C904" s="10" t="s">
        <v>70</v>
      </c>
      <c r="D904" t="s">
        <v>2121</v>
      </c>
      <c r="E904" t="s">
        <v>2122</v>
      </c>
      <c r="F904" s="10" t="s">
        <v>39</v>
      </c>
      <c r="G904" s="2">
        <v>9.0134000000000007</v>
      </c>
      <c r="H904" s="13">
        <v>9</v>
      </c>
      <c r="I904" s="13">
        <v>0</v>
      </c>
      <c r="J904" s="13">
        <v>0</v>
      </c>
      <c r="K904" s="10">
        <v>9</v>
      </c>
      <c r="L904" s="2">
        <v>81.120599999999996</v>
      </c>
      <c r="M904" s="1">
        <v>46176.375</v>
      </c>
      <c r="N904" t="s">
        <v>40</v>
      </c>
    </row>
    <row r="905" spans="1:14" x14ac:dyDescent="0.25">
      <c r="A905" s="9" t="s">
        <v>5211</v>
      </c>
      <c r="B905" s="10">
        <v>636</v>
      </c>
      <c r="C905" s="10" t="s">
        <v>70</v>
      </c>
      <c r="D905" t="s">
        <v>712</v>
      </c>
      <c r="E905" t="s">
        <v>713</v>
      </c>
      <c r="F905" s="10" t="s">
        <v>112</v>
      </c>
      <c r="G905" s="2">
        <v>5.5087999999999999</v>
      </c>
      <c r="H905" s="13">
        <v>9</v>
      </c>
      <c r="I905" s="13">
        <v>-17</v>
      </c>
      <c r="J905" s="13">
        <v>17</v>
      </c>
      <c r="K905" s="10">
        <v>9</v>
      </c>
      <c r="L905" s="2">
        <v>49.5792</v>
      </c>
      <c r="M905" s="1">
        <v>46177.399305555555</v>
      </c>
      <c r="N905" t="s">
        <v>16</v>
      </c>
    </row>
    <row r="906" spans="1:14" x14ac:dyDescent="0.25">
      <c r="A906" s="9" t="s">
        <v>5211</v>
      </c>
      <c r="B906" s="10">
        <v>636</v>
      </c>
      <c r="C906" s="10" t="s">
        <v>143</v>
      </c>
      <c r="D906" t="s">
        <v>984</v>
      </c>
      <c r="E906" t="s">
        <v>985</v>
      </c>
      <c r="F906" s="10" t="s">
        <v>29</v>
      </c>
      <c r="G906" s="2">
        <v>43.445700000000002</v>
      </c>
      <c r="H906" s="13">
        <v>9</v>
      </c>
      <c r="I906" s="13">
        <v>0</v>
      </c>
      <c r="J906" s="13">
        <v>0</v>
      </c>
      <c r="K906" s="10">
        <v>9</v>
      </c>
      <c r="L906" s="2">
        <v>391.01130000000001</v>
      </c>
      <c r="M906" s="1">
        <v>46177.604166666664</v>
      </c>
      <c r="N906" t="s">
        <v>40</v>
      </c>
    </row>
    <row r="907" spans="1:14" x14ac:dyDescent="0.25">
      <c r="A907" s="9" t="s">
        <v>5211</v>
      </c>
      <c r="B907" s="10">
        <v>634</v>
      </c>
      <c r="C907" s="10" t="s">
        <v>143</v>
      </c>
      <c r="D907" t="s">
        <v>4200</v>
      </c>
      <c r="E907" t="s">
        <v>4201</v>
      </c>
      <c r="F907" s="10" t="s">
        <v>158</v>
      </c>
      <c r="G907" s="2">
        <v>65.756799999999998</v>
      </c>
      <c r="H907" s="13">
        <v>9</v>
      </c>
      <c r="I907" s="13">
        <v>38</v>
      </c>
      <c r="J907" s="13">
        <v>-38</v>
      </c>
      <c r="K907" s="10">
        <v>9</v>
      </c>
      <c r="L907" s="2">
        <v>591.81119999999999</v>
      </c>
      <c r="M907" s="1">
        <v>46178.629166666666</v>
      </c>
      <c r="N907" t="s">
        <v>216</v>
      </c>
    </row>
    <row r="908" spans="1:14" x14ac:dyDescent="0.25">
      <c r="A908" s="9" t="s">
        <v>5211</v>
      </c>
      <c r="B908" s="10">
        <v>636</v>
      </c>
      <c r="C908" s="10" t="s">
        <v>70</v>
      </c>
      <c r="D908" t="s">
        <v>4036</v>
      </c>
      <c r="E908" t="s">
        <v>4037</v>
      </c>
      <c r="F908" s="10" t="s">
        <v>112</v>
      </c>
      <c r="G908" s="2">
        <v>6.2045000000000003</v>
      </c>
      <c r="H908" s="13">
        <v>9</v>
      </c>
      <c r="I908" s="13">
        <v>14</v>
      </c>
      <c r="J908" s="13">
        <v>-14</v>
      </c>
      <c r="K908" s="10">
        <v>9</v>
      </c>
      <c r="L908" s="2">
        <v>55.840499999999999</v>
      </c>
      <c r="M908" s="1">
        <v>46184.540277777778</v>
      </c>
      <c r="N908" t="s">
        <v>16</v>
      </c>
    </row>
    <row r="909" spans="1:14" x14ac:dyDescent="0.25">
      <c r="A909" s="9" t="s">
        <v>5211</v>
      </c>
      <c r="B909" s="10">
        <v>636</v>
      </c>
      <c r="C909" s="10" t="s">
        <v>70</v>
      </c>
      <c r="D909" t="s">
        <v>608</v>
      </c>
      <c r="E909" t="s">
        <v>609</v>
      </c>
      <c r="F909" s="10" t="s">
        <v>39</v>
      </c>
      <c r="G909" s="2">
        <v>5.8784999999999998</v>
      </c>
      <c r="H909" s="13">
        <v>9</v>
      </c>
      <c r="I909" s="13">
        <v>0</v>
      </c>
      <c r="J909" s="13">
        <v>0</v>
      </c>
      <c r="K909" s="10">
        <v>9</v>
      </c>
      <c r="L909" s="2">
        <v>52.906500000000001</v>
      </c>
      <c r="M909" s="1">
        <v>46184.540277777778</v>
      </c>
      <c r="N909" t="s">
        <v>16</v>
      </c>
    </row>
    <row r="910" spans="1:14" x14ac:dyDescent="0.25">
      <c r="A910" s="9" t="s">
        <v>5211</v>
      </c>
      <c r="B910" s="10">
        <v>714</v>
      </c>
      <c r="C910" s="10" t="s">
        <v>143</v>
      </c>
      <c r="D910" t="s">
        <v>2740</v>
      </c>
      <c r="E910" t="s">
        <v>2741</v>
      </c>
      <c r="F910" s="10" t="s">
        <v>23</v>
      </c>
      <c r="G910" s="2">
        <v>20.321999999999999</v>
      </c>
      <c r="H910" s="13">
        <v>9</v>
      </c>
      <c r="I910" s="13">
        <v>0</v>
      </c>
      <c r="J910" s="13">
        <v>0</v>
      </c>
      <c r="K910" s="10">
        <v>9</v>
      </c>
      <c r="L910" s="2">
        <v>182.898</v>
      </c>
      <c r="M910" s="1">
        <v>46188.35</v>
      </c>
      <c r="N910" t="s">
        <v>26</v>
      </c>
    </row>
    <row r="911" spans="1:14" x14ac:dyDescent="0.25">
      <c r="A911" s="9" t="s">
        <v>5211</v>
      </c>
      <c r="B911" s="10">
        <v>634</v>
      </c>
      <c r="C911" s="10" t="s">
        <v>143</v>
      </c>
      <c r="D911" t="s">
        <v>275</v>
      </c>
      <c r="E911" t="s">
        <v>276</v>
      </c>
      <c r="F911" s="10" t="s">
        <v>39</v>
      </c>
      <c r="G911" s="2">
        <v>17.491599999999998</v>
      </c>
      <c r="H911" s="13">
        <v>9</v>
      </c>
      <c r="I911" s="13">
        <v>0</v>
      </c>
      <c r="J911" s="13">
        <v>0</v>
      </c>
      <c r="K911" s="10">
        <v>9</v>
      </c>
      <c r="L911" s="2">
        <v>157.42439999999999</v>
      </c>
      <c r="M911" s="1">
        <v>46192.486111111109</v>
      </c>
      <c r="N911" t="s">
        <v>26</v>
      </c>
    </row>
    <row r="912" spans="1:14" x14ac:dyDescent="0.25">
      <c r="A912" s="9" t="s">
        <v>5211</v>
      </c>
      <c r="B912" s="10">
        <v>714</v>
      </c>
      <c r="C912" s="10" t="s">
        <v>323</v>
      </c>
      <c r="D912" t="s">
        <v>3172</v>
      </c>
      <c r="E912" t="s">
        <v>3173</v>
      </c>
      <c r="F912" s="10" t="s">
        <v>158</v>
      </c>
      <c r="G912" s="2">
        <v>119.8045</v>
      </c>
      <c r="H912" s="13">
        <v>9</v>
      </c>
      <c r="I912" s="13">
        <v>0</v>
      </c>
      <c r="J912" s="13">
        <v>0</v>
      </c>
      <c r="K912" s="10">
        <v>9</v>
      </c>
      <c r="L912" s="2">
        <v>1078.2405000000001</v>
      </c>
      <c r="M912" s="1">
        <v>46195.554861111108</v>
      </c>
      <c r="N912" t="s">
        <v>310</v>
      </c>
    </row>
    <row r="913" spans="1:14" x14ac:dyDescent="0.25">
      <c r="A913" s="9" t="s">
        <v>5211</v>
      </c>
      <c r="B913" s="10">
        <v>718</v>
      </c>
      <c r="C913" s="10" t="s">
        <v>12</v>
      </c>
      <c r="D913" t="s">
        <v>27</v>
      </c>
      <c r="E913" t="s">
        <v>28</v>
      </c>
      <c r="F913" s="10" t="s">
        <v>29</v>
      </c>
      <c r="G913" s="2">
        <v>12.0831</v>
      </c>
      <c r="H913" s="13">
        <v>9</v>
      </c>
      <c r="I913" s="13">
        <v>0</v>
      </c>
      <c r="J913" s="13">
        <v>0</v>
      </c>
      <c r="K913" s="10">
        <v>9</v>
      </c>
      <c r="L913" s="2">
        <v>108.7479</v>
      </c>
      <c r="M913" s="1">
        <v>46197.523611111108</v>
      </c>
      <c r="N913" t="s">
        <v>40</v>
      </c>
    </row>
    <row r="914" spans="1:14" x14ac:dyDescent="0.25">
      <c r="A914" s="9" t="s">
        <v>5211</v>
      </c>
      <c r="B914" s="10">
        <v>714</v>
      </c>
      <c r="C914" s="10" t="s">
        <v>70</v>
      </c>
      <c r="D914" t="s">
        <v>2008</v>
      </c>
      <c r="E914" t="s">
        <v>2009</v>
      </c>
      <c r="F914" s="10" t="s">
        <v>39</v>
      </c>
      <c r="G914" s="2">
        <v>6.8425000000000002</v>
      </c>
      <c r="H914" s="13">
        <v>9</v>
      </c>
      <c r="I914" s="13">
        <v>0</v>
      </c>
      <c r="J914" s="13">
        <v>0</v>
      </c>
      <c r="K914" s="10">
        <v>9</v>
      </c>
      <c r="L914" s="2">
        <v>61.582500000000003</v>
      </c>
      <c r="M914" s="1">
        <v>46198.40902777778</v>
      </c>
      <c r="N914" t="s">
        <v>573</v>
      </c>
    </row>
    <row r="915" spans="1:14" x14ac:dyDescent="0.25">
      <c r="A915" s="9" t="s">
        <v>5211</v>
      </c>
      <c r="B915" s="10">
        <v>636</v>
      </c>
      <c r="C915" s="10" t="s">
        <v>70</v>
      </c>
      <c r="D915" t="s">
        <v>655</v>
      </c>
      <c r="E915" t="s">
        <v>656</v>
      </c>
      <c r="F915" s="10" t="s">
        <v>29</v>
      </c>
      <c r="G915" s="2">
        <v>6.4631999999999996</v>
      </c>
      <c r="H915" s="13">
        <v>9</v>
      </c>
      <c r="I915" s="13">
        <v>0</v>
      </c>
      <c r="J915" s="13">
        <v>0</v>
      </c>
      <c r="K915" s="10">
        <v>9</v>
      </c>
      <c r="L915" s="2">
        <v>58.168799999999997</v>
      </c>
      <c r="M915" s="1">
        <v>46199.375</v>
      </c>
      <c r="N915" t="s">
        <v>16</v>
      </c>
    </row>
    <row r="916" spans="1:14" x14ac:dyDescent="0.25">
      <c r="A916" s="9" t="s">
        <v>5211</v>
      </c>
      <c r="B916" s="10">
        <v>636</v>
      </c>
      <c r="C916" s="10" t="s">
        <v>143</v>
      </c>
      <c r="D916" t="s">
        <v>4477</v>
      </c>
      <c r="E916" t="s">
        <v>4478</v>
      </c>
      <c r="F916" s="10" t="s">
        <v>19</v>
      </c>
      <c r="G916" s="2">
        <v>12.1943</v>
      </c>
      <c r="H916" s="13">
        <v>9</v>
      </c>
      <c r="I916" s="13">
        <v>0</v>
      </c>
      <c r="J916" s="13">
        <v>0</v>
      </c>
      <c r="K916" s="10">
        <v>9</v>
      </c>
      <c r="L916" s="2">
        <v>109.7487</v>
      </c>
      <c r="M916" s="1">
        <v>46199.425694444442</v>
      </c>
      <c r="N916" t="s">
        <v>1154</v>
      </c>
    </row>
    <row r="917" spans="1:14" x14ac:dyDescent="0.25">
      <c r="A917" s="9" t="s">
        <v>5211</v>
      </c>
      <c r="B917" s="10">
        <v>718</v>
      </c>
      <c r="C917" s="10" t="s">
        <v>323</v>
      </c>
      <c r="D917" t="s">
        <v>4667</v>
      </c>
      <c r="E917" t="s">
        <v>4668</v>
      </c>
      <c r="F917" s="10" t="s">
        <v>158</v>
      </c>
      <c r="G917" s="2">
        <v>301.375</v>
      </c>
      <c r="H917" s="13">
        <v>9</v>
      </c>
      <c r="I917" s="13">
        <v>2</v>
      </c>
      <c r="J917" s="13">
        <v>-2</v>
      </c>
      <c r="K917" s="10">
        <v>9</v>
      </c>
      <c r="L917" s="2">
        <v>2712.375</v>
      </c>
      <c r="M917" s="1">
        <v>46199.606249999997</v>
      </c>
      <c r="N917" t="s">
        <v>151</v>
      </c>
    </row>
    <row r="918" spans="1:14" x14ac:dyDescent="0.25">
      <c r="A918" s="9" t="s">
        <v>5211</v>
      </c>
      <c r="B918" s="10">
        <v>714</v>
      </c>
      <c r="C918" s="10" t="s">
        <v>70</v>
      </c>
      <c r="D918" t="s">
        <v>77</v>
      </c>
      <c r="E918" t="s">
        <v>78</v>
      </c>
      <c r="F918" s="10" t="s">
        <v>39</v>
      </c>
      <c r="G918" s="2">
        <v>7.2083000000000004</v>
      </c>
      <c r="H918" s="13">
        <v>9</v>
      </c>
      <c r="I918" s="13">
        <v>-2</v>
      </c>
      <c r="J918" s="13">
        <v>2</v>
      </c>
      <c r="K918" s="10">
        <v>9</v>
      </c>
      <c r="L918" s="2">
        <v>64.874700000000004</v>
      </c>
      <c r="M918" s="1">
        <v>46200.377083333333</v>
      </c>
      <c r="N918" t="s">
        <v>40</v>
      </c>
    </row>
    <row r="919" spans="1:14" x14ac:dyDescent="0.25">
      <c r="A919" s="9" t="s">
        <v>5211</v>
      </c>
      <c r="B919" s="10">
        <v>718</v>
      </c>
      <c r="C919" s="10" t="s">
        <v>126</v>
      </c>
      <c r="D919" t="s">
        <v>4066</v>
      </c>
      <c r="E919" t="s">
        <v>4067</v>
      </c>
      <c r="F919" s="10" t="s">
        <v>112</v>
      </c>
      <c r="G919" s="2">
        <v>7.1948999999999996</v>
      </c>
      <c r="H919" s="13">
        <v>9</v>
      </c>
      <c r="I919" s="13">
        <v>-58</v>
      </c>
      <c r="J919" s="13">
        <v>58</v>
      </c>
      <c r="K919" s="10">
        <v>9</v>
      </c>
      <c r="L919" s="2">
        <v>64.754099999999994</v>
      </c>
      <c r="M919" s="1">
        <v>46211.615277777775</v>
      </c>
      <c r="N919" t="s">
        <v>16</v>
      </c>
    </row>
    <row r="920" spans="1:14" x14ac:dyDescent="0.25">
      <c r="A920" s="9" t="s">
        <v>5211</v>
      </c>
      <c r="B920" s="10">
        <v>634</v>
      </c>
      <c r="C920" s="10" t="s">
        <v>143</v>
      </c>
      <c r="D920" t="s">
        <v>4180</v>
      </c>
      <c r="E920" t="s">
        <v>4181</v>
      </c>
      <c r="F920" s="10" t="s">
        <v>158</v>
      </c>
      <c r="G920" s="2">
        <v>37.810299999999998</v>
      </c>
      <c r="H920" s="13">
        <v>9</v>
      </c>
      <c r="I920" s="13">
        <v>22</v>
      </c>
      <c r="J920" s="13">
        <v>-22</v>
      </c>
      <c r="K920" s="10">
        <v>9</v>
      </c>
      <c r="L920" s="2">
        <v>340.29270000000002</v>
      </c>
      <c r="M920" s="1">
        <v>46212.55</v>
      </c>
      <c r="N920" t="s">
        <v>40</v>
      </c>
    </row>
    <row r="921" spans="1:14" x14ac:dyDescent="0.25">
      <c r="A921" s="9" t="s">
        <v>5211</v>
      </c>
      <c r="B921" s="10">
        <v>714</v>
      </c>
      <c r="C921" s="10" t="s">
        <v>70</v>
      </c>
      <c r="D921" t="s">
        <v>1997</v>
      </c>
      <c r="E921" t="s">
        <v>1998</v>
      </c>
      <c r="F921" s="10" t="s">
        <v>39</v>
      </c>
      <c r="G921" s="2">
        <v>10.0983</v>
      </c>
      <c r="H921" s="13">
        <v>9</v>
      </c>
      <c r="I921" s="13">
        <v>0</v>
      </c>
      <c r="J921" s="13">
        <v>0</v>
      </c>
      <c r="K921" s="10">
        <v>9</v>
      </c>
      <c r="L921" s="2">
        <v>90.884699999999995</v>
      </c>
      <c r="M921" s="1">
        <v>46213.455555555556</v>
      </c>
      <c r="N921" t="s">
        <v>573</v>
      </c>
    </row>
    <row r="922" spans="1:14" x14ac:dyDescent="0.25">
      <c r="A922" s="9" t="s">
        <v>5211</v>
      </c>
      <c r="B922" s="10">
        <v>636</v>
      </c>
      <c r="C922" s="10" t="s">
        <v>323</v>
      </c>
      <c r="D922" t="s">
        <v>1280</v>
      </c>
      <c r="E922" t="s">
        <v>1281</v>
      </c>
      <c r="F922" s="10" t="s">
        <v>29</v>
      </c>
      <c r="G922" s="2">
        <v>29.037600000000001</v>
      </c>
      <c r="H922" s="13">
        <v>9</v>
      </c>
      <c r="I922" s="13">
        <v>0</v>
      </c>
      <c r="J922" s="13">
        <v>0</v>
      </c>
      <c r="K922" s="10">
        <v>9</v>
      </c>
      <c r="L922" s="2">
        <v>261.33839999999998</v>
      </c>
      <c r="M922" s="1">
        <v>46216.52847222222</v>
      </c>
      <c r="N922" t="s">
        <v>40</v>
      </c>
    </row>
    <row r="923" spans="1:14" x14ac:dyDescent="0.25">
      <c r="A923" s="9" t="s">
        <v>5211</v>
      </c>
      <c r="B923" s="10">
        <v>634</v>
      </c>
      <c r="C923" s="10" t="s">
        <v>70</v>
      </c>
      <c r="D923" t="s">
        <v>108</v>
      </c>
      <c r="E923" t="s">
        <v>109</v>
      </c>
      <c r="F923" s="10" t="s">
        <v>39</v>
      </c>
      <c r="G923" s="2">
        <v>7.4497</v>
      </c>
      <c r="H923" s="13">
        <v>9</v>
      </c>
      <c r="I923" s="13">
        <v>6</v>
      </c>
      <c r="J923" s="13">
        <v>-6</v>
      </c>
      <c r="K923" s="10">
        <v>9</v>
      </c>
      <c r="L923" s="2">
        <v>67.047300000000007</v>
      </c>
      <c r="M923" s="1">
        <v>46225.354166666664</v>
      </c>
      <c r="N923" t="s">
        <v>40</v>
      </c>
    </row>
    <row r="924" spans="1:14" x14ac:dyDescent="0.25">
      <c r="A924" s="9" t="s">
        <v>5211</v>
      </c>
      <c r="B924" s="10">
        <v>636</v>
      </c>
      <c r="C924" s="10" t="s">
        <v>126</v>
      </c>
      <c r="D924" t="s">
        <v>129</v>
      </c>
      <c r="E924" t="s">
        <v>130</v>
      </c>
      <c r="F924" s="10" t="s">
        <v>112</v>
      </c>
      <c r="G924" s="2">
        <v>7.1501000000000001</v>
      </c>
      <c r="H924" s="13">
        <v>9</v>
      </c>
      <c r="I924" s="13">
        <v>2</v>
      </c>
      <c r="J924" s="13">
        <v>-2</v>
      </c>
      <c r="K924" s="10">
        <v>9</v>
      </c>
      <c r="L924" s="2">
        <v>64.350899999999996</v>
      </c>
      <c r="M924" s="1">
        <v>46225.4</v>
      </c>
      <c r="N924" t="s">
        <v>16</v>
      </c>
    </row>
    <row r="925" spans="1:14" x14ac:dyDescent="0.25">
      <c r="A925" s="9" t="s">
        <v>5211</v>
      </c>
      <c r="B925" s="10">
        <v>714</v>
      </c>
      <c r="C925" s="10" t="s">
        <v>70</v>
      </c>
      <c r="D925" t="s">
        <v>2073</v>
      </c>
      <c r="E925" t="s">
        <v>2074</v>
      </c>
      <c r="F925" s="10" t="s">
        <v>112</v>
      </c>
      <c r="G925" s="2">
        <v>5.2291999999999996</v>
      </c>
      <c r="H925" s="13">
        <v>9</v>
      </c>
      <c r="I925" s="13">
        <v>0</v>
      </c>
      <c r="J925" s="13">
        <v>0</v>
      </c>
      <c r="K925" s="10">
        <v>9</v>
      </c>
      <c r="L925" s="2">
        <v>47.062800000000003</v>
      </c>
      <c r="M925" s="1">
        <v>46228.32916666667</v>
      </c>
      <c r="N925" t="s">
        <v>26</v>
      </c>
    </row>
    <row r="926" spans="1:14" x14ac:dyDescent="0.25">
      <c r="A926" s="9" t="s">
        <v>5211</v>
      </c>
      <c r="B926" s="10">
        <v>714</v>
      </c>
      <c r="C926" s="10" t="s">
        <v>143</v>
      </c>
      <c r="D926" t="s">
        <v>4785</v>
      </c>
      <c r="E926" t="s">
        <v>4786</v>
      </c>
      <c r="F926" s="10" t="s">
        <v>455</v>
      </c>
      <c r="G926" s="2">
        <v>25.852699999999999</v>
      </c>
      <c r="H926" s="13">
        <v>9</v>
      </c>
      <c r="I926" s="13">
        <v>84</v>
      </c>
      <c r="J926" s="13">
        <v>-84</v>
      </c>
      <c r="K926" s="10">
        <v>9</v>
      </c>
      <c r="L926" s="2">
        <v>232.67429999999999</v>
      </c>
      <c r="M926" s="1">
        <v>46230.414583333331</v>
      </c>
      <c r="N926" t="s">
        <v>268</v>
      </c>
    </row>
    <row r="927" spans="1:14" x14ac:dyDescent="0.25">
      <c r="A927" s="9" t="s">
        <v>5211</v>
      </c>
      <c r="B927" s="10">
        <v>714</v>
      </c>
      <c r="C927" s="10" t="s">
        <v>323</v>
      </c>
      <c r="D927" t="s">
        <v>4641</v>
      </c>
      <c r="E927" t="s">
        <v>4642</v>
      </c>
      <c r="F927" s="10" t="s">
        <v>43</v>
      </c>
      <c r="G927" s="2">
        <v>87.871300000000005</v>
      </c>
      <c r="H927" s="13">
        <v>9</v>
      </c>
      <c r="I927" s="13">
        <v>5</v>
      </c>
      <c r="J927" s="13">
        <v>-5</v>
      </c>
      <c r="K927" s="10">
        <v>9</v>
      </c>
      <c r="L927" s="2">
        <v>790.84169999999995</v>
      </c>
      <c r="M927" s="1">
        <v>46232.375694444447</v>
      </c>
      <c r="N927" t="s">
        <v>40</v>
      </c>
    </row>
    <row r="928" spans="1:14" x14ac:dyDescent="0.25">
      <c r="A928" s="9" t="s">
        <v>5211</v>
      </c>
      <c r="B928" s="10">
        <v>714</v>
      </c>
      <c r="C928" s="10" t="s">
        <v>70</v>
      </c>
      <c r="D928" t="s">
        <v>2147</v>
      </c>
      <c r="E928" t="s">
        <v>2148</v>
      </c>
      <c r="F928" s="10" t="s">
        <v>112</v>
      </c>
      <c r="G928" s="2">
        <v>7.4527000000000001</v>
      </c>
      <c r="H928" s="13">
        <v>9</v>
      </c>
      <c r="I928" s="13">
        <v>6</v>
      </c>
      <c r="J928" s="13">
        <v>-6</v>
      </c>
      <c r="K928" s="10">
        <v>9</v>
      </c>
      <c r="L928" s="2">
        <v>67.074299999999994</v>
      </c>
      <c r="M928" s="1">
        <v>46232.375694444447</v>
      </c>
      <c r="N928" t="s">
        <v>40</v>
      </c>
    </row>
    <row r="929" spans="1:14" x14ac:dyDescent="0.25">
      <c r="A929" s="9" t="s">
        <v>5211</v>
      </c>
      <c r="B929" s="10">
        <v>718</v>
      </c>
      <c r="C929" s="10" t="s">
        <v>70</v>
      </c>
      <c r="D929" t="s">
        <v>3647</v>
      </c>
      <c r="E929" t="s">
        <v>3648</v>
      </c>
      <c r="F929" s="10" t="s">
        <v>29</v>
      </c>
      <c r="G929" s="2">
        <v>10.017099999999999</v>
      </c>
      <c r="H929" s="13">
        <v>9</v>
      </c>
      <c r="I929" s="13">
        <v>0</v>
      </c>
      <c r="J929" s="13">
        <v>0</v>
      </c>
      <c r="K929" s="10">
        <v>9</v>
      </c>
      <c r="L929" s="2">
        <v>90.153899999999993</v>
      </c>
      <c r="M929" s="1">
        <v>46232.6</v>
      </c>
      <c r="N929" t="s">
        <v>573</v>
      </c>
    </row>
    <row r="930" spans="1:14" x14ac:dyDescent="0.25">
      <c r="A930" s="9" t="s">
        <v>5211</v>
      </c>
      <c r="B930" s="10">
        <v>718</v>
      </c>
      <c r="C930" s="10" t="s">
        <v>70</v>
      </c>
      <c r="D930" t="s">
        <v>5136</v>
      </c>
      <c r="E930" t="s">
        <v>5137</v>
      </c>
      <c r="F930" s="10" t="s">
        <v>112</v>
      </c>
      <c r="G930" s="2">
        <v>10.914999999999999</v>
      </c>
      <c r="H930" s="13">
        <v>9</v>
      </c>
      <c r="I930" s="13">
        <v>0</v>
      </c>
      <c r="J930" s="13">
        <v>0</v>
      </c>
      <c r="K930" s="10">
        <v>9</v>
      </c>
      <c r="L930" s="2">
        <v>98.234999999999999</v>
      </c>
      <c r="M930" s="1">
        <v>46232.6</v>
      </c>
      <c r="N930" t="s">
        <v>573</v>
      </c>
    </row>
    <row r="931" spans="1:14" x14ac:dyDescent="0.25">
      <c r="A931" s="9" t="s">
        <v>5211</v>
      </c>
      <c r="B931" s="10">
        <v>714</v>
      </c>
      <c r="C931" s="10" t="s">
        <v>70</v>
      </c>
      <c r="D931" t="s">
        <v>779</v>
      </c>
      <c r="E931" t="s">
        <v>780</v>
      </c>
      <c r="F931" s="10" t="s">
        <v>23</v>
      </c>
      <c r="G931" s="2">
        <v>7.7537000000000003</v>
      </c>
      <c r="H931" s="13">
        <v>9</v>
      </c>
      <c r="I931" s="13">
        <v>0</v>
      </c>
      <c r="J931" s="13">
        <v>0</v>
      </c>
      <c r="K931" s="10">
        <v>9</v>
      </c>
      <c r="L931" s="2">
        <v>69.783299999999997</v>
      </c>
      <c r="M931" s="1">
        <v>46234.623611111114</v>
      </c>
      <c r="N931" t="s">
        <v>16</v>
      </c>
    </row>
    <row r="932" spans="1:14" x14ac:dyDescent="0.25">
      <c r="A932" s="9" t="s">
        <v>5211</v>
      </c>
      <c r="B932" s="10">
        <v>714</v>
      </c>
      <c r="C932" s="10" t="s">
        <v>70</v>
      </c>
      <c r="D932" t="s">
        <v>2180</v>
      </c>
      <c r="E932" t="s">
        <v>2181</v>
      </c>
      <c r="F932" s="10" t="s">
        <v>29</v>
      </c>
      <c r="G932" s="2">
        <v>7.4630999999999998</v>
      </c>
      <c r="H932" s="13">
        <v>9</v>
      </c>
      <c r="I932" s="13">
        <v>0</v>
      </c>
      <c r="J932" s="13">
        <v>0</v>
      </c>
      <c r="K932" s="10">
        <v>9</v>
      </c>
      <c r="L932" s="2">
        <v>67.167900000000003</v>
      </c>
      <c r="M932" s="1">
        <v>46239.576388888891</v>
      </c>
      <c r="N932" t="s">
        <v>573</v>
      </c>
    </row>
    <row r="933" spans="1:14" x14ac:dyDescent="0.25">
      <c r="A933" s="9" t="s">
        <v>5211</v>
      </c>
      <c r="B933" s="10">
        <v>718</v>
      </c>
      <c r="C933" s="10" t="s">
        <v>143</v>
      </c>
      <c r="D933" t="s">
        <v>897</v>
      </c>
      <c r="E933" t="s">
        <v>898</v>
      </c>
      <c r="F933" s="10" t="s">
        <v>43</v>
      </c>
      <c r="G933" s="2">
        <v>42.967599999999997</v>
      </c>
      <c r="H933" s="13">
        <v>9</v>
      </c>
      <c r="I933" s="13">
        <v>-6</v>
      </c>
      <c r="J933" s="13">
        <v>6</v>
      </c>
      <c r="K933" s="10">
        <v>9</v>
      </c>
      <c r="L933" s="2">
        <v>386.70839999999998</v>
      </c>
      <c r="M933" s="1">
        <v>46240.650694444441</v>
      </c>
      <c r="N933" t="s">
        <v>140</v>
      </c>
    </row>
    <row r="934" spans="1:14" x14ac:dyDescent="0.25">
      <c r="A934" s="9" t="s">
        <v>5211</v>
      </c>
      <c r="B934" s="10">
        <v>714</v>
      </c>
      <c r="C934" s="10" t="s">
        <v>12</v>
      </c>
      <c r="D934" t="s">
        <v>4691</v>
      </c>
      <c r="E934" t="s">
        <v>4692</v>
      </c>
      <c r="F934" s="10" t="s">
        <v>39</v>
      </c>
      <c r="G934" s="2">
        <v>16.95</v>
      </c>
      <c r="H934" s="13">
        <v>9</v>
      </c>
      <c r="I934" s="13">
        <v>2</v>
      </c>
      <c r="J934" s="13">
        <v>-2</v>
      </c>
      <c r="K934" s="10">
        <v>9</v>
      </c>
      <c r="L934" s="2">
        <v>152.55000000000001</v>
      </c>
      <c r="M934" s="1">
        <v>46244.670138888891</v>
      </c>
      <c r="N934" t="s">
        <v>1836</v>
      </c>
    </row>
    <row r="935" spans="1:14" x14ac:dyDescent="0.25">
      <c r="A935" s="9" t="s">
        <v>5211</v>
      </c>
      <c r="B935" s="10">
        <v>718</v>
      </c>
      <c r="C935" s="10" t="s">
        <v>143</v>
      </c>
      <c r="D935" t="s">
        <v>3728</v>
      </c>
      <c r="E935" t="s">
        <v>3729</v>
      </c>
      <c r="F935" s="10" t="s">
        <v>29</v>
      </c>
      <c r="G935" s="2">
        <v>21.764800000000001</v>
      </c>
      <c r="H935" s="13">
        <v>8</v>
      </c>
      <c r="I935" s="13">
        <v>0</v>
      </c>
      <c r="J935" s="13">
        <v>0</v>
      </c>
      <c r="K935" s="10">
        <v>8</v>
      </c>
      <c r="L935" s="2">
        <v>174.11840000000001</v>
      </c>
      <c r="M935" s="1">
        <v>44337.29791666667</v>
      </c>
      <c r="N935" t="s">
        <v>878</v>
      </c>
    </row>
    <row r="936" spans="1:14" x14ac:dyDescent="0.25">
      <c r="A936" s="9" t="s">
        <v>5211</v>
      </c>
      <c r="B936" s="10">
        <v>714</v>
      </c>
      <c r="C936" s="10" t="s">
        <v>323</v>
      </c>
      <c r="D936" t="s">
        <v>3522</v>
      </c>
      <c r="E936" t="s">
        <v>3523</v>
      </c>
      <c r="F936" s="10" t="s">
        <v>23</v>
      </c>
      <c r="G936" s="2">
        <v>138.91419999999999</v>
      </c>
      <c r="H936" s="13">
        <v>8</v>
      </c>
      <c r="I936" s="13">
        <v>1</v>
      </c>
      <c r="J936" s="13">
        <v>-1</v>
      </c>
      <c r="K936" s="10">
        <v>8</v>
      </c>
      <c r="L936" s="2">
        <v>1111.3136</v>
      </c>
      <c r="M936" s="1">
        <v>45370.397222222222</v>
      </c>
      <c r="N936" t="s">
        <v>363</v>
      </c>
    </row>
    <row r="937" spans="1:14" x14ac:dyDescent="0.25">
      <c r="A937" s="9" t="s">
        <v>5211</v>
      </c>
      <c r="B937" s="10">
        <v>634</v>
      </c>
      <c r="C937" s="10" t="s">
        <v>143</v>
      </c>
      <c r="D937" t="s">
        <v>4108</v>
      </c>
      <c r="E937" t="s">
        <v>4109</v>
      </c>
      <c r="F937" s="10" t="s">
        <v>35</v>
      </c>
      <c r="G937" s="2">
        <v>12.1136</v>
      </c>
      <c r="H937" s="13">
        <v>8</v>
      </c>
      <c r="I937" s="13">
        <v>13</v>
      </c>
      <c r="J937" s="13">
        <v>-13</v>
      </c>
      <c r="K937" s="10">
        <v>8</v>
      </c>
      <c r="L937" s="2">
        <v>96.908799999999999</v>
      </c>
      <c r="M937" s="1">
        <v>45412.45416666667</v>
      </c>
      <c r="N937" t="s">
        <v>47</v>
      </c>
    </row>
    <row r="938" spans="1:14" x14ac:dyDescent="0.25">
      <c r="A938" s="9" t="s">
        <v>5211</v>
      </c>
      <c r="B938" s="10">
        <v>714</v>
      </c>
      <c r="C938" s="10" t="s">
        <v>143</v>
      </c>
      <c r="D938" t="s">
        <v>2663</v>
      </c>
      <c r="E938" t="s">
        <v>2664</v>
      </c>
      <c r="F938" s="10" t="s">
        <v>15</v>
      </c>
      <c r="G938" s="2">
        <v>16.790700000000001</v>
      </c>
      <c r="H938" s="13">
        <v>8</v>
      </c>
      <c r="I938" s="13">
        <v>0</v>
      </c>
      <c r="J938" s="13">
        <v>0</v>
      </c>
      <c r="K938" s="10">
        <v>8</v>
      </c>
      <c r="L938" s="2">
        <v>134.32560000000001</v>
      </c>
      <c r="M938" s="1">
        <v>45726.532638888886</v>
      </c>
      <c r="N938" t="s">
        <v>2379</v>
      </c>
    </row>
    <row r="939" spans="1:14" x14ac:dyDescent="0.25">
      <c r="A939" s="9" t="s">
        <v>5211</v>
      </c>
      <c r="B939" s="10">
        <v>718</v>
      </c>
      <c r="C939" s="10" t="s">
        <v>323</v>
      </c>
      <c r="D939" t="s">
        <v>4286</v>
      </c>
      <c r="E939" t="s">
        <v>4287</v>
      </c>
      <c r="F939" s="10" t="s">
        <v>19</v>
      </c>
      <c r="G939" s="2">
        <v>111.5838</v>
      </c>
      <c r="H939" s="13">
        <v>8</v>
      </c>
      <c r="I939" s="13">
        <v>5</v>
      </c>
      <c r="J939" s="13">
        <v>-5</v>
      </c>
      <c r="K939" s="10">
        <v>8</v>
      </c>
      <c r="L939" s="2">
        <v>892.67039999999997</v>
      </c>
      <c r="M939" s="1">
        <v>45742.30972222222</v>
      </c>
      <c r="N939" t="s">
        <v>40</v>
      </c>
    </row>
    <row r="940" spans="1:14" x14ac:dyDescent="0.25">
      <c r="A940" s="9" t="s">
        <v>5211</v>
      </c>
      <c r="B940" s="10">
        <v>714</v>
      </c>
      <c r="C940" s="10" t="s">
        <v>143</v>
      </c>
      <c r="D940" t="s">
        <v>2687</v>
      </c>
      <c r="E940" t="s">
        <v>2688</v>
      </c>
      <c r="F940" s="10" t="s">
        <v>39</v>
      </c>
      <c r="G940" s="2">
        <v>11.8576</v>
      </c>
      <c r="H940" s="13">
        <v>8</v>
      </c>
      <c r="I940" s="13">
        <v>0</v>
      </c>
      <c r="J940" s="13">
        <v>0</v>
      </c>
      <c r="K940" s="10">
        <v>8</v>
      </c>
      <c r="L940" s="2">
        <v>94.860799999999998</v>
      </c>
      <c r="M940" s="1">
        <v>45806.51666666667</v>
      </c>
      <c r="N940" t="s">
        <v>878</v>
      </c>
    </row>
    <row r="941" spans="1:14" x14ac:dyDescent="0.25">
      <c r="A941" s="9" t="s">
        <v>5211</v>
      </c>
      <c r="B941" s="10">
        <v>714</v>
      </c>
      <c r="C941" s="10" t="s">
        <v>323</v>
      </c>
      <c r="D941" t="s">
        <v>3027</v>
      </c>
      <c r="E941" t="s">
        <v>3028</v>
      </c>
      <c r="F941" s="10" t="s">
        <v>455</v>
      </c>
      <c r="G941" s="2">
        <v>98.985799999999998</v>
      </c>
      <c r="H941" s="13">
        <v>8</v>
      </c>
      <c r="I941" s="13">
        <v>-4</v>
      </c>
      <c r="J941" s="13">
        <v>4</v>
      </c>
      <c r="K941" s="10">
        <v>8</v>
      </c>
      <c r="L941" s="2">
        <v>791.88639999999998</v>
      </c>
      <c r="M941" s="1">
        <v>45866.352083333331</v>
      </c>
      <c r="N941" t="s">
        <v>2444</v>
      </c>
    </row>
    <row r="942" spans="1:14" x14ac:dyDescent="0.25">
      <c r="A942" s="9" t="s">
        <v>5211</v>
      </c>
      <c r="B942" s="10">
        <v>636</v>
      </c>
      <c r="C942" s="10" t="s">
        <v>323</v>
      </c>
      <c r="D942" t="s">
        <v>1474</v>
      </c>
      <c r="E942" s="6" t="s">
        <v>1475</v>
      </c>
      <c r="F942" s="11" t="s">
        <v>58</v>
      </c>
      <c r="G942" s="2">
        <v>29.058599999999998</v>
      </c>
      <c r="H942" s="13">
        <v>8</v>
      </c>
      <c r="I942" s="13">
        <v>0</v>
      </c>
      <c r="J942" s="13">
        <v>0</v>
      </c>
      <c r="K942" s="10">
        <v>8</v>
      </c>
      <c r="L942" s="2">
        <v>232.46879999999999</v>
      </c>
      <c r="M942" s="1">
        <v>45880.404861111114</v>
      </c>
      <c r="N942" t="s">
        <v>1179</v>
      </c>
    </row>
    <row r="943" spans="1:14" x14ac:dyDescent="0.25">
      <c r="A943" s="9" t="s">
        <v>5211</v>
      </c>
      <c r="B943" s="10">
        <v>714</v>
      </c>
      <c r="C943" s="10" t="s">
        <v>323</v>
      </c>
      <c r="D943" t="s">
        <v>5093</v>
      </c>
      <c r="E943" t="s">
        <v>5094</v>
      </c>
      <c r="F943" s="10" t="s">
        <v>23</v>
      </c>
      <c r="G943" s="2">
        <v>83.017399999999995</v>
      </c>
      <c r="H943" s="13">
        <v>8</v>
      </c>
      <c r="I943" s="13">
        <v>0</v>
      </c>
      <c r="J943" s="13">
        <v>0</v>
      </c>
      <c r="K943" s="10">
        <v>8</v>
      </c>
      <c r="L943" s="2">
        <v>664.13919999999996</v>
      </c>
      <c r="M943" s="1">
        <v>45939.648611111108</v>
      </c>
      <c r="N943" t="s">
        <v>40</v>
      </c>
    </row>
    <row r="944" spans="1:14" x14ac:dyDescent="0.25">
      <c r="A944" s="9" t="s">
        <v>5211</v>
      </c>
      <c r="B944" s="10">
        <v>718</v>
      </c>
      <c r="C944" s="10" t="s">
        <v>12</v>
      </c>
      <c r="D944" t="s">
        <v>3617</v>
      </c>
      <c r="E944" t="s">
        <v>3618</v>
      </c>
      <c r="F944" s="10" t="s">
        <v>35</v>
      </c>
      <c r="G944" s="2">
        <v>24.246700000000001</v>
      </c>
      <c r="H944" s="13">
        <v>8</v>
      </c>
      <c r="I944" s="13">
        <v>0</v>
      </c>
      <c r="J944" s="13">
        <v>0</v>
      </c>
      <c r="K944" s="10">
        <v>8</v>
      </c>
      <c r="L944" s="2">
        <v>193.9736</v>
      </c>
      <c r="M944" s="1">
        <v>45940.478472222225</v>
      </c>
      <c r="N944" t="s">
        <v>140</v>
      </c>
    </row>
    <row r="945" spans="1:14" x14ac:dyDescent="0.25">
      <c r="A945" s="9" t="s">
        <v>5211</v>
      </c>
      <c r="B945" s="10">
        <v>714</v>
      </c>
      <c r="C945" s="10" t="s">
        <v>323</v>
      </c>
      <c r="D945" t="s">
        <v>3049</v>
      </c>
      <c r="E945" t="s">
        <v>3050</v>
      </c>
      <c r="F945" s="10" t="s">
        <v>19</v>
      </c>
      <c r="G945" s="2">
        <v>75</v>
      </c>
      <c r="H945" s="13">
        <v>8</v>
      </c>
      <c r="I945" s="13">
        <v>6</v>
      </c>
      <c r="J945" s="13">
        <v>-6</v>
      </c>
      <c r="K945" s="10">
        <v>8</v>
      </c>
      <c r="L945" s="2">
        <v>600</v>
      </c>
      <c r="M945" s="1">
        <v>45952.438888888886</v>
      </c>
      <c r="N945" t="s">
        <v>1224</v>
      </c>
    </row>
    <row r="946" spans="1:14" x14ac:dyDescent="0.25">
      <c r="A946" s="9" t="s">
        <v>5211</v>
      </c>
      <c r="B946" s="10">
        <v>714</v>
      </c>
      <c r="C946" s="10" t="s">
        <v>143</v>
      </c>
      <c r="D946" t="s">
        <v>251</v>
      </c>
      <c r="E946" t="s">
        <v>252</v>
      </c>
      <c r="F946" s="10" t="s">
        <v>29</v>
      </c>
      <c r="G946" s="2">
        <v>20.360099999999999</v>
      </c>
      <c r="H946" s="13">
        <v>8</v>
      </c>
      <c r="I946" s="13">
        <v>8</v>
      </c>
      <c r="J946" s="13">
        <v>-8</v>
      </c>
      <c r="K946" s="10">
        <v>8</v>
      </c>
      <c r="L946" s="2">
        <v>162.88079999999999</v>
      </c>
      <c r="M946" s="1">
        <v>45968.588194444441</v>
      </c>
      <c r="N946" t="s">
        <v>26</v>
      </c>
    </row>
    <row r="947" spans="1:14" x14ac:dyDescent="0.25">
      <c r="A947" s="9" t="s">
        <v>5211</v>
      </c>
      <c r="B947" s="10">
        <v>714</v>
      </c>
      <c r="C947" s="10" t="s">
        <v>323</v>
      </c>
      <c r="D947" t="s">
        <v>4939</v>
      </c>
      <c r="E947" t="s">
        <v>4940</v>
      </c>
      <c r="F947" s="10" t="s">
        <v>455</v>
      </c>
      <c r="G947" s="2">
        <v>188.7432</v>
      </c>
      <c r="H947" s="13">
        <v>8</v>
      </c>
      <c r="I947" s="13">
        <v>12</v>
      </c>
      <c r="J947" s="13">
        <v>-12</v>
      </c>
      <c r="K947" s="10">
        <v>8</v>
      </c>
      <c r="L947" s="2">
        <v>1509.9456</v>
      </c>
      <c r="M947" s="1">
        <v>45980.581944444442</v>
      </c>
      <c r="N947" t="s">
        <v>1234</v>
      </c>
    </row>
    <row r="948" spans="1:14" x14ac:dyDescent="0.25">
      <c r="A948" s="9" t="s">
        <v>5211</v>
      </c>
      <c r="B948" s="10">
        <v>714</v>
      </c>
      <c r="C948" s="10" t="s">
        <v>143</v>
      </c>
      <c r="D948" t="s">
        <v>2513</v>
      </c>
      <c r="E948" t="s">
        <v>2514</v>
      </c>
      <c r="F948" s="10" t="s">
        <v>29</v>
      </c>
      <c r="G948" s="2">
        <v>85.969300000000004</v>
      </c>
      <c r="H948" s="13">
        <v>8</v>
      </c>
      <c r="I948" s="13">
        <v>0</v>
      </c>
      <c r="J948" s="13">
        <v>0</v>
      </c>
      <c r="K948" s="10">
        <v>8</v>
      </c>
      <c r="L948" s="2">
        <v>687.75440000000003</v>
      </c>
      <c r="M948" s="1">
        <v>45981.45</v>
      </c>
      <c r="N948" t="s">
        <v>216</v>
      </c>
    </row>
    <row r="949" spans="1:14" x14ac:dyDescent="0.25">
      <c r="A949" s="9" t="s">
        <v>5211</v>
      </c>
      <c r="B949" s="10">
        <v>718</v>
      </c>
      <c r="C949" s="10" t="s">
        <v>143</v>
      </c>
      <c r="D949" t="s">
        <v>4789</v>
      </c>
      <c r="E949" t="s">
        <v>4790</v>
      </c>
      <c r="F949" s="10" t="s">
        <v>29</v>
      </c>
      <c r="G949" s="2">
        <v>18.813700000000001</v>
      </c>
      <c r="H949" s="13">
        <v>8</v>
      </c>
      <c r="I949" s="13">
        <v>38</v>
      </c>
      <c r="J949" s="13">
        <v>-38</v>
      </c>
      <c r="K949" s="10">
        <v>8</v>
      </c>
      <c r="L949" s="2">
        <v>150.50960000000001</v>
      </c>
      <c r="M949" s="1">
        <v>46000.484722222223</v>
      </c>
      <c r="N949" t="s">
        <v>40</v>
      </c>
    </row>
    <row r="950" spans="1:14" x14ac:dyDescent="0.25">
      <c r="A950" s="9" t="s">
        <v>5211</v>
      </c>
      <c r="B950" s="10">
        <v>636</v>
      </c>
      <c r="C950" s="10" t="s">
        <v>323</v>
      </c>
      <c r="D950" t="s">
        <v>4278</v>
      </c>
      <c r="E950" t="s">
        <v>4279</v>
      </c>
      <c r="F950" s="10" t="s">
        <v>19</v>
      </c>
      <c r="G950" s="2">
        <v>158.4221</v>
      </c>
      <c r="H950" s="13">
        <v>8</v>
      </c>
      <c r="I950" s="13">
        <v>0</v>
      </c>
      <c r="J950" s="13">
        <v>0</v>
      </c>
      <c r="K950" s="10">
        <v>8</v>
      </c>
      <c r="L950" s="2">
        <v>1267.3768</v>
      </c>
      <c r="M950" s="1">
        <v>46069.413194444445</v>
      </c>
      <c r="N950" t="s">
        <v>151</v>
      </c>
    </row>
    <row r="951" spans="1:14" x14ac:dyDescent="0.25">
      <c r="A951" s="9" t="s">
        <v>5211</v>
      </c>
      <c r="B951" s="10">
        <v>636</v>
      </c>
      <c r="C951" s="10" t="s">
        <v>323</v>
      </c>
      <c r="D951" t="s">
        <v>426</v>
      </c>
      <c r="E951" s="6" t="s">
        <v>427</v>
      </c>
      <c r="F951" s="11" t="s">
        <v>58</v>
      </c>
      <c r="G951" s="2">
        <v>218.0103</v>
      </c>
      <c r="H951" s="13">
        <v>8</v>
      </c>
      <c r="I951" s="13">
        <v>0</v>
      </c>
      <c r="J951" s="13">
        <v>0</v>
      </c>
      <c r="K951" s="10">
        <v>8</v>
      </c>
      <c r="L951" s="2">
        <v>1744.0824</v>
      </c>
      <c r="M951" s="1">
        <v>46072.395138888889</v>
      </c>
      <c r="N951" t="s">
        <v>159</v>
      </c>
    </row>
    <row r="952" spans="1:14" x14ac:dyDescent="0.25">
      <c r="A952" s="9" t="s">
        <v>5211</v>
      </c>
      <c r="B952" s="10">
        <v>714</v>
      </c>
      <c r="C952" s="10" t="s">
        <v>323</v>
      </c>
      <c r="D952" t="s">
        <v>4587</v>
      </c>
      <c r="E952" t="s">
        <v>4588</v>
      </c>
      <c r="F952" s="10" t="s">
        <v>158</v>
      </c>
      <c r="G952" s="2">
        <v>161.4152</v>
      </c>
      <c r="H952" s="13">
        <v>8</v>
      </c>
      <c r="I952" s="13">
        <v>13</v>
      </c>
      <c r="J952" s="13">
        <v>-13</v>
      </c>
      <c r="K952" s="10">
        <v>8</v>
      </c>
      <c r="L952" s="2">
        <v>1291.3216</v>
      </c>
      <c r="M952" s="1">
        <v>46087.493055555555</v>
      </c>
      <c r="N952" t="s">
        <v>354</v>
      </c>
    </row>
    <row r="953" spans="1:14" x14ac:dyDescent="0.25">
      <c r="A953" s="9" t="s">
        <v>5211</v>
      </c>
      <c r="B953" s="10">
        <v>634</v>
      </c>
      <c r="C953" s="10" t="s">
        <v>323</v>
      </c>
      <c r="D953" t="s">
        <v>1578</v>
      </c>
      <c r="E953" t="s">
        <v>1579</v>
      </c>
      <c r="F953" s="10" t="s">
        <v>23</v>
      </c>
      <c r="G953" s="2">
        <v>114.94</v>
      </c>
      <c r="H953" s="13">
        <v>8</v>
      </c>
      <c r="I953" s="13">
        <v>5</v>
      </c>
      <c r="J953" s="13">
        <v>-5</v>
      </c>
      <c r="K953" s="10">
        <v>8</v>
      </c>
      <c r="L953" s="2">
        <v>919.52</v>
      </c>
      <c r="M953" s="1">
        <v>46105.386805555558</v>
      </c>
      <c r="N953" t="s">
        <v>175</v>
      </c>
    </row>
    <row r="954" spans="1:14" x14ac:dyDescent="0.25">
      <c r="A954" s="9" t="s">
        <v>5211</v>
      </c>
      <c r="B954" s="10">
        <v>636</v>
      </c>
      <c r="C954" s="10" t="s">
        <v>323</v>
      </c>
      <c r="D954" t="s">
        <v>1672</v>
      </c>
      <c r="E954" t="s">
        <v>1673</v>
      </c>
      <c r="F954" s="10" t="s">
        <v>29</v>
      </c>
      <c r="G954" s="2">
        <v>298.16149999999999</v>
      </c>
      <c r="H954" s="13">
        <v>8</v>
      </c>
      <c r="I954" s="13">
        <v>0</v>
      </c>
      <c r="J954" s="13">
        <v>0</v>
      </c>
      <c r="K954" s="10">
        <v>8</v>
      </c>
      <c r="L954" s="2">
        <v>2385.2919999999999</v>
      </c>
      <c r="M954" s="1">
        <v>46106.444444444445</v>
      </c>
      <c r="N954" t="s">
        <v>357</v>
      </c>
    </row>
    <row r="955" spans="1:14" x14ac:dyDescent="0.25">
      <c r="A955" s="9" t="s">
        <v>5211</v>
      </c>
      <c r="B955" s="10">
        <v>714</v>
      </c>
      <c r="C955" s="10" t="s">
        <v>143</v>
      </c>
      <c r="D955" t="s">
        <v>2258</v>
      </c>
      <c r="E955" t="s">
        <v>2259</v>
      </c>
      <c r="F955" s="10" t="s">
        <v>23</v>
      </c>
      <c r="G955" s="2">
        <v>70.371200000000002</v>
      </c>
      <c r="H955" s="13">
        <v>8</v>
      </c>
      <c r="I955" s="13">
        <v>0</v>
      </c>
      <c r="J955" s="13">
        <v>0</v>
      </c>
      <c r="K955" s="10">
        <v>8</v>
      </c>
      <c r="L955" s="2">
        <v>562.96960000000001</v>
      </c>
      <c r="M955" s="1">
        <v>46112.315972222219</v>
      </c>
      <c r="N955" t="s">
        <v>36</v>
      </c>
    </row>
    <row r="956" spans="1:14" x14ac:dyDescent="0.25">
      <c r="A956" s="9" t="s">
        <v>5211</v>
      </c>
      <c r="B956" s="10">
        <v>718</v>
      </c>
      <c r="C956" s="10" t="s">
        <v>143</v>
      </c>
      <c r="D956" t="s">
        <v>2413</v>
      </c>
      <c r="E956" t="s">
        <v>2414</v>
      </c>
      <c r="F956" s="10" t="s">
        <v>29</v>
      </c>
      <c r="G956" s="2">
        <v>100.9192</v>
      </c>
      <c r="H956" s="13">
        <v>8</v>
      </c>
      <c r="I956" s="13">
        <v>0</v>
      </c>
      <c r="J956" s="13">
        <v>0</v>
      </c>
      <c r="K956" s="10">
        <v>8</v>
      </c>
      <c r="L956" s="2">
        <v>807.35360000000003</v>
      </c>
      <c r="M956" s="1">
        <v>46112.350694444445</v>
      </c>
      <c r="N956" t="s">
        <v>36</v>
      </c>
    </row>
    <row r="957" spans="1:14" x14ac:dyDescent="0.25">
      <c r="A957" s="9" t="s">
        <v>5211</v>
      </c>
      <c r="B957" s="10">
        <v>714</v>
      </c>
      <c r="C957" s="10" t="s">
        <v>323</v>
      </c>
      <c r="D957" t="s">
        <v>453</v>
      </c>
      <c r="E957" t="s">
        <v>454</v>
      </c>
      <c r="F957" s="10" t="s">
        <v>23</v>
      </c>
      <c r="G957" s="2">
        <v>231.2439</v>
      </c>
      <c r="H957" s="13">
        <v>8</v>
      </c>
      <c r="I957" s="13">
        <v>-2</v>
      </c>
      <c r="J957" s="13">
        <v>2</v>
      </c>
      <c r="K957" s="10">
        <v>8</v>
      </c>
      <c r="L957" s="2">
        <v>1849.9512</v>
      </c>
      <c r="M957" s="1">
        <v>46112.363194444442</v>
      </c>
      <c r="N957" t="s">
        <v>1500</v>
      </c>
    </row>
    <row r="958" spans="1:14" x14ac:dyDescent="0.25">
      <c r="A958" s="9" t="s">
        <v>5211</v>
      </c>
      <c r="B958" s="10">
        <v>636</v>
      </c>
      <c r="C958" s="10" t="s">
        <v>143</v>
      </c>
      <c r="D958" t="s">
        <v>1009</v>
      </c>
      <c r="E958" t="s">
        <v>1010</v>
      </c>
      <c r="F958" s="10" t="s">
        <v>39</v>
      </c>
      <c r="G958" s="2">
        <v>16.5078</v>
      </c>
      <c r="H958" s="13">
        <v>8</v>
      </c>
      <c r="I958" s="13">
        <v>0</v>
      </c>
      <c r="J958" s="13">
        <v>0</v>
      </c>
      <c r="K958" s="10">
        <v>8</v>
      </c>
      <c r="L958" s="2">
        <v>132.0624</v>
      </c>
      <c r="M958" s="1">
        <v>46114.513194444444</v>
      </c>
      <c r="N958" t="s">
        <v>652</v>
      </c>
    </row>
    <row r="959" spans="1:14" x14ac:dyDescent="0.25">
      <c r="A959" s="9" t="s">
        <v>5211</v>
      </c>
      <c r="B959" s="10">
        <v>636</v>
      </c>
      <c r="C959" s="10" t="s">
        <v>1749</v>
      </c>
      <c r="D959" t="s">
        <v>1800</v>
      </c>
      <c r="E959" t="s">
        <v>1801</v>
      </c>
      <c r="F959" s="10" t="s">
        <v>29</v>
      </c>
      <c r="G959" s="2">
        <v>19.1204</v>
      </c>
      <c r="H959" s="13">
        <v>8</v>
      </c>
      <c r="I959" s="13">
        <v>0</v>
      </c>
      <c r="J959" s="13">
        <v>0</v>
      </c>
      <c r="K959" s="10">
        <v>8</v>
      </c>
      <c r="L959" s="2">
        <v>152.9632</v>
      </c>
      <c r="M959" s="1">
        <v>46114.597916666666</v>
      </c>
      <c r="N959" t="s">
        <v>797</v>
      </c>
    </row>
    <row r="960" spans="1:14" x14ac:dyDescent="0.25">
      <c r="A960" s="9" t="s">
        <v>5211</v>
      </c>
      <c r="B960" s="10">
        <v>636</v>
      </c>
      <c r="C960" s="10" t="s">
        <v>323</v>
      </c>
      <c r="D960" t="s">
        <v>1249</v>
      </c>
      <c r="E960" t="s">
        <v>1250</v>
      </c>
      <c r="F960" s="10" t="s">
        <v>23</v>
      </c>
      <c r="G960" s="2">
        <v>152.78110000000001</v>
      </c>
      <c r="H960" s="13">
        <v>8</v>
      </c>
      <c r="I960" s="13">
        <v>0</v>
      </c>
      <c r="J960" s="13">
        <v>0</v>
      </c>
      <c r="K960" s="10">
        <v>8</v>
      </c>
      <c r="L960" s="2">
        <v>1222.2488000000001</v>
      </c>
      <c r="M960" s="1">
        <v>46114.609722222223</v>
      </c>
      <c r="N960" t="s">
        <v>330</v>
      </c>
    </row>
    <row r="961" spans="1:14" x14ac:dyDescent="0.25">
      <c r="A961" s="9" t="s">
        <v>5211</v>
      </c>
      <c r="B961" s="10">
        <v>714</v>
      </c>
      <c r="C961" s="10" t="s">
        <v>70</v>
      </c>
      <c r="D961" t="s">
        <v>2143</v>
      </c>
      <c r="E961" t="s">
        <v>2144</v>
      </c>
      <c r="F961" s="10" t="s">
        <v>39</v>
      </c>
      <c r="G961" s="2">
        <v>6.5136000000000003</v>
      </c>
      <c r="H961" s="13">
        <v>8</v>
      </c>
      <c r="I961" s="13">
        <v>0</v>
      </c>
      <c r="J961" s="13">
        <v>0</v>
      </c>
      <c r="K961" s="10">
        <v>8</v>
      </c>
      <c r="L961" s="2">
        <v>52.108800000000002</v>
      </c>
      <c r="M961" s="1">
        <v>46118.575694444444</v>
      </c>
      <c r="N961" t="s">
        <v>573</v>
      </c>
    </row>
    <row r="962" spans="1:14" x14ac:dyDescent="0.25">
      <c r="A962" s="9" t="s">
        <v>5211</v>
      </c>
      <c r="B962" s="10">
        <v>714</v>
      </c>
      <c r="C962" s="10" t="s">
        <v>12</v>
      </c>
      <c r="D962" t="s">
        <v>1939</v>
      </c>
      <c r="E962" t="s">
        <v>1940</v>
      </c>
      <c r="F962" s="10" t="s">
        <v>29</v>
      </c>
      <c r="G962" s="2">
        <v>22.529599999999999</v>
      </c>
      <c r="H962" s="13">
        <v>8</v>
      </c>
      <c r="I962" s="13">
        <v>0</v>
      </c>
      <c r="J962" s="13">
        <v>0</v>
      </c>
      <c r="K962" s="10">
        <v>8</v>
      </c>
      <c r="L962" s="2">
        <v>180.23679999999999</v>
      </c>
      <c r="M962" s="1">
        <v>46118.575694444444</v>
      </c>
      <c r="N962" t="s">
        <v>573</v>
      </c>
    </row>
    <row r="963" spans="1:14" x14ac:dyDescent="0.25">
      <c r="A963" s="9" t="s">
        <v>5211</v>
      </c>
      <c r="B963" s="10">
        <v>718</v>
      </c>
      <c r="C963" s="10" t="s">
        <v>70</v>
      </c>
      <c r="D963" t="s">
        <v>773</v>
      </c>
      <c r="E963" t="s">
        <v>774</v>
      </c>
      <c r="F963" s="10" t="s">
        <v>39</v>
      </c>
      <c r="G963" s="2">
        <v>7.8872</v>
      </c>
      <c r="H963" s="13">
        <v>8</v>
      </c>
      <c r="I963" s="13">
        <v>-23</v>
      </c>
      <c r="J963" s="13">
        <v>23</v>
      </c>
      <c r="K963" s="10">
        <v>8</v>
      </c>
      <c r="L963" s="2">
        <v>63.0976</v>
      </c>
      <c r="M963" s="1">
        <v>46119.636111111111</v>
      </c>
      <c r="N963" t="s">
        <v>573</v>
      </c>
    </row>
    <row r="964" spans="1:14" x14ac:dyDescent="0.25">
      <c r="A964" s="9" t="s">
        <v>5211</v>
      </c>
      <c r="B964" s="10">
        <v>636</v>
      </c>
      <c r="C964" s="10" t="s">
        <v>323</v>
      </c>
      <c r="D964" t="s">
        <v>1230</v>
      </c>
      <c r="E964" t="s">
        <v>1231</v>
      </c>
      <c r="F964" s="10" t="s">
        <v>29</v>
      </c>
      <c r="G964" s="2">
        <v>28.344200000000001</v>
      </c>
      <c r="H964" s="13">
        <v>8</v>
      </c>
      <c r="I964" s="13">
        <v>0</v>
      </c>
      <c r="J964" s="13">
        <v>0</v>
      </c>
      <c r="K964" s="10">
        <v>8</v>
      </c>
      <c r="L964" s="2">
        <v>226.75360000000001</v>
      </c>
      <c r="M964" s="1">
        <v>46120.310416666667</v>
      </c>
      <c r="N964" t="s">
        <v>137</v>
      </c>
    </row>
    <row r="965" spans="1:14" x14ac:dyDescent="0.25">
      <c r="A965" s="9" t="s">
        <v>5211</v>
      </c>
      <c r="B965" s="10">
        <v>634</v>
      </c>
      <c r="C965" s="10" t="s">
        <v>143</v>
      </c>
      <c r="D965" t="s">
        <v>4232</v>
      </c>
      <c r="E965" t="s">
        <v>4233</v>
      </c>
      <c r="F965" s="10" t="s">
        <v>39</v>
      </c>
      <c r="G965" s="2">
        <v>17.487400000000001</v>
      </c>
      <c r="H965" s="13">
        <v>8</v>
      </c>
      <c r="I965" s="13">
        <v>14</v>
      </c>
      <c r="J965" s="13">
        <v>-14</v>
      </c>
      <c r="K965" s="10">
        <v>8</v>
      </c>
      <c r="L965" s="2">
        <v>139.89920000000001</v>
      </c>
      <c r="M965" s="1">
        <v>46120.659722222219</v>
      </c>
      <c r="N965" t="s">
        <v>30</v>
      </c>
    </row>
    <row r="966" spans="1:14" x14ac:dyDescent="0.25">
      <c r="A966" s="9" t="s">
        <v>5211</v>
      </c>
      <c r="B966" s="10">
        <v>636</v>
      </c>
      <c r="C966" s="10" t="s">
        <v>323</v>
      </c>
      <c r="D966" t="s">
        <v>4613</v>
      </c>
      <c r="E966" t="s">
        <v>4614</v>
      </c>
      <c r="F966" s="10" t="s">
        <v>43</v>
      </c>
      <c r="G966" s="2">
        <v>51.9482</v>
      </c>
      <c r="H966" s="13">
        <v>8</v>
      </c>
      <c r="I966" s="13">
        <v>261</v>
      </c>
      <c r="J966" s="13">
        <v>-261</v>
      </c>
      <c r="K966" s="10">
        <v>8</v>
      </c>
      <c r="L966" s="2">
        <v>415.5856</v>
      </c>
      <c r="M966" s="1">
        <v>46121.484722222223</v>
      </c>
      <c r="N966" t="s">
        <v>2268</v>
      </c>
    </row>
    <row r="967" spans="1:14" x14ac:dyDescent="0.25">
      <c r="A967" s="9" t="s">
        <v>5211</v>
      </c>
      <c r="B967" s="10">
        <v>636</v>
      </c>
      <c r="C967" s="10" t="s">
        <v>323</v>
      </c>
      <c r="D967" t="s">
        <v>1302</v>
      </c>
      <c r="E967" t="s">
        <v>1303</v>
      </c>
      <c r="F967" s="10" t="s">
        <v>23</v>
      </c>
      <c r="G967" s="2">
        <v>98.812299999999993</v>
      </c>
      <c r="H967" s="13">
        <v>8</v>
      </c>
      <c r="I967" s="13">
        <v>0</v>
      </c>
      <c r="J967" s="13">
        <v>0</v>
      </c>
      <c r="K967" s="10">
        <v>8</v>
      </c>
      <c r="L967" s="2">
        <v>790.49839999999995</v>
      </c>
      <c r="M967" s="1">
        <v>46121.68472222222</v>
      </c>
      <c r="N967" t="s">
        <v>47</v>
      </c>
    </row>
    <row r="968" spans="1:14" x14ac:dyDescent="0.25">
      <c r="A968" s="9" t="s">
        <v>5211</v>
      </c>
      <c r="B968" s="10">
        <v>718</v>
      </c>
      <c r="C968" s="10" t="s">
        <v>143</v>
      </c>
      <c r="D968" t="s">
        <v>4168</v>
      </c>
      <c r="E968" t="s">
        <v>4169</v>
      </c>
      <c r="F968" s="10" t="s">
        <v>43</v>
      </c>
      <c r="G968" s="2">
        <v>35.4133</v>
      </c>
      <c r="H968" s="13">
        <v>8</v>
      </c>
      <c r="I968" s="13">
        <v>35</v>
      </c>
      <c r="J968" s="13">
        <v>-35</v>
      </c>
      <c r="K968" s="10">
        <v>8</v>
      </c>
      <c r="L968" s="2">
        <v>283.3064</v>
      </c>
      <c r="M968" s="1">
        <v>46128.474305555559</v>
      </c>
      <c r="N968" t="s">
        <v>2225</v>
      </c>
    </row>
    <row r="969" spans="1:14" x14ac:dyDescent="0.25">
      <c r="A969" s="9" t="s">
        <v>5211</v>
      </c>
      <c r="B969" s="10">
        <v>714</v>
      </c>
      <c r="C969" s="10" t="s">
        <v>323</v>
      </c>
      <c r="D969" t="s">
        <v>3440</v>
      </c>
      <c r="E969" t="s">
        <v>3441</v>
      </c>
      <c r="F969" s="10" t="s">
        <v>23</v>
      </c>
      <c r="G969" s="2">
        <v>143.5</v>
      </c>
      <c r="H969" s="13">
        <v>8</v>
      </c>
      <c r="I969" s="13">
        <v>0</v>
      </c>
      <c r="J969" s="13">
        <v>0</v>
      </c>
      <c r="K969" s="10">
        <v>8</v>
      </c>
      <c r="L969" s="2">
        <v>1148</v>
      </c>
      <c r="M969" s="1">
        <v>46128.707638888889</v>
      </c>
      <c r="N969" t="s">
        <v>345</v>
      </c>
    </row>
    <row r="970" spans="1:14" x14ac:dyDescent="0.25">
      <c r="A970" s="9" t="s">
        <v>5211</v>
      </c>
      <c r="B970" s="10">
        <v>636</v>
      </c>
      <c r="C970" s="10" t="s">
        <v>143</v>
      </c>
      <c r="D970" t="s">
        <v>972</v>
      </c>
      <c r="E970" t="s">
        <v>973</v>
      </c>
      <c r="F970" s="10" t="s">
        <v>23</v>
      </c>
      <c r="G970" s="2">
        <v>27.072299999999998</v>
      </c>
      <c r="H970" s="13">
        <v>8</v>
      </c>
      <c r="I970" s="13">
        <v>5</v>
      </c>
      <c r="J970" s="13">
        <v>-5</v>
      </c>
      <c r="K970" s="10">
        <v>8</v>
      </c>
      <c r="L970" s="2">
        <v>216.57839999999999</v>
      </c>
      <c r="M970" s="1">
        <v>46132.306944444441</v>
      </c>
      <c r="N970" t="s">
        <v>30</v>
      </c>
    </row>
    <row r="971" spans="1:14" x14ac:dyDescent="0.25">
      <c r="A971" s="9" t="s">
        <v>5211</v>
      </c>
      <c r="B971" s="10">
        <v>714</v>
      </c>
      <c r="C971" s="10" t="s">
        <v>323</v>
      </c>
      <c r="D971" t="s">
        <v>4359</v>
      </c>
      <c r="E971" t="s">
        <v>4360</v>
      </c>
      <c r="F971" s="10" t="s">
        <v>158</v>
      </c>
      <c r="G971" s="2">
        <v>270.91539999999998</v>
      </c>
      <c r="H971" s="13">
        <v>8</v>
      </c>
      <c r="I971" s="13">
        <v>10</v>
      </c>
      <c r="J971" s="13">
        <v>-10</v>
      </c>
      <c r="K971" s="10">
        <v>8</v>
      </c>
      <c r="L971" s="2">
        <v>2167.3231999999998</v>
      </c>
      <c r="M971" s="1">
        <v>46133.691666666666</v>
      </c>
      <c r="N971" t="s">
        <v>2257</v>
      </c>
    </row>
    <row r="972" spans="1:14" x14ac:dyDescent="0.25">
      <c r="A972" s="9" t="s">
        <v>5211</v>
      </c>
      <c r="B972" s="10">
        <v>636</v>
      </c>
      <c r="C972" s="10" t="s">
        <v>323</v>
      </c>
      <c r="D972" t="s">
        <v>1592</v>
      </c>
      <c r="E972" t="s">
        <v>1593</v>
      </c>
      <c r="F972" s="10" t="s">
        <v>29</v>
      </c>
      <c r="G972" s="2">
        <v>125.2834</v>
      </c>
      <c r="H972" s="13">
        <v>8</v>
      </c>
      <c r="I972" s="13">
        <v>0</v>
      </c>
      <c r="J972" s="13">
        <v>0</v>
      </c>
      <c r="K972" s="10">
        <v>8</v>
      </c>
      <c r="L972" s="2">
        <v>1002.2672</v>
      </c>
      <c r="M972" s="1">
        <v>46136.538194444445</v>
      </c>
      <c r="N972" t="s">
        <v>1500</v>
      </c>
    </row>
    <row r="973" spans="1:14" x14ac:dyDescent="0.25">
      <c r="A973" s="9" t="s">
        <v>5211</v>
      </c>
      <c r="B973" s="10">
        <v>634</v>
      </c>
      <c r="C973" s="10" t="s">
        <v>323</v>
      </c>
      <c r="D973" t="s">
        <v>4333</v>
      </c>
      <c r="E973" t="s">
        <v>4334</v>
      </c>
      <c r="F973" s="10" t="s">
        <v>43</v>
      </c>
      <c r="G973" s="2">
        <v>66.682900000000004</v>
      </c>
      <c r="H973" s="13">
        <v>8</v>
      </c>
      <c r="I973" s="13">
        <v>57</v>
      </c>
      <c r="J973" s="13">
        <v>-57</v>
      </c>
      <c r="K973" s="10">
        <v>8</v>
      </c>
      <c r="L973" s="2">
        <v>533.46320000000003</v>
      </c>
      <c r="M973" s="1">
        <v>46140.494444444441</v>
      </c>
      <c r="N973" t="s">
        <v>2225</v>
      </c>
    </row>
    <row r="974" spans="1:14" x14ac:dyDescent="0.25">
      <c r="A974" s="9" t="s">
        <v>5211</v>
      </c>
      <c r="B974" s="10">
        <v>636</v>
      </c>
      <c r="C974" s="10" t="s">
        <v>143</v>
      </c>
      <c r="D974" t="s">
        <v>4565</v>
      </c>
      <c r="E974" t="s">
        <v>4566</v>
      </c>
      <c r="F974" s="10" t="s">
        <v>158</v>
      </c>
      <c r="G974" s="2">
        <v>48.817700000000002</v>
      </c>
      <c r="H974" s="13">
        <v>8</v>
      </c>
      <c r="I974" s="13">
        <v>19</v>
      </c>
      <c r="J974" s="13">
        <v>-19</v>
      </c>
      <c r="K974" s="10">
        <v>8</v>
      </c>
      <c r="L974" s="2">
        <v>390.54160000000002</v>
      </c>
      <c r="M974" s="1">
        <v>46142.486111111109</v>
      </c>
      <c r="N974" t="s">
        <v>903</v>
      </c>
    </row>
    <row r="975" spans="1:14" x14ac:dyDescent="0.25">
      <c r="A975" s="9" t="s">
        <v>5211</v>
      </c>
      <c r="B975" s="10">
        <v>636</v>
      </c>
      <c r="C975" s="10" t="s">
        <v>323</v>
      </c>
      <c r="D975" t="s">
        <v>1413</v>
      </c>
      <c r="E975" t="s">
        <v>1414</v>
      </c>
      <c r="F975" s="10" t="s">
        <v>29</v>
      </c>
      <c r="G975" s="2">
        <v>241.25229999999999</v>
      </c>
      <c r="H975" s="13">
        <v>8</v>
      </c>
      <c r="I975" s="13">
        <v>0</v>
      </c>
      <c r="J975" s="13">
        <v>0</v>
      </c>
      <c r="K975" s="10">
        <v>8</v>
      </c>
      <c r="L975" s="2">
        <v>1930.0183999999999</v>
      </c>
      <c r="M975" s="1">
        <v>46142.609027777777</v>
      </c>
      <c r="N975" t="s">
        <v>137</v>
      </c>
    </row>
    <row r="976" spans="1:14" x14ac:dyDescent="0.25">
      <c r="A976" s="9" t="s">
        <v>5211</v>
      </c>
      <c r="B976" s="10">
        <v>714</v>
      </c>
      <c r="C976" s="10" t="s">
        <v>12</v>
      </c>
      <c r="D976" t="s">
        <v>1851</v>
      </c>
      <c r="E976" t="s">
        <v>1852</v>
      </c>
      <c r="F976" s="10" t="s">
        <v>29</v>
      </c>
      <c r="G976" s="2">
        <v>46.860599999999998</v>
      </c>
      <c r="H976" s="13">
        <v>8</v>
      </c>
      <c r="I976" s="13">
        <v>0</v>
      </c>
      <c r="J976" s="13">
        <v>0</v>
      </c>
      <c r="K976" s="10">
        <v>8</v>
      </c>
      <c r="L976" s="2">
        <v>374.88479999999998</v>
      </c>
      <c r="M976" s="1">
        <v>46143.319444444445</v>
      </c>
      <c r="N976" t="s">
        <v>67</v>
      </c>
    </row>
    <row r="977" spans="1:14" x14ac:dyDescent="0.25">
      <c r="A977" s="9" t="s">
        <v>5211</v>
      </c>
      <c r="B977" s="10">
        <v>636</v>
      </c>
      <c r="C977" s="10" t="s">
        <v>323</v>
      </c>
      <c r="D977" t="s">
        <v>1586</v>
      </c>
      <c r="E977" t="s">
        <v>1587</v>
      </c>
      <c r="F977" s="10" t="s">
        <v>19</v>
      </c>
      <c r="G977" s="2">
        <v>221.14320000000001</v>
      </c>
      <c r="H977" s="13">
        <v>8</v>
      </c>
      <c r="I977" s="13">
        <v>0</v>
      </c>
      <c r="J977" s="13">
        <v>0</v>
      </c>
      <c r="K977" s="10">
        <v>8</v>
      </c>
      <c r="L977" s="2">
        <v>1769.1456000000001</v>
      </c>
      <c r="M977" s="1">
        <v>46143.609722222223</v>
      </c>
      <c r="N977" t="s">
        <v>151</v>
      </c>
    </row>
    <row r="978" spans="1:14" x14ac:dyDescent="0.25">
      <c r="A978" s="9" t="s">
        <v>5211</v>
      </c>
      <c r="B978" s="10">
        <v>714</v>
      </c>
      <c r="C978" s="10" t="s">
        <v>70</v>
      </c>
      <c r="D978" t="s">
        <v>4703</v>
      </c>
      <c r="E978" t="s">
        <v>4704</v>
      </c>
      <c r="F978" s="10" t="s">
        <v>29</v>
      </c>
      <c r="G978" s="2">
        <v>5.4593999999999996</v>
      </c>
      <c r="H978" s="13">
        <v>8</v>
      </c>
      <c r="I978" s="13">
        <v>5</v>
      </c>
      <c r="J978" s="13">
        <v>-5</v>
      </c>
      <c r="K978" s="10">
        <v>8</v>
      </c>
      <c r="L978" s="2">
        <v>43.675199999999997</v>
      </c>
      <c r="M978" s="1">
        <v>46144.319444444445</v>
      </c>
      <c r="N978" t="s">
        <v>720</v>
      </c>
    </row>
    <row r="979" spans="1:14" x14ac:dyDescent="0.25">
      <c r="A979" s="9" t="s">
        <v>5211</v>
      </c>
      <c r="B979" s="10">
        <v>636</v>
      </c>
      <c r="C979" s="10" t="s">
        <v>70</v>
      </c>
      <c r="D979" t="s">
        <v>574</v>
      </c>
      <c r="E979" t="s">
        <v>575</v>
      </c>
      <c r="F979" s="10" t="s">
        <v>29</v>
      </c>
      <c r="G979" s="2">
        <v>14</v>
      </c>
      <c r="H979" s="13">
        <v>8</v>
      </c>
      <c r="I979" s="13">
        <v>0</v>
      </c>
      <c r="J979" s="13">
        <v>0</v>
      </c>
      <c r="K979" s="10">
        <v>8</v>
      </c>
      <c r="L979" s="2">
        <v>112</v>
      </c>
      <c r="M979" s="1">
        <v>46146.452777777777</v>
      </c>
      <c r="N979" t="s">
        <v>576</v>
      </c>
    </row>
    <row r="980" spans="1:14" x14ac:dyDescent="0.25">
      <c r="A980" s="9" t="s">
        <v>5211</v>
      </c>
      <c r="B980" s="10">
        <v>636</v>
      </c>
      <c r="C980" s="10" t="s">
        <v>143</v>
      </c>
      <c r="D980" t="s">
        <v>997</v>
      </c>
      <c r="E980" t="s">
        <v>998</v>
      </c>
      <c r="F980" s="10" t="s">
        <v>19</v>
      </c>
      <c r="G980" s="2">
        <v>119.77200000000001</v>
      </c>
      <c r="H980" s="13">
        <v>8</v>
      </c>
      <c r="I980" s="13">
        <v>-1</v>
      </c>
      <c r="J980" s="13">
        <v>1</v>
      </c>
      <c r="K980" s="10">
        <v>8</v>
      </c>
      <c r="L980" s="2">
        <v>958.17600000000004</v>
      </c>
      <c r="M980" s="1">
        <v>46149.512499999997</v>
      </c>
      <c r="N980" t="s">
        <v>195</v>
      </c>
    </row>
    <row r="981" spans="1:14" x14ac:dyDescent="0.25">
      <c r="A981" s="9" t="s">
        <v>5211</v>
      </c>
      <c r="B981" s="10">
        <v>636</v>
      </c>
      <c r="C981" s="10" t="s">
        <v>143</v>
      </c>
      <c r="D981" t="s">
        <v>1138</v>
      </c>
      <c r="E981" t="s">
        <v>1139</v>
      </c>
      <c r="F981" s="10" t="s">
        <v>29</v>
      </c>
      <c r="G981" s="2">
        <v>29.978300000000001</v>
      </c>
      <c r="H981" s="13">
        <v>8</v>
      </c>
      <c r="I981" s="13">
        <v>0</v>
      </c>
      <c r="J981" s="13">
        <v>0</v>
      </c>
      <c r="K981" s="10">
        <v>8</v>
      </c>
      <c r="L981" s="2">
        <v>239.82640000000001</v>
      </c>
      <c r="M981" s="1">
        <v>46149.512499999997</v>
      </c>
      <c r="N981" t="s">
        <v>195</v>
      </c>
    </row>
    <row r="982" spans="1:14" x14ac:dyDescent="0.25">
      <c r="A982" s="9" t="s">
        <v>5211</v>
      </c>
      <c r="B982" s="10">
        <v>714</v>
      </c>
      <c r="C982" s="10" t="s">
        <v>12</v>
      </c>
      <c r="D982" t="s">
        <v>1941</v>
      </c>
      <c r="E982" t="s">
        <v>1942</v>
      </c>
      <c r="F982" s="10" t="s">
        <v>29</v>
      </c>
      <c r="G982" s="2">
        <v>3.27</v>
      </c>
      <c r="H982" s="13">
        <v>8</v>
      </c>
      <c r="I982" s="13">
        <v>0</v>
      </c>
      <c r="J982" s="13">
        <v>0</v>
      </c>
      <c r="K982" s="10">
        <v>8</v>
      </c>
      <c r="L982" s="2">
        <v>26.16</v>
      </c>
      <c r="M982" s="1">
        <v>46150.495138888888</v>
      </c>
      <c r="N982" t="s">
        <v>522</v>
      </c>
    </row>
    <row r="983" spans="1:14" x14ac:dyDescent="0.25">
      <c r="A983" s="9" t="s">
        <v>5211</v>
      </c>
      <c r="B983" s="10">
        <v>634</v>
      </c>
      <c r="C983" s="10" t="s">
        <v>12</v>
      </c>
      <c r="D983" t="s">
        <v>3985</v>
      </c>
      <c r="E983" t="s">
        <v>3986</v>
      </c>
      <c r="F983" s="10" t="s">
        <v>23</v>
      </c>
      <c r="G983" s="2">
        <v>20.9</v>
      </c>
      <c r="H983" s="13">
        <v>8</v>
      </c>
      <c r="I983" s="13">
        <v>-1</v>
      </c>
      <c r="J983" s="13">
        <v>1</v>
      </c>
      <c r="K983" s="10">
        <v>8</v>
      </c>
      <c r="L983" s="2">
        <v>167.2</v>
      </c>
      <c r="M983" s="1">
        <v>46154.400000000001</v>
      </c>
      <c r="N983" t="s">
        <v>3982</v>
      </c>
    </row>
    <row r="984" spans="1:14" x14ac:dyDescent="0.25">
      <c r="A984" s="9" t="s">
        <v>5211</v>
      </c>
      <c r="B984" s="10">
        <v>636</v>
      </c>
      <c r="C984" s="10" t="s">
        <v>143</v>
      </c>
      <c r="D984" t="s">
        <v>4110</v>
      </c>
      <c r="E984" t="s">
        <v>4111</v>
      </c>
      <c r="F984" s="10" t="s">
        <v>158</v>
      </c>
      <c r="G984" s="2">
        <v>175.41210000000001</v>
      </c>
      <c r="H984" s="13">
        <v>8</v>
      </c>
      <c r="I984" s="13">
        <v>23</v>
      </c>
      <c r="J984" s="13">
        <v>-23</v>
      </c>
      <c r="K984" s="10">
        <v>8</v>
      </c>
      <c r="L984" s="2">
        <v>1403.2968000000001</v>
      </c>
      <c r="M984" s="1">
        <v>46156.301388888889</v>
      </c>
      <c r="N984" t="s">
        <v>137</v>
      </c>
    </row>
    <row r="985" spans="1:14" x14ac:dyDescent="0.25">
      <c r="A985" s="9" t="s">
        <v>5211</v>
      </c>
      <c r="B985" s="10">
        <v>714</v>
      </c>
      <c r="C985" s="10" t="s">
        <v>143</v>
      </c>
      <c r="D985" t="s">
        <v>2742</v>
      </c>
      <c r="E985" t="s">
        <v>2743</v>
      </c>
      <c r="F985" s="10" t="s">
        <v>158</v>
      </c>
      <c r="G985" s="2">
        <v>85.575400000000002</v>
      </c>
      <c r="H985" s="13">
        <v>8</v>
      </c>
      <c r="I985" s="13">
        <v>0</v>
      </c>
      <c r="J985" s="13">
        <v>0</v>
      </c>
      <c r="K985" s="10">
        <v>8</v>
      </c>
      <c r="L985" s="2">
        <v>684.60320000000002</v>
      </c>
      <c r="M985" s="1">
        <v>46156.57708333333</v>
      </c>
      <c r="N985" t="s">
        <v>229</v>
      </c>
    </row>
    <row r="986" spans="1:14" x14ac:dyDescent="0.25">
      <c r="A986" s="9" t="s">
        <v>5211</v>
      </c>
      <c r="B986" s="10">
        <v>714</v>
      </c>
      <c r="C986" s="10" t="s">
        <v>12</v>
      </c>
      <c r="D986" t="s">
        <v>1819</v>
      </c>
      <c r="E986" t="s">
        <v>1820</v>
      </c>
      <c r="F986" s="10" t="s">
        <v>39</v>
      </c>
      <c r="G986" s="2">
        <v>26.2592</v>
      </c>
      <c r="H986" s="13">
        <v>8</v>
      </c>
      <c r="I986" s="13">
        <v>0</v>
      </c>
      <c r="J986" s="13">
        <v>0</v>
      </c>
      <c r="K986" s="10">
        <v>8</v>
      </c>
      <c r="L986" s="2">
        <v>210.0736</v>
      </c>
      <c r="M986" s="1">
        <v>46157.474999999999</v>
      </c>
      <c r="N986" t="s">
        <v>67</v>
      </c>
    </row>
    <row r="987" spans="1:14" x14ac:dyDescent="0.25">
      <c r="A987" s="9" t="s">
        <v>5211</v>
      </c>
      <c r="B987" s="10">
        <v>714</v>
      </c>
      <c r="C987" s="10" t="s">
        <v>143</v>
      </c>
      <c r="D987" t="s">
        <v>4873</v>
      </c>
      <c r="E987" t="s">
        <v>4874</v>
      </c>
      <c r="F987" s="10" t="s">
        <v>29</v>
      </c>
      <c r="G987" s="2">
        <v>97.872399999999999</v>
      </c>
      <c r="H987" s="13">
        <v>8</v>
      </c>
      <c r="I987" s="13">
        <v>10</v>
      </c>
      <c r="J987" s="13">
        <v>-10</v>
      </c>
      <c r="K987" s="10">
        <v>8</v>
      </c>
      <c r="L987" s="2">
        <v>782.97919999999999</v>
      </c>
      <c r="M987" s="1">
        <v>46161.380555555559</v>
      </c>
      <c r="N987" t="s">
        <v>151</v>
      </c>
    </row>
    <row r="988" spans="1:14" x14ac:dyDescent="0.25">
      <c r="A988" s="9" t="s">
        <v>5211</v>
      </c>
      <c r="B988" s="10">
        <v>634</v>
      </c>
      <c r="C988" s="10" t="s">
        <v>70</v>
      </c>
      <c r="D988" t="s">
        <v>119</v>
      </c>
      <c r="E988" t="s">
        <v>120</v>
      </c>
      <c r="F988" s="10" t="s">
        <v>39</v>
      </c>
      <c r="G988" s="2">
        <v>5.4381000000000004</v>
      </c>
      <c r="H988" s="13">
        <v>8</v>
      </c>
      <c r="I988" s="13">
        <v>0</v>
      </c>
      <c r="J988" s="13">
        <v>0</v>
      </c>
      <c r="K988" s="10">
        <v>8</v>
      </c>
      <c r="L988" s="2">
        <v>43.504800000000003</v>
      </c>
      <c r="M988" s="1">
        <v>46161.400694444441</v>
      </c>
      <c r="N988" t="s">
        <v>16</v>
      </c>
    </row>
    <row r="989" spans="1:14" x14ac:dyDescent="0.25">
      <c r="A989" s="9" t="s">
        <v>5211</v>
      </c>
      <c r="B989" s="10">
        <v>714</v>
      </c>
      <c r="C989" s="10" t="s">
        <v>323</v>
      </c>
      <c r="D989" t="s">
        <v>2830</v>
      </c>
      <c r="E989" t="s">
        <v>2831</v>
      </c>
      <c r="F989" s="10" t="s">
        <v>29</v>
      </c>
      <c r="G989" s="2">
        <v>114.5471</v>
      </c>
      <c r="H989" s="13">
        <v>8</v>
      </c>
      <c r="I989" s="13">
        <v>0</v>
      </c>
      <c r="J989" s="13">
        <v>0</v>
      </c>
      <c r="K989" s="10">
        <v>8</v>
      </c>
      <c r="L989" s="2">
        <v>916.3768</v>
      </c>
      <c r="M989" s="1">
        <v>46162.505555555559</v>
      </c>
      <c r="N989" t="s">
        <v>1234</v>
      </c>
    </row>
    <row r="990" spans="1:14" x14ac:dyDescent="0.25">
      <c r="A990" s="9" t="s">
        <v>5211</v>
      </c>
      <c r="B990" s="10">
        <v>636</v>
      </c>
      <c r="C990" s="10" t="s">
        <v>323</v>
      </c>
      <c r="D990" t="s">
        <v>1604</v>
      </c>
      <c r="E990" t="s">
        <v>1605</v>
      </c>
      <c r="F990" s="10" t="s">
        <v>29</v>
      </c>
      <c r="G990" s="2">
        <v>20.5017</v>
      </c>
      <c r="H990" s="13">
        <v>8</v>
      </c>
      <c r="I990" s="13">
        <v>0</v>
      </c>
      <c r="J990" s="13">
        <v>0</v>
      </c>
      <c r="K990" s="10">
        <v>8</v>
      </c>
      <c r="L990" s="2">
        <v>164.0136</v>
      </c>
      <c r="M990" s="1">
        <v>46162.611805555556</v>
      </c>
      <c r="N990" t="s">
        <v>562</v>
      </c>
    </row>
    <row r="991" spans="1:14" x14ac:dyDescent="0.25">
      <c r="A991" s="9" t="s">
        <v>5211</v>
      </c>
      <c r="B991" s="10">
        <v>634</v>
      </c>
      <c r="C991" s="10" t="s">
        <v>143</v>
      </c>
      <c r="D991" t="s">
        <v>4114</v>
      </c>
      <c r="E991" t="s">
        <v>4115</v>
      </c>
      <c r="F991" s="10" t="s">
        <v>43</v>
      </c>
      <c r="G991" s="2">
        <v>38.196899999999999</v>
      </c>
      <c r="H991" s="13">
        <v>8</v>
      </c>
      <c r="I991" s="13">
        <v>24</v>
      </c>
      <c r="J991" s="13">
        <v>-24</v>
      </c>
      <c r="K991" s="10">
        <v>8</v>
      </c>
      <c r="L991" s="2">
        <v>305.5752</v>
      </c>
      <c r="M991" s="1">
        <v>46162.634027777778</v>
      </c>
      <c r="N991" t="s">
        <v>371</v>
      </c>
    </row>
    <row r="992" spans="1:14" x14ac:dyDescent="0.25">
      <c r="A992" s="9" t="s">
        <v>5211</v>
      </c>
      <c r="B992" s="10">
        <v>636</v>
      </c>
      <c r="C992" s="10" t="s">
        <v>70</v>
      </c>
      <c r="D992" t="s">
        <v>828</v>
      </c>
      <c r="E992" t="s">
        <v>829</v>
      </c>
      <c r="F992" s="10" t="s">
        <v>39</v>
      </c>
      <c r="G992" s="2">
        <v>6.2789999999999999</v>
      </c>
      <c r="H992" s="13">
        <v>8</v>
      </c>
      <c r="I992" s="13">
        <v>0</v>
      </c>
      <c r="J992" s="13">
        <v>0</v>
      </c>
      <c r="K992" s="10">
        <v>8</v>
      </c>
      <c r="L992" s="2">
        <v>50.231999999999999</v>
      </c>
      <c r="M992" s="1">
        <v>46163.305555555555</v>
      </c>
      <c r="N992" t="s">
        <v>830</v>
      </c>
    </row>
    <row r="993" spans="1:14" x14ac:dyDescent="0.25">
      <c r="A993" s="9" t="s">
        <v>5211</v>
      </c>
      <c r="B993" s="10">
        <v>718</v>
      </c>
      <c r="C993" s="10" t="s">
        <v>143</v>
      </c>
      <c r="D993" t="s">
        <v>976</v>
      </c>
      <c r="E993" t="s">
        <v>977</v>
      </c>
      <c r="F993" s="10" t="s">
        <v>29</v>
      </c>
      <c r="G993" s="2">
        <v>274.88150000000002</v>
      </c>
      <c r="H993" s="13">
        <v>8</v>
      </c>
      <c r="I993" s="13">
        <v>0</v>
      </c>
      <c r="J993" s="13">
        <v>0</v>
      </c>
      <c r="K993" s="10">
        <v>8</v>
      </c>
      <c r="L993" s="2">
        <v>2199.0520000000001</v>
      </c>
      <c r="M993" s="1">
        <v>46163.499305555553</v>
      </c>
      <c r="N993" t="s">
        <v>444</v>
      </c>
    </row>
    <row r="994" spans="1:14" x14ac:dyDescent="0.25">
      <c r="A994" s="9" t="s">
        <v>5211</v>
      </c>
      <c r="B994" s="10">
        <v>714</v>
      </c>
      <c r="C994" s="10" t="s">
        <v>143</v>
      </c>
      <c r="D994" t="s">
        <v>2531</v>
      </c>
      <c r="E994" t="s">
        <v>2532</v>
      </c>
      <c r="F994" s="10" t="s">
        <v>23</v>
      </c>
      <c r="G994" s="2">
        <v>23.546700000000001</v>
      </c>
      <c r="H994" s="13">
        <v>8</v>
      </c>
      <c r="I994" s="13">
        <v>2</v>
      </c>
      <c r="J994" s="13">
        <v>-2</v>
      </c>
      <c r="K994" s="10">
        <v>8</v>
      </c>
      <c r="L994" s="2">
        <v>188.37360000000001</v>
      </c>
      <c r="M994" s="1">
        <v>46169.443055555559</v>
      </c>
      <c r="N994" t="s">
        <v>26</v>
      </c>
    </row>
    <row r="995" spans="1:14" x14ac:dyDescent="0.25">
      <c r="A995" s="9" t="s">
        <v>5211</v>
      </c>
      <c r="B995" s="10">
        <v>714</v>
      </c>
      <c r="C995" s="10" t="s">
        <v>70</v>
      </c>
      <c r="D995" t="s">
        <v>2038</v>
      </c>
      <c r="E995" t="s">
        <v>2039</v>
      </c>
      <c r="F995" s="10" t="s">
        <v>29</v>
      </c>
      <c r="G995" s="2">
        <v>7.9071999999999996</v>
      </c>
      <c r="H995" s="13">
        <v>8</v>
      </c>
      <c r="I995" s="13">
        <v>0</v>
      </c>
      <c r="J995" s="13">
        <v>0</v>
      </c>
      <c r="K995" s="10">
        <v>8</v>
      </c>
      <c r="L995" s="2">
        <v>63.257599999999996</v>
      </c>
      <c r="M995" s="1">
        <v>46169.488194444442</v>
      </c>
      <c r="N995" t="s">
        <v>16</v>
      </c>
    </row>
    <row r="996" spans="1:14" x14ac:dyDescent="0.25">
      <c r="A996" s="9" t="s">
        <v>5211</v>
      </c>
      <c r="B996" s="10">
        <v>636</v>
      </c>
      <c r="C996" s="10" t="s">
        <v>70</v>
      </c>
      <c r="D996" t="s">
        <v>630</v>
      </c>
      <c r="E996" t="s">
        <v>631</v>
      </c>
      <c r="F996" s="10" t="s">
        <v>39</v>
      </c>
      <c r="G996" s="2">
        <v>5.2571000000000003</v>
      </c>
      <c r="H996" s="13">
        <v>8</v>
      </c>
      <c r="I996" s="13">
        <v>0</v>
      </c>
      <c r="J996" s="13">
        <v>0</v>
      </c>
      <c r="K996" s="10">
        <v>8</v>
      </c>
      <c r="L996" s="2">
        <v>42.056800000000003</v>
      </c>
      <c r="M996" s="1">
        <v>46171.48541666667</v>
      </c>
      <c r="N996" t="s">
        <v>16</v>
      </c>
    </row>
    <row r="997" spans="1:14" x14ac:dyDescent="0.25">
      <c r="A997" s="9" t="s">
        <v>5211</v>
      </c>
      <c r="B997" s="10">
        <v>714</v>
      </c>
      <c r="C997" s="10" t="s">
        <v>70</v>
      </c>
      <c r="D997" t="s">
        <v>793</v>
      </c>
      <c r="E997" t="s">
        <v>794</v>
      </c>
      <c r="F997" s="10" t="s">
        <v>112</v>
      </c>
      <c r="G997" s="2">
        <v>3</v>
      </c>
      <c r="H997" s="13">
        <v>8</v>
      </c>
      <c r="I997" s="13">
        <v>0</v>
      </c>
      <c r="J997" s="13">
        <v>0</v>
      </c>
      <c r="K997" s="10">
        <v>8</v>
      </c>
      <c r="L997" s="2">
        <v>24</v>
      </c>
      <c r="M997" s="1">
        <v>46172.506944444445</v>
      </c>
      <c r="N997" t="s">
        <v>1932</v>
      </c>
    </row>
    <row r="998" spans="1:14" x14ac:dyDescent="0.25">
      <c r="A998" s="9" t="s">
        <v>5211</v>
      </c>
      <c r="B998" s="10">
        <v>714</v>
      </c>
      <c r="C998" s="10" t="s">
        <v>70</v>
      </c>
      <c r="D998" t="s">
        <v>4407</v>
      </c>
      <c r="E998" t="s">
        <v>4408</v>
      </c>
      <c r="F998" s="10" t="s">
        <v>23</v>
      </c>
      <c r="G998" s="2">
        <v>14.954700000000001</v>
      </c>
      <c r="H998" s="13">
        <v>8</v>
      </c>
      <c r="I998" s="13">
        <v>7</v>
      </c>
      <c r="J998" s="13">
        <v>-7</v>
      </c>
      <c r="K998" s="10">
        <v>8</v>
      </c>
      <c r="L998" s="2">
        <v>119.63760000000001</v>
      </c>
      <c r="M998" s="1">
        <v>46174.42291666667</v>
      </c>
      <c r="N998" t="s">
        <v>40</v>
      </c>
    </row>
    <row r="999" spans="1:14" x14ac:dyDescent="0.25">
      <c r="A999" s="9" t="s">
        <v>5211</v>
      </c>
      <c r="B999" s="10">
        <v>718</v>
      </c>
      <c r="C999" s="10" t="s">
        <v>143</v>
      </c>
      <c r="D999" t="s">
        <v>4070</v>
      </c>
      <c r="E999" t="s">
        <v>4071</v>
      </c>
      <c r="F999" s="10" t="s">
        <v>43</v>
      </c>
      <c r="G999" s="2">
        <v>74.888499999999993</v>
      </c>
      <c r="H999" s="13">
        <v>8</v>
      </c>
      <c r="I999" s="13">
        <v>103</v>
      </c>
      <c r="J999" s="13">
        <v>-103</v>
      </c>
      <c r="K999" s="10">
        <v>8</v>
      </c>
      <c r="L999" s="2">
        <v>599.10799999999995</v>
      </c>
      <c r="M999" s="1">
        <v>46175.657638888886</v>
      </c>
      <c r="N999" t="s">
        <v>137</v>
      </c>
    </row>
    <row r="1000" spans="1:14" x14ac:dyDescent="0.25">
      <c r="A1000" s="9" t="s">
        <v>5211</v>
      </c>
      <c r="B1000" s="10">
        <v>714</v>
      </c>
      <c r="C1000" s="10" t="s">
        <v>143</v>
      </c>
      <c r="D1000" t="s">
        <v>4749</v>
      </c>
      <c r="E1000" t="s">
        <v>4750</v>
      </c>
      <c r="F1000" s="10" t="s">
        <v>29</v>
      </c>
      <c r="G1000" s="2">
        <v>28.875499999999999</v>
      </c>
      <c r="H1000" s="13">
        <v>8</v>
      </c>
      <c r="I1000" s="13">
        <v>0</v>
      </c>
      <c r="J1000" s="13">
        <v>0</v>
      </c>
      <c r="K1000" s="10">
        <v>8</v>
      </c>
      <c r="L1000" s="2">
        <v>231.00399999999999</v>
      </c>
      <c r="M1000" s="1">
        <v>46176.375</v>
      </c>
      <c r="N1000" t="s">
        <v>40</v>
      </c>
    </row>
    <row r="1001" spans="1:14" x14ac:dyDescent="0.25">
      <c r="A1001" s="9" t="s">
        <v>5211</v>
      </c>
      <c r="B1001" s="10">
        <v>634</v>
      </c>
      <c r="C1001" s="10" t="s">
        <v>126</v>
      </c>
      <c r="D1001" t="s">
        <v>4058</v>
      </c>
      <c r="E1001" t="s">
        <v>4059</v>
      </c>
      <c r="F1001" s="10" t="s">
        <v>112</v>
      </c>
      <c r="G1001" s="2">
        <v>6.7618999999999998</v>
      </c>
      <c r="H1001" s="13">
        <v>8</v>
      </c>
      <c r="I1001" s="13">
        <v>3</v>
      </c>
      <c r="J1001" s="13">
        <v>-3</v>
      </c>
      <c r="K1001" s="10">
        <v>8</v>
      </c>
      <c r="L1001" s="2">
        <v>54.095199999999998</v>
      </c>
      <c r="M1001" s="1">
        <v>46177.4</v>
      </c>
      <c r="N1001" t="s">
        <v>16</v>
      </c>
    </row>
    <row r="1002" spans="1:14" x14ac:dyDescent="0.25">
      <c r="A1002" s="9" t="s">
        <v>5211</v>
      </c>
      <c r="B1002" s="10">
        <v>714</v>
      </c>
      <c r="C1002" s="10" t="s">
        <v>70</v>
      </c>
      <c r="D1002" t="s">
        <v>2127</v>
      </c>
      <c r="E1002" t="s">
        <v>2128</v>
      </c>
      <c r="F1002" s="10" t="s">
        <v>112</v>
      </c>
      <c r="G1002" s="2">
        <v>10.5928</v>
      </c>
      <c r="H1002" s="13">
        <v>8</v>
      </c>
      <c r="I1002" s="13">
        <v>0</v>
      </c>
      <c r="J1002" s="13">
        <v>0</v>
      </c>
      <c r="K1002" s="10">
        <v>8</v>
      </c>
      <c r="L1002" s="2">
        <v>84.742400000000004</v>
      </c>
      <c r="M1002" s="1">
        <v>46177.484722222223</v>
      </c>
      <c r="N1002" t="s">
        <v>878</v>
      </c>
    </row>
    <row r="1003" spans="1:14" x14ac:dyDescent="0.25">
      <c r="A1003" s="9" t="s">
        <v>5211</v>
      </c>
      <c r="B1003" s="10">
        <v>634</v>
      </c>
      <c r="C1003" s="10" t="s">
        <v>70</v>
      </c>
      <c r="D1003" t="s">
        <v>1987</v>
      </c>
      <c r="E1003" t="s">
        <v>1988</v>
      </c>
      <c r="F1003" s="10" t="s">
        <v>29</v>
      </c>
      <c r="G1003" s="2">
        <v>7.0833000000000004</v>
      </c>
      <c r="H1003" s="13">
        <v>8</v>
      </c>
      <c r="I1003" s="13">
        <v>-5</v>
      </c>
      <c r="J1003" s="13">
        <v>5</v>
      </c>
      <c r="K1003" s="10">
        <v>8</v>
      </c>
      <c r="L1003" s="2">
        <v>56.666400000000003</v>
      </c>
      <c r="M1003" s="1">
        <v>46177.574999999997</v>
      </c>
      <c r="N1003" t="s">
        <v>26</v>
      </c>
    </row>
    <row r="1004" spans="1:14" x14ac:dyDescent="0.25">
      <c r="A1004" s="9" t="s">
        <v>5211</v>
      </c>
      <c r="B1004" s="10">
        <v>636</v>
      </c>
      <c r="C1004" s="10" t="s">
        <v>70</v>
      </c>
      <c r="D1004" t="s">
        <v>812</v>
      </c>
      <c r="E1004" t="s">
        <v>813</v>
      </c>
      <c r="F1004" s="10" t="s">
        <v>39</v>
      </c>
      <c r="G1004" s="2">
        <v>9.9870000000000001</v>
      </c>
      <c r="H1004" s="13">
        <v>8</v>
      </c>
      <c r="I1004" s="13">
        <v>-3</v>
      </c>
      <c r="J1004" s="13">
        <v>3</v>
      </c>
      <c r="K1004" s="10">
        <v>8</v>
      </c>
      <c r="L1004" s="2">
        <v>79.896000000000001</v>
      </c>
      <c r="M1004" s="1">
        <v>46178.285416666666</v>
      </c>
      <c r="N1004" t="s">
        <v>522</v>
      </c>
    </row>
    <row r="1005" spans="1:14" x14ac:dyDescent="0.25">
      <c r="A1005" s="9" t="s">
        <v>5211</v>
      </c>
      <c r="B1005" s="10">
        <v>718</v>
      </c>
      <c r="C1005" s="10" t="s">
        <v>143</v>
      </c>
      <c r="D1005" t="s">
        <v>2405</v>
      </c>
      <c r="E1005" t="s">
        <v>2406</v>
      </c>
      <c r="F1005" s="10" t="s">
        <v>23</v>
      </c>
      <c r="G1005" s="2">
        <v>24.551100000000002</v>
      </c>
      <c r="H1005" s="13">
        <v>8</v>
      </c>
      <c r="I1005" s="13">
        <v>8</v>
      </c>
      <c r="J1005" s="13">
        <v>-8</v>
      </c>
      <c r="K1005" s="10">
        <v>8</v>
      </c>
      <c r="L1005" s="2">
        <v>196.40880000000001</v>
      </c>
      <c r="M1005" s="1">
        <v>46181.580555555556</v>
      </c>
      <c r="N1005" t="s">
        <v>67</v>
      </c>
    </row>
    <row r="1006" spans="1:14" x14ac:dyDescent="0.25">
      <c r="A1006" s="9" t="s">
        <v>5211</v>
      </c>
      <c r="B1006" s="10">
        <v>636</v>
      </c>
      <c r="C1006" s="10" t="s">
        <v>143</v>
      </c>
      <c r="D1006" t="s">
        <v>970</v>
      </c>
      <c r="E1006" t="s">
        <v>971</v>
      </c>
      <c r="F1006" s="10" t="s">
        <v>43</v>
      </c>
      <c r="G1006" s="2">
        <v>99.915700000000001</v>
      </c>
      <c r="H1006" s="13">
        <v>8</v>
      </c>
      <c r="I1006" s="13">
        <v>3</v>
      </c>
      <c r="J1006" s="13">
        <v>-3</v>
      </c>
      <c r="K1006" s="10">
        <v>8</v>
      </c>
      <c r="L1006" s="2">
        <v>799.32560000000001</v>
      </c>
      <c r="M1006" s="1">
        <v>46183.53402777778</v>
      </c>
      <c r="N1006" t="s">
        <v>137</v>
      </c>
    </row>
    <row r="1007" spans="1:14" x14ac:dyDescent="0.25">
      <c r="A1007" s="9" t="s">
        <v>5211</v>
      </c>
      <c r="B1007" s="10">
        <v>636</v>
      </c>
      <c r="C1007" s="10" t="s">
        <v>143</v>
      </c>
      <c r="D1007" t="s">
        <v>4178</v>
      </c>
      <c r="E1007" t="s">
        <v>4179</v>
      </c>
      <c r="F1007" s="10" t="s">
        <v>43</v>
      </c>
      <c r="G1007" s="2">
        <v>43.973100000000002</v>
      </c>
      <c r="H1007" s="13">
        <v>8</v>
      </c>
      <c r="I1007" s="13">
        <v>0</v>
      </c>
      <c r="J1007" s="13">
        <v>0</v>
      </c>
      <c r="K1007" s="10">
        <v>8</v>
      </c>
      <c r="L1007" s="2">
        <v>351.78480000000002</v>
      </c>
      <c r="M1007" s="1">
        <v>46185.396527777775</v>
      </c>
      <c r="N1007" t="s">
        <v>26</v>
      </c>
    </row>
    <row r="1008" spans="1:14" x14ac:dyDescent="0.25">
      <c r="A1008" s="9" t="s">
        <v>5211</v>
      </c>
      <c r="B1008" s="10">
        <v>636</v>
      </c>
      <c r="C1008" s="10" t="s">
        <v>70</v>
      </c>
      <c r="D1008" t="s">
        <v>581</v>
      </c>
      <c r="E1008" t="s">
        <v>582</v>
      </c>
      <c r="F1008" s="10" t="s">
        <v>39</v>
      </c>
      <c r="G1008" s="2">
        <v>5.3391999999999999</v>
      </c>
      <c r="H1008" s="13">
        <v>8</v>
      </c>
      <c r="I1008" s="13">
        <v>5</v>
      </c>
      <c r="J1008" s="13">
        <v>-5</v>
      </c>
      <c r="K1008" s="10">
        <v>8</v>
      </c>
      <c r="L1008" s="2">
        <v>42.7136</v>
      </c>
      <c r="M1008" s="1">
        <v>46189.418749999997</v>
      </c>
      <c r="N1008" t="s">
        <v>16</v>
      </c>
    </row>
    <row r="1009" spans="1:14" x14ac:dyDescent="0.25">
      <c r="A1009" s="9" t="s">
        <v>5211</v>
      </c>
      <c r="B1009" s="10">
        <v>718</v>
      </c>
      <c r="C1009" s="10" t="s">
        <v>70</v>
      </c>
      <c r="D1009" t="s">
        <v>2038</v>
      </c>
      <c r="E1009" t="s">
        <v>2039</v>
      </c>
      <c r="F1009" s="10" t="s">
        <v>39</v>
      </c>
      <c r="G1009" s="2">
        <v>9.0833999999999993</v>
      </c>
      <c r="H1009" s="13">
        <v>8</v>
      </c>
      <c r="I1009" s="13">
        <v>0</v>
      </c>
      <c r="J1009" s="13">
        <v>0</v>
      </c>
      <c r="K1009" s="10">
        <v>8</v>
      </c>
      <c r="L1009" s="2">
        <v>72.667199999999994</v>
      </c>
      <c r="M1009" s="1">
        <v>46191.443055555559</v>
      </c>
      <c r="N1009" t="s">
        <v>16</v>
      </c>
    </row>
    <row r="1010" spans="1:14" x14ac:dyDescent="0.25">
      <c r="A1010" s="9" t="s">
        <v>5211</v>
      </c>
      <c r="B1010" s="10">
        <v>714</v>
      </c>
      <c r="C1010" s="10" t="s">
        <v>323</v>
      </c>
      <c r="D1010" t="s">
        <v>3091</v>
      </c>
      <c r="E1010" t="s">
        <v>3092</v>
      </c>
      <c r="F1010" s="10" t="s">
        <v>29</v>
      </c>
      <c r="G1010" s="2">
        <v>120.548</v>
      </c>
      <c r="H1010" s="13">
        <v>8</v>
      </c>
      <c r="I1010" s="13">
        <v>0</v>
      </c>
      <c r="J1010" s="13">
        <v>0</v>
      </c>
      <c r="K1010" s="10">
        <v>8</v>
      </c>
      <c r="L1010" s="2">
        <v>964.38400000000001</v>
      </c>
      <c r="M1010" s="1">
        <v>46192.649305555555</v>
      </c>
      <c r="N1010" t="s">
        <v>2821</v>
      </c>
    </row>
    <row r="1011" spans="1:14" x14ac:dyDescent="0.25">
      <c r="A1011" s="9" t="s">
        <v>5211</v>
      </c>
      <c r="B1011" s="10">
        <v>718</v>
      </c>
      <c r="C1011" s="10" t="s">
        <v>143</v>
      </c>
      <c r="D1011" t="s">
        <v>899</v>
      </c>
      <c r="E1011" t="s">
        <v>900</v>
      </c>
      <c r="F1011" s="10" t="s">
        <v>23</v>
      </c>
      <c r="G1011" s="2">
        <v>41.76</v>
      </c>
      <c r="H1011" s="13">
        <v>8</v>
      </c>
      <c r="I1011" s="13">
        <v>0</v>
      </c>
      <c r="J1011" s="13">
        <v>0</v>
      </c>
      <c r="K1011" s="10">
        <v>8</v>
      </c>
      <c r="L1011" s="2">
        <v>334.08</v>
      </c>
      <c r="M1011" s="1">
        <v>46196.34375</v>
      </c>
      <c r="N1011" t="s">
        <v>2225</v>
      </c>
    </row>
    <row r="1012" spans="1:14" x14ac:dyDescent="0.25">
      <c r="A1012" s="9" t="s">
        <v>5211</v>
      </c>
      <c r="B1012" s="10">
        <v>714</v>
      </c>
      <c r="C1012" s="10" t="s">
        <v>70</v>
      </c>
      <c r="D1012" t="s">
        <v>2022</v>
      </c>
      <c r="E1012" t="s">
        <v>2023</v>
      </c>
      <c r="F1012" s="10" t="s">
        <v>43</v>
      </c>
      <c r="G1012" s="2">
        <v>10.510300000000001</v>
      </c>
      <c r="H1012" s="13">
        <v>8</v>
      </c>
      <c r="I1012" s="13">
        <v>0</v>
      </c>
      <c r="J1012" s="13">
        <v>0</v>
      </c>
      <c r="K1012" s="10">
        <v>8</v>
      </c>
      <c r="L1012" s="2">
        <v>84.082400000000007</v>
      </c>
      <c r="M1012" s="1">
        <v>46196.578472222223</v>
      </c>
      <c r="N1012" t="s">
        <v>2007</v>
      </c>
    </row>
    <row r="1013" spans="1:14" x14ac:dyDescent="0.25">
      <c r="A1013" s="9" t="s">
        <v>5211</v>
      </c>
      <c r="B1013" s="10">
        <v>714</v>
      </c>
      <c r="C1013" s="10" t="s">
        <v>12</v>
      </c>
      <c r="D1013" t="s">
        <v>4683</v>
      </c>
      <c r="E1013" t="s">
        <v>4684</v>
      </c>
      <c r="F1013" s="10" t="s">
        <v>29</v>
      </c>
      <c r="G1013" s="2">
        <v>7.8902000000000001</v>
      </c>
      <c r="H1013" s="13">
        <v>8</v>
      </c>
      <c r="I1013" s="13">
        <v>531</v>
      </c>
      <c r="J1013" s="13">
        <v>-531</v>
      </c>
      <c r="K1013" s="10">
        <v>8</v>
      </c>
      <c r="L1013" s="2">
        <v>63.121600000000001</v>
      </c>
      <c r="M1013" s="1">
        <v>46197.482638888891</v>
      </c>
      <c r="N1013" t="s">
        <v>40</v>
      </c>
    </row>
    <row r="1014" spans="1:14" x14ac:dyDescent="0.25">
      <c r="A1014" s="9" t="s">
        <v>5211</v>
      </c>
      <c r="B1014" s="10">
        <v>714</v>
      </c>
      <c r="C1014" s="10" t="s">
        <v>1749</v>
      </c>
      <c r="D1014" t="s">
        <v>5117</v>
      </c>
      <c r="E1014" t="s">
        <v>5118</v>
      </c>
      <c r="F1014" s="10" t="s">
        <v>19</v>
      </c>
      <c r="G1014" s="2">
        <v>71.514499999999998</v>
      </c>
      <c r="H1014" s="13">
        <v>8</v>
      </c>
      <c r="I1014" s="13">
        <v>0</v>
      </c>
      <c r="J1014" s="13">
        <v>0</v>
      </c>
      <c r="K1014" s="10">
        <v>8</v>
      </c>
      <c r="L1014" s="2">
        <v>572.11599999999999</v>
      </c>
      <c r="M1014" s="1">
        <v>46198.373611111114</v>
      </c>
      <c r="N1014" t="s">
        <v>67</v>
      </c>
    </row>
    <row r="1015" spans="1:14" x14ac:dyDescent="0.25">
      <c r="A1015" s="9" t="s">
        <v>5211</v>
      </c>
      <c r="B1015" s="10">
        <v>714</v>
      </c>
      <c r="C1015" s="10" t="s">
        <v>70</v>
      </c>
      <c r="D1015" t="s">
        <v>1977</v>
      </c>
      <c r="E1015" t="s">
        <v>1978</v>
      </c>
      <c r="F1015" s="10" t="s">
        <v>29</v>
      </c>
      <c r="G1015" s="2">
        <v>4.6275000000000004</v>
      </c>
      <c r="H1015" s="13">
        <v>8</v>
      </c>
      <c r="I1015" s="13">
        <v>0</v>
      </c>
      <c r="J1015" s="13">
        <v>0</v>
      </c>
      <c r="K1015" s="10">
        <v>8</v>
      </c>
      <c r="L1015" s="2">
        <v>37.020000000000003</v>
      </c>
      <c r="M1015" s="1">
        <v>46198.418055555558</v>
      </c>
      <c r="N1015" t="s">
        <v>878</v>
      </c>
    </row>
    <row r="1016" spans="1:14" x14ac:dyDescent="0.25">
      <c r="A1016" s="9" t="s">
        <v>5211</v>
      </c>
      <c r="B1016" s="10">
        <v>636</v>
      </c>
      <c r="C1016" s="10" t="s">
        <v>126</v>
      </c>
      <c r="D1016" t="s">
        <v>868</v>
      </c>
      <c r="E1016" t="s">
        <v>869</v>
      </c>
      <c r="F1016" s="10" t="s">
        <v>23</v>
      </c>
      <c r="G1016" s="2">
        <v>8.1249000000000002</v>
      </c>
      <c r="H1016" s="13">
        <v>8</v>
      </c>
      <c r="I1016" s="13">
        <v>-46</v>
      </c>
      <c r="J1016" s="13">
        <v>46</v>
      </c>
      <c r="K1016" s="10">
        <v>8</v>
      </c>
      <c r="L1016" s="2">
        <v>64.999200000000002</v>
      </c>
      <c r="M1016" s="1">
        <v>46199.375</v>
      </c>
      <c r="N1016" t="s">
        <v>16</v>
      </c>
    </row>
    <row r="1017" spans="1:14" x14ac:dyDescent="0.25">
      <c r="A1017" s="9" t="s">
        <v>5211</v>
      </c>
      <c r="B1017" s="10">
        <v>634</v>
      </c>
      <c r="C1017" s="10" t="s">
        <v>323</v>
      </c>
      <c r="D1017" t="s">
        <v>383</v>
      </c>
      <c r="E1017" t="s">
        <v>384</v>
      </c>
      <c r="F1017" s="10" t="s">
        <v>29</v>
      </c>
      <c r="G1017" s="2">
        <v>1066.875</v>
      </c>
      <c r="H1017" s="13">
        <v>8</v>
      </c>
      <c r="I1017" s="13">
        <v>0</v>
      </c>
      <c r="J1017" s="13">
        <v>0</v>
      </c>
      <c r="K1017" s="10">
        <v>8</v>
      </c>
      <c r="L1017" s="2">
        <v>8535</v>
      </c>
      <c r="M1017" s="1">
        <v>46203.577777777777</v>
      </c>
      <c r="N1017" t="s">
        <v>385</v>
      </c>
    </row>
    <row r="1018" spans="1:14" x14ac:dyDescent="0.25">
      <c r="A1018" s="9" t="s">
        <v>5211</v>
      </c>
      <c r="B1018" s="10">
        <v>636</v>
      </c>
      <c r="C1018" s="10" t="s">
        <v>143</v>
      </c>
      <c r="D1018" t="s">
        <v>2436</v>
      </c>
      <c r="E1018" t="s">
        <v>2437</v>
      </c>
      <c r="F1018" s="10" t="s">
        <v>29</v>
      </c>
      <c r="G1018" s="2">
        <v>14.6166</v>
      </c>
      <c r="H1018" s="13">
        <v>8</v>
      </c>
      <c r="I1018" s="13">
        <v>0</v>
      </c>
      <c r="J1018" s="13">
        <v>0</v>
      </c>
      <c r="K1018" s="10">
        <v>8</v>
      </c>
      <c r="L1018" s="2">
        <v>116.9328</v>
      </c>
      <c r="M1018" s="1">
        <v>46205.582638888889</v>
      </c>
      <c r="N1018" t="s">
        <v>26</v>
      </c>
    </row>
    <row r="1019" spans="1:14" x14ac:dyDescent="0.25">
      <c r="A1019" s="9" t="s">
        <v>5211</v>
      </c>
      <c r="B1019" s="10">
        <v>718</v>
      </c>
      <c r="C1019" s="10" t="s">
        <v>323</v>
      </c>
      <c r="D1019" t="s">
        <v>3962</v>
      </c>
      <c r="E1019" t="s">
        <v>3963</v>
      </c>
      <c r="F1019" s="10" t="s">
        <v>43</v>
      </c>
      <c r="G1019" s="2">
        <v>119.6187</v>
      </c>
      <c r="H1019" s="13">
        <v>8</v>
      </c>
      <c r="I1019" s="13">
        <v>2</v>
      </c>
      <c r="J1019" s="13">
        <v>-2</v>
      </c>
      <c r="K1019" s="10">
        <v>8</v>
      </c>
      <c r="L1019" s="2">
        <v>956.94960000000003</v>
      </c>
      <c r="M1019" s="1">
        <v>46209.553472222222</v>
      </c>
      <c r="N1019" t="s">
        <v>345</v>
      </c>
    </row>
    <row r="1020" spans="1:14" x14ac:dyDescent="0.25">
      <c r="A1020" s="9" t="s">
        <v>5211</v>
      </c>
      <c r="B1020" s="10">
        <v>714</v>
      </c>
      <c r="C1020" s="10" t="s">
        <v>70</v>
      </c>
      <c r="D1020" t="s">
        <v>4731</v>
      </c>
      <c r="E1020" t="s">
        <v>4732</v>
      </c>
      <c r="F1020" s="10" t="s">
        <v>23</v>
      </c>
      <c r="G1020" s="2">
        <v>5.7080000000000002</v>
      </c>
      <c r="H1020" s="13">
        <v>8</v>
      </c>
      <c r="I1020" s="13">
        <v>266</v>
      </c>
      <c r="J1020" s="13">
        <v>-266</v>
      </c>
      <c r="K1020" s="10">
        <v>8</v>
      </c>
      <c r="L1020" s="2">
        <v>45.664000000000001</v>
      </c>
      <c r="M1020" s="1">
        <v>46211.597916666666</v>
      </c>
      <c r="N1020" t="s">
        <v>40</v>
      </c>
    </row>
    <row r="1021" spans="1:14" x14ac:dyDescent="0.25">
      <c r="A1021" s="9" t="s">
        <v>5211</v>
      </c>
      <c r="B1021" s="10">
        <v>718</v>
      </c>
      <c r="C1021" s="10" t="s">
        <v>143</v>
      </c>
      <c r="D1021" t="s">
        <v>4487</v>
      </c>
      <c r="E1021" t="s">
        <v>4488</v>
      </c>
      <c r="F1021" s="10" t="s">
        <v>43</v>
      </c>
      <c r="G1021" s="2">
        <v>28.084700000000002</v>
      </c>
      <c r="H1021" s="13">
        <v>8</v>
      </c>
      <c r="I1021" s="13">
        <v>91</v>
      </c>
      <c r="J1021" s="13">
        <v>-91</v>
      </c>
      <c r="K1021" s="10">
        <v>8</v>
      </c>
      <c r="L1021" s="2">
        <v>224.67760000000001</v>
      </c>
      <c r="M1021" s="1">
        <v>46219.474305555559</v>
      </c>
      <c r="N1021" t="s">
        <v>195</v>
      </c>
    </row>
    <row r="1022" spans="1:14" x14ac:dyDescent="0.25">
      <c r="A1022" s="9" t="s">
        <v>5211</v>
      </c>
      <c r="B1022" s="10">
        <v>636</v>
      </c>
      <c r="C1022" s="10" t="s">
        <v>70</v>
      </c>
      <c r="D1022" t="s">
        <v>777</v>
      </c>
      <c r="E1022" t="s">
        <v>778</v>
      </c>
      <c r="F1022" s="10" t="s">
        <v>112</v>
      </c>
      <c r="G1022" s="2">
        <v>5.7610999999999999</v>
      </c>
      <c r="H1022" s="13">
        <v>8</v>
      </c>
      <c r="I1022" s="13">
        <v>0</v>
      </c>
      <c r="J1022" s="13">
        <v>0</v>
      </c>
      <c r="K1022" s="10">
        <v>8</v>
      </c>
      <c r="L1022" s="2">
        <v>46.088799999999999</v>
      </c>
      <c r="M1022" s="1">
        <v>46224.376388888886</v>
      </c>
      <c r="N1022" t="s">
        <v>26</v>
      </c>
    </row>
    <row r="1023" spans="1:14" x14ac:dyDescent="0.25">
      <c r="A1023" s="9" t="s">
        <v>5211</v>
      </c>
      <c r="B1023" s="10">
        <v>636</v>
      </c>
      <c r="C1023" s="10" t="s">
        <v>143</v>
      </c>
      <c r="D1023" t="s">
        <v>4208</v>
      </c>
      <c r="E1023" t="s">
        <v>4209</v>
      </c>
      <c r="F1023" s="10" t="s">
        <v>112</v>
      </c>
      <c r="G1023" s="2">
        <v>38.0672</v>
      </c>
      <c r="H1023" s="13">
        <v>8</v>
      </c>
      <c r="I1023" s="13">
        <v>91</v>
      </c>
      <c r="J1023" s="13">
        <v>-91</v>
      </c>
      <c r="K1023" s="10">
        <v>8</v>
      </c>
      <c r="L1023" s="2">
        <v>304.5376</v>
      </c>
      <c r="M1023" s="1">
        <v>46225.496527777781</v>
      </c>
      <c r="N1023" t="s">
        <v>195</v>
      </c>
    </row>
    <row r="1024" spans="1:14" x14ac:dyDescent="0.25">
      <c r="A1024" s="9" t="s">
        <v>5211</v>
      </c>
      <c r="B1024" s="10">
        <v>718</v>
      </c>
      <c r="C1024" s="10" t="s">
        <v>70</v>
      </c>
      <c r="D1024" t="s">
        <v>3681</v>
      </c>
      <c r="E1024" t="s">
        <v>3682</v>
      </c>
      <c r="F1024" s="10" t="s">
        <v>29</v>
      </c>
      <c r="G1024" s="2">
        <v>8.3377999999999997</v>
      </c>
      <c r="H1024" s="13">
        <v>8</v>
      </c>
      <c r="I1024" s="13">
        <v>0</v>
      </c>
      <c r="J1024" s="13">
        <v>0</v>
      </c>
      <c r="K1024" s="10">
        <v>8</v>
      </c>
      <c r="L1024" s="2">
        <v>66.702399999999997</v>
      </c>
      <c r="M1024" s="1">
        <v>46232.6</v>
      </c>
      <c r="N1024" t="s">
        <v>573</v>
      </c>
    </row>
    <row r="1025" spans="1:14" x14ac:dyDescent="0.25">
      <c r="A1025" s="9" t="s">
        <v>5211</v>
      </c>
      <c r="B1025" s="10">
        <v>636</v>
      </c>
      <c r="C1025" s="10" t="s">
        <v>70</v>
      </c>
      <c r="D1025" t="s">
        <v>4447</v>
      </c>
      <c r="E1025" t="s">
        <v>4448</v>
      </c>
      <c r="F1025" s="10" t="s">
        <v>39</v>
      </c>
      <c r="G1025" s="2">
        <v>5.8209</v>
      </c>
      <c r="H1025" s="13">
        <v>8</v>
      </c>
      <c r="I1025" s="13">
        <v>9</v>
      </c>
      <c r="J1025" s="13">
        <v>-9</v>
      </c>
      <c r="K1025" s="10">
        <v>8</v>
      </c>
      <c r="L1025" s="2">
        <v>46.5672</v>
      </c>
      <c r="M1025" s="1">
        <v>46233.50277777778</v>
      </c>
      <c r="N1025" t="s">
        <v>26</v>
      </c>
    </row>
    <row r="1026" spans="1:14" x14ac:dyDescent="0.25">
      <c r="A1026" s="9" t="s">
        <v>5211</v>
      </c>
      <c r="B1026" s="10">
        <v>634</v>
      </c>
      <c r="C1026" s="10" t="s">
        <v>70</v>
      </c>
      <c r="D1026" t="s">
        <v>4046</v>
      </c>
      <c r="E1026" t="s">
        <v>4047</v>
      </c>
      <c r="F1026" s="10" t="s">
        <v>112</v>
      </c>
      <c r="G1026" s="2">
        <v>6.1981000000000002</v>
      </c>
      <c r="H1026" s="13">
        <v>8</v>
      </c>
      <c r="I1026" s="13">
        <v>77</v>
      </c>
      <c r="J1026" s="13">
        <v>-77</v>
      </c>
      <c r="K1026" s="10">
        <v>8</v>
      </c>
      <c r="L1026" s="2">
        <v>49.584800000000001</v>
      </c>
      <c r="M1026" s="1">
        <v>46237.726388888892</v>
      </c>
      <c r="N1026" t="s">
        <v>26</v>
      </c>
    </row>
    <row r="1027" spans="1:14" x14ac:dyDescent="0.25">
      <c r="A1027" s="9" t="s">
        <v>5211</v>
      </c>
      <c r="B1027" s="10">
        <v>636</v>
      </c>
      <c r="C1027" s="10" t="s">
        <v>70</v>
      </c>
      <c r="D1027" t="s">
        <v>4409</v>
      </c>
      <c r="E1027" t="s">
        <v>4410</v>
      </c>
      <c r="F1027" s="10" t="s">
        <v>23</v>
      </c>
      <c r="G1027" s="2">
        <v>7.7828999999999997</v>
      </c>
      <c r="H1027" s="13">
        <v>8</v>
      </c>
      <c r="I1027" s="13">
        <v>74</v>
      </c>
      <c r="J1027" s="13">
        <v>-74</v>
      </c>
      <c r="K1027" s="10">
        <v>8</v>
      </c>
      <c r="L1027" s="2">
        <v>62.263199999999998</v>
      </c>
      <c r="M1027" s="1">
        <v>46238.60833333333</v>
      </c>
      <c r="N1027" t="s">
        <v>94</v>
      </c>
    </row>
    <row r="1028" spans="1:14" x14ac:dyDescent="0.25">
      <c r="A1028" s="9" t="s">
        <v>5211</v>
      </c>
      <c r="B1028" s="10">
        <v>714</v>
      </c>
      <c r="C1028" s="10" t="s">
        <v>70</v>
      </c>
      <c r="D1028" t="s">
        <v>567</v>
      </c>
      <c r="E1028" t="s">
        <v>568</v>
      </c>
      <c r="F1028" s="10" t="s">
        <v>112</v>
      </c>
      <c r="G1028" s="2">
        <v>7.7001999999999997</v>
      </c>
      <c r="H1028" s="13">
        <v>8</v>
      </c>
      <c r="I1028" s="13">
        <v>0</v>
      </c>
      <c r="J1028" s="13">
        <v>0</v>
      </c>
      <c r="K1028" s="10">
        <v>8</v>
      </c>
      <c r="L1028" s="2">
        <v>61.601599999999998</v>
      </c>
      <c r="M1028" s="1">
        <v>46239.595833333333</v>
      </c>
      <c r="N1028" t="s">
        <v>40</v>
      </c>
    </row>
    <row r="1029" spans="1:14" x14ac:dyDescent="0.25">
      <c r="A1029" s="9" t="s">
        <v>5211</v>
      </c>
      <c r="B1029" s="10">
        <v>714</v>
      </c>
      <c r="C1029" s="10" t="s">
        <v>70</v>
      </c>
      <c r="D1029" t="s">
        <v>73</v>
      </c>
      <c r="E1029" t="s">
        <v>74</v>
      </c>
      <c r="F1029" s="10" t="s">
        <v>39</v>
      </c>
      <c r="G1029" s="2">
        <v>5.3635999999999999</v>
      </c>
      <c r="H1029" s="13">
        <v>8</v>
      </c>
      <c r="I1029" s="13">
        <v>0</v>
      </c>
      <c r="J1029" s="13">
        <v>0</v>
      </c>
      <c r="K1029" s="10">
        <v>8</v>
      </c>
      <c r="L1029" s="2">
        <v>42.908799999999999</v>
      </c>
      <c r="M1029" s="1">
        <v>46242.375</v>
      </c>
      <c r="N1029" t="s">
        <v>26</v>
      </c>
    </row>
    <row r="1030" spans="1:14" x14ac:dyDescent="0.25">
      <c r="A1030" s="9" t="s">
        <v>5211</v>
      </c>
      <c r="B1030" s="10">
        <v>636</v>
      </c>
      <c r="C1030" s="10" t="s">
        <v>12</v>
      </c>
      <c r="D1030" t="s">
        <v>4387</v>
      </c>
      <c r="E1030" t="s">
        <v>4388</v>
      </c>
      <c r="F1030" s="10" t="s">
        <v>81</v>
      </c>
      <c r="G1030" s="2">
        <v>6.9146999999999998</v>
      </c>
      <c r="H1030" s="13">
        <v>8</v>
      </c>
      <c r="I1030" s="13">
        <v>-15</v>
      </c>
      <c r="J1030" s="13">
        <v>15</v>
      </c>
      <c r="K1030" s="10">
        <v>8</v>
      </c>
      <c r="L1030" s="2">
        <v>55.317599999999999</v>
      </c>
      <c r="M1030" s="1">
        <v>46245.611805555556</v>
      </c>
      <c r="N1030" t="s">
        <v>522</v>
      </c>
    </row>
    <row r="1031" spans="1:14" x14ac:dyDescent="0.25">
      <c r="A1031" s="9" t="s">
        <v>5211</v>
      </c>
      <c r="B1031" s="10">
        <v>634</v>
      </c>
      <c r="C1031" s="10" t="s">
        <v>70</v>
      </c>
      <c r="D1031" t="s">
        <v>4010</v>
      </c>
      <c r="E1031" s="6" t="s">
        <v>4011</v>
      </c>
      <c r="F1031" s="11" t="s">
        <v>58</v>
      </c>
      <c r="G1031" s="2">
        <v>6.3247</v>
      </c>
      <c r="H1031" s="13">
        <v>7</v>
      </c>
      <c r="I1031" s="13">
        <v>-18</v>
      </c>
      <c r="J1031" s="13">
        <v>18</v>
      </c>
      <c r="K1031" s="10">
        <v>7</v>
      </c>
      <c r="L1031" s="2">
        <v>44.2729</v>
      </c>
      <c r="M1031" s="1">
        <v>44687.686111111114</v>
      </c>
      <c r="N1031" t="s">
        <v>94</v>
      </c>
    </row>
    <row r="1032" spans="1:14" x14ac:dyDescent="0.25">
      <c r="A1032" s="9" t="s">
        <v>5211</v>
      </c>
      <c r="B1032" s="10">
        <v>714</v>
      </c>
      <c r="C1032" s="10" t="s">
        <v>323</v>
      </c>
      <c r="D1032" t="s">
        <v>3302</v>
      </c>
      <c r="E1032" s="6" t="s">
        <v>3303</v>
      </c>
      <c r="F1032" s="11" t="s">
        <v>58</v>
      </c>
      <c r="G1032" s="2">
        <v>140.67519999999999</v>
      </c>
      <c r="H1032" s="13">
        <v>7</v>
      </c>
      <c r="I1032" s="13">
        <v>0</v>
      </c>
      <c r="J1032" s="13">
        <v>0</v>
      </c>
      <c r="K1032" s="10">
        <v>7</v>
      </c>
      <c r="L1032" s="2">
        <v>984.72640000000001</v>
      </c>
      <c r="M1032" s="1">
        <v>45006.34097222222</v>
      </c>
      <c r="N1032" t="s">
        <v>3163</v>
      </c>
    </row>
    <row r="1033" spans="1:14" x14ac:dyDescent="0.25">
      <c r="A1033" s="9" t="s">
        <v>5211</v>
      </c>
      <c r="B1033" s="10">
        <v>714</v>
      </c>
      <c r="C1033" s="10" t="s">
        <v>70</v>
      </c>
      <c r="D1033" t="s">
        <v>2042</v>
      </c>
      <c r="E1033" t="s">
        <v>2043</v>
      </c>
      <c r="F1033" s="10" t="s">
        <v>39</v>
      </c>
      <c r="G1033" s="2">
        <v>5</v>
      </c>
      <c r="H1033" s="13">
        <v>7</v>
      </c>
      <c r="I1033" s="13">
        <v>0</v>
      </c>
      <c r="J1033" s="13">
        <v>0</v>
      </c>
      <c r="K1033" s="10">
        <v>7</v>
      </c>
      <c r="L1033" s="2">
        <v>35</v>
      </c>
      <c r="M1033" s="1">
        <v>45091.657638888886</v>
      </c>
      <c r="N1033" t="s">
        <v>573</v>
      </c>
    </row>
    <row r="1034" spans="1:14" x14ac:dyDescent="0.25">
      <c r="A1034" s="9" t="s">
        <v>5211</v>
      </c>
      <c r="B1034" s="10">
        <v>718</v>
      </c>
      <c r="C1034" s="10" t="s">
        <v>143</v>
      </c>
      <c r="D1034" t="s">
        <v>4787</v>
      </c>
      <c r="E1034" t="s">
        <v>4788</v>
      </c>
      <c r="F1034" s="10" t="s">
        <v>123</v>
      </c>
      <c r="G1034" s="2">
        <v>7.5107999999999997</v>
      </c>
      <c r="H1034" s="13">
        <v>7</v>
      </c>
      <c r="I1034" s="13">
        <v>93</v>
      </c>
      <c r="J1034" s="13">
        <v>-93</v>
      </c>
      <c r="K1034" s="10">
        <v>7</v>
      </c>
      <c r="L1034" s="2">
        <v>52.575600000000001</v>
      </c>
      <c r="M1034" s="1">
        <v>45433.570833333331</v>
      </c>
      <c r="N1034" t="s">
        <v>363</v>
      </c>
    </row>
    <row r="1035" spans="1:14" x14ac:dyDescent="0.25">
      <c r="A1035" s="9" t="s">
        <v>5211</v>
      </c>
      <c r="B1035" s="10">
        <v>636</v>
      </c>
      <c r="C1035" s="10" t="s">
        <v>143</v>
      </c>
      <c r="D1035" t="s">
        <v>959</v>
      </c>
      <c r="E1035" t="s">
        <v>960</v>
      </c>
      <c r="F1035" s="10" t="s">
        <v>29</v>
      </c>
      <c r="G1035" s="2">
        <v>21.786799999999999</v>
      </c>
      <c r="H1035" s="13">
        <v>7</v>
      </c>
      <c r="I1035" s="13">
        <v>0</v>
      </c>
      <c r="J1035" s="13">
        <v>0</v>
      </c>
      <c r="K1035" s="10">
        <v>7</v>
      </c>
      <c r="L1035" s="2">
        <v>152.5076</v>
      </c>
      <c r="M1035" s="1">
        <v>45435.459027777775</v>
      </c>
      <c r="N1035" t="s">
        <v>40</v>
      </c>
    </row>
    <row r="1036" spans="1:14" x14ac:dyDescent="0.25">
      <c r="A1036" s="9" t="s">
        <v>5211</v>
      </c>
      <c r="B1036" s="10">
        <v>714</v>
      </c>
      <c r="C1036" s="10" t="s">
        <v>143</v>
      </c>
      <c r="D1036" t="s">
        <v>2473</v>
      </c>
      <c r="E1036" t="s">
        <v>2474</v>
      </c>
      <c r="F1036" s="10" t="s">
        <v>15</v>
      </c>
      <c r="G1036" s="2">
        <v>11.0519</v>
      </c>
      <c r="H1036" s="13">
        <v>7</v>
      </c>
      <c r="I1036" s="13">
        <v>0</v>
      </c>
      <c r="J1036" s="13">
        <v>0</v>
      </c>
      <c r="K1036" s="10">
        <v>7</v>
      </c>
      <c r="L1036" s="2">
        <v>77.363299999999995</v>
      </c>
      <c r="M1036" s="1">
        <v>45719.59652777778</v>
      </c>
      <c r="N1036" t="s">
        <v>2225</v>
      </c>
    </row>
    <row r="1037" spans="1:14" x14ac:dyDescent="0.25">
      <c r="A1037" s="9" t="s">
        <v>5211</v>
      </c>
      <c r="B1037" s="10">
        <v>718</v>
      </c>
      <c r="C1037" s="10" t="s">
        <v>323</v>
      </c>
      <c r="D1037" t="s">
        <v>2906</v>
      </c>
      <c r="E1037" t="s">
        <v>2907</v>
      </c>
      <c r="F1037" s="10" t="s">
        <v>29</v>
      </c>
      <c r="G1037" s="2">
        <v>73.600899999999996</v>
      </c>
      <c r="H1037" s="13">
        <v>7</v>
      </c>
      <c r="I1037" s="13">
        <v>2</v>
      </c>
      <c r="J1037" s="13">
        <v>-2</v>
      </c>
      <c r="K1037" s="10">
        <v>7</v>
      </c>
      <c r="L1037" s="2">
        <v>515.20630000000006</v>
      </c>
      <c r="M1037" s="1">
        <v>45735.504861111112</v>
      </c>
      <c r="N1037" t="s">
        <v>30</v>
      </c>
    </row>
    <row r="1038" spans="1:14" x14ac:dyDescent="0.25">
      <c r="A1038" s="9" t="s">
        <v>5211</v>
      </c>
      <c r="B1038" s="10">
        <v>718</v>
      </c>
      <c r="C1038" s="10" t="s">
        <v>323</v>
      </c>
      <c r="D1038" t="s">
        <v>3893</v>
      </c>
      <c r="E1038" t="s">
        <v>3894</v>
      </c>
      <c r="F1038" s="10" t="s">
        <v>35</v>
      </c>
      <c r="G1038" s="2">
        <v>14.1693</v>
      </c>
      <c r="H1038" s="13">
        <v>7</v>
      </c>
      <c r="I1038" s="13">
        <v>0</v>
      </c>
      <c r="J1038" s="13">
        <v>0</v>
      </c>
      <c r="K1038" s="10">
        <v>7</v>
      </c>
      <c r="L1038" s="2">
        <v>99.185100000000006</v>
      </c>
      <c r="M1038" s="1">
        <v>45737.495833333334</v>
      </c>
      <c r="N1038" t="s">
        <v>216</v>
      </c>
    </row>
    <row r="1039" spans="1:14" x14ac:dyDescent="0.25">
      <c r="A1039" s="9" t="s">
        <v>5211</v>
      </c>
      <c r="B1039" s="10">
        <v>714</v>
      </c>
      <c r="C1039" s="10" t="s">
        <v>323</v>
      </c>
      <c r="D1039" t="s">
        <v>3336</v>
      </c>
      <c r="E1039" t="s">
        <v>3337</v>
      </c>
      <c r="F1039" s="10" t="s">
        <v>29</v>
      </c>
      <c r="G1039" s="2">
        <v>109.47029999999999</v>
      </c>
      <c r="H1039" s="13">
        <v>7</v>
      </c>
      <c r="I1039" s="13">
        <v>0</v>
      </c>
      <c r="J1039" s="13">
        <v>0</v>
      </c>
      <c r="K1039" s="10">
        <v>7</v>
      </c>
      <c r="L1039" s="2">
        <v>766.2921</v>
      </c>
      <c r="M1039" s="1">
        <v>45756.330555555556</v>
      </c>
      <c r="N1039" t="s">
        <v>2457</v>
      </c>
    </row>
    <row r="1040" spans="1:14" x14ac:dyDescent="0.25">
      <c r="A1040" s="9" t="s">
        <v>5211</v>
      </c>
      <c r="B1040" s="10">
        <v>634</v>
      </c>
      <c r="C1040" s="10" t="s">
        <v>143</v>
      </c>
      <c r="D1040" t="s">
        <v>291</v>
      </c>
      <c r="E1040" s="6" t="s">
        <v>292</v>
      </c>
      <c r="F1040" s="11" t="s">
        <v>58</v>
      </c>
      <c r="G1040" s="2">
        <v>41.062899999999999</v>
      </c>
      <c r="H1040" s="13">
        <v>7</v>
      </c>
      <c r="I1040" s="13">
        <v>0</v>
      </c>
      <c r="J1040" s="13">
        <v>0</v>
      </c>
      <c r="K1040" s="10">
        <v>7</v>
      </c>
      <c r="L1040" s="2">
        <v>287.44029999999998</v>
      </c>
      <c r="M1040" s="1">
        <v>45759.454861111109</v>
      </c>
      <c r="N1040" t="s">
        <v>175</v>
      </c>
    </row>
    <row r="1041" spans="1:14" x14ac:dyDescent="0.25">
      <c r="A1041" s="9" t="s">
        <v>5211</v>
      </c>
      <c r="B1041" s="10">
        <v>718</v>
      </c>
      <c r="C1041" s="10" t="s">
        <v>143</v>
      </c>
      <c r="D1041" t="s">
        <v>3745</v>
      </c>
      <c r="E1041" t="s">
        <v>3746</v>
      </c>
      <c r="F1041" s="10" t="s">
        <v>23</v>
      </c>
      <c r="G1041" s="2">
        <v>103.0159</v>
      </c>
      <c r="H1041" s="13">
        <v>7</v>
      </c>
      <c r="I1041" s="13">
        <v>0</v>
      </c>
      <c r="J1041" s="13">
        <v>0</v>
      </c>
      <c r="K1041" s="10">
        <v>7</v>
      </c>
      <c r="L1041" s="2">
        <v>721.11130000000003</v>
      </c>
      <c r="M1041" s="1">
        <v>45777.463194444441</v>
      </c>
      <c r="N1041" t="s">
        <v>195</v>
      </c>
    </row>
    <row r="1042" spans="1:14" x14ac:dyDescent="0.25">
      <c r="A1042" s="9" t="s">
        <v>5211</v>
      </c>
      <c r="B1042" s="10">
        <v>714</v>
      </c>
      <c r="C1042" s="10" t="s">
        <v>143</v>
      </c>
      <c r="D1042" t="s">
        <v>198</v>
      </c>
      <c r="E1042" s="6" t="s">
        <v>199</v>
      </c>
      <c r="F1042" s="11" t="s">
        <v>58</v>
      </c>
      <c r="G1042" s="2">
        <v>19.487200000000001</v>
      </c>
      <c r="H1042" s="13">
        <v>7</v>
      </c>
      <c r="I1042" s="13">
        <v>0</v>
      </c>
      <c r="J1042" s="13">
        <v>0</v>
      </c>
      <c r="K1042" s="10">
        <v>7</v>
      </c>
      <c r="L1042" s="2">
        <v>136.41040000000001</v>
      </c>
      <c r="M1042" s="1">
        <v>45790.334722222222</v>
      </c>
      <c r="N1042" t="s">
        <v>40</v>
      </c>
    </row>
    <row r="1043" spans="1:14" x14ac:dyDescent="0.25">
      <c r="A1043" s="9" t="s">
        <v>5211</v>
      </c>
      <c r="B1043" s="10">
        <v>718</v>
      </c>
      <c r="C1043" s="10" t="s">
        <v>143</v>
      </c>
      <c r="D1043" t="s">
        <v>3709</v>
      </c>
      <c r="E1043" s="6" t="s">
        <v>3710</v>
      </c>
      <c r="F1043" s="11" t="s">
        <v>58</v>
      </c>
      <c r="G1043" s="2">
        <v>24.0351</v>
      </c>
      <c r="H1043" s="13">
        <v>7</v>
      </c>
      <c r="I1043" s="13">
        <v>0</v>
      </c>
      <c r="J1043" s="13">
        <v>0</v>
      </c>
      <c r="K1043" s="10">
        <v>7</v>
      </c>
      <c r="L1043" s="2">
        <v>168.2457</v>
      </c>
      <c r="M1043" s="1">
        <v>45805.669444444444</v>
      </c>
      <c r="N1043" t="s">
        <v>26</v>
      </c>
    </row>
    <row r="1044" spans="1:14" x14ac:dyDescent="0.25">
      <c r="A1044" s="9" t="s">
        <v>5211</v>
      </c>
      <c r="B1044" s="10">
        <v>718</v>
      </c>
      <c r="C1044" s="10" t="s">
        <v>143</v>
      </c>
      <c r="D1044" t="s">
        <v>2720</v>
      </c>
      <c r="E1044" s="6" t="s">
        <v>2721</v>
      </c>
      <c r="F1044" s="11" t="s">
        <v>58</v>
      </c>
      <c r="G1044" s="2">
        <v>39.218699999999998</v>
      </c>
      <c r="H1044" s="13">
        <v>7</v>
      </c>
      <c r="I1044" s="13">
        <v>0</v>
      </c>
      <c r="J1044" s="13">
        <v>0</v>
      </c>
      <c r="K1044" s="10">
        <v>7</v>
      </c>
      <c r="L1044" s="2">
        <v>274.53089999999997</v>
      </c>
      <c r="M1044" s="1">
        <v>45832.509027777778</v>
      </c>
      <c r="N1044" t="s">
        <v>67</v>
      </c>
    </row>
    <row r="1045" spans="1:14" x14ac:dyDescent="0.25">
      <c r="A1045" s="9" t="s">
        <v>5211</v>
      </c>
      <c r="B1045" s="10">
        <v>714</v>
      </c>
      <c r="C1045" s="10" t="s">
        <v>143</v>
      </c>
      <c r="D1045" t="s">
        <v>2720</v>
      </c>
      <c r="E1045" s="6" t="s">
        <v>2721</v>
      </c>
      <c r="F1045" s="11" t="s">
        <v>58</v>
      </c>
      <c r="G1045" s="2">
        <v>39.3187</v>
      </c>
      <c r="H1045" s="13">
        <v>7</v>
      </c>
      <c r="I1045" s="13">
        <v>0</v>
      </c>
      <c r="J1045" s="13">
        <v>0</v>
      </c>
      <c r="K1045" s="10">
        <v>7</v>
      </c>
      <c r="L1045" s="2">
        <v>275.23090000000002</v>
      </c>
      <c r="M1045" s="1">
        <v>45832.625</v>
      </c>
      <c r="N1045" t="s">
        <v>67</v>
      </c>
    </row>
    <row r="1046" spans="1:14" x14ac:dyDescent="0.25">
      <c r="A1046" s="9" t="s">
        <v>5211</v>
      </c>
      <c r="B1046" s="10">
        <v>714</v>
      </c>
      <c r="C1046" s="10" t="s">
        <v>323</v>
      </c>
      <c r="D1046" t="s">
        <v>3284</v>
      </c>
      <c r="E1046" t="s">
        <v>3285</v>
      </c>
      <c r="F1046" s="10" t="s">
        <v>455</v>
      </c>
      <c r="G1046" s="2">
        <v>594.28830000000005</v>
      </c>
      <c r="H1046" s="13">
        <v>7</v>
      </c>
      <c r="I1046" s="13">
        <v>0</v>
      </c>
      <c r="J1046" s="13">
        <v>0</v>
      </c>
      <c r="K1046" s="10">
        <v>7</v>
      </c>
      <c r="L1046" s="2">
        <v>4160.0181000000002</v>
      </c>
      <c r="M1046" s="1">
        <v>45867.350694444445</v>
      </c>
      <c r="N1046" t="s">
        <v>885</v>
      </c>
    </row>
    <row r="1047" spans="1:14" x14ac:dyDescent="0.25">
      <c r="A1047" s="9" t="s">
        <v>5211</v>
      </c>
      <c r="B1047" s="10">
        <v>714</v>
      </c>
      <c r="C1047" s="10" t="s">
        <v>323</v>
      </c>
      <c r="D1047" t="s">
        <v>5041</v>
      </c>
      <c r="E1047" t="s">
        <v>5042</v>
      </c>
      <c r="F1047" s="10" t="s">
        <v>158</v>
      </c>
      <c r="G1047" s="2">
        <v>111.875</v>
      </c>
      <c r="H1047" s="13">
        <v>7</v>
      </c>
      <c r="I1047" s="13">
        <v>1</v>
      </c>
      <c r="J1047" s="13">
        <v>-1</v>
      </c>
      <c r="K1047" s="10">
        <v>7</v>
      </c>
      <c r="L1047" s="2">
        <v>783.125</v>
      </c>
      <c r="M1047" s="1">
        <v>45889.356249999997</v>
      </c>
      <c r="N1047" t="s">
        <v>3204</v>
      </c>
    </row>
    <row r="1048" spans="1:14" x14ac:dyDescent="0.25">
      <c r="A1048" s="9" t="s">
        <v>5211</v>
      </c>
      <c r="B1048" s="10">
        <v>714</v>
      </c>
      <c r="C1048" s="10" t="s">
        <v>323</v>
      </c>
      <c r="D1048" t="s">
        <v>2945</v>
      </c>
      <c r="E1048" t="s">
        <v>2946</v>
      </c>
      <c r="F1048" s="10" t="s">
        <v>23</v>
      </c>
      <c r="G1048" s="2">
        <v>243.43219999999999</v>
      </c>
      <c r="H1048" s="13">
        <v>7</v>
      </c>
      <c r="I1048" s="13">
        <v>0</v>
      </c>
      <c r="J1048" s="13">
        <v>0</v>
      </c>
      <c r="K1048" s="10">
        <v>7</v>
      </c>
      <c r="L1048" s="2">
        <v>1704.0254</v>
      </c>
      <c r="M1048" s="1">
        <v>45987.597222222219</v>
      </c>
      <c r="N1048" t="s">
        <v>2423</v>
      </c>
    </row>
    <row r="1049" spans="1:14" x14ac:dyDescent="0.25">
      <c r="A1049" s="9" t="s">
        <v>5211</v>
      </c>
      <c r="B1049" s="10">
        <v>636</v>
      </c>
      <c r="C1049" s="10" t="s">
        <v>323</v>
      </c>
      <c r="D1049" t="s">
        <v>1602</v>
      </c>
      <c r="E1049" t="s">
        <v>1603</v>
      </c>
      <c r="F1049" s="10" t="s">
        <v>29</v>
      </c>
      <c r="G1049" s="2">
        <v>404.76330000000002</v>
      </c>
      <c r="H1049" s="13">
        <v>7</v>
      </c>
      <c r="I1049" s="13">
        <v>0</v>
      </c>
      <c r="J1049" s="13">
        <v>0</v>
      </c>
      <c r="K1049" s="10">
        <v>7</v>
      </c>
      <c r="L1049" s="2">
        <v>2833.3431</v>
      </c>
      <c r="M1049" s="1">
        <v>46085.617361111108</v>
      </c>
      <c r="N1049" t="s">
        <v>159</v>
      </c>
    </row>
    <row r="1050" spans="1:14" x14ac:dyDescent="0.25">
      <c r="A1050" s="9" t="s">
        <v>5211</v>
      </c>
      <c r="B1050" s="10">
        <v>636</v>
      </c>
      <c r="C1050" s="10" t="s">
        <v>323</v>
      </c>
      <c r="D1050" t="s">
        <v>364</v>
      </c>
      <c r="E1050" t="s">
        <v>365</v>
      </c>
      <c r="F1050" s="10" t="s">
        <v>43</v>
      </c>
      <c r="G1050" s="2">
        <v>137.87880000000001</v>
      </c>
      <c r="H1050" s="13">
        <v>7</v>
      </c>
      <c r="I1050" s="13">
        <v>0</v>
      </c>
      <c r="J1050" s="13">
        <v>0</v>
      </c>
      <c r="K1050" s="10">
        <v>7</v>
      </c>
      <c r="L1050" s="2">
        <v>965.15160000000003</v>
      </c>
      <c r="M1050" s="1">
        <v>46093.551388888889</v>
      </c>
      <c r="N1050" t="s">
        <v>366</v>
      </c>
    </row>
    <row r="1051" spans="1:14" x14ac:dyDescent="0.25">
      <c r="A1051" s="9" t="s">
        <v>5211</v>
      </c>
      <c r="B1051" s="10">
        <v>634</v>
      </c>
      <c r="C1051" s="10" t="s">
        <v>323</v>
      </c>
      <c r="D1051" t="s">
        <v>420</v>
      </c>
      <c r="E1051" t="s">
        <v>421</v>
      </c>
      <c r="F1051" s="10" t="s">
        <v>29</v>
      </c>
      <c r="G1051" s="2">
        <v>122.7698</v>
      </c>
      <c r="H1051" s="13">
        <v>7</v>
      </c>
      <c r="I1051" s="13">
        <v>0</v>
      </c>
      <c r="J1051" s="13">
        <v>0</v>
      </c>
      <c r="K1051" s="10">
        <v>7</v>
      </c>
      <c r="L1051" s="2">
        <v>859.3886</v>
      </c>
      <c r="M1051" s="1">
        <v>46094.541666666664</v>
      </c>
      <c r="N1051" t="s">
        <v>354</v>
      </c>
    </row>
    <row r="1052" spans="1:14" x14ac:dyDescent="0.25">
      <c r="A1052" s="9" t="s">
        <v>5211</v>
      </c>
      <c r="B1052" s="10">
        <v>714</v>
      </c>
      <c r="C1052" s="10" t="s">
        <v>143</v>
      </c>
      <c r="D1052" t="s">
        <v>2334</v>
      </c>
      <c r="E1052" t="s">
        <v>2335</v>
      </c>
      <c r="F1052" s="10" t="s">
        <v>43</v>
      </c>
      <c r="G1052" s="2">
        <v>11.143000000000001</v>
      </c>
      <c r="H1052" s="13">
        <v>7</v>
      </c>
      <c r="I1052" s="13">
        <v>0</v>
      </c>
      <c r="J1052" s="13">
        <v>0</v>
      </c>
      <c r="K1052" s="10">
        <v>7</v>
      </c>
      <c r="L1052" s="2">
        <v>78.001000000000005</v>
      </c>
      <c r="M1052" s="1">
        <v>46101.338888888888</v>
      </c>
      <c r="N1052" t="s">
        <v>146</v>
      </c>
    </row>
    <row r="1053" spans="1:14" x14ac:dyDescent="0.25">
      <c r="A1053" s="9" t="s">
        <v>5211</v>
      </c>
      <c r="B1053" s="10">
        <v>714</v>
      </c>
      <c r="C1053" s="10" t="s">
        <v>323</v>
      </c>
      <c r="D1053" t="s">
        <v>3355</v>
      </c>
      <c r="E1053" t="s">
        <v>3356</v>
      </c>
      <c r="F1053" s="10" t="s">
        <v>29</v>
      </c>
      <c r="G1053" s="2">
        <v>208.47239999999999</v>
      </c>
      <c r="H1053" s="13">
        <v>7</v>
      </c>
      <c r="I1053" s="13">
        <v>0</v>
      </c>
      <c r="J1053" s="13">
        <v>0</v>
      </c>
      <c r="K1053" s="10">
        <v>7</v>
      </c>
      <c r="L1053" s="2">
        <v>1459.3068000000001</v>
      </c>
      <c r="M1053" s="1">
        <v>46104.46597222222</v>
      </c>
      <c r="N1053" t="s">
        <v>137</v>
      </c>
    </row>
    <row r="1054" spans="1:14" x14ac:dyDescent="0.25">
      <c r="A1054" s="9" t="s">
        <v>5211</v>
      </c>
      <c r="B1054" s="10">
        <v>636</v>
      </c>
      <c r="C1054" s="10" t="s">
        <v>143</v>
      </c>
      <c r="D1054" t="s">
        <v>1200</v>
      </c>
      <c r="E1054" t="s">
        <v>1201</v>
      </c>
      <c r="F1054" s="10" t="s">
        <v>29</v>
      </c>
      <c r="G1054" s="2">
        <v>176.1326</v>
      </c>
      <c r="H1054" s="13">
        <v>7</v>
      </c>
      <c r="I1054" s="13">
        <v>0</v>
      </c>
      <c r="J1054" s="13">
        <v>0</v>
      </c>
      <c r="K1054" s="10">
        <v>7</v>
      </c>
      <c r="L1054" s="2">
        <v>1232.9282000000001</v>
      </c>
      <c r="M1054" s="1">
        <v>46105.497916666667</v>
      </c>
      <c r="N1054" t="s">
        <v>165</v>
      </c>
    </row>
    <row r="1055" spans="1:14" x14ac:dyDescent="0.25">
      <c r="A1055" s="9" t="s">
        <v>5211</v>
      </c>
      <c r="B1055" s="10">
        <v>636</v>
      </c>
      <c r="C1055" s="10" t="s">
        <v>143</v>
      </c>
      <c r="D1055" t="s">
        <v>1096</v>
      </c>
      <c r="E1055" t="s">
        <v>1097</v>
      </c>
      <c r="F1055" s="10" t="s">
        <v>19</v>
      </c>
      <c r="G1055" s="2">
        <v>152.5735</v>
      </c>
      <c r="H1055" s="13">
        <v>7</v>
      </c>
      <c r="I1055" s="13">
        <v>0</v>
      </c>
      <c r="J1055" s="13">
        <v>0</v>
      </c>
      <c r="K1055" s="10">
        <v>7</v>
      </c>
      <c r="L1055" s="2">
        <v>1068.0145</v>
      </c>
      <c r="M1055" s="1">
        <v>46105.497916666667</v>
      </c>
      <c r="N1055" t="s">
        <v>165</v>
      </c>
    </row>
    <row r="1056" spans="1:14" x14ac:dyDescent="0.25">
      <c r="A1056" s="9" t="s">
        <v>5211</v>
      </c>
      <c r="B1056" s="10">
        <v>714</v>
      </c>
      <c r="C1056" s="10" t="s">
        <v>70</v>
      </c>
      <c r="D1056" t="s">
        <v>2044</v>
      </c>
      <c r="E1056" t="s">
        <v>2045</v>
      </c>
      <c r="F1056" s="10" t="s">
        <v>81</v>
      </c>
      <c r="G1056" s="2">
        <v>2.5983000000000001</v>
      </c>
      <c r="H1056" s="13">
        <v>7</v>
      </c>
      <c r="I1056" s="13">
        <v>0</v>
      </c>
      <c r="J1056" s="13">
        <v>0</v>
      </c>
      <c r="K1056" s="10">
        <v>7</v>
      </c>
      <c r="L1056" s="2">
        <v>18.188099999999999</v>
      </c>
      <c r="M1056" s="1">
        <v>46106.665277777778</v>
      </c>
      <c r="N1056" t="s">
        <v>1951</v>
      </c>
    </row>
    <row r="1057" spans="1:14" x14ac:dyDescent="0.25">
      <c r="A1057" s="9" t="s">
        <v>5211</v>
      </c>
      <c r="B1057" s="10">
        <v>718</v>
      </c>
      <c r="C1057" s="10" t="s">
        <v>323</v>
      </c>
      <c r="D1057" t="s">
        <v>3830</v>
      </c>
      <c r="E1057" t="s">
        <v>3831</v>
      </c>
      <c r="F1057" s="10" t="s">
        <v>35</v>
      </c>
      <c r="G1057" s="2">
        <v>61.251399999999997</v>
      </c>
      <c r="H1057" s="13">
        <v>7</v>
      </c>
      <c r="I1057" s="13">
        <v>0</v>
      </c>
      <c r="J1057" s="13">
        <v>0</v>
      </c>
      <c r="K1057" s="10">
        <v>7</v>
      </c>
      <c r="L1057" s="2">
        <v>428.75979999999998</v>
      </c>
      <c r="M1057" s="1">
        <v>46112.350694444445</v>
      </c>
      <c r="N1057" t="s">
        <v>36</v>
      </c>
    </row>
    <row r="1058" spans="1:14" x14ac:dyDescent="0.25">
      <c r="A1058" s="9" t="s">
        <v>5211</v>
      </c>
      <c r="B1058" s="10">
        <v>636</v>
      </c>
      <c r="C1058" s="10" t="s">
        <v>323</v>
      </c>
      <c r="D1058" t="s">
        <v>1411</v>
      </c>
      <c r="E1058" t="s">
        <v>1412</v>
      </c>
      <c r="F1058" s="10" t="s">
        <v>29</v>
      </c>
      <c r="G1058" s="2">
        <v>318.5566</v>
      </c>
      <c r="H1058" s="13">
        <v>7</v>
      </c>
      <c r="I1058" s="13">
        <v>0</v>
      </c>
      <c r="J1058" s="13">
        <v>0</v>
      </c>
      <c r="K1058" s="10">
        <v>7</v>
      </c>
      <c r="L1058" s="2">
        <v>2229.8962000000001</v>
      </c>
      <c r="M1058" s="1">
        <v>46114.394444444442</v>
      </c>
      <c r="N1058" t="s">
        <v>486</v>
      </c>
    </row>
    <row r="1059" spans="1:14" x14ac:dyDescent="0.25">
      <c r="A1059" s="9" t="s">
        <v>5211</v>
      </c>
      <c r="B1059" s="10">
        <v>636</v>
      </c>
      <c r="C1059" s="10" t="s">
        <v>143</v>
      </c>
      <c r="D1059" t="s">
        <v>202</v>
      </c>
      <c r="E1059" t="s">
        <v>203</v>
      </c>
      <c r="F1059" s="10" t="s">
        <v>158</v>
      </c>
      <c r="G1059" s="2">
        <v>98.506900000000002</v>
      </c>
      <c r="H1059" s="13">
        <v>7</v>
      </c>
      <c r="I1059" s="13">
        <v>0</v>
      </c>
      <c r="J1059" s="13">
        <v>0</v>
      </c>
      <c r="K1059" s="10">
        <v>7</v>
      </c>
      <c r="L1059" s="2">
        <v>689.54830000000004</v>
      </c>
      <c r="M1059" s="1">
        <v>46114.436111111114</v>
      </c>
      <c r="N1059" t="s">
        <v>170</v>
      </c>
    </row>
    <row r="1060" spans="1:14" x14ac:dyDescent="0.25">
      <c r="A1060" s="9" t="s">
        <v>5211</v>
      </c>
      <c r="B1060" s="10">
        <v>718</v>
      </c>
      <c r="C1060" s="10" t="s">
        <v>323</v>
      </c>
      <c r="D1060" t="s">
        <v>4627</v>
      </c>
      <c r="E1060" t="s">
        <v>4628</v>
      </c>
      <c r="F1060" s="10" t="s">
        <v>23</v>
      </c>
      <c r="G1060" s="2">
        <v>93.75</v>
      </c>
      <c r="H1060" s="13">
        <v>7</v>
      </c>
      <c r="I1060" s="13">
        <v>0</v>
      </c>
      <c r="J1060" s="13">
        <v>0</v>
      </c>
      <c r="K1060" s="10">
        <v>7</v>
      </c>
      <c r="L1060" s="2">
        <v>656.25</v>
      </c>
      <c r="M1060" s="1">
        <v>46118.48333333333</v>
      </c>
      <c r="N1060" t="s">
        <v>354</v>
      </c>
    </row>
    <row r="1061" spans="1:14" x14ac:dyDescent="0.25">
      <c r="A1061" s="9" t="s">
        <v>5211</v>
      </c>
      <c r="B1061" s="10">
        <v>714</v>
      </c>
      <c r="C1061" s="10" t="s">
        <v>70</v>
      </c>
      <c r="D1061" t="s">
        <v>761</v>
      </c>
      <c r="E1061" t="s">
        <v>762</v>
      </c>
      <c r="F1061" s="10" t="s">
        <v>39</v>
      </c>
      <c r="G1061" s="2">
        <v>6.5136000000000003</v>
      </c>
      <c r="H1061" s="13">
        <v>7</v>
      </c>
      <c r="I1061" s="13">
        <v>0</v>
      </c>
      <c r="J1061" s="13">
        <v>0</v>
      </c>
      <c r="K1061" s="10">
        <v>7</v>
      </c>
      <c r="L1061" s="2">
        <v>45.595199999999998</v>
      </c>
      <c r="M1061" s="1">
        <v>46118.575694444444</v>
      </c>
      <c r="N1061" t="s">
        <v>573</v>
      </c>
    </row>
    <row r="1062" spans="1:14" x14ac:dyDescent="0.25">
      <c r="A1062" s="9" t="s">
        <v>5211</v>
      </c>
      <c r="B1062" s="10">
        <v>714</v>
      </c>
      <c r="C1062" s="10" t="s">
        <v>12</v>
      </c>
      <c r="D1062" t="s">
        <v>1898</v>
      </c>
      <c r="E1062" t="s">
        <v>1899</v>
      </c>
      <c r="F1062" s="10" t="s">
        <v>29</v>
      </c>
      <c r="G1062" s="2">
        <v>22.529599999999999</v>
      </c>
      <c r="H1062" s="13">
        <v>7</v>
      </c>
      <c r="I1062" s="13">
        <v>0</v>
      </c>
      <c r="J1062" s="13">
        <v>0</v>
      </c>
      <c r="K1062" s="10">
        <v>7</v>
      </c>
      <c r="L1062" s="2">
        <v>157.7072</v>
      </c>
      <c r="M1062" s="1">
        <v>46118.575694444444</v>
      </c>
      <c r="N1062" t="s">
        <v>573</v>
      </c>
    </row>
    <row r="1063" spans="1:14" x14ac:dyDescent="0.25">
      <c r="A1063" s="9" t="s">
        <v>5211</v>
      </c>
      <c r="B1063" s="10">
        <v>714</v>
      </c>
      <c r="C1063" s="10" t="s">
        <v>70</v>
      </c>
      <c r="D1063" t="s">
        <v>2186</v>
      </c>
      <c r="E1063" t="s">
        <v>2187</v>
      </c>
      <c r="F1063" s="10" t="s">
        <v>39</v>
      </c>
      <c r="G1063" s="2">
        <v>7.1295999999999999</v>
      </c>
      <c r="H1063" s="13">
        <v>7</v>
      </c>
      <c r="I1063" s="13">
        <v>0</v>
      </c>
      <c r="J1063" s="13">
        <v>0</v>
      </c>
      <c r="K1063" s="10">
        <v>7</v>
      </c>
      <c r="L1063" s="2">
        <v>49.907200000000003</v>
      </c>
      <c r="M1063" s="1">
        <v>46118.575694444444</v>
      </c>
      <c r="N1063" t="s">
        <v>573</v>
      </c>
    </row>
    <row r="1064" spans="1:14" x14ac:dyDescent="0.25">
      <c r="A1064" s="9" t="s">
        <v>5211</v>
      </c>
      <c r="B1064" s="10">
        <v>718</v>
      </c>
      <c r="C1064" s="10" t="s">
        <v>143</v>
      </c>
      <c r="D1064" t="s">
        <v>4829</v>
      </c>
      <c r="E1064" t="s">
        <v>4830</v>
      </c>
      <c r="F1064" s="10" t="s">
        <v>29</v>
      </c>
      <c r="G1064" s="2">
        <v>36.4681</v>
      </c>
      <c r="H1064" s="13">
        <v>7</v>
      </c>
      <c r="I1064" s="13">
        <v>5</v>
      </c>
      <c r="J1064" s="13">
        <v>-5</v>
      </c>
      <c r="K1064" s="10">
        <v>7</v>
      </c>
      <c r="L1064" s="2">
        <v>255.27670000000001</v>
      </c>
      <c r="M1064" s="1">
        <v>46118.605555555558</v>
      </c>
      <c r="N1064" t="s">
        <v>2379</v>
      </c>
    </row>
    <row r="1065" spans="1:14" x14ac:dyDescent="0.25">
      <c r="A1065" s="9" t="s">
        <v>5211</v>
      </c>
      <c r="B1065" s="10">
        <v>634</v>
      </c>
      <c r="C1065" s="10" t="s">
        <v>143</v>
      </c>
      <c r="D1065" t="s">
        <v>202</v>
      </c>
      <c r="E1065" t="s">
        <v>203</v>
      </c>
      <c r="F1065" s="10" t="s">
        <v>19</v>
      </c>
      <c r="G1065" s="2">
        <v>105.3261</v>
      </c>
      <c r="H1065" s="13">
        <v>7</v>
      </c>
      <c r="I1065" s="13">
        <v>0</v>
      </c>
      <c r="J1065" s="13">
        <v>0</v>
      </c>
      <c r="K1065" s="10">
        <v>7</v>
      </c>
      <c r="L1065" s="2">
        <v>737.28269999999998</v>
      </c>
      <c r="M1065" s="1">
        <v>46119.382638888892</v>
      </c>
      <c r="N1065" t="s">
        <v>170</v>
      </c>
    </row>
    <row r="1066" spans="1:14" x14ac:dyDescent="0.25">
      <c r="A1066" s="9" t="s">
        <v>5211</v>
      </c>
      <c r="B1066" s="10">
        <v>718</v>
      </c>
      <c r="C1066" s="10" t="s">
        <v>12</v>
      </c>
      <c r="D1066" t="s">
        <v>1898</v>
      </c>
      <c r="E1066" t="s">
        <v>1899</v>
      </c>
      <c r="F1066" s="10" t="s">
        <v>29</v>
      </c>
      <c r="G1066" s="2">
        <v>23.354199999999999</v>
      </c>
      <c r="H1066" s="13">
        <v>7</v>
      </c>
      <c r="I1066" s="13">
        <v>0</v>
      </c>
      <c r="J1066" s="13">
        <v>0</v>
      </c>
      <c r="K1066" s="10">
        <v>7</v>
      </c>
      <c r="L1066" s="2">
        <v>163.4794</v>
      </c>
      <c r="M1066" s="1">
        <v>46119.636111111111</v>
      </c>
      <c r="N1066" t="s">
        <v>573</v>
      </c>
    </row>
    <row r="1067" spans="1:14" x14ac:dyDescent="0.25">
      <c r="A1067" s="9" t="s">
        <v>5211</v>
      </c>
      <c r="B1067" s="10">
        <v>634</v>
      </c>
      <c r="C1067" s="10" t="s">
        <v>143</v>
      </c>
      <c r="D1067" t="s">
        <v>232</v>
      </c>
      <c r="E1067" t="s">
        <v>233</v>
      </c>
      <c r="F1067" s="10" t="s">
        <v>19</v>
      </c>
      <c r="G1067" s="2">
        <v>113.89700000000001</v>
      </c>
      <c r="H1067" s="13">
        <v>7</v>
      </c>
      <c r="I1067" s="13">
        <v>0</v>
      </c>
      <c r="J1067" s="13">
        <v>0</v>
      </c>
      <c r="K1067" s="10">
        <v>7</v>
      </c>
      <c r="L1067" s="2">
        <v>797.279</v>
      </c>
      <c r="M1067" s="1">
        <v>46119.724999999999</v>
      </c>
      <c r="N1067" t="s">
        <v>165</v>
      </c>
    </row>
    <row r="1068" spans="1:14" x14ac:dyDescent="0.25">
      <c r="A1068" s="9" t="s">
        <v>5211</v>
      </c>
      <c r="B1068" s="10">
        <v>636</v>
      </c>
      <c r="C1068" s="10" t="s">
        <v>70</v>
      </c>
      <c r="D1068" t="s">
        <v>729</v>
      </c>
      <c r="E1068" t="s">
        <v>730</v>
      </c>
      <c r="F1068" s="10" t="s">
        <v>39</v>
      </c>
      <c r="G1068" s="2">
        <v>6.9</v>
      </c>
      <c r="H1068" s="13">
        <v>7</v>
      </c>
      <c r="I1068" s="13">
        <v>0</v>
      </c>
      <c r="J1068" s="13">
        <v>0</v>
      </c>
      <c r="K1068" s="10">
        <v>7</v>
      </c>
      <c r="L1068" s="2">
        <v>48.3</v>
      </c>
      <c r="M1068" s="1">
        <v>46122.352083333331</v>
      </c>
      <c r="N1068" t="s">
        <v>573</v>
      </c>
    </row>
    <row r="1069" spans="1:14" x14ac:dyDescent="0.25">
      <c r="A1069" s="9" t="s">
        <v>5211</v>
      </c>
      <c r="B1069" s="10">
        <v>636</v>
      </c>
      <c r="C1069" s="10" t="s">
        <v>323</v>
      </c>
      <c r="D1069" t="s">
        <v>1496</v>
      </c>
      <c r="E1069" t="s">
        <v>1497</v>
      </c>
      <c r="F1069" s="10" t="s">
        <v>29</v>
      </c>
      <c r="G1069" s="2">
        <v>177.8527</v>
      </c>
      <c r="H1069" s="13">
        <v>7</v>
      </c>
      <c r="I1069" s="13">
        <v>0</v>
      </c>
      <c r="J1069" s="13">
        <v>0</v>
      </c>
      <c r="K1069" s="10">
        <v>7</v>
      </c>
      <c r="L1069" s="2">
        <v>1244.9689000000001</v>
      </c>
      <c r="M1069" s="1">
        <v>46125.407638888886</v>
      </c>
      <c r="N1069" t="s">
        <v>295</v>
      </c>
    </row>
    <row r="1070" spans="1:14" x14ac:dyDescent="0.25">
      <c r="A1070" s="9" t="s">
        <v>5211</v>
      </c>
      <c r="B1070" s="10">
        <v>634</v>
      </c>
      <c r="C1070" s="10" t="s">
        <v>143</v>
      </c>
      <c r="D1070" t="s">
        <v>3724</v>
      </c>
      <c r="E1070" t="s">
        <v>3725</v>
      </c>
      <c r="F1070" s="10" t="s">
        <v>23</v>
      </c>
      <c r="G1070" s="2">
        <v>13.8529</v>
      </c>
      <c r="H1070" s="13">
        <v>7</v>
      </c>
      <c r="I1070" s="13">
        <v>11</v>
      </c>
      <c r="J1070" s="13">
        <v>-11</v>
      </c>
      <c r="K1070" s="10">
        <v>7</v>
      </c>
      <c r="L1070" s="2">
        <v>96.970299999999995</v>
      </c>
      <c r="M1070" s="1">
        <v>46126.546527777777</v>
      </c>
      <c r="N1070" t="s">
        <v>162</v>
      </c>
    </row>
    <row r="1071" spans="1:14" x14ac:dyDescent="0.25">
      <c r="A1071" s="9" t="s">
        <v>5211</v>
      </c>
      <c r="B1071" s="10">
        <v>634</v>
      </c>
      <c r="C1071" s="10" t="s">
        <v>143</v>
      </c>
      <c r="D1071" t="s">
        <v>243</v>
      </c>
      <c r="E1071" t="s">
        <v>244</v>
      </c>
      <c r="F1071" s="10" t="s">
        <v>23</v>
      </c>
      <c r="G1071" s="2">
        <v>28.978899999999999</v>
      </c>
      <c r="H1071" s="13">
        <v>7</v>
      </c>
      <c r="I1071" s="13">
        <v>3</v>
      </c>
      <c r="J1071" s="13">
        <v>-3</v>
      </c>
      <c r="K1071" s="10">
        <v>7</v>
      </c>
      <c r="L1071" s="2">
        <v>202.85230000000001</v>
      </c>
      <c r="M1071" s="1">
        <v>46126.546527777777</v>
      </c>
      <c r="N1071" t="s">
        <v>162</v>
      </c>
    </row>
    <row r="1072" spans="1:14" x14ac:dyDescent="0.25">
      <c r="A1072" s="9" t="s">
        <v>5211</v>
      </c>
      <c r="B1072" s="10">
        <v>714</v>
      </c>
      <c r="C1072" s="10" t="s">
        <v>12</v>
      </c>
      <c r="D1072" t="s">
        <v>1859</v>
      </c>
      <c r="E1072" t="s">
        <v>1860</v>
      </c>
      <c r="F1072" s="10" t="s">
        <v>15</v>
      </c>
      <c r="G1072" s="2">
        <v>13.2683</v>
      </c>
      <c r="H1072" s="13">
        <v>7</v>
      </c>
      <c r="I1072" s="13">
        <v>0</v>
      </c>
      <c r="J1072" s="13">
        <v>0</v>
      </c>
      <c r="K1072" s="10">
        <v>7</v>
      </c>
      <c r="L1072" s="2">
        <v>92.878100000000003</v>
      </c>
      <c r="M1072" s="1">
        <v>46126.649305555555</v>
      </c>
      <c r="N1072" t="s">
        <v>67</v>
      </c>
    </row>
    <row r="1073" spans="1:14" x14ac:dyDescent="0.25">
      <c r="A1073" s="9" t="s">
        <v>5211</v>
      </c>
      <c r="B1073" s="10">
        <v>714</v>
      </c>
      <c r="C1073" s="10" t="s">
        <v>323</v>
      </c>
      <c r="D1073" t="s">
        <v>3247</v>
      </c>
      <c r="E1073" t="s">
        <v>3248</v>
      </c>
      <c r="F1073" s="10" t="s">
        <v>29</v>
      </c>
      <c r="G1073" s="2">
        <v>145.732</v>
      </c>
      <c r="H1073" s="13">
        <v>7</v>
      </c>
      <c r="I1073" s="13">
        <v>0</v>
      </c>
      <c r="J1073" s="13">
        <v>0</v>
      </c>
      <c r="K1073" s="10">
        <v>7</v>
      </c>
      <c r="L1073" s="2">
        <v>1020.124</v>
      </c>
      <c r="M1073" s="1">
        <v>46126.695833333331</v>
      </c>
      <c r="N1073" t="s">
        <v>178</v>
      </c>
    </row>
    <row r="1074" spans="1:14" x14ac:dyDescent="0.25">
      <c r="A1074" s="9" t="s">
        <v>5211</v>
      </c>
      <c r="B1074" s="10">
        <v>634</v>
      </c>
      <c r="C1074" s="10" t="s">
        <v>126</v>
      </c>
      <c r="D1074" t="s">
        <v>129</v>
      </c>
      <c r="E1074" t="s">
        <v>130</v>
      </c>
      <c r="F1074" s="10" t="s">
        <v>112</v>
      </c>
      <c r="G1074" s="2">
        <v>7.6257000000000001</v>
      </c>
      <c r="H1074" s="13">
        <v>7</v>
      </c>
      <c r="I1074" s="13">
        <v>2</v>
      </c>
      <c r="J1074" s="13">
        <v>-2</v>
      </c>
      <c r="K1074" s="10">
        <v>7</v>
      </c>
      <c r="L1074" s="2">
        <v>53.379899999999999</v>
      </c>
      <c r="M1074" s="1">
        <v>46128.369444444441</v>
      </c>
      <c r="N1074" t="s">
        <v>16</v>
      </c>
    </row>
    <row r="1075" spans="1:14" x14ac:dyDescent="0.25">
      <c r="A1075" s="9" t="s">
        <v>5211</v>
      </c>
      <c r="B1075" s="10">
        <v>634</v>
      </c>
      <c r="C1075" s="10" t="s">
        <v>143</v>
      </c>
      <c r="D1075" t="s">
        <v>3756</v>
      </c>
      <c r="E1075" t="s">
        <v>3757</v>
      </c>
      <c r="F1075" s="10" t="s">
        <v>39</v>
      </c>
      <c r="G1075" s="2">
        <v>14.8581</v>
      </c>
      <c r="H1075" s="13">
        <v>7</v>
      </c>
      <c r="I1075" s="13">
        <v>9</v>
      </c>
      <c r="J1075" s="13">
        <v>-9</v>
      </c>
      <c r="K1075" s="10">
        <v>7</v>
      </c>
      <c r="L1075" s="2">
        <v>104.0067</v>
      </c>
      <c r="M1075" s="1">
        <v>46128.40347222222</v>
      </c>
      <c r="N1075" t="s">
        <v>40</v>
      </c>
    </row>
    <row r="1076" spans="1:14" x14ac:dyDescent="0.25">
      <c r="A1076" s="9" t="s">
        <v>5211</v>
      </c>
      <c r="B1076" s="10">
        <v>718</v>
      </c>
      <c r="C1076" s="10" t="s">
        <v>323</v>
      </c>
      <c r="D1076" t="s">
        <v>3933</v>
      </c>
      <c r="E1076" t="s">
        <v>3934</v>
      </c>
      <c r="F1076" s="10" t="s">
        <v>29</v>
      </c>
      <c r="G1076" s="2">
        <v>144.03149999999999</v>
      </c>
      <c r="H1076" s="13">
        <v>7</v>
      </c>
      <c r="I1076" s="13">
        <v>0</v>
      </c>
      <c r="J1076" s="13">
        <v>0</v>
      </c>
      <c r="K1076" s="10">
        <v>7</v>
      </c>
      <c r="L1076" s="2">
        <v>1008.2205</v>
      </c>
      <c r="M1076" s="1">
        <v>46135.509027777778</v>
      </c>
      <c r="N1076" t="s">
        <v>2423</v>
      </c>
    </row>
    <row r="1077" spans="1:14" x14ac:dyDescent="0.25">
      <c r="A1077" s="9" t="s">
        <v>5211</v>
      </c>
      <c r="B1077" s="10">
        <v>718</v>
      </c>
      <c r="C1077" s="10" t="s">
        <v>323</v>
      </c>
      <c r="D1077" t="s">
        <v>2832</v>
      </c>
      <c r="E1077" t="s">
        <v>2833</v>
      </c>
      <c r="F1077" s="10" t="s">
        <v>29</v>
      </c>
      <c r="G1077" s="2">
        <v>146.69999999999999</v>
      </c>
      <c r="H1077" s="13">
        <v>7</v>
      </c>
      <c r="I1077" s="13">
        <v>1</v>
      </c>
      <c r="J1077" s="13">
        <v>-1</v>
      </c>
      <c r="K1077" s="10">
        <v>7</v>
      </c>
      <c r="L1077" s="2">
        <v>1026.9000000000001</v>
      </c>
      <c r="M1077" s="1">
        <v>46136.458333333336</v>
      </c>
      <c r="N1077" t="s">
        <v>1234</v>
      </c>
    </row>
    <row r="1078" spans="1:14" x14ac:dyDescent="0.25">
      <c r="A1078" s="9" t="s">
        <v>5211</v>
      </c>
      <c r="B1078" s="10">
        <v>636</v>
      </c>
      <c r="C1078" s="10" t="s">
        <v>323</v>
      </c>
      <c r="D1078" t="s">
        <v>4314</v>
      </c>
      <c r="E1078" t="s">
        <v>4315</v>
      </c>
      <c r="F1078" s="10" t="s">
        <v>23</v>
      </c>
      <c r="G1078" s="2">
        <v>146.02789999999999</v>
      </c>
      <c r="H1078" s="13">
        <v>7</v>
      </c>
      <c r="I1078" s="13">
        <v>8</v>
      </c>
      <c r="J1078" s="13">
        <v>-8</v>
      </c>
      <c r="K1078" s="10">
        <v>7</v>
      </c>
      <c r="L1078" s="2">
        <v>1022.1953</v>
      </c>
      <c r="M1078" s="1">
        <v>46140.295138888891</v>
      </c>
      <c r="N1078" t="s">
        <v>137</v>
      </c>
    </row>
    <row r="1079" spans="1:14" x14ac:dyDescent="0.25">
      <c r="A1079" s="9" t="s">
        <v>5211</v>
      </c>
      <c r="B1079" s="10">
        <v>636</v>
      </c>
      <c r="C1079" s="10" t="s">
        <v>323</v>
      </c>
      <c r="D1079" t="s">
        <v>1344</v>
      </c>
      <c r="E1079" t="s">
        <v>1345</v>
      </c>
      <c r="F1079" s="10" t="s">
        <v>23</v>
      </c>
      <c r="G1079" s="2">
        <v>123.2379</v>
      </c>
      <c r="H1079" s="13">
        <v>7</v>
      </c>
      <c r="I1079" s="13">
        <v>0</v>
      </c>
      <c r="J1079" s="13">
        <v>0</v>
      </c>
      <c r="K1079" s="10">
        <v>7</v>
      </c>
      <c r="L1079" s="2">
        <v>862.6653</v>
      </c>
      <c r="M1079" s="1">
        <v>46140.295138888891</v>
      </c>
      <c r="N1079" t="s">
        <v>137</v>
      </c>
    </row>
    <row r="1080" spans="1:14" x14ac:dyDescent="0.25">
      <c r="A1080" s="9" t="s">
        <v>5211</v>
      </c>
      <c r="B1080" s="10">
        <v>718</v>
      </c>
      <c r="C1080" s="10" t="s">
        <v>143</v>
      </c>
      <c r="D1080" t="s">
        <v>4885</v>
      </c>
      <c r="E1080" t="s">
        <v>4886</v>
      </c>
      <c r="F1080" s="10" t="s">
        <v>23</v>
      </c>
      <c r="G1080" s="2">
        <v>32.558900000000001</v>
      </c>
      <c r="H1080" s="13">
        <v>7</v>
      </c>
      <c r="I1080" s="13">
        <v>0</v>
      </c>
      <c r="J1080" s="13">
        <v>0</v>
      </c>
      <c r="K1080" s="10">
        <v>7</v>
      </c>
      <c r="L1080" s="2">
        <v>227.91229999999999</v>
      </c>
      <c r="M1080" s="1">
        <v>46140.671527777777</v>
      </c>
      <c r="N1080" t="s">
        <v>36</v>
      </c>
    </row>
    <row r="1081" spans="1:14" x14ac:dyDescent="0.25">
      <c r="A1081" s="9" t="s">
        <v>5211</v>
      </c>
      <c r="B1081" s="10">
        <v>636</v>
      </c>
      <c r="C1081" s="10" t="s">
        <v>70</v>
      </c>
      <c r="D1081" t="s">
        <v>743</v>
      </c>
      <c r="E1081" t="s">
        <v>744</v>
      </c>
      <c r="F1081" s="10" t="s">
        <v>112</v>
      </c>
      <c r="G1081" s="2">
        <v>8.9635999999999996</v>
      </c>
      <c r="H1081" s="13">
        <v>7</v>
      </c>
      <c r="I1081" s="13">
        <v>0</v>
      </c>
      <c r="J1081" s="13">
        <v>0</v>
      </c>
      <c r="K1081" s="10">
        <v>7</v>
      </c>
      <c r="L1081" s="2">
        <v>62.745199999999997</v>
      </c>
      <c r="M1081" s="1">
        <v>46141.408333333333</v>
      </c>
      <c r="N1081" t="s">
        <v>522</v>
      </c>
    </row>
    <row r="1082" spans="1:14" x14ac:dyDescent="0.25">
      <c r="A1082" s="9" t="s">
        <v>5211</v>
      </c>
      <c r="B1082" s="10">
        <v>636</v>
      </c>
      <c r="C1082" s="10" t="s">
        <v>143</v>
      </c>
      <c r="D1082" t="s">
        <v>1169</v>
      </c>
      <c r="E1082" t="s">
        <v>1170</v>
      </c>
      <c r="F1082" s="10" t="s">
        <v>43</v>
      </c>
      <c r="G1082" s="2">
        <v>147.39920000000001</v>
      </c>
      <c r="H1082" s="13">
        <v>7</v>
      </c>
      <c r="I1082" s="13">
        <v>-10</v>
      </c>
      <c r="J1082" s="13">
        <v>10</v>
      </c>
      <c r="K1082" s="10">
        <v>7</v>
      </c>
      <c r="L1082" s="2">
        <v>1031.7944</v>
      </c>
      <c r="M1082" s="1">
        <v>46142.609027777777</v>
      </c>
      <c r="N1082" t="s">
        <v>137</v>
      </c>
    </row>
    <row r="1083" spans="1:14" x14ac:dyDescent="0.25">
      <c r="A1083" s="9" t="s">
        <v>5211</v>
      </c>
      <c r="B1083" s="10">
        <v>636</v>
      </c>
      <c r="C1083" s="10" t="s">
        <v>143</v>
      </c>
      <c r="D1083" t="s">
        <v>908</v>
      </c>
      <c r="E1083" t="s">
        <v>909</v>
      </c>
      <c r="F1083" s="10" t="s">
        <v>43</v>
      </c>
      <c r="G1083" s="2">
        <v>159.10740000000001</v>
      </c>
      <c r="H1083" s="13">
        <v>7</v>
      </c>
      <c r="I1083" s="13">
        <v>0</v>
      </c>
      <c r="J1083" s="13">
        <v>0</v>
      </c>
      <c r="K1083" s="10">
        <v>7</v>
      </c>
      <c r="L1083" s="2">
        <v>1113.7518</v>
      </c>
      <c r="M1083" s="1">
        <v>46142.609027777777</v>
      </c>
      <c r="N1083" t="s">
        <v>137</v>
      </c>
    </row>
    <row r="1084" spans="1:14" x14ac:dyDescent="0.25">
      <c r="A1084" s="9" t="s">
        <v>5211</v>
      </c>
      <c r="B1084" s="10">
        <v>714</v>
      </c>
      <c r="C1084" s="10" t="s">
        <v>143</v>
      </c>
      <c r="D1084" t="s">
        <v>2346</v>
      </c>
      <c r="E1084" t="s">
        <v>2347</v>
      </c>
      <c r="F1084" s="10" t="s">
        <v>29</v>
      </c>
      <c r="G1084" s="2">
        <v>34.055700000000002</v>
      </c>
      <c r="H1084" s="13">
        <v>7</v>
      </c>
      <c r="I1084" s="13">
        <v>0</v>
      </c>
      <c r="J1084" s="13">
        <v>0</v>
      </c>
      <c r="K1084" s="10">
        <v>7</v>
      </c>
      <c r="L1084" s="2">
        <v>238.38990000000001</v>
      </c>
      <c r="M1084" s="1">
        <v>46143.318749999999</v>
      </c>
      <c r="N1084" t="s">
        <v>36</v>
      </c>
    </row>
    <row r="1085" spans="1:14" x14ac:dyDescent="0.25">
      <c r="A1085" s="9" t="s">
        <v>5211</v>
      </c>
      <c r="B1085" s="10">
        <v>714</v>
      </c>
      <c r="C1085" s="10" t="s">
        <v>143</v>
      </c>
      <c r="D1085" t="s">
        <v>2209</v>
      </c>
      <c r="E1085" t="s">
        <v>2210</v>
      </c>
      <c r="F1085" s="10" t="s">
        <v>19</v>
      </c>
      <c r="G1085" s="2">
        <v>133.49700000000001</v>
      </c>
      <c r="H1085" s="13">
        <v>7</v>
      </c>
      <c r="I1085" s="13">
        <v>0</v>
      </c>
      <c r="J1085" s="13">
        <v>0</v>
      </c>
      <c r="K1085" s="10">
        <v>7</v>
      </c>
      <c r="L1085" s="2">
        <v>934.47900000000004</v>
      </c>
      <c r="M1085" s="1">
        <v>46143.319444444445</v>
      </c>
      <c r="N1085" t="s">
        <v>67</v>
      </c>
    </row>
    <row r="1086" spans="1:14" x14ac:dyDescent="0.25">
      <c r="A1086" s="9" t="s">
        <v>5211</v>
      </c>
      <c r="B1086" s="10">
        <v>714</v>
      </c>
      <c r="C1086" s="10" t="s">
        <v>12</v>
      </c>
      <c r="D1086" t="s">
        <v>1882</v>
      </c>
      <c r="E1086" t="s">
        <v>1883</v>
      </c>
      <c r="F1086" s="10" t="s">
        <v>23</v>
      </c>
      <c r="G1086" s="2">
        <v>13.5685</v>
      </c>
      <c r="H1086" s="13">
        <v>7</v>
      </c>
      <c r="I1086" s="13">
        <v>0</v>
      </c>
      <c r="J1086" s="13">
        <v>0</v>
      </c>
      <c r="K1086" s="10">
        <v>7</v>
      </c>
      <c r="L1086" s="2">
        <v>94.979500000000002</v>
      </c>
      <c r="M1086" s="1">
        <v>46147.684027777781</v>
      </c>
      <c r="N1086" t="s">
        <v>1814</v>
      </c>
    </row>
    <row r="1087" spans="1:14" x14ac:dyDescent="0.25">
      <c r="A1087" s="9" t="s">
        <v>5211</v>
      </c>
      <c r="B1087" s="10">
        <v>634</v>
      </c>
      <c r="C1087" s="10" t="s">
        <v>323</v>
      </c>
      <c r="D1087" t="s">
        <v>4339</v>
      </c>
      <c r="E1087" t="s">
        <v>4340</v>
      </c>
      <c r="F1087" s="10" t="s">
        <v>23</v>
      </c>
      <c r="G1087" s="2">
        <v>186.97730000000001</v>
      </c>
      <c r="H1087" s="13">
        <v>7</v>
      </c>
      <c r="I1087" s="13">
        <v>5</v>
      </c>
      <c r="J1087" s="13">
        <v>-5</v>
      </c>
      <c r="K1087" s="10">
        <v>7</v>
      </c>
      <c r="L1087" s="2">
        <v>1308.8411000000001</v>
      </c>
      <c r="M1087" s="1">
        <v>46148.435416666667</v>
      </c>
      <c r="N1087" t="s">
        <v>411</v>
      </c>
    </row>
    <row r="1088" spans="1:14" x14ac:dyDescent="0.25">
      <c r="A1088" s="9" t="s">
        <v>5211</v>
      </c>
      <c r="B1088" s="10">
        <v>714</v>
      </c>
      <c r="C1088" s="10" t="s">
        <v>143</v>
      </c>
      <c r="D1088" t="s">
        <v>4110</v>
      </c>
      <c r="E1088" t="s">
        <v>4111</v>
      </c>
      <c r="F1088" s="10" t="s">
        <v>23</v>
      </c>
      <c r="G1088" s="2">
        <v>193.34299999999999</v>
      </c>
      <c r="H1088" s="13">
        <v>7</v>
      </c>
      <c r="I1088" s="13">
        <v>23</v>
      </c>
      <c r="J1088" s="13">
        <v>-23</v>
      </c>
      <c r="K1088" s="10">
        <v>7</v>
      </c>
      <c r="L1088" s="2">
        <v>1353.4010000000001</v>
      </c>
      <c r="M1088" s="1">
        <v>46148.463888888888</v>
      </c>
      <c r="N1088" t="s">
        <v>137</v>
      </c>
    </row>
    <row r="1089" spans="1:14" x14ac:dyDescent="0.25">
      <c r="A1089" s="9" t="s">
        <v>5211</v>
      </c>
      <c r="B1089" s="10">
        <v>714</v>
      </c>
      <c r="C1089" s="10" t="s">
        <v>70</v>
      </c>
      <c r="D1089" t="s">
        <v>2052</v>
      </c>
      <c r="E1089" t="s">
        <v>2053</v>
      </c>
      <c r="F1089" s="10" t="s">
        <v>39</v>
      </c>
      <c r="G1089" s="2">
        <v>3.8325</v>
      </c>
      <c r="H1089" s="13">
        <v>7</v>
      </c>
      <c r="I1089" s="13">
        <v>0</v>
      </c>
      <c r="J1089" s="13">
        <v>0</v>
      </c>
      <c r="K1089" s="10">
        <v>7</v>
      </c>
      <c r="L1089" s="2">
        <v>26.827500000000001</v>
      </c>
      <c r="M1089" s="1">
        <v>46148.502083333333</v>
      </c>
      <c r="N1089" t="s">
        <v>506</v>
      </c>
    </row>
    <row r="1090" spans="1:14" x14ac:dyDescent="0.25">
      <c r="A1090" s="9" t="s">
        <v>5211</v>
      </c>
      <c r="B1090" s="10">
        <v>636</v>
      </c>
      <c r="C1090" s="10" t="s">
        <v>70</v>
      </c>
      <c r="D1090" t="s">
        <v>847</v>
      </c>
      <c r="E1090" t="s">
        <v>848</v>
      </c>
      <c r="F1090" s="10" t="s">
        <v>112</v>
      </c>
      <c r="G1090" s="2">
        <v>3.0074000000000001</v>
      </c>
      <c r="H1090" s="13">
        <v>7</v>
      </c>
      <c r="I1090" s="13">
        <v>0</v>
      </c>
      <c r="J1090" s="13">
        <v>0</v>
      </c>
      <c r="K1090" s="10">
        <v>7</v>
      </c>
      <c r="L1090" s="2">
        <v>21.0518</v>
      </c>
      <c r="M1090" s="1">
        <v>46149.488888888889</v>
      </c>
      <c r="N1090" t="s">
        <v>16</v>
      </c>
    </row>
    <row r="1091" spans="1:14" x14ac:dyDescent="0.25">
      <c r="A1091" s="9" t="s">
        <v>5211</v>
      </c>
      <c r="B1091" s="10">
        <v>636</v>
      </c>
      <c r="C1091" s="10" t="s">
        <v>143</v>
      </c>
      <c r="D1091" t="s">
        <v>1134</v>
      </c>
      <c r="E1091" t="s">
        <v>1135</v>
      </c>
      <c r="F1091" s="10" t="s">
        <v>29</v>
      </c>
      <c r="G1091" s="2">
        <v>15.6365</v>
      </c>
      <c r="H1091" s="13">
        <v>7</v>
      </c>
      <c r="I1091" s="13">
        <v>0</v>
      </c>
      <c r="J1091" s="13">
        <v>0</v>
      </c>
      <c r="K1091" s="10">
        <v>7</v>
      </c>
      <c r="L1091" s="2">
        <v>109.4555</v>
      </c>
      <c r="M1091" s="1">
        <v>46149.512499999997</v>
      </c>
      <c r="N1091" t="s">
        <v>195</v>
      </c>
    </row>
    <row r="1092" spans="1:14" x14ac:dyDescent="0.25">
      <c r="A1092" s="9" t="s">
        <v>5211</v>
      </c>
      <c r="B1092" s="10">
        <v>634</v>
      </c>
      <c r="C1092" s="10" t="s">
        <v>143</v>
      </c>
      <c r="D1092" t="s">
        <v>4246</v>
      </c>
      <c r="E1092" t="s">
        <v>4247</v>
      </c>
      <c r="F1092" s="10" t="s">
        <v>112</v>
      </c>
      <c r="G1092" s="2">
        <v>15.9147</v>
      </c>
      <c r="H1092" s="13">
        <v>7</v>
      </c>
      <c r="I1092" s="13">
        <v>55</v>
      </c>
      <c r="J1092" s="13">
        <v>-55</v>
      </c>
      <c r="K1092" s="10">
        <v>7</v>
      </c>
      <c r="L1092" s="2">
        <v>111.4029</v>
      </c>
      <c r="M1092" s="1">
        <v>46150.561111111114</v>
      </c>
      <c r="N1092" t="s">
        <v>175</v>
      </c>
    </row>
    <row r="1093" spans="1:14" x14ac:dyDescent="0.25">
      <c r="A1093" s="9" t="s">
        <v>5211</v>
      </c>
      <c r="B1093" s="10">
        <v>714</v>
      </c>
      <c r="C1093" s="10" t="s">
        <v>1749</v>
      </c>
      <c r="D1093" t="s">
        <v>3558</v>
      </c>
      <c r="E1093" t="s">
        <v>3559</v>
      </c>
      <c r="F1093" s="10" t="s">
        <v>112</v>
      </c>
      <c r="G1093" s="2">
        <v>13.318099999999999</v>
      </c>
      <c r="H1093" s="13">
        <v>7</v>
      </c>
      <c r="I1093" s="13">
        <v>0</v>
      </c>
      <c r="J1093" s="13">
        <v>0</v>
      </c>
      <c r="K1093" s="10">
        <v>7</v>
      </c>
      <c r="L1093" s="2">
        <v>93.226699999999994</v>
      </c>
      <c r="M1093" s="1">
        <v>46151.379166666666</v>
      </c>
      <c r="N1093" t="s">
        <v>1062</v>
      </c>
    </row>
    <row r="1094" spans="1:14" x14ac:dyDescent="0.25">
      <c r="A1094" s="9" t="s">
        <v>5211</v>
      </c>
      <c r="B1094" s="10">
        <v>636</v>
      </c>
      <c r="C1094" s="10" t="s">
        <v>70</v>
      </c>
      <c r="D1094" t="s">
        <v>747</v>
      </c>
      <c r="E1094" t="s">
        <v>748</v>
      </c>
      <c r="F1094" s="10" t="s">
        <v>39</v>
      </c>
      <c r="G1094" s="2">
        <v>6.1269999999999998</v>
      </c>
      <c r="H1094" s="13">
        <v>7</v>
      </c>
      <c r="I1094" s="13">
        <v>0</v>
      </c>
      <c r="J1094" s="13">
        <v>0</v>
      </c>
      <c r="K1094" s="10">
        <v>7</v>
      </c>
      <c r="L1094" s="2">
        <v>42.889000000000003</v>
      </c>
      <c r="M1094" s="1">
        <v>46157.532638888886</v>
      </c>
      <c r="N1094" t="s">
        <v>16</v>
      </c>
    </row>
    <row r="1095" spans="1:14" x14ac:dyDescent="0.25">
      <c r="A1095" s="9" t="s">
        <v>5211</v>
      </c>
      <c r="B1095" s="10">
        <v>714</v>
      </c>
      <c r="C1095" s="10" t="s">
        <v>323</v>
      </c>
      <c r="D1095" t="s">
        <v>2850</v>
      </c>
      <c r="E1095" t="s">
        <v>2851</v>
      </c>
      <c r="F1095" s="10" t="s">
        <v>19</v>
      </c>
      <c r="G1095" s="2">
        <v>207.89660000000001</v>
      </c>
      <c r="H1095" s="13">
        <v>7</v>
      </c>
      <c r="I1095" s="13">
        <v>0</v>
      </c>
      <c r="J1095" s="13">
        <v>0</v>
      </c>
      <c r="K1095" s="10">
        <v>7</v>
      </c>
      <c r="L1095" s="2">
        <v>1455.2762</v>
      </c>
      <c r="M1095" s="1">
        <v>46161.380555555559</v>
      </c>
      <c r="N1095" t="s">
        <v>151</v>
      </c>
    </row>
    <row r="1096" spans="1:14" x14ac:dyDescent="0.25">
      <c r="A1096" s="9" t="s">
        <v>5211</v>
      </c>
      <c r="B1096" s="10">
        <v>634</v>
      </c>
      <c r="C1096" s="10" t="s">
        <v>143</v>
      </c>
      <c r="D1096" t="s">
        <v>4080</v>
      </c>
      <c r="E1096" t="s">
        <v>4081</v>
      </c>
      <c r="F1096" s="10" t="s">
        <v>23</v>
      </c>
      <c r="G1096" s="2">
        <v>61.130899999999997</v>
      </c>
      <c r="H1096" s="13">
        <v>7</v>
      </c>
      <c r="I1096" s="13">
        <v>24</v>
      </c>
      <c r="J1096" s="13">
        <v>-24</v>
      </c>
      <c r="K1096" s="10">
        <v>7</v>
      </c>
      <c r="L1096" s="2">
        <v>427.91629999999998</v>
      </c>
      <c r="M1096" s="1">
        <v>46161.469444444447</v>
      </c>
      <c r="N1096" t="s">
        <v>310</v>
      </c>
    </row>
    <row r="1097" spans="1:14" x14ac:dyDescent="0.25">
      <c r="A1097" s="9" t="s">
        <v>5211</v>
      </c>
      <c r="B1097" s="10">
        <v>636</v>
      </c>
      <c r="C1097" s="10" t="s">
        <v>323</v>
      </c>
      <c r="D1097" t="s">
        <v>2871</v>
      </c>
      <c r="E1097" t="s">
        <v>2872</v>
      </c>
      <c r="F1097" s="10" t="s">
        <v>158</v>
      </c>
      <c r="G1097" s="2">
        <v>98.279600000000002</v>
      </c>
      <c r="H1097" s="13">
        <v>7</v>
      </c>
      <c r="I1097" s="13">
        <v>0</v>
      </c>
      <c r="J1097" s="13">
        <v>0</v>
      </c>
      <c r="K1097" s="10">
        <v>7</v>
      </c>
      <c r="L1097" s="2">
        <v>687.95719999999994</v>
      </c>
      <c r="M1097" s="1">
        <v>46161.479861111111</v>
      </c>
      <c r="N1097" t="s">
        <v>40</v>
      </c>
    </row>
    <row r="1098" spans="1:14" x14ac:dyDescent="0.25">
      <c r="A1098" s="9" t="s">
        <v>5211</v>
      </c>
      <c r="B1098" s="10">
        <v>636</v>
      </c>
      <c r="C1098" s="10" t="s">
        <v>70</v>
      </c>
      <c r="D1098" t="s">
        <v>737</v>
      </c>
      <c r="E1098" t="s">
        <v>738</v>
      </c>
      <c r="F1098" s="10" t="s">
        <v>29</v>
      </c>
      <c r="G1098" s="2">
        <v>6.468</v>
      </c>
      <c r="H1098" s="13">
        <v>7</v>
      </c>
      <c r="I1098" s="13">
        <v>0</v>
      </c>
      <c r="J1098" s="13">
        <v>0</v>
      </c>
      <c r="K1098" s="10">
        <v>7</v>
      </c>
      <c r="L1098" s="2">
        <v>45.276000000000003</v>
      </c>
      <c r="M1098" s="1">
        <v>46164.400694444441</v>
      </c>
      <c r="N1098" t="s">
        <v>16</v>
      </c>
    </row>
    <row r="1099" spans="1:14" x14ac:dyDescent="0.25">
      <c r="A1099" s="9" t="s">
        <v>5211</v>
      </c>
      <c r="B1099" s="10">
        <v>636</v>
      </c>
      <c r="C1099" s="10" t="s">
        <v>143</v>
      </c>
      <c r="D1099" t="s">
        <v>4497</v>
      </c>
      <c r="E1099" t="s">
        <v>4498</v>
      </c>
      <c r="F1099" s="10" t="s">
        <v>29</v>
      </c>
      <c r="G1099" s="2">
        <v>18.905100000000001</v>
      </c>
      <c r="H1099" s="13">
        <v>7</v>
      </c>
      <c r="I1099" s="13">
        <v>12</v>
      </c>
      <c r="J1099" s="13">
        <v>-12</v>
      </c>
      <c r="K1099" s="10">
        <v>7</v>
      </c>
      <c r="L1099" s="2">
        <v>132.3357</v>
      </c>
      <c r="M1099" s="1">
        <v>46171.597222222219</v>
      </c>
      <c r="N1099" t="s">
        <v>40</v>
      </c>
    </row>
    <row r="1100" spans="1:14" x14ac:dyDescent="0.25">
      <c r="A1100" s="9" t="s">
        <v>5211</v>
      </c>
      <c r="B1100" s="10">
        <v>714</v>
      </c>
      <c r="C1100" s="10" t="s">
        <v>70</v>
      </c>
      <c r="D1100" t="s">
        <v>4727</v>
      </c>
      <c r="E1100" t="s">
        <v>4728</v>
      </c>
      <c r="F1100" s="10" t="s">
        <v>39</v>
      </c>
      <c r="G1100" s="2">
        <v>7.9146999999999998</v>
      </c>
      <c r="H1100" s="13">
        <v>7</v>
      </c>
      <c r="I1100" s="13">
        <v>-57</v>
      </c>
      <c r="J1100" s="13">
        <v>57</v>
      </c>
      <c r="K1100" s="10">
        <v>7</v>
      </c>
      <c r="L1100" s="2">
        <v>55.402900000000002</v>
      </c>
      <c r="M1100" s="1">
        <v>46172.327777777777</v>
      </c>
      <c r="N1100" t="s">
        <v>30</v>
      </c>
    </row>
    <row r="1101" spans="1:14" x14ac:dyDescent="0.25">
      <c r="A1101" s="9" t="s">
        <v>5211</v>
      </c>
      <c r="B1101" s="10">
        <v>714</v>
      </c>
      <c r="C1101" s="10" t="s">
        <v>143</v>
      </c>
      <c r="D1101" t="s">
        <v>4807</v>
      </c>
      <c r="E1101" t="s">
        <v>4808</v>
      </c>
      <c r="F1101" s="10" t="s">
        <v>23</v>
      </c>
      <c r="G1101" s="2">
        <v>19.088100000000001</v>
      </c>
      <c r="H1101" s="13">
        <v>7</v>
      </c>
      <c r="I1101" s="13">
        <v>5</v>
      </c>
      <c r="J1101" s="13">
        <v>-5</v>
      </c>
      <c r="K1101" s="10">
        <v>7</v>
      </c>
      <c r="L1101" s="2">
        <v>133.61670000000001</v>
      </c>
      <c r="M1101" s="1">
        <v>46172.327777777777</v>
      </c>
      <c r="N1101" t="s">
        <v>30</v>
      </c>
    </row>
    <row r="1102" spans="1:14" x14ac:dyDescent="0.25">
      <c r="A1102" s="9" t="s">
        <v>5211</v>
      </c>
      <c r="B1102" s="10">
        <v>718</v>
      </c>
      <c r="C1102" s="10" t="s">
        <v>143</v>
      </c>
      <c r="D1102" t="s">
        <v>966</v>
      </c>
      <c r="E1102" t="s">
        <v>967</v>
      </c>
      <c r="F1102" s="10" t="s">
        <v>29</v>
      </c>
      <c r="G1102" s="2">
        <v>57.834299999999999</v>
      </c>
      <c r="H1102" s="13">
        <v>7</v>
      </c>
      <c r="I1102" s="13">
        <v>0</v>
      </c>
      <c r="J1102" s="13">
        <v>0</v>
      </c>
      <c r="K1102" s="10">
        <v>7</v>
      </c>
      <c r="L1102" s="2">
        <v>404.84010000000001</v>
      </c>
      <c r="M1102" s="1">
        <v>46175.657638888886</v>
      </c>
      <c r="N1102" t="s">
        <v>3755</v>
      </c>
    </row>
    <row r="1103" spans="1:14" x14ac:dyDescent="0.25">
      <c r="A1103" s="9" t="s">
        <v>5211</v>
      </c>
      <c r="B1103" s="10">
        <v>714</v>
      </c>
      <c r="C1103" s="10" t="s">
        <v>143</v>
      </c>
      <c r="D1103" t="s">
        <v>2585</v>
      </c>
      <c r="E1103" t="s">
        <v>2586</v>
      </c>
      <c r="F1103" s="10" t="s">
        <v>29</v>
      </c>
      <c r="G1103" s="2">
        <v>27.806999999999999</v>
      </c>
      <c r="H1103" s="13">
        <v>7</v>
      </c>
      <c r="I1103" s="13">
        <v>0</v>
      </c>
      <c r="J1103" s="13">
        <v>0</v>
      </c>
      <c r="K1103" s="10">
        <v>7</v>
      </c>
      <c r="L1103" s="2">
        <v>194.649</v>
      </c>
      <c r="M1103" s="1">
        <v>46176.343055555553</v>
      </c>
      <c r="N1103" t="s">
        <v>2066</v>
      </c>
    </row>
    <row r="1104" spans="1:14" x14ac:dyDescent="0.25">
      <c r="A1104" s="9" t="s">
        <v>5211</v>
      </c>
      <c r="B1104" s="10">
        <v>714</v>
      </c>
      <c r="C1104" s="10" t="s">
        <v>143</v>
      </c>
      <c r="D1104" t="s">
        <v>912</v>
      </c>
      <c r="E1104" t="s">
        <v>913</v>
      </c>
      <c r="F1104" s="10" t="s">
        <v>43</v>
      </c>
      <c r="G1104" s="2">
        <v>103.4868</v>
      </c>
      <c r="H1104" s="13">
        <v>7</v>
      </c>
      <c r="I1104" s="13">
        <v>3</v>
      </c>
      <c r="J1104" s="13">
        <v>-3</v>
      </c>
      <c r="K1104" s="10">
        <v>7</v>
      </c>
      <c r="L1104" s="2">
        <v>724.4076</v>
      </c>
      <c r="M1104" s="1">
        <v>46178.441666666666</v>
      </c>
      <c r="N1104" t="s">
        <v>216</v>
      </c>
    </row>
    <row r="1105" spans="1:14" x14ac:dyDescent="0.25">
      <c r="A1105" s="9" t="s">
        <v>5211</v>
      </c>
      <c r="B1105" s="10">
        <v>714</v>
      </c>
      <c r="C1105" s="10" t="s">
        <v>70</v>
      </c>
      <c r="D1105" t="s">
        <v>1973</v>
      </c>
      <c r="E1105" t="s">
        <v>1974</v>
      </c>
      <c r="F1105" s="10" t="s">
        <v>29</v>
      </c>
      <c r="G1105" s="2">
        <v>6.0016999999999996</v>
      </c>
      <c r="H1105" s="13">
        <v>7</v>
      </c>
      <c r="I1105" s="13">
        <v>0</v>
      </c>
      <c r="J1105" s="13">
        <v>0</v>
      </c>
      <c r="K1105" s="10">
        <v>7</v>
      </c>
      <c r="L1105" s="2">
        <v>42.011899999999997</v>
      </c>
      <c r="M1105" s="1">
        <v>46178.753472222219</v>
      </c>
      <c r="N1105" t="s">
        <v>40</v>
      </c>
    </row>
    <row r="1106" spans="1:14" x14ac:dyDescent="0.25">
      <c r="A1106" s="9" t="s">
        <v>5211</v>
      </c>
      <c r="B1106" s="10">
        <v>718</v>
      </c>
      <c r="C1106" s="10" t="s">
        <v>70</v>
      </c>
      <c r="D1106" t="s">
        <v>4006</v>
      </c>
      <c r="E1106" t="s">
        <v>4007</v>
      </c>
      <c r="F1106" s="10" t="s">
        <v>39</v>
      </c>
      <c r="G1106" s="2">
        <v>6.0663</v>
      </c>
      <c r="H1106" s="13">
        <v>7</v>
      </c>
      <c r="I1106" s="13">
        <v>2</v>
      </c>
      <c r="J1106" s="13">
        <v>-2</v>
      </c>
      <c r="K1106" s="10">
        <v>7</v>
      </c>
      <c r="L1106" s="2">
        <v>42.464100000000002</v>
      </c>
      <c r="M1106" s="1">
        <v>46183.404861111114</v>
      </c>
      <c r="N1106" t="s">
        <v>40</v>
      </c>
    </row>
    <row r="1107" spans="1:14" x14ac:dyDescent="0.25">
      <c r="A1107" s="9" t="s">
        <v>5211</v>
      </c>
      <c r="B1107" s="10">
        <v>714</v>
      </c>
      <c r="C1107" s="10" t="s">
        <v>143</v>
      </c>
      <c r="D1107" t="s">
        <v>4569</v>
      </c>
      <c r="E1107" t="s">
        <v>4570</v>
      </c>
      <c r="F1107" s="10" t="s">
        <v>23</v>
      </c>
      <c r="G1107" s="2">
        <v>20.584700000000002</v>
      </c>
      <c r="H1107" s="13">
        <v>7</v>
      </c>
      <c r="I1107" s="13">
        <v>11</v>
      </c>
      <c r="J1107" s="13">
        <v>-11</v>
      </c>
      <c r="K1107" s="10">
        <v>7</v>
      </c>
      <c r="L1107" s="2">
        <v>144.09289999999999</v>
      </c>
      <c r="M1107" s="1">
        <v>46183.468055555553</v>
      </c>
      <c r="N1107" t="s">
        <v>175</v>
      </c>
    </row>
    <row r="1108" spans="1:14" x14ac:dyDescent="0.25">
      <c r="A1108" s="9" t="s">
        <v>5211</v>
      </c>
      <c r="B1108" s="10">
        <v>714</v>
      </c>
      <c r="C1108" s="10" t="s">
        <v>70</v>
      </c>
      <c r="D1108" t="s">
        <v>4443</v>
      </c>
      <c r="E1108" t="s">
        <v>4444</v>
      </c>
      <c r="F1108" s="10" t="s">
        <v>23</v>
      </c>
      <c r="G1108" s="2">
        <v>6.5298999999999996</v>
      </c>
      <c r="H1108" s="13">
        <v>7</v>
      </c>
      <c r="I1108" s="13">
        <v>263</v>
      </c>
      <c r="J1108" s="13">
        <v>-263</v>
      </c>
      <c r="K1108" s="10">
        <v>7</v>
      </c>
      <c r="L1108" s="2">
        <v>45.709299999999999</v>
      </c>
      <c r="M1108" s="1">
        <v>46183.611805555556</v>
      </c>
      <c r="N1108" t="s">
        <v>44</v>
      </c>
    </row>
    <row r="1109" spans="1:14" x14ac:dyDescent="0.25">
      <c r="A1109" s="9" t="s">
        <v>5211</v>
      </c>
      <c r="B1109" s="10">
        <v>634</v>
      </c>
      <c r="C1109" s="10" t="s">
        <v>143</v>
      </c>
      <c r="D1109" t="s">
        <v>273</v>
      </c>
      <c r="E1109" t="s">
        <v>274</v>
      </c>
      <c r="F1109" s="10" t="s">
        <v>23</v>
      </c>
      <c r="G1109" s="2">
        <v>81.986099999999993</v>
      </c>
      <c r="H1109" s="13">
        <v>7</v>
      </c>
      <c r="I1109" s="13">
        <v>0</v>
      </c>
      <c r="J1109" s="13">
        <v>0</v>
      </c>
      <c r="K1109" s="10">
        <v>7</v>
      </c>
      <c r="L1109" s="2">
        <v>573.90269999999998</v>
      </c>
      <c r="M1109" s="1">
        <v>46184.3</v>
      </c>
      <c r="N1109" t="s">
        <v>64</v>
      </c>
    </row>
    <row r="1110" spans="1:14" x14ac:dyDescent="0.25">
      <c r="A1110" s="9" t="s">
        <v>5211</v>
      </c>
      <c r="B1110" s="10">
        <v>714</v>
      </c>
      <c r="C1110" s="10" t="s">
        <v>323</v>
      </c>
      <c r="D1110" t="s">
        <v>2879</v>
      </c>
      <c r="E1110" t="s">
        <v>2880</v>
      </c>
      <c r="F1110" s="10" t="s">
        <v>29</v>
      </c>
      <c r="G1110" s="2">
        <v>127.7658</v>
      </c>
      <c r="H1110" s="13">
        <v>7</v>
      </c>
      <c r="I1110" s="13">
        <v>0</v>
      </c>
      <c r="J1110" s="13">
        <v>0</v>
      </c>
      <c r="K1110" s="10">
        <v>7</v>
      </c>
      <c r="L1110" s="2">
        <v>894.36059999999998</v>
      </c>
      <c r="M1110" s="1">
        <v>46189.518750000003</v>
      </c>
      <c r="N1110" t="s">
        <v>2271</v>
      </c>
    </row>
    <row r="1111" spans="1:14" x14ac:dyDescent="0.25">
      <c r="A1111" s="9" t="s">
        <v>5211</v>
      </c>
      <c r="B1111" s="10">
        <v>718</v>
      </c>
      <c r="C1111" s="10" t="s">
        <v>143</v>
      </c>
      <c r="D1111" t="s">
        <v>4871</v>
      </c>
      <c r="E1111" t="s">
        <v>4872</v>
      </c>
      <c r="F1111" s="10" t="s">
        <v>23</v>
      </c>
      <c r="G1111" s="2">
        <v>76.930800000000005</v>
      </c>
      <c r="H1111" s="13">
        <v>7</v>
      </c>
      <c r="I1111" s="13">
        <v>2</v>
      </c>
      <c r="J1111" s="13">
        <v>-2</v>
      </c>
      <c r="K1111" s="10">
        <v>7</v>
      </c>
      <c r="L1111" s="2">
        <v>538.51559999999995</v>
      </c>
      <c r="M1111" s="1">
        <v>46190.654166666667</v>
      </c>
      <c r="N1111" t="s">
        <v>47</v>
      </c>
    </row>
    <row r="1112" spans="1:14" x14ac:dyDescent="0.25">
      <c r="A1112" s="9" t="s">
        <v>5211</v>
      </c>
      <c r="B1112" s="10">
        <v>636</v>
      </c>
      <c r="C1112" s="10" t="s">
        <v>70</v>
      </c>
      <c r="D1112" t="s">
        <v>2081</v>
      </c>
      <c r="E1112" t="s">
        <v>2082</v>
      </c>
      <c r="F1112" s="10" t="s">
        <v>39</v>
      </c>
      <c r="G1112" s="2">
        <v>6.5214999999999996</v>
      </c>
      <c r="H1112" s="13">
        <v>7</v>
      </c>
      <c r="I1112" s="13">
        <v>-9</v>
      </c>
      <c r="J1112" s="13">
        <v>9</v>
      </c>
      <c r="K1112" s="10">
        <v>7</v>
      </c>
      <c r="L1112" s="2">
        <v>45.650500000000001</v>
      </c>
      <c r="M1112" s="1">
        <v>46191.495833333334</v>
      </c>
      <c r="N1112" t="s">
        <v>522</v>
      </c>
    </row>
    <row r="1113" spans="1:14" x14ac:dyDescent="0.25">
      <c r="A1113" s="9" t="s">
        <v>5211</v>
      </c>
      <c r="B1113" s="10">
        <v>714</v>
      </c>
      <c r="C1113" s="10" t="s">
        <v>70</v>
      </c>
      <c r="D1113" t="s">
        <v>4709</v>
      </c>
      <c r="E1113" t="s">
        <v>4710</v>
      </c>
      <c r="F1113" s="10" t="s">
        <v>29</v>
      </c>
      <c r="G1113" s="2">
        <v>5.8642000000000003</v>
      </c>
      <c r="H1113" s="13">
        <v>7</v>
      </c>
      <c r="I1113" s="13">
        <v>16</v>
      </c>
      <c r="J1113" s="13">
        <v>-16</v>
      </c>
      <c r="K1113" s="10">
        <v>7</v>
      </c>
      <c r="L1113" s="2">
        <v>41.049399999999999</v>
      </c>
      <c r="M1113" s="1">
        <v>46191.614583333336</v>
      </c>
      <c r="N1113" t="s">
        <v>94</v>
      </c>
    </row>
    <row r="1114" spans="1:14" x14ac:dyDescent="0.25">
      <c r="A1114" s="9" t="s">
        <v>5211</v>
      </c>
      <c r="B1114" s="10">
        <v>714</v>
      </c>
      <c r="C1114" s="10" t="s">
        <v>323</v>
      </c>
      <c r="D1114" t="s">
        <v>5071</v>
      </c>
      <c r="E1114" t="s">
        <v>5072</v>
      </c>
      <c r="F1114" s="10" t="s">
        <v>23</v>
      </c>
      <c r="G1114" s="2">
        <v>142.75380000000001</v>
      </c>
      <c r="H1114" s="13">
        <v>7</v>
      </c>
      <c r="I1114" s="13">
        <v>0</v>
      </c>
      <c r="J1114" s="13">
        <v>0</v>
      </c>
      <c r="K1114" s="10">
        <v>7</v>
      </c>
      <c r="L1114" s="2">
        <v>999.27660000000003</v>
      </c>
      <c r="M1114" s="1">
        <v>46192.649305555555</v>
      </c>
      <c r="N1114" t="s">
        <v>2821</v>
      </c>
    </row>
    <row r="1115" spans="1:14" x14ac:dyDescent="0.25">
      <c r="A1115" s="9" t="s">
        <v>5211</v>
      </c>
      <c r="B1115" s="10">
        <v>714</v>
      </c>
      <c r="C1115" s="10" t="s">
        <v>12</v>
      </c>
      <c r="D1115" t="s">
        <v>1945</v>
      </c>
      <c r="E1115" t="s">
        <v>1946</v>
      </c>
      <c r="F1115" s="10" t="s">
        <v>39</v>
      </c>
      <c r="G1115" s="2">
        <v>48.086100000000002</v>
      </c>
      <c r="H1115" s="13">
        <v>7</v>
      </c>
      <c r="I1115" s="13">
        <v>0</v>
      </c>
      <c r="J1115" s="13">
        <v>0</v>
      </c>
      <c r="K1115" s="10">
        <v>7</v>
      </c>
      <c r="L1115" s="2">
        <v>336.60270000000003</v>
      </c>
      <c r="M1115" s="1">
        <v>46198.373611111114</v>
      </c>
      <c r="N1115" t="s">
        <v>67</v>
      </c>
    </row>
    <row r="1116" spans="1:14" x14ac:dyDescent="0.25">
      <c r="A1116" s="9" t="s">
        <v>5211</v>
      </c>
      <c r="B1116" s="10">
        <v>714</v>
      </c>
      <c r="C1116" s="10" t="s">
        <v>12</v>
      </c>
      <c r="D1116" t="s">
        <v>1884</v>
      </c>
      <c r="E1116" t="s">
        <v>1885</v>
      </c>
      <c r="F1116" s="10" t="s">
        <v>29</v>
      </c>
      <c r="G1116" s="2">
        <v>47.708199999999998</v>
      </c>
      <c r="H1116" s="13">
        <v>7</v>
      </c>
      <c r="I1116" s="13">
        <v>0</v>
      </c>
      <c r="J1116" s="13">
        <v>0</v>
      </c>
      <c r="K1116" s="10">
        <v>7</v>
      </c>
      <c r="L1116" s="2">
        <v>333.95740000000001</v>
      </c>
      <c r="M1116" s="1">
        <v>46198.373611111114</v>
      </c>
      <c r="N1116" t="s">
        <v>67</v>
      </c>
    </row>
    <row r="1117" spans="1:14" x14ac:dyDescent="0.25">
      <c r="A1117" s="9" t="s">
        <v>5211</v>
      </c>
      <c r="B1117" s="10">
        <v>714</v>
      </c>
      <c r="C1117" s="10" t="s">
        <v>70</v>
      </c>
      <c r="D1117" t="s">
        <v>1983</v>
      </c>
      <c r="E1117" t="s">
        <v>1984</v>
      </c>
      <c r="F1117" s="10" t="s">
        <v>39</v>
      </c>
      <c r="G1117" s="2">
        <v>14.3201</v>
      </c>
      <c r="H1117" s="13">
        <v>7</v>
      </c>
      <c r="I1117" s="13">
        <v>0</v>
      </c>
      <c r="J1117" s="13">
        <v>0</v>
      </c>
      <c r="K1117" s="10">
        <v>7</v>
      </c>
      <c r="L1117" s="2">
        <v>100.2407</v>
      </c>
      <c r="M1117" s="1">
        <v>46198.40902777778</v>
      </c>
      <c r="N1117" t="s">
        <v>573</v>
      </c>
    </row>
    <row r="1118" spans="1:14" x14ac:dyDescent="0.25">
      <c r="A1118" s="9" t="s">
        <v>5211</v>
      </c>
      <c r="B1118" s="10">
        <v>714</v>
      </c>
      <c r="C1118" s="10" t="s">
        <v>323</v>
      </c>
      <c r="D1118" t="s">
        <v>3071</v>
      </c>
      <c r="E1118" t="s">
        <v>3072</v>
      </c>
      <c r="F1118" s="10" t="s">
        <v>455</v>
      </c>
      <c r="G1118" s="2">
        <v>286.9085</v>
      </c>
      <c r="H1118" s="13">
        <v>7</v>
      </c>
      <c r="I1118" s="13">
        <v>6</v>
      </c>
      <c r="J1118" s="13">
        <v>-6</v>
      </c>
      <c r="K1118" s="10">
        <v>7</v>
      </c>
      <c r="L1118" s="2">
        <v>2008.3595</v>
      </c>
      <c r="M1118" s="1">
        <v>46200.335416666669</v>
      </c>
      <c r="N1118" t="s">
        <v>151</v>
      </c>
    </row>
    <row r="1119" spans="1:14" x14ac:dyDescent="0.25">
      <c r="A1119" s="9" t="s">
        <v>5211</v>
      </c>
      <c r="B1119" s="10">
        <v>636</v>
      </c>
      <c r="C1119" s="10" t="s">
        <v>143</v>
      </c>
      <c r="D1119" t="s">
        <v>4142</v>
      </c>
      <c r="E1119" t="s">
        <v>4143</v>
      </c>
      <c r="F1119" s="10" t="s">
        <v>43</v>
      </c>
      <c r="G1119" s="2">
        <v>81.251999999999995</v>
      </c>
      <c r="H1119" s="13">
        <v>7</v>
      </c>
      <c r="I1119" s="13">
        <v>5</v>
      </c>
      <c r="J1119" s="13">
        <v>-5</v>
      </c>
      <c r="K1119" s="10">
        <v>7</v>
      </c>
      <c r="L1119" s="2">
        <v>568.76400000000001</v>
      </c>
      <c r="M1119" s="1">
        <v>46204.443055555559</v>
      </c>
      <c r="N1119" t="s">
        <v>40</v>
      </c>
    </row>
    <row r="1120" spans="1:14" x14ac:dyDescent="0.25">
      <c r="A1120" s="9" t="s">
        <v>5211</v>
      </c>
      <c r="B1120" s="10">
        <v>634</v>
      </c>
      <c r="C1120" s="10" t="s">
        <v>323</v>
      </c>
      <c r="D1120" t="s">
        <v>331</v>
      </c>
      <c r="E1120" t="s">
        <v>332</v>
      </c>
      <c r="F1120" s="10" t="s">
        <v>158</v>
      </c>
      <c r="G1120" s="2">
        <v>145.38390000000001</v>
      </c>
      <c r="H1120" s="13">
        <v>7</v>
      </c>
      <c r="I1120" s="13">
        <v>1</v>
      </c>
      <c r="J1120" s="13">
        <v>-1</v>
      </c>
      <c r="K1120" s="10">
        <v>7</v>
      </c>
      <c r="L1120" s="2">
        <v>1017.6873000000001</v>
      </c>
      <c r="M1120" s="1">
        <v>46209.655555555553</v>
      </c>
      <c r="N1120" t="s">
        <v>151</v>
      </c>
    </row>
    <row r="1121" spans="1:14" x14ac:dyDescent="0.25">
      <c r="A1121" s="9" t="s">
        <v>5211</v>
      </c>
      <c r="B1121" s="10">
        <v>718</v>
      </c>
      <c r="C1121" s="10" t="s">
        <v>126</v>
      </c>
      <c r="D1121" t="s">
        <v>3699</v>
      </c>
      <c r="E1121" t="s">
        <v>3700</v>
      </c>
      <c r="F1121" s="10" t="s">
        <v>112</v>
      </c>
      <c r="G1121" s="2">
        <v>8.2849000000000004</v>
      </c>
      <c r="H1121" s="13">
        <v>7</v>
      </c>
      <c r="I1121" s="13">
        <v>-7</v>
      </c>
      <c r="J1121" s="13">
        <v>7</v>
      </c>
      <c r="K1121" s="10">
        <v>7</v>
      </c>
      <c r="L1121" s="2">
        <v>57.994300000000003</v>
      </c>
      <c r="M1121" s="1">
        <v>46211.615277777775</v>
      </c>
      <c r="N1121" t="s">
        <v>16</v>
      </c>
    </row>
    <row r="1122" spans="1:14" x14ac:dyDescent="0.25">
      <c r="A1122" s="9" t="s">
        <v>5211</v>
      </c>
      <c r="B1122" s="10">
        <v>636</v>
      </c>
      <c r="C1122" s="10" t="s">
        <v>143</v>
      </c>
      <c r="D1122" t="s">
        <v>4475</v>
      </c>
      <c r="E1122" t="s">
        <v>4476</v>
      </c>
      <c r="F1122" s="10" t="s">
        <v>23</v>
      </c>
      <c r="G1122" s="2">
        <v>18.9498</v>
      </c>
      <c r="H1122" s="13">
        <v>7</v>
      </c>
      <c r="I1122" s="13">
        <v>8</v>
      </c>
      <c r="J1122" s="13">
        <v>-8</v>
      </c>
      <c r="K1122" s="10">
        <v>7</v>
      </c>
      <c r="L1122" s="2">
        <v>132.64859999999999</v>
      </c>
      <c r="M1122" s="1">
        <v>46216.52847222222</v>
      </c>
      <c r="N1122" t="s">
        <v>40</v>
      </c>
    </row>
    <row r="1123" spans="1:14" x14ac:dyDescent="0.25">
      <c r="A1123" s="9" t="s">
        <v>5211</v>
      </c>
      <c r="B1123" s="10">
        <v>634</v>
      </c>
      <c r="C1123" s="10" t="s">
        <v>70</v>
      </c>
      <c r="D1123" t="s">
        <v>92</v>
      </c>
      <c r="E1123" t="s">
        <v>93</v>
      </c>
      <c r="F1123" s="10" t="s">
        <v>39</v>
      </c>
      <c r="G1123" s="2">
        <v>6.5415000000000001</v>
      </c>
      <c r="H1123" s="13">
        <v>7</v>
      </c>
      <c r="I1123" s="13">
        <v>-4</v>
      </c>
      <c r="J1123" s="13">
        <v>4</v>
      </c>
      <c r="K1123" s="10">
        <v>7</v>
      </c>
      <c r="L1123" s="2">
        <v>45.790500000000002</v>
      </c>
      <c r="M1123" s="1">
        <v>46217.376388888886</v>
      </c>
      <c r="N1123" t="s">
        <v>94</v>
      </c>
    </row>
    <row r="1124" spans="1:14" x14ac:dyDescent="0.25">
      <c r="A1124" s="9" t="s">
        <v>5211</v>
      </c>
      <c r="B1124" s="10">
        <v>714</v>
      </c>
      <c r="C1124" s="10" t="s">
        <v>126</v>
      </c>
      <c r="D1124" t="s">
        <v>133</v>
      </c>
      <c r="E1124" t="s">
        <v>134</v>
      </c>
      <c r="F1124" s="10" t="s">
        <v>39</v>
      </c>
      <c r="G1124" s="2">
        <v>6.9736000000000002</v>
      </c>
      <c r="H1124" s="13">
        <v>7</v>
      </c>
      <c r="I1124" s="13">
        <v>0</v>
      </c>
      <c r="J1124" s="13">
        <v>0</v>
      </c>
      <c r="K1124" s="10">
        <v>7</v>
      </c>
      <c r="L1124" s="2">
        <v>48.815199999999997</v>
      </c>
      <c r="M1124" s="1">
        <v>46218.660416666666</v>
      </c>
      <c r="N1124" t="s">
        <v>16</v>
      </c>
    </row>
    <row r="1125" spans="1:14" x14ac:dyDescent="0.25">
      <c r="A1125" s="9" t="s">
        <v>5211</v>
      </c>
      <c r="B1125" s="10">
        <v>714</v>
      </c>
      <c r="C1125" s="10" t="s">
        <v>143</v>
      </c>
      <c r="D1125" t="s">
        <v>1033</v>
      </c>
      <c r="E1125" t="s">
        <v>1034</v>
      </c>
      <c r="F1125" s="10" t="s">
        <v>43</v>
      </c>
      <c r="G1125" s="2">
        <v>76.770700000000005</v>
      </c>
      <c r="H1125" s="13">
        <v>7</v>
      </c>
      <c r="I1125" s="13">
        <v>-15</v>
      </c>
      <c r="J1125" s="13">
        <v>15</v>
      </c>
      <c r="K1125" s="10">
        <v>7</v>
      </c>
      <c r="L1125" s="2">
        <v>537.39490000000001</v>
      </c>
      <c r="M1125" s="1">
        <v>46223.390972222223</v>
      </c>
      <c r="N1125" t="s">
        <v>47</v>
      </c>
    </row>
    <row r="1126" spans="1:14" x14ac:dyDescent="0.25">
      <c r="A1126" s="9" t="s">
        <v>5211</v>
      </c>
      <c r="B1126" s="10">
        <v>714</v>
      </c>
      <c r="C1126" s="10" t="s">
        <v>143</v>
      </c>
      <c r="D1126" t="s">
        <v>980</v>
      </c>
      <c r="E1126" t="s">
        <v>981</v>
      </c>
      <c r="F1126" s="10" t="s">
        <v>29</v>
      </c>
      <c r="G1126" s="2">
        <v>151.57320000000001</v>
      </c>
      <c r="H1126" s="13">
        <v>7</v>
      </c>
      <c r="I1126" s="13">
        <v>2</v>
      </c>
      <c r="J1126" s="13">
        <v>-2</v>
      </c>
      <c r="K1126" s="10">
        <v>7</v>
      </c>
      <c r="L1126" s="2">
        <v>1061.0124000000001</v>
      </c>
      <c r="M1126" s="1">
        <v>46226.429166666669</v>
      </c>
      <c r="N1126" t="s">
        <v>371</v>
      </c>
    </row>
    <row r="1127" spans="1:14" x14ac:dyDescent="0.25">
      <c r="A1127" s="9" t="s">
        <v>5211</v>
      </c>
      <c r="B1127" s="10">
        <v>714</v>
      </c>
      <c r="C1127" s="10" t="s">
        <v>70</v>
      </c>
      <c r="D1127" t="s">
        <v>4725</v>
      </c>
      <c r="E1127" t="s">
        <v>4726</v>
      </c>
      <c r="F1127" s="10" t="s">
        <v>39</v>
      </c>
      <c r="G1127" s="2">
        <v>6.8365999999999998</v>
      </c>
      <c r="H1127" s="13">
        <v>7</v>
      </c>
      <c r="I1127" s="13">
        <v>2</v>
      </c>
      <c r="J1127" s="13">
        <v>-2</v>
      </c>
      <c r="K1127" s="10">
        <v>7</v>
      </c>
      <c r="L1127" s="2">
        <v>47.856200000000001</v>
      </c>
      <c r="M1127" s="1">
        <v>46228.32916666667</v>
      </c>
      <c r="N1127" t="s">
        <v>26</v>
      </c>
    </row>
    <row r="1128" spans="1:14" x14ac:dyDescent="0.25">
      <c r="A1128" s="9" t="s">
        <v>5211</v>
      </c>
      <c r="B1128" s="10">
        <v>714</v>
      </c>
      <c r="C1128" s="10" t="s">
        <v>143</v>
      </c>
      <c r="D1128" t="s">
        <v>2316</v>
      </c>
      <c r="E1128" t="s">
        <v>2317</v>
      </c>
      <c r="F1128" s="10" t="s">
        <v>23</v>
      </c>
      <c r="G1128" s="2">
        <v>54.906199999999998</v>
      </c>
      <c r="H1128" s="13">
        <v>7</v>
      </c>
      <c r="I1128" s="13">
        <v>0</v>
      </c>
      <c r="J1128" s="13">
        <v>0</v>
      </c>
      <c r="K1128" s="10">
        <v>7</v>
      </c>
      <c r="L1128" s="2">
        <v>384.34339999999997</v>
      </c>
      <c r="M1128" s="1">
        <v>46231.575694444444</v>
      </c>
      <c r="N1128" t="s">
        <v>195</v>
      </c>
    </row>
    <row r="1129" spans="1:14" x14ac:dyDescent="0.25">
      <c r="A1129" s="9" t="s">
        <v>5211</v>
      </c>
      <c r="B1129" s="10">
        <v>714</v>
      </c>
      <c r="C1129" s="10" t="s">
        <v>143</v>
      </c>
      <c r="D1129" t="s">
        <v>2525</v>
      </c>
      <c r="E1129" t="s">
        <v>2526</v>
      </c>
      <c r="F1129" s="10" t="s">
        <v>158</v>
      </c>
      <c r="G1129" s="2">
        <v>42.569800000000001</v>
      </c>
      <c r="H1129" s="13">
        <v>7</v>
      </c>
      <c r="I1129" s="13">
        <v>0</v>
      </c>
      <c r="J1129" s="13">
        <v>0</v>
      </c>
      <c r="K1129" s="10">
        <v>7</v>
      </c>
      <c r="L1129" s="2">
        <v>297.98860000000002</v>
      </c>
      <c r="M1129" s="1">
        <v>46231.575694444444</v>
      </c>
      <c r="N1129" t="s">
        <v>195</v>
      </c>
    </row>
    <row r="1130" spans="1:14" x14ac:dyDescent="0.25">
      <c r="A1130" s="9" t="s">
        <v>5211</v>
      </c>
      <c r="B1130" s="10">
        <v>718</v>
      </c>
      <c r="C1130" s="10" t="s">
        <v>70</v>
      </c>
      <c r="D1130" t="s">
        <v>3671</v>
      </c>
      <c r="E1130" t="s">
        <v>3672</v>
      </c>
      <c r="F1130" s="10" t="s">
        <v>29</v>
      </c>
      <c r="G1130" s="2">
        <v>9.5739000000000001</v>
      </c>
      <c r="H1130" s="13">
        <v>7</v>
      </c>
      <c r="I1130" s="13">
        <v>0</v>
      </c>
      <c r="J1130" s="13">
        <v>0</v>
      </c>
      <c r="K1130" s="10">
        <v>7</v>
      </c>
      <c r="L1130" s="2">
        <v>67.017300000000006</v>
      </c>
      <c r="M1130" s="1">
        <v>46232.6</v>
      </c>
      <c r="N1130" t="s">
        <v>573</v>
      </c>
    </row>
    <row r="1131" spans="1:14" x14ac:dyDescent="0.25">
      <c r="A1131" s="9" t="s">
        <v>5211</v>
      </c>
      <c r="B1131" s="10">
        <v>714</v>
      </c>
      <c r="C1131" s="10" t="s">
        <v>70</v>
      </c>
      <c r="D1131" t="s">
        <v>2141</v>
      </c>
      <c r="E1131" t="s">
        <v>2142</v>
      </c>
      <c r="F1131" s="10" t="s">
        <v>19</v>
      </c>
      <c r="G1131" s="2">
        <v>7.9199000000000002</v>
      </c>
      <c r="H1131" s="13">
        <v>7</v>
      </c>
      <c r="I1131" s="13">
        <v>0</v>
      </c>
      <c r="J1131" s="13">
        <v>0</v>
      </c>
      <c r="K1131" s="10">
        <v>7</v>
      </c>
      <c r="L1131" s="2">
        <v>55.439300000000003</v>
      </c>
      <c r="M1131" s="1">
        <v>46234.623611111114</v>
      </c>
      <c r="N1131" t="s">
        <v>16</v>
      </c>
    </row>
    <row r="1132" spans="1:14" x14ac:dyDescent="0.25">
      <c r="A1132" s="9" t="s">
        <v>5211</v>
      </c>
      <c r="B1132" s="10">
        <v>634</v>
      </c>
      <c r="C1132" s="10" t="s">
        <v>70</v>
      </c>
      <c r="D1132" t="s">
        <v>2109</v>
      </c>
      <c r="E1132" t="s">
        <v>2110</v>
      </c>
      <c r="F1132" s="10" t="s">
        <v>23</v>
      </c>
      <c r="G1132" s="2">
        <v>8.1364999999999998</v>
      </c>
      <c r="H1132" s="13">
        <v>7</v>
      </c>
      <c r="I1132" s="13">
        <v>1</v>
      </c>
      <c r="J1132" s="13">
        <v>-1</v>
      </c>
      <c r="K1132" s="10">
        <v>7</v>
      </c>
      <c r="L1132" s="2">
        <v>56.955500000000001</v>
      </c>
      <c r="M1132" s="1">
        <v>46241.446527777778</v>
      </c>
      <c r="N1132" t="s">
        <v>40</v>
      </c>
    </row>
    <row r="1133" spans="1:14" x14ac:dyDescent="0.25">
      <c r="A1133" s="9" t="s">
        <v>5211</v>
      </c>
      <c r="B1133" s="10">
        <v>636</v>
      </c>
      <c r="C1133" s="10" t="s">
        <v>70</v>
      </c>
      <c r="D1133" t="s">
        <v>718</v>
      </c>
      <c r="E1133" t="s">
        <v>719</v>
      </c>
      <c r="F1133" s="10" t="s">
        <v>29</v>
      </c>
      <c r="G1133" s="2">
        <v>6.3</v>
      </c>
      <c r="H1133" s="13">
        <v>7</v>
      </c>
      <c r="I1133" s="13">
        <v>0</v>
      </c>
      <c r="J1133" s="13">
        <v>0</v>
      </c>
      <c r="K1133" s="10">
        <v>7</v>
      </c>
      <c r="L1133" s="2">
        <v>44.1</v>
      </c>
      <c r="M1133" s="1">
        <v>46241.475694444445</v>
      </c>
      <c r="N1133" t="s">
        <v>720</v>
      </c>
    </row>
    <row r="1134" spans="1:14" x14ac:dyDescent="0.25">
      <c r="A1134" s="9" t="s">
        <v>5211</v>
      </c>
      <c r="B1134" s="10">
        <v>714</v>
      </c>
      <c r="C1134" s="10" t="s">
        <v>12</v>
      </c>
      <c r="D1134" t="s">
        <v>45</v>
      </c>
      <c r="E1134" t="s">
        <v>46</v>
      </c>
      <c r="F1134" s="10" t="s">
        <v>23</v>
      </c>
      <c r="G1134" s="2">
        <v>6.5766</v>
      </c>
      <c r="H1134" s="13">
        <v>7</v>
      </c>
      <c r="I1134" s="13">
        <v>-7</v>
      </c>
      <c r="J1134" s="13">
        <v>7</v>
      </c>
      <c r="K1134" s="10">
        <v>7</v>
      </c>
      <c r="L1134" s="2">
        <v>46.036200000000001</v>
      </c>
      <c r="M1134" s="1">
        <v>46244.665972222225</v>
      </c>
      <c r="N1134" t="s">
        <v>26</v>
      </c>
    </row>
    <row r="1135" spans="1:14" x14ac:dyDescent="0.25">
      <c r="A1135" s="9" t="s">
        <v>5211</v>
      </c>
      <c r="B1135" s="10">
        <v>714</v>
      </c>
      <c r="C1135" s="10" t="s">
        <v>143</v>
      </c>
      <c r="D1135" t="s">
        <v>4575</v>
      </c>
      <c r="E1135" t="s">
        <v>4576</v>
      </c>
      <c r="F1135" s="10" t="s">
        <v>112</v>
      </c>
      <c r="G1135" s="2">
        <v>14.547700000000001</v>
      </c>
      <c r="H1135" s="13">
        <v>7</v>
      </c>
      <c r="I1135" s="13">
        <v>37</v>
      </c>
      <c r="J1135" s="13">
        <v>-37</v>
      </c>
      <c r="K1135" s="10">
        <v>7</v>
      </c>
      <c r="L1135" s="2">
        <v>101.8339</v>
      </c>
      <c r="M1135" s="1">
        <v>46248.383333333331</v>
      </c>
      <c r="N1135" t="s">
        <v>140</v>
      </c>
    </row>
    <row r="1136" spans="1:14" x14ac:dyDescent="0.25">
      <c r="A1136" s="9" t="s">
        <v>5211</v>
      </c>
      <c r="B1136" s="10">
        <v>636</v>
      </c>
      <c r="C1136" s="10" t="s">
        <v>323</v>
      </c>
      <c r="D1136" t="s">
        <v>4316</v>
      </c>
      <c r="E1136" t="s">
        <v>4317</v>
      </c>
      <c r="F1136" s="10" t="s">
        <v>43</v>
      </c>
      <c r="G1136" s="2">
        <v>33.990200000000002</v>
      </c>
      <c r="H1136" s="13">
        <v>7</v>
      </c>
      <c r="I1136" s="13">
        <v>45</v>
      </c>
      <c r="J1136" s="13">
        <v>-45</v>
      </c>
      <c r="K1136" s="10">
        <v>7</v>
      </c>
      <c r="L1136" s="2">
        <v>237.9314</v>
      </c>
      <c r="M1136" s="1">
        <v>46248.436111111114</v>
      </c>
      <c r="N1136" t="s">
        <v>146</v>
      </c>
    </row>
    <row r="1137" spans="1:14" x14ac:dyDescent="0.25">
      <c r="A1137" s="9" t="s">
        <v>5211</v>
      </c>
      <c r="B1137" s="10">
        <v>714</v>
      </c>
      <c r="C1137" s="10" t="s">
        <v>143</v>
      </c>
      <c r="D1137" t="s">
        <v>2571</v>
      </c>
      <c r="E1137" t="s">
        <v>2572</v>
      </c>
      <c r="F1137" s="10" t="s">
        <v>35</v>
      </c>
      <c r="G1137" s="2">
        <v>19.4755</v>
      </c>
      <c r="H1137" s="13">
        <v>6</v>
      </c>
      <c r="I1137" s="13">
        <v>0</v>
      </c>
      <c r="J1137" s="13">
        <v>0</v>
      </c>
      <c r="K1137" s="10">
        <v>6</v>
      </c>
      <c r="L1137" s="2">
        <v>116.85299999999999</v>
      </c>
      <c r="M1137" s="1">
        <v>44696.636111111111</v>
      </c>
      <c r="N1137" t="s">
        <v>40</v>
      </c>
    </row>
    <row r="1138" spans="1:14" x14ac:dyDescent="0.25">
      <c r="A1138" s="9" t="s">
        <v>5211</v>
      </c>
      <c r="B1138" s="10">
        <v>714</v>
      </c>
      <c r="C1138" s="10" t="s">
        <v>323</v>
      </c>
      <c r="D1138" t="s">
        <v>4335</v>
      </c>
      <c r="E1138" t="s">
        <v>4336</v>
      </c>
      <c r="F1138" s="10" t="s">
        <v>19</v>
      </c>
      <c r="G1138" s="2">
        <v>143.3904</v>
      </c>
      <c r="H1138" s="13">
        <v>6</v>
      </c>
      <c r="I1138" s="13">
        <v>4</v>
      </c>
      <c r="J1138" s="13">
        <v>-4</v>
      </c>
      <c r="K1138" s="10">
        <v>6</v>
      </c>
      <c r="L1138" s="2">
        <v>860.3424</v>
      </c>
      <c r="M1138" s="1">
        <v>44991.433333333334</v>
      </c>
      <c r="N1138" t="s">
        <v>159</v>
      </c>
    </row>
    <row r="1139" spans="1:14" x14ac:dyDescent="0.25">
      <c r="A1139" s="9" t="s">
        <v>5211</v>
      </c>
      <c r="B1139" s="10">
        <v>718</v>
      </c>
      <c r="C1139" s="10" t="s">
        <v>12</v>
      </c>
      <c r="D1139" t="s">
        <v>1830</v>
      </c>
      <c r="E1139" t="s">
        <v>1831</v>
      </c>
      <c r="F1139" s="10" t="s">
        <v>29</v>
      </c>
      <c r="G1139" s="2">
        <v>35.185699999999997</v>
      </c>
      <c r="H1139" s="13">
        <v>6</v>
      </c>
      <c r="I1139" s="13">
        <v>-109</v>
      </c>
      <c r="J1139" s="13">
        <v>109</v>
      </c>
      <c r="K1139" s="10">
        <v>6</v>
      </c>
      <c r="L1139" s="2">
        <v>211.11420000000001</v>
      </c>
      <c r="M1139" s="1">
        <v>45055.906944444447</v>
      </c>
      <c r="N1139" t="s">
        <v>1179</v>
      </c>
    </row>
    <row r="1140" spans="1:14" x14ac:dyDescent="0.25">
      <c r="A1140" s="9" t="s">
        <v>5211</v>
      </c>
      <c r="B1140" s="10">
        <v>718</v>
      </c>
      <c r="C1140" s="10" t="s">
        <v>143</v>
      </c>
      <c r="D1140" t="s">
        <v>3760</v>
      </c>
      <c r="E1140" t="s">
        <v>3761</v>
      </c>
      <c r="F1140" s="10" t="s">
        <v>29</v>
      </c>
      <c r="G1140" s="2">
        <v>33.266300000000001</v>
      </c>
      <c r="H1140" s="13">
        <v>6</v>
      </c>
      <c r="I1140" s="13">
        <v>0</v>
      </c>
      <c r="J1140" s="13">
        <v>0</v>
      </c>
      <c r="K1140" s="10">
        <v>6</v>
      </c>
      <c r="L1140" s="2">
        <v>199.59780000000001</v>
      </c>
      <c r="M1140" s="1">
        <v>45737.495833333334</v>
      </c>
      <c r="N1140" t="s">
        <v>216</v>
      </c>
    </row>
    <row r="1141" spans="1:14" x14ac:dyDescent="0.25">
      <c r="A1141" s="9" t="s">
        <v>5211</v>
      </c>
      <c r="B1141" s="10">
        <v>714</v>
      </c>
      <c r="C1141" s="10" t="s">
        <v>143</v>
      </c>
      <c r="D1141" t="s">
        <v>2616</v>
      </c>
      <c r="E1141" t="s">
        <v>2617</v>
      </c>
      <c r="F1141" s="10" t="s">
        <v>29</v>
      </c>
      <c r="G1141" s="2">
        <v>47.930999999999997</v>
      </c>
      <c r="H1141" s="13">
        <v>6</v>
      </c>
      <c r="I1141" s="13">
        <v>0</v>
      </c>
      <c r="J1141" s="13">
        <v>0</v>
      </c>
      <c r="K1141" s="10">
        <v>6</v>
      </c>
      <c r="L1141" s="2">
        <v>287.58600000000001</v>
      </c>
      <c r="M1141" s="1">
        <v>45745.366666666669</v>
      </c>
      <c r="N1141" t="s">
        <v>26</v>
      </c>
    </row>
    <row r="1142" spans="1:14" x14ac:dyDescent="0.25">
      <c r="A1142" s="9" t="s">
        <v>5211</v>
      </c>
      <c r="B1142" s="10">
        <v>636</v>
      </c>
      <c r="C1142" s="10" t="s">
        <v>323</v>
      </c>
      <c r="D1142" t="s">
        <v>4627</v>
      </c>
      <c r="E1142" t="s">
        <v>4628</v>
      </c>
      <c r="F1142" s="10" t="s">
        <v>29</v>
      </c>
      <c r="G1142" s="2">
        <v>93.496700000000004</v>
      </c>
      <c r="H1142" s="13">
        <v>6</v>
      </c>
      <c r="I1142" s="13">
        <v>0</v>
      </c>
      <c r="J1142" s="13">
        <v>0</v>
      </c>
      <c r="K1142" s="10">
        <v>6</v>
      </c>
      <c r="L1142" s="2">
        <v>560.98019999999997</v>
      </c>
      <c r="M1142" s="1">
        <v>45764.364583333336</v>
      </c>
      <c r="N1142" t="s">
        <v>1271</v>
      </c>
    </row>
    <row r="1143" spans="1:14" x14ac:dyDescent="0.25">
      <c r="A1143" s="9" t="s">
        <v>5211</v>
      </c>
      <c r="B1143" s="10">
        <v>634</v>
      </c>
      <c r="C1143" s="10" t="s">
        <v>323</v>
      </c>
      <c r="D1143" t="s">
        <v>4371</v>
      </c>
      <c r="E1143" s="6" t="s">
        <v>4372</v>
      </c>
      <c r="F1143" s="11" t="s">
        <v>58</v>
      </c>
      <c r="G1143" s="2">
        <v>215.70910000000001</v>
      </c>
      <c r="H1143" s="13">
        <v>6</v>
      </c>
      <c r="I1143" s="13">
        <v>23</v>
      </c>
      <c r="J1143" s="13">
        <v>-23</v>
      </c>
      <c r="K1143" s="10">
        <v>6</v>
      </c>
      <c r="L1143" s="2">
        <v>1294.2546</v>
      </c>
      <c r="M1143" s="1">
        <v>45764.655555555553</v>
      </c>
      <c r="N1143" t="s">
        <v>151</v>
      </c>
    </row>
    <row r="1144" spans="1:14" x14ac:dyDescent="0.25">
      <c r="A1144" s="9" t="s">
        <v>5211</v>
      </c>
      <c r="B1144" s="10">
        <v>634</v>
      </c>
      <c r="C1144" s="10" t="s">
        <v>323</v>
      </c>
      <c r="D1144" t="s">
        <v>436</v>
      </c>
      <c r="E1144" s="6" t="s">
        <v>437</v>
      </c>
      <c r="F1144" s="11" t="s">
        <v>58</v>
      </c>
      <c r="G1144" s="2">
        <v>153.9256</v>
      </c>
      <c r="H1144" s="13">
        <v>6</v>
      </c>
      <c r="I1144" s="13">
        <v>-2</v>
      </c>
      <c r="J1144" s="13">
        <v>2</v>
      </c>
      <c r="K1144" s="10">
        <v>6</v>
      </c>
      <c r="L1144" s="2">
        <v>923.55359999999996</v>
      </c>
      <c r="M1144" s="1">
        <v>45768.520833333336</v>
      </c>
      <c r="N1144" t="s">
        <v>354</v>
      </c>
    </row>
    <row r="1145" spans="1:14" x14ac:dyDescent="0.25">
      <c r="A1145" s="9" t="s">
        <v>5211</v>
      </c>
      <c r="B1145" s="10">
        <v>714</v>
      </c>
      <c r="C1145" s="10" t="s">
        <v>143</v>
      </c>
      <c r="D1145" t="s">
        <v>2646</v>
      </c>
      <c r="E1145" t="s">
        <v>2647</v>
      </c>
      <c r="F1145" s="10" t="s">
        <v>35</v>
      </c>
      <c r="G1145" s="2">
        <v>24.435300000000002</v>
      </c>
      <c r="H1145" s="13">
        <v>6</v>
      </c>
      <c r="I1145" s="13">
        <v>0</v>
      </c>
      <c r="J1145" s="13">
        <v>0</v>
      </c>
      <c r="K1145" s="10">
        <v>6</v>
      </c>
      <c r="L1145" s="2">
        <v>146.61179999999999</v>
      </c>
      <c r="M1145" s="1">
        <v>45769.556250000001</v>
      </c>
      <c r="N1145" t="s">
        <v>1867</v>
      </c>
    </row>
    <row r="1146" spans="1:14" x14ac:dyDescent="0.25">
      <c r="A1146" s="9" t="s">
        <v>5211</v>
      </c>
      <c r="B1146" s="10">
        <v>714</v>
      </c>
      <c r="C1146" s="10" t="s">
        <v>70</v>
      </c>
      <c r="D1146" t="s">
        <v>4030</v>
      </c>
      <c r="E1146" t="s">
        <v>4031</v>
      </c>
      <c r="F1146" s="10" t="s">
        <v>29</v>
      </c>
      <c r="G1146" s="2">
        <v>7.8579999999999997</v>
      </c>
      <c r="H1146" s="13">
        <v>6</v>
      </c>
      <c r="I1146" s="13">
        <v>-25</v>
      </c>
      <c r="J1146" s="13">
        <v>25</v>
      </c>
      <c r="K1146" s="10">
        <v>6</v>
      </c>
      <c r="L1146" s="2">
        <v>47.148000000000003</v>
      </c>
      <c r="M1146" s="1">
        <v>45773.484027777777</v>
      </c>
      <c r="N1146" t="s">
        <v>16</v>
      </c>
    </row>
    <row r="1147" spans="1:14" x14ac:dyDescent="0.25">
      <c r="A1147" s="9" t="s">
        <v>5211</v>
      </c>
      <c r="B1147" s="10">
        <v>714</v>
      </c>
      <c r="C1147" s="10" t="s">
        <v>323</v>
      </c>
      <c r="D1147" t="s">
        <v>1398</v>
      </c>
      <c r="E1147" t="s">
        <v>1399</v>
      </c>
      <c r="F1147" s="10" t="s">
        <v>19</v>
      </c>
      <c r="G1147" s="2">
        <v>191.97290000000001</v>
      </c>
      <c r="H1147" s="13">
        <v>6</v>
      </c>
      <c r="I1147" s="13">
        <v>1</v>
      </c>
      <c r="J1147" s="13">
        <v>-1</v>
      </c>
      <c r="K1147" s="10">
        <v>6</v>
      </c>
      <c r="L1147" s="2">
        <v>1151.8373999999999</v>
      </c>
      <c r="M1147" s="1">
        <v>45776.645833333336</v>
      </c>
      <c r="N1147" t="s">
        <v>501</v>
      </c>
    </row>
    <row r="1148" spans="1:14" x14ac:dyDescent="0.25">
      <c r="A1148" s="9" t="s">
        <v>5211</v>
      </c>
      <c r="B1148" s="10">
        <v>634</v>
      </c>
      <c r="C1148" s="10" t="s">
        <v>12</v>
      </c>
      <c r="D1148" t="s">
        <v>68</v>
      </c>
      <c r="E1148" s="6" t="s">
        <v>69</v>
      </c>
      <c r="F1148" s="11" t="s">
        <v>58</v>
      </c>
      <c r="G1148" s="2">
        <v>9.7100000000000009</v>
      </c>
      <c r="H1148" s="13">
        <v>6</v>
      </c>
      <c r="I1148" s="13">
        <v>0</v>
      </c>
      <c r="J1148" s="13">
        <v>0</v>
      </c>
      <c r="K1148" s="10">
        <v>6</v>
      </c>
      <c r="L1148" s="2">
        <v>58.26</v>
      </c>
      <c r="M1148" s="1">
        <v>45777.59652777778</v>
      </c>
      <c r="N1148" t="s">
        <v>36</v>
      </c>
    </row>
    <row r="1149" spans="1:14" x14ac:dyDescent="0.25">
      <c r="A1149" s="9" t="s">
        <v>5211</v>
      </c>
      <c r="B1149" s="10">
        <v>636</v>
      </c>
      <c r="C1149" s="10" t="s">
        <v>1208</v>
      </c>
      <c r="D1149" t="s">
        <v>1219</v>
      </c>
      <c r="E1149" t="s">
        <v>1220</v>
      </c>
      <c r="F1149" s="10" t="s">
        <v>35</v>
      </c>
      <c r="G1149" s="2">
        <v>27.895299999999999</v>
      </c>
      <c r="H1149" s="13">
        <v>6</v>
      </c>
      <c r="I1149" s="13">
        <v>0</v>
      </c>
      <c r="J1149" s="13">
        <v>0</v>
      </c>
      <c r="K1149" s="10">
        <v>6</v>
      </c>
      <c r="L1149" s="2">
        <v>167.37180000000001</v>
      </c>
      <c r="M1149" s="1">
        <v>45784.319444444445</v>
      </c>
      <c r="N1149" t="s">
        <v>1221</v>
      </c>
    </row>
    <row r="1150" spans="1:14" x14ac:dyDescent="0.25">
      <c r="A1150" s="9" t="s">
        <v>5211</v>
      </c>
      <c r="B1150" s="10">
        <v>714</v>
      </c>
      <c r="C1150" s="10" t="s">
        <v>143</v>
      </c>
      <c r="D1150" t="s">
        <v>2752</v>
      </c>
      <c r="E1150" t="s">
        <v>2753</v>
      </c>
      <c r="F1150" s="10" t="s">
        <v>29</v>
      </c>
      <c r="G1150" s="2">
        <v>15.790800000000001</v>
      </c>
      <c r="H1150" s="13">
        <v>6</v>
      </c>
      <c r="I1150" s="13">
        <v>2</v>
      </c>
      <c r="J1150" s="13">
        <v>-2</v>
      </c>
      <c r="K1150" s="10">
        <v>6</v>
      </c>
      <c r="L1150" s="2">
        <v>94.744799999999998</v>
      </c>
      <c r="M1150" s="1">
        <v>45805.370833333334</v>
      </c>
      <c r="N1150" t="s">
        <v>40</v>
      </c>
    </row>
    <row r="1151" spans="1:14" x14ac:dyDescent="0.25">
      <c r="A1151" s="9" t="s">
        <v>5211</v>
      </c>
      <c r="B1151" s="10">
        <v>634</v>
      </c>
      <c r="C1151" s="10" t="s">
        <v>143</v>
      </c>
      <c r="D1151" t="s">
        <v>193</v>
      </c>
      <c r="E1151" t="s">
        <v>194</v>
      </c>
      <c r="F1151" s="10" t="s">
        <v>29</v>
      </c>
      <c r="G1151" s="2">
        <v>50.348500000000001</v>
      </c>
      <c r="H1151" s="13">
        <v>6</v>
      </c>
      <c r="I1151" s="13">
        <v>0</v>
      </c>
      <c r="J1151" s="13">
        <v>0</v>
      </c>
      <c r="K1151" s="10">
        <v>6</v>
      </c>
      <c r="L1151" s="2">
        <v>302.09100000000001</v>
      </c>
      <c r="M1151" s="1">
        <v>45812.515972222223</v>
      </c>
      <c r="N1151" t="s">
        <v>195</v>
      </c>
    </row>
    <row r="1152" spans="1:14" x14ac:dyDescent="0.25">
      <c r="A1152" s="9" t="s">
        <v>5211</v>
      </c>
      <c r="B1152" s="10">
        <v>714</v>
      </c>
      <c r="C1152" s="10" t="s">
        <v>143</v>
      </c>
      <c r="D1152" t="s">
        <v>2294</v>
      </c>
      <c r="E1152" t="s">
        <v>2295</v>
      </c>
      <c r="F1152" s="10" t="s">
        <v>1047</v>
      </c>
      <c r="G1152" s="2">
        <v>156.88589999999999</v>
      </c>
      <c r="H1152" s="13">
        <v>6</v>
      </c>
      <c r="I1152" s="13">
        <v>0</v>
      </c>
      <c r="J1152" s="13">
        <v>0</v>
      </c>
      <c r="K1152" s="10">
        <v>6</v>
      </c>
      <c r="L1152" s="2">
        <v>941.31539999999995</v>
      </c>
      <c r="M1152" s="1">
        <v>45835.557638888888</v>
      </c>
      <c r="N1152" t="s">
        <v>137</v>
      </c>
    </row>
    <row r="1153" spans="1:14" x14ac:dyDescent="0.25">
      <c r="A1153" s="9" t="s">
        <v>5211</v>
      </c>
      <c r="B1153" s="10">
        <v>714</v>
      </c>
      <c r="C1153" s="10" t="s">
        <v>12</v>
      </c>
      <c r="D1153" t="s">
        <v>1821</v>
      </c>
      <c r="E1153" s="6" t="s">
        <v>1822</v>
      </c>
      <c r="F1153" s="11" t="s">
        <v>58</v>
      </c>
      <c r="G1153" s="2">
        <v>49.237499999999997</v>
      </c>
      <c r="H1153" s="13">
        <v>6</v>
      </c>
      <c r="I1153" s="13">
        <v>0</v>
      </c>
      <c r="J1153" s="13">
        <v>0</v>
      </c>
      <c r="K1153" s="10">
        <v>6</v>
      </c>
      <c r="L1153" s="2">
        <v>295.42500000000001</v>
      </c>
      <c r="M1153" s="1">
        <v>45846.325694444444</v>
      </c>
      <c r="N1153" t="s">
        <v>67</v>
      </c>
    </row>
    <row r="1154" spans="1:14" x14ac:dyDescent="0.25">
      <c r="A1154" s="9" t="s">
        <v>5211</v>
      </c>
      <c r="B1154" s="10">
        <v>634</v>
      </c>
      <c r="C1154" s="10" t="s">
        <v>12</v>
      </c>
      <c r="D1154" t="s">
        <v>13</v>
      </c>
      <c r="E1154" t="s">
        <v>14</v>
      </c>
      <c r="F1154" s="10" t="s">
        <v>15</v>
      </c>
      <c r="G1154" s="2">
        <v>6.4409999999999998</v>
      </c>
      <c r="H1154" s="13">
        <v>6</v>
      </c>
      <c r="I1154" s="13">
        <v>0</v>
      </c>
      <c r="J1154" s="13">
        <v>0</v>
      </c>
      <c r="K1154" s="10">
        <v>6</v>
      </c>
      <c r="L1154" s="2">
        <v>38.646000000000001</v>
      </c>
      <c r="M1154" s="1">
        <v>45863.606249999997</v>
      </c>
      <c r="N1154" t="s">
        <v>16</v>
      </c>
    </row>
    <row r="1155" spans="1:14" x14ac:dyDescent="0.25">
      <c r="A1155" s="9" t="s">
        <v>5211</v>
      </c>
      <c r="B1155" s="10">
        <v>634</v>
      </c>
      <c r="C1155" s="10" t="s">
        <v>70</v>
      </c>
      <c r="D1155" t="s">
        <v>4016</v>
      </c>
      <c r="E1155" s="6" t="s">
        <v>4017</v>
      </c>
      <c r="F1155" s="11" t="s">
        <v>58</v>
      </c>
      <c r="G1155" s="2">
        <v>9.0177999999999994</v>
      </c>
      <c r="H1155" s="13">
        <v>6</v>
      </c>
      <c r="I1155" s="13">
        <v>124</v>
      </c>
      <c r="J1155" s="13">
        <v>-124</v>
      </c>
      <c r="K1155" s="10">
        <v>6</v>
      </c>
      <c r="L1155" s="2">
        <v>54.1068</v>
      </c>
      <c r="M1155" s="1">
        <v>45868.500694444447</v>
      </c>
      <c r="N1155" t="s">
        <v>40</v>
      </c>
    </row>
    <row r="1156" spans="1:14" x14ac:dyDescent="0.25">
      <c r="A1156" s="9" t="s">
        <v>5211</v>
      </c>
      <c r="B1156" s="10">
        <v>714</v>
      </c>
      <c r="C1156" s="10" t="s">
        <v>323</v>
      </c>
      <c r="D1156" t="s">
        <v>3121</v>
      </c>
      <c r="E1156" t="s">
        <v>3122</v>
      </c>
      <c r="F1156" s="10" t="s">
        <v>39</v>
      </c>
      <c r="G1156" s="2">
        <v>76.412300000000002</v>
      </c>
      <c r="H1156" s="13">
        <v>6</v>
      </c>
      <c r="I1156" s="13">
        <v>0</v>
      </c>
      <c r="J1156" s="13">
        <v>0</v>
      </c>
      <c r="K1156" s="10">
        <v>6</v>
      </c>
      <c r="L1156" s="2">
        <v>458.47379999999998</v>
      </c>
      <c r="M1156" s="1">
        <v>45903.385416666664</v>
      </c>
      <c r="N1156" t="s">
        <v>36</v>
      </c>
    </row>
    <row r="1157" spans="1:14" x14ac:dyDescent="0.25">
      <c r="A1157" s="9" t="s">
        <v>5211</v>
      </c>
      <c r="B1157" s="10">
        <v>714</v>
      </c>
      <c r="C1157" s="10" t="s">
        <v>143</v>
      </c>
      <c r="D1157" t="s">
        <v>4901</v>
      </c>
      <c r="E1157" t="s">
        <v>4902</v>
      </c>
      <c r="F1157" s="10" t="s">
        <v>23</v>
      </c>
      <c r="G1157" s="2">
        <v>42.348799999999997</v>
      </c>
      <c r="H1157" s="13">
        <v>6</v>
      </c>
      <c r="I1157" s="13">
        <v>18</v>
      </c>
      <c r="J1157" s="13">
        <v>-18</v>
      </c>
      <c r="K1157" s="10">
        <v>6</v>
      </c>
      <c r="L1157" s="2">
        <v>254.09280000000001</v>
      </c>
      <c r="M1157" s="1">
        <v>45953.436111111114</v>
      </c>
      <c r="N1157" t="s">
        <v>159</v>
      </c>
    </row>
    <row r="1158" spans="1:14" x14ac:dyDescent="0.25">
      <c r="A1158" s="9" t="s">
        <v>5211</v>
      </c>
      <c r="B1158" s="10">
        <v>636</v>
      </c>
      <c r="C1158" s="10" t="s">
        <v>323</v>
      </c>
      <c r="D1158" t="s">
        <v>1472</v>
      </c>
      <c r="E1158" t="s">
        <v>1473</v>
      </c>
      <c r="F1158" s="10" t="s">
        <v>23</v>
      </c>
      <c r="G1158" s="2">
        <v>207.80690000000001</v>
      </c>
      <c r="H1158" s="13">
        <v>6</v>
      </c>
      <c r="I1158" s="13">
        <v>1</v>
      </c>
      <c r="J1158" s="13">
        <v>-1</v>
      </c>
      <c r="K1158" s="10">
        <v>6</v>
      </c>
      <c r="L1158" s="2">
        <v>1246.8414</v>
      </c>
      <c r="M1158" s="1">
        <v>45954.380555555559</v>
      </c>
      <c r="N1158" t="s">
        <v>151</v>
      </c>
    </row>
    <row r="1159" spans="1:14" x14ac:dyDescent="0.25">
      <c r="A1159" s="9" t="s">
        <v>5211</v>
      </c>
      <c r="B1159" s="10">
        <v>636</v>
      </c>
      <c r="C1159" s="10" t="s">
        <v>323</v>
      </c>
      <c r="D1159" t="s">
        <v>3353</v>
      </c>
      <c r="E1159" t="s">
        <v>3354</v>
      </c>
      <c r="F1159" s="10" t="s">
        <v>19</v>
      </c>
      <c r="G1159" s="2">
        <v>235.126</v>
      </c>
      <c r="H1159" s="13">
        <v>6</v>
      </c>
      <c r="I1159" s="13">
        <v>2</v>
      </c>
      <c r="J1159" s="13">
        <v>-2</v>
      </c>
      <c r="K1159" s="10">
        <v>6</v>
      </c>
      <c r="L1159" s="2">
        <v>1410.7560000000001</v>
      </c>
      <c r="M1159" s="1">
        <v>46069.413194444445</v>
      </c>
      <c r="N1159" t="s">
        <v>151</v>
      </c>
    </row>
    <row r="1160" spans="1:14" x14ac:dyDescent="0.25">
      <c r="A1160" s="9" t="s">
        <v>5211</v>
      </c>
      <c r="B1160" s="10">
        <v>636</v>
      </c>
      <c r="C1160" s="10" t="s">
        <v>323</v>
      </c>
      <c r="D1160" t="s">
        <v>4343</v>
      </c>
      <c r="E1160" t="s">
        <v>4344</v>
      </c>
      <c r="F1160" s="10" t="s">
        <v>158</v>
      </c>
      <c r="G1160" s="2">
        <v>192.50720000000001</v>
      </c>
      <c r="H1160" s="13">
        <v>6</v>
      </c>
      <c r="I1160" s="13">
        <v>26</v>
      </c>
      <c r="J1160" s="13">
        <v>-26</v>
      </c>
      <c r="K1160" s="10">
        <v>6</v>
      </c>
      <c r="L1160" s="2">
        <v>1155.0432000000001</v>
      </c>
      <c r="M1160" s="1">
        <v>46072.395138888889</v>
      </c>
      <c r="N1160" t="s">
        <v>159</v>
      </c>
    </row>
    <row r="1161" spans="1:14" x14ac:dyDescent="0.25">
      <c r="A1161" s="9" t="s">
        <v>5211</v>
      </c>
      <c r="B1161" s="10">
        <v>636</v>
      </c>
      <c r="C1161" s="10" t="s">
        <v>323</v>
      </c>
      <c r="D1161" t="s">
        <v>1438</v>
      </c>
      <c r="E1161" s="6" t="s">
        <v>1439</v>
      </c>
      <c r="F1161" s="11" t="s">
        <v>58</v>
      </c>
      <c r="G1161" s="2">
        <v>140.50749999999999</v>
      </c>
      <c r="H1161" s="13">
        <v>6</v>
      </c>
      <c r="I1161" s="13">
        <v>0</v>
      </c>
      <c r="J1161" s="13">
        <v>0</v>
      </c>
      <c r="K1161" s="10">
        <v>6</v>
      </c>
      <c r="L1161" s="2">
        <v>843.04499999999996</v>
      </c>
      <c r="M1161" s="1">
        <v>46072.395138888889</v>
      </c>
      <c r="N1161" t="s">
        <v>159</v>
      </c>
    </row>
    <row r="1162" spans="1:14" x14ac:dyDescent="0.25">
      <c r="A1162" s="9" t="s">
        <v>5211</v>
      </c>
      <c r="B1162" s="10">
        <v>636</v>
      </c>
      <c r="C1162" s="10" t="s">
        <v>323</v>
      </c>
      <c r="D1162" t="s">
        <v>1462</v>
      </c>
      <c r="E1162" t="s">
        <v>1463</v>
      </c>
      <c r="F1162" s="10" t="s">
        <v>19</v>
      </c>
      <c r="G1162" s="2">
        <v>323.39409999999998</v>
      </c>
      <c r="H1162" s="13">
        <v>6</v>
      </c>
      <c r="I1162" s="13">
        <v>0</v>
      </c>
      <c r="J1162" s="13">
        <v>0</v>
      </c>
      <c r="K1162" s="10">
        <v>6</v>
      </c>
      <c r="L1162" s="2">
        <v>1940.3646000000001</v>
      </c>
      <c r="M1162" s="1">
        <v>46072.503472222219</v>
      </c>
      <c r="N1162" t="s">
        <v>1229</v>
      </c>
    </row>
    <row r="1163" spans="1:14" x14ac:dyDescent="0.25">
      <c r="A1163" s="9" t="s">
        <v>5211</v>
      </c>
      <c r="B1163" s="10">
        <v>718</v>
      </c>
      <c r="C1163" s="10" t="s">
        <v>323</v>
      </c>
      <c r="D1163" t="s">
        <v>1580</v>
      </c>
      <c r="E1163" t="s">
        <v>1581</v>
      </c>
      <c r="F1163" s="10" t="s">
        <v>158</v>
      </c>
      <c r="G1163" s="2">
        <v>190.0924</v>
      </c>
      <c r="H1163" s="13">
        <v>6</v>
      </c>
      <c r="I1163" s="13">
        <v>4</v>
      </c>
      <c r="J1163" s="13">
        <v>-4</v>
      </c>
      <c r="K1163" s="10">
        <v>6</v>
      </c>
      <c r="L1163" s="2">
        <v>1140.5544</v>
      </c>
      <c r="M1163" s="1">
        <v>46077.418055555558</v>
      </c>
      <c r="N1163" t="s">
        <v>151</v>
      </c>
    </row>
    <row r="1164" spans="1:14" x14ac:dyDescent="0.25">
      <c r="A1164" s="9" t="s">
        <v>5211</v>
      </c>
      <c r="B1164" s="10">
        <v>714</v>
      </c>
      <c r="C1164" s="10" t="s">
        <v>323</v>
      </c>
      <c r="D1164" t="s">
        <v>4266</v>
      </c>
      <c r="E1164" t="s">
        <v>4267</v>
      </c>
      <c r="F1164" s="10" t="s">
        <v>158</v>
      </c>
      <c r="G1164" s="2">
        <v>136.04349999999999</v>
      </c>
      <c r="H1164" s="13">
        <v>6</v>
      </c>
      <c r="I1164" s="13">
        <v>4</v>
      </c>
      <c r="J1164" s="13">
        <v>-4</v>
      </c>
      <c r="K1164" s="10">
        <v>6</v>
      </c>
      <c r="L1164" s="2">
        <v>816.26099999999997</v>
      </c>
      <c r="M1164" s="1">
        <v>46079.423611111109</v>
      </c>
      <c r="N1164" t="s">
        <v>159</v>
      </c>
    </row>
    <row r="1165" spans="1:14" x14ac:dyDescent="0.25">
      <c r="A1165" s="9" t="s">
        <v>5211</v>
      </c>
      <c r="B1165" s="10">
        <v>636</v>
      </c>
      <c r="C1165" s="10" t="s">
        <v>323</v>
      </c>
      <c r="D1165" t="s">
        <v>1298</v>
      </c>
      <c r="E1165" t="s">
        <v>1299</v>
      </c>
      <c r="F1165" s="10" t="s">
        <v>29</v>
      </c>
      <c r="G1165" s="2">
        <v>239.37450000000001</v>
      </c>
      <c r="H1165" s="13">
        <v>6</v>
      </c>
      <c r="I1165" s="13">
        <v>1</v>
      </c>
      <c r="J1165" s="13">
        <v>-1</v>
      </c>
      <c r="K1165" s="10">
        <v>6</v>
      </c>
      <c r="L1165" s="2">
        <v>1436.2470000000001</v>
      </c>
      <c r="M1165" s="1">
        <v>46080.464583333334</v>
      </c>
      <c r="N1165" t="s">
        <v>151</v>
      </c>
    </row>
    <row r="1166" spans="1:14" x14ac:dyDescent="0.25">
      <c r="A1166" s="9" t="s">
        <v>5211</v>
      </c>
      <c r="B1166" s="10">
        <v>634</v>
      </c>
      <c r="C1166" s="10" t="s">
        <v>323</v>
      </c>
      <c r="D1166" t="s">
        <v>418</v>
      </c>
      <c r="E1166" t="s">
        <v>419</v>
      </c>
      <c r="F1166" s="10" t="s">
        <v>23</v>
      </c>
      <c r="G1166" s="2">
        <v>153.4932</v>
      </c>
      <c r="H1166" s="13">
        <v>6</v>
      </c>
      <c r="I1166" s="13">
        <v>3</v>
      </c>
      <c r="J1166" s="13">
        <v>-3</v>
      </c>
      <c r="K1166" s="10">
        <v>6</v>
      </c>
      <c r="L1166" s="2">
        <v>920.95920000000001</v>
      </c>
      <c r="M1166" s="1">
        <v>46080.506249999999</v>
      </c>
      <c r="N1166" t="s">
        <v>159</v>
      </c>
    </row>
    <row r="1167" spans="1:14" x14ac:dyDescent="0.25">
      <c r="A1167" s="9" t="s">
        <v>5211</v>
      </c>
      <c r="B1167" s="10">
        <v>714</v>
      </c>
      <c r="C1167" s="10" t="s">
        <v>126</v>
      </c>
      <c r="D1167" t="s">
        <v>4463</v>
      </c>
      <c r="E1167" t="s">
        <v>4464</v>
      </c>
      <c r="F1167" s="10" t="s">
        <v>23</v>
      </c>
      <c r="G1167" s="2">
        <v>498.82330000000002</v>
      </c>
      <c r="H1167" s="13">
        <v>6</v>
      </c>
      <c r="I1167" s="13">
        <v>2</v>
      </c>
      <c r="J1167" s="13">
        <v>-2</v>
      </c>
      <c r="K1167" s="10">
        <v>6</v>
      </c>
      <c r="L1167" s="2">
        <v>2992.9398000000001</v>
      </c>
      <c r="M1167" s="1">
        <v>46083.444444444445</v>
      </c>
      <c r="N1167" t="s">
        <v>137</v>
      </c>
    </row>
    <row r="1168" spans="1:14" x14ac:dyDescent="0.25">
      <c r="A1168" s="9" t="s">
        <v>5211</v>
      </c>
      <c r="B1168" s="10">
        <v>714</v>
      </c>
      <c r="C1168" s="10" t="s">
        <v>323</v>
      </c>
      <c r="D1168" t="s">
        <v>1312</v>
      </c>
      <c r="E1168" t="s">
        <v>1313</v>
      </c>
      <c r="F1168" s="10" t="s">
        <v>455</v>
      </c>
      <c r="G1168" s="2">
        <v>120.94880000000001</v>
      </c>
      <c r="H1168" s="13">
        <v>6</v>
      </c>
      <c r="I1168" s="13">
        <v>-4</v>
      </c>
      <c r="J1168" s="13">
        <v>4</v>
      </c>
      <c r="K1168" s="10">
        <v>6</v>
      </c>
      <c r="L1168" s="2">
        <v>725.69280000000003</v>
      </c>
      <c r="M1168" s="1">
        <v>46085.367361111108</v>
      </c>
      <c r="N1168" t="s">
        <v>2257</v>
      </c>
    </row>
    <row r="1169" spans="1:14" x14ac:dyDescent="0.25">
      <c r="A1169" s="9" t="s">
        <v>5211</v>
      </c>
      <c r="B1169" s="10">
        <v>714</v>
      </c>
      <c r="C1169" s="10" t="s">
        <v>323</v>
      </c>
      <c r="D1169" t="s">
        <v>3233</v>
      </c>
      <c r="E1169" t="s">
        <v>3234</v>
      </c>
      <c r="F1169" s="10" t="s">
        <v>19</v>
      </c>
      <c r="G1169" s="2">
        <v>201.2799</v>
      </c>
      <c r="H1169" s="13">
        <v>6</v>
      </c>
      <c r="I1169" s="13">
        <v>0</v>
      </c>
      <c r="J1169" s="13">
        <v>0</v>
      </c>
      <c r="K1169" s="10">
        <v>6</v>
      </c>
      <c r="L1169" s="2">
        <v>1207.6794</v>
      </c>
      <c r="M1169" s="1">
        <v>46087.429861111108</v>
      </c>
      <c r="N1169" t="s">
        <v>159</v>
      </c>
    </row>
    <row r="1170" spans="1:14" x14ac:dyDescent="0.25">
      <c r="A1170" s="9" t="s">
        <v>5211</v>
      </c>
      <c r="B1170" s="10">
        <v>714</v>
      </c>
      <c r="C1170" s="10" t="s">
        <v>323</v>
      </c>
      <c r="D1170" t="s">
        <v>434</v>
      </c>
      <c r="E1170" t="s">
        <v>435</v>
      </c>
      <c r="F1170" s="10" t="s">
        <v>23</v>
      </c>
      <c r="G1170" s="2">
        <v>147.98560000000001</v>
      </c>
      <c r="H1170" s="13">
        <v>6</v>
      </c>
      <c r="I1170" s="13">
        <v>0</v>
      </c>
      <c r="J1170" s="13">
        <v>0</v>
      </c>
      <c r="K1170" s="10">
        <v>6</v>
      </c>
      <c r="L1170" s="2">
        <v>887.91359999999997</v>
      </c>
      <c r="M1170" s="1">
        <v>46087.493055555555</v>
      </c>
      <c r="N1170" t="s">
        <v>354</v>
      </c>
    </row>
    <row r="1171" spans="1:14" x14ac:dyDescent="0.25">
      <c r="A1171" s="9" t="s">
        <v>5211</v>
      </c>
      <c r="B1171" s="10">
        <v>714</v>
      </c>
      <c r="C1171" s="10" t="s">
        <v>323</v>
      </c>
      <c r="D1171" t="s">
        <v>3512</v>
      </c>
      <c r="E1171" t="s">
        <v>3513</v>
      </c>
      <c r="F1171" s="10" t="s">
        <v>29</v>
      </c>
      <c r="G1171" s="2">
        <v>140.89859999999999</v>
      </c>
      <c r="H1171" s="13">
        <v>6</v>
      </c>
      <c r="I1171" s="13">
        <v>-1</v>
      </c>
      <c r="J1171" s="13">
        <v>1</v>
      </c>
      <c r="K1171" s="10">
        <v>6</v>
      </c>
      <c r="L1171" s="2">
        <v>845.39160000000004</v>
      </c>
      <c r="M1171" s="1">
        <v>46093.634722222225</v>
      </c>
      <c r="N1171" t="s">
        <v>2257</v>
      </c>
    </row>
    <row r="1172" spans="1:14" x14ac:dyDescent="0.25">
      <c r="A1172" s="9" t="s">
        <v>5211</v>
      </c>
      <c r="B1172" s="10">
        <v>634</v>
      </c>
      <c r="C1172" s="10" t="s">
        <v>323</v>
      </c>
      <c r="D1172" t="s">
        <v>4314</v>
      </c>
      <c r="E1172" t="s">
        <v>4315</v>
      </c>
      <c r="F1172" s="10" t="s">
        <v>19</v>
      </c>
      <c r="G1172" s="2">
        <v>137.10419999999999</v>
      </c>
      <c r="H1172" s="13">
        <v>6</v>
      </c>
      <c r="I1172" s="13">
        <v>8</v>
      </c>
      <c r="J1172" s="13">
        <v>-8</v>
      </c>
      <c r="K1172" s="10">
        <v>6</v>
      </c>
      <c r="L1172" s="2">
        <v>822.62519999999995</v>
      </c>
      <c r="M1172" s="1">
        <v>46099.42083333333</v>
      </c>
      <c r="N1172" t="s">
        <v>137</v>
      </c>
    </row>
    <row r="1173" spans="1:14" x14ac:dyDescent="0.25">
      <c r="A1173" s="9" t="s">
        <v>5211</v>
      </c>
      <c r="B1173" s="10">
        <v>634</v>
      </c>
      <c r="C1173" s="10" t="s">
        <v>323</v>
      </c>
      <c r="D1173" t="s">
        <v>1294</v>
      </c>
      <c r="E1173" t="s">
        <v>1295</v>
      </c>
      <c r="F1173" s="10" t="s">
        <v>23</v>
      </c>
      <c r="G1173" s="2">
        <v>162.03219999999999</v>
      </c>
      <c r="H1173" s="13">
        <v>6</v>
      </c>
      <c r="I1173" s="13">
        <v>1</v>
      </c>
      <c r="J1173" s="13">
        <v>-1</v>
      </c>
      <c r="K1173" s="10">
        <v>6</v>
      </c>
      <c r="L1173" s="2">
        <v>972.19320000000005</v>
      </c>
      <c r="M1173" s="1">
        <v>46099.42083333333</v>
      </c>
      <c r="N1173" t="s">
        <v>137</v>
      </c>
    </row>
    <row r="1174" spans="1:14" x14ac:dyDescent="0.25">
      <c r="A1174" s="9" t="s">
        <v>5211</v>
      </c>
      <c r="B1174" s="10">
        <v>636</v>
      </c>
      <c r="C1174" s="10" t="s">
        <v>143</v>
      </c>
      <c r="D1174" t="s">
        <v>1076</v>
      </c>
      <c r="E1174" t="s">
        <v>1077</v>
      </c>
      <c r="F1174" s="10" t="s">
        <v>19</v>
      </c>
      <c r="G1174" s="2">
        <v>176.1326</v>
      </c>
      <c r="H1174" s="13">
        <v>6</v>
      </c>
      <c r="I1174" s="13">
        <v>0</v>
      </c>
      <c r="J1174" s="13">
        <v>0</v>
      </c>
      <c r="K1174" s="10">
        <v>6</v>
      </c>
      <c r="L1174" s="2">
        <v>1056.7955999999999</v>
      </c>
      <c r="M1174" s="1">
        <v>46105.497916666667</v>
      </c>
      <c r="N1174" t="s">
        <v>165</v>
      </c>
    </row>
    <row r="1175" spans="1:14" x14ac:dyDescent="0.25">
      <c r="A1175" s="9" t="s">
        <v>5211</v>
      </c>
      <c r="B1175" s="10">
        <v>636</v>
      </c>
      <c r="C1175" s="10" t="s">
        <v>323</v>
      </c>
      <c r="D1175" t="s">
        <v>1588</v>
      </c>
      <c r="E1175" t="s">
        <v>1589</v>
      </c>
      <c r="F1175" s="10" t="s">
        <v>29</v>
      </c>
      <c r="G1175" s="2">
        <v>192.69450000000001</v>
      </c>
      <c r="H1175" s="13">
        <v>6</v>
      </c>
      <c r="I1175" s="13">
        <v>0</v>
      </c>
      <c r="J1175" s="13">
        <v>0</v>
      </c>
      <c r="K1175" s="10">
        <v>6</v>
      </c>
      <c r="L1175" s="2">
        <v>1156.1669999999999</v>
      </c>
      <c r="M1175" s="1">
        <v>46107.539583333331</v>
      </c>
      <c r="N1175" t="s">
        <v>295</v>
      </c>
    </row>
    <row r="1176" spans="1:14" x14ac:dyDescent="0.25">
      <c r="A1176" s="9" t="s">
        <v>5211</v>
      </c>
      <c r="B1176" s="10">
        <v>636</v>
      </c>
      <c r="C1176" s="10" t="s">
        <v>323</v>
      </c>
      <c r="D1176" t="s">
        <v>4308</v>
      </c>
      <c r="E1176" t="s">
        <v>4309</v>
      </c>
      <c r="F1176" s="10" t="s">
        <v>158</v>
      </c>
      <c r="G1176" s="2">
        <v>140.32159999999999</v>
      </c>
      <c r="H1176" s="13">
        <v>6</v>
      </c>
      <c r="I1176" s="13">
        <v>12</v>
      </c>
      <c r="J1176" s="13">
        <v>-12</v>
      </c>
      <c r="K1176" s="10">
        <v>6</v>
      </c>
      <c r="L1176" s="2">
        <v>841.92960000000005</v>
      </c>
      <c r="M1176" s="1">
        <v>46108.519444444442</v>
      </c>
      <c r="N1176" t="s">
        <v>411</v>
      </c>
    </row>
    <row r="1177" spans="1:14" x14ac:dyDescent="0.25">
      <c r="A1177" s="9" t="s">
        <v>5211</v>
      </c>
      <c r="B1177" s="10">
        <v>714</v>
      </c>
      <c r="C1177" s="10" t="s">
        <v>323</v>
      </c>
      <c r="D1177" t="s">
        <v>2848</v>
      </c>
      <c r="E1177" t="s">
        <v>2849</v>
      </c>
      <c r="F1177" s="10" t="s">
        <v>29</v>
      </c>
      <c r="G1177" s="2">
        <v>205.48679999999999</v>
      </c>
      <c r="H1177" s="13">
        <v>6</v>
      </c>
      <c r="I1177" s="13">
        <v>2</v>
      </c>
      <c r="J1177" s="13">
        <v>-2</v>
      </c>
      <c r="K1177" s="10">
        <v>6</v>
      </c>
      <c r="L1177" s="2">
        <v>1232.9208000000001</v>
      </c>
      <c r="M1177" s="1">
        <v>46112.315972222219</v>
      </c>
      <c r="N1177" t="s">
        <v>36</v>
      </c>
    </row>
    <row r="1178" spans="1:14" x14ac:dyDescent="0.25">
      <c r="A1178" s="9" t="s">
        <v>5211</v>
      </c>
      <c r="B1178" s="10">
        <v>718</v>
      </c>
      <c r="C1178" s="10" t="s">
        <v>143</v>
      </c>
      <c r="D1178" t="s">
        <v>4821</v>
      </c>
      <c r="E1178" t="s">
        <v>4822</v>
      </c>
      <c r="F1178" s="10" t="s">
        <v>23</v>
      </c>
      <c r="G1178" s="2">
        <v>154.9016</v>
      </c>
      <c r="H1178" s="13">
        <v>6</v>
      </c>
      <c r="I1178" s="13">
        <v>10</v>
      </c>
      <c r="J1178" s="13">
        <v>-10</v>
      </c>
      <c r="K1178" s="10">
        <v>6</v>
      </c>
      <c r="L1178" s="2">
        <v>929.40959999999995</v>
      </c>
      <c r="M1178" s="1">
        <v>46112.350694444445</v>
      </c>
      <c r="N1178" t="s">
        <v>36</v>
      </c>
    </row>
    <row r="1179" spans="1:14" x14ac:dyDescent="0.25">
      <c r="A1179" s="9" t="s">
        <v>5211</v>
      </c>
      <c r="B1179" s="10">
        <v>634</v>
      </c>
      <c r="C1179" s="10" t="s">
        <v>323</v>
      </c>
      <c r="D1179" t="s">
        <v>474</v>
      </c>
      <c r="E1179" t="s">
        <v>475</v>
      </c>
      <c r="F1179" s="10" t="s">
        <v>19</v>
      </c>
      <c r="G1179" s="2">
        <v>109.866</v>
      </c>
      <c r="H1179" s="13">
        <v>6</v>
      </c>
      <c r="I1179" s="13">
        <v>0</v>
      </c>
      <c r="J1179" s="13">
        <v>0</v>
      </c>
      <c r="K1179" s="10">
        <v>6</v>
      </c>
      <c r="L1179" s="2">
        <v>659.19600000000003</v>
      </c>
      <c r="M1179" s="1">
        <v>46113.665277777778</v>
      </c>
      <c r="N1179" t="s">
        <v>137</v>
      </c>
    </row>
    <row r="1180" spans="1:14" x14ac:dyDescent="0.25">
      <c r="A1180" s="9" t="s">
        <v>5211</v>
      </c>
      <c r="B1180" s="10">
        <v>636</v>
      </c>
      <c r="C1180" s="10" t="s">
        <v>323</v>
      </c>
      <c r="D1180" t="s">
        <v>1682</v>
      </c>
      <c r="E1180" t="s">
        <v>1683</v>
      </c>
      <c r="F1180" s="10" t="s">
        <v>23</v>
      </c>
      <c r="G1180" s="2">
        <v>232.01060000000001</v>
      </c>
      <c r="H1180" s="13">
        <v>6</v>
      </c>
      <c r="I1180" s="13">
        <v>-1</v>
      </c>
      <c r="J1180" s="13">
        <v>1</v>
      </c>
      <c r="K1180" s="10">
        <v>6</v>
      </c>
      <c r="L1180" s="2">
        <v>1392.0636</v>
      </c>
      <c r="M1180" s="1">
        <v>46114.394444444442</v>
      </c>
      <c r="N1180" t="s">
        <v>486</v>
      </c>
    </row>
    <row r="1181" spans="1:14" x14ac:dyDescent="0.25">
      <c r="A1181" s="9" t="s">
        <v>5211</v>
      </c>
      <c r="B1181" s="10">
        <v>636</v>
      </c>
      <c r="C1181" s="10" t="s">
        <v>323</v>
      </c>
      <c r="D1181" t="s">
        <v>1503</v>
      </c>
      <c r="E1181" t="s">
        <v>1504</v>
      </c>
      <c r="F1181" s="10" t="s">
        <v>29</v>
      </c>
      <c r="G1181" s="2">
        <v>15.2255</v>
      </c>
      <c r="H1181" s="13">
        <v>6</v>
      </c>
      <c r="I1181" s="13">
        <v>0</v>
      </c>
      <c r="J1181" s="13">
        <v>0</v>
      </c>
      <c r="K1181" s="10">
        <v>6</v>
      </c>
      <c r="L1181" s="2">
        <v>91.352999999999994</v>
      </c>
      <c r="M1181" s="1">
        <v>46114.597916666666</v>
      </c>
      <c r="N1181" t="s">
        <v>797</v>
      </c>
    </row>
    <row r="1182" spans="1:14" x14ac:dyDescent="0.25">
      <c r="A1182" s="9" t="s">
        <v>5211</v>
      </c>
      <c r="B1182" s="10">
        <v>636</v>
      </c>
      <c r="C1182" s="10" t="s">
        <v>143</v>
      </c>
      <c r="D1182" t="s">
        <v>1070</v>
      </c>
      <c r="E1182" t="s">
        <v>1071</v>
      </c>
      <c r="F1182" s="10" t="s">
        <v>23</v>
      </c>
      <c r="G1182" s="2">
        <v>131.1454</v>
      </c>
      <c r="H1182" s="13">
        <v>6</v>
      </c>
      <c r="I1182" s="13">
        <v>0</v>
      </c>
      <c r="J1182" s="13">
        <v>0</v>
      </c>
      <c r="K1182" s="10">
        <v>6</v>
      </c>
      <c r="L1182" s="2">
        <v>786.87239999999997</v>
      </c>
      <c r="M1182" s="1">
        <v>46114.612500000003</v>
      </c>
      <c r="N1182" t="s">
        <v>330</v>
      </c>
    </row>
    <row r="1183" spans="1:14" x14ac:dyDescent="0.25">
      <c r="A1183" s="9" t="s">
        <v>5211</v>
      </c>
      <c r="B1183" s="10">
        <v>636</v>
      </c>
      <c r="C1183" s="10" t="s">
        <v>323</v>
      </c>
      <c r="D1183" t="s">
        <v>1618</v>
      </c>
      <c r="E1183" t="s">
        <v>1619</v>
      </c>
      <c r="F1183" s="10" t="s">
        <v>158</v>
      </c>
      <c r="G1183" s="2">
        <v>171</v>
      </c>
      <c r="H1183" s="13">
        <v>6</v>
      </c>
      <c r="I1183" s="13">
        <v>0</v>
      </c>
      <c r="J1183" s="13">
        <v>0</v>
      </c>
      <c r="K1183" s="10">
        <v>6</v>
      </c>
      <c r="L1183" s="2">
        <v>1026</v>
      </c>
      <c r="M1183" s="1">
        <v>46114.613888888889</v>
      </c>
      <c r="N1183" t="s">
        <v>1067</v>
      </c>
    </row>
    <row r="1184" spans="1:14" x14ac:dyDescent="0.25">
      <c r="A1184" s="9" t="s">
        <v>5211</v>
      </c>
      <c r="B1184" s="10">
        <v>634</v>
      </c>
      <c r="C1184" s="10" t="s">
        <v>323</v>
      </c>
      <c r="D1184" t="s">
        <v>364</v>
      </c>
      <c r="E1184" t="s">
        <v>365</v>
      </c>
      <c r="F1184" s="10" t="s">
        <v>158</v>
      </c>
      <c r="G1184" s="2">
        <v>139.31370000000001</v>
      </c>
      <c r="H1184" s="13">
        <v>6</v>
      </c>
      <c r="I1184" s="13">
        <v>0</v>
      </c>
      <c r="J1184" s="13">
        <v>0</v>
      </c>
      <c r="K1184" s="10">
        <v>6</v>
      </c>
      <c r="L1184" s="2">
        <v>835.88220000000001</v>
      </c>
      <c r="M1184" s="1">
        <v>46115.321527777778</v>
      </c>
      <c r="N1184" t="s">
        <v>366</v>
      </c>
    </row>
    <row r="1185" spans="1:14" x14ac:dyDescent="0.25">
      <c r="A1185" s="9" t="s">
        <v>5211</v>
      </c>
      <c r="B1185" s="10">
        <v>634</v>
      </c>
      <c r="C1185" s="10" t="s">
        <v>323</v>
      </c>
      <c r="D1185" t="s">
        <v>326</v>
      </c>
      <c r="E1185" t="s">
        <v>327</v>
      </c>
      <c r="F1185" s="10" t="s">
        <v>29</v>
      </c>
      <c r="G1185" s="2">
        <v>147.05410000000001</v>
      </c>
      <c r="H1185" s="13">
        <v>6</v>
      </c>
      <c r="I1185" s="13">
        <v>0</v>
      </c>
      <c r="J1185" s="13">
        <v>0</v>
      </c>
      <c r="K1185" s="10">
        <v>6</v>
      </c>
      <c r="L1185" s="2">
        <v>882.32460000000003</v>
      </c>
      <c r="M1185" s="1">
        <v>46115.618055555555</v>
      </c>
      <c r="N1185" t="s">
        <v>295</v>
      </c>
    </row>
    <row r="1186" spans="1:14" x14ac:dyDescent="0.25">
      <c r="A1186" s="9" t="s">
        <v>5211</v>
      </c>
      <c r="B1186" s="10">
        <v>714</v>
      </c>
      <c r="C1186" s="10" t="s">
        <v>323</v>
      </c>
      <c r="D1186" t="s">
        <v>3435</v>
      </c>
      <c r="E1186" t="s">
        <v>3436</v>
      </c>
      <c r="F1186" s="10" t="s">
        <v>19</v>
      </c>
      <c r="G1186" s="2">
        <v>121.77</v>
      </c>
      <c r="H1186" s="13">
        <v>6</v>
      </c>
      <c r="I1186" s="13">
        <v>0</v>
      </c>
      <c r="J1186" s="13">
        <v>0</v>
      </c>
      <c r="K1186" s="10">
        <v>6</v>
      </c>
      <c r="L1186" s="2">
        <v>730.62</v>
      </c>
      <c r="M1186" s="1">
        <v>46118.304861111108</v>
      </c>
      <c r="N1186" t="s">
        <v>2423</v>
      </c>
    </row>
    <row r="1187" spans="1:14" x14ac:dyDescent="0.25">
      <c r="A1187" s="9" t="s">
        <v>5211</v>
      </c>
      <c r="B1187" s="10">
        <v>714</v>
      </c>
      <c r="C1187" s="10" t="s">
        <v>143</v>
      </c>
      <c r="D1187" t="s">
        <v>2653</v>
      </c>
      <c r="E1187" t="s">
        <v>2654</v>
      </c>
      <c r="F1187" s="10" t="s">
        <v>29</v>
      </c>
      <c r="G1187" s="2">
        <v>23.670300000000001</v>
      </c>
      <c r="H1187" s="13">
        <v>6</v>
      </c>
      <c r="I1187" s="13">
        <v>0</v>
      </c>
      <c r="J1187" s="13">
        <v>0</v>
      </c>
      <c r="K1187" s="10">
        <v>6</v>
      </c>
      <c r="L1187" s="2">
        <v>142.02180000000001</v>
      </c>
      <c r="M1187" s="1">
        <v>46118.575694444444</v>
      </c>
      <c r="N1187" t="s">
        <v>573</v>
      </c>
    </row>
    <row r="1188" spans="1:14" x14ac:dyDescent="0.25">
      <c r="A1188" s="9" t="s">
        <v>5211</v>
      </c>
      <c r="B1188" s="10">
        <v>634</v>
      </c>
      <c r="C1188" s="10" t="s">
        <v>323</v>
      </c>
      <c r="D1188" t="s">
        <v>369</v>
      </c>
      <c r="E1188" t="s">
        <v>370</v>
      </c>
      <c r="F1188" s="10" t="s">
        <v>23</v>
      </c>
      <c r="G1188" s="2">
        <v>116.0924</v>
      </c>
      <c r="H1188" s="13">
        <v>6</v>
      </c>
      <c r="I1188" s="13">
        <v>4</v>
      </c>
      <c r="J1188" s="13">
        <v>-4</v>
      </c>
      <c r="K1188" s="10">
        <v>6</v>
      </c>
      <c r="L1188" s="2">
        <v>696.55439999999999</v>
      </c>
      <c r="M1188" s="1">
        <v>46119.536805555559</v>
      </c>
      <c r="N1188" t="s">
        <v>371</v>
      </c>
    </row>
    <row r="1189" spans="1:14" x14ac:dyDescent="0.25">
      <c r="A1189" s="9" t="s">
        <v>5211</v>
      </c>
      <c r="B1189" s="10">
        <v>714</v>
      </c>
      <c r="C1189" s="10" t="s">
        <v>143</v>
      </c>
      <c r="D1189" t="s">
        <v>2567</v>
      </c>
      <c r="E1189" t="s">
        <v>2568</v>
      </c>
      <c r="F1189" s="10" t="s">
        <v>19</v>
      </c>
      <c r="G1189" s="2">
        <v>263.4144</v>
      </c>
      <c r="H1189" s="13">
        <v>6</v>
      </c>
      <c r="I1189" s="13">
        <v>0</v>
      </c>
      <c r="J1189" s="13">
        <v>0</v>
      </c>
      <c r="K1189" s="10">
        <v>6</v>
      </c>
      <c r="L1189" s="2">
        <v>1580.4864</v>
      </c>
      <c r="M1189" s="1">
        <v>46119.573611111111</v>
      </c>
      <c r="N1189" t="s">
        <v>137</v>
      </c>
    </row>
    <row r="1190" spans="1:14" x14ac:dyDescent="0.25">
      <c r="A1190" s="9" t="s">
        <v>5211</v>
      </c>
      <c r="B1190" s="10">
        <v>636</v>
      </c>
      <c r="C1190" s="10" t="s">
        <v>323</v>
      </c>
      <c r="D1190" t="s">
        <v>1622</v>
      </c>
      <c r="E1190" t="s">
        <v>1623</v>
      </c>
      <c r="F1190" s="10" t="s">
        <v>19</v>
      </c>
      <c r="G1190" s="2">
        <v>155.916</v>
      </c>
      <c r="H1190" s="13">
        <v>6</v>
      </c>
      <c r="I1190" s="13">
        <v>0</v>
      </c>
      <c r="J1190" s="13">
        <v>0</v>
      </c>
      <c r="K1190" s="10">
        <v>6</v>
      </c>
      <c r="L1190" s="2">
        <v>935.49599999999998</v>
      </c>
      <c r="M1190" s="1">
        <v>46120.481944444444</v>
      </c>
      <c r="N1190" t="s">
        <v>159</v>
      </c>
    </row>
    <row r="1191" spans="1:14" x14ac:dyDescent="0.25">
      <c r="A1191" s="9" t="s">
        <v>5211</v>
      </c>
      <c r="B1191" s="10">
        <v>714</v>
      </c>
      <c r="C1191" s="10" t="s">
        <v>70</v>
      </c>
      <c r="D1191" t="s">
        <v>2151</v>
      </c>
      <c r="E1191" t="s">
        <v>2152</v>
      </c>
      <c r="F1191" s="10" t="s">
        <v>29</v>
      </c>
      <c r="G1191" s="2">
        <v>8.3249999999999993</v>
      </c>
      <c r="H1191" s="13">
        <v>6</v>
      </c>
      <c r="I1191" s="13">
        <v>0</v>
      </c>
      <c r="J1191" s="13">
        <v>0</v>
      </c>
      <c r="K1191" s="10">
        <v>6</v>
      </c>
      <c r="L1191" s="2">
        <v>49.95</v>
      </c>
      <c r="M1191" s="1">
        <v>46120.630555555559</v>
      </c>
      <c r="N1191" t="s">
        <v>44</v>
      </c>
    </row>
    <row r="1192" spans="1:14" x14ac:dyDescent="0.25">
      <c r="A1192" s="9" t="s">
        <v>5211</v>
      </c>
      <c r="B1192" s="10">
        <v>714</v>
      </c>
      <c r="C1192" s="10" t="s">
        <v>323</v>
      </c>
      <c r="D1192" t="s">
        <v>3276</v>
      </c>
      <c r="E1192" t="s">
        <v>3277</v>
      </c>
      <c r="F1192" s="10" t="s">
        <v>19</v>
      </c>
      <c r="G1192" s="2">
        <v>78.140699999999995</v>
      </c>
      <c r="H1192" s="13">
        <v>6</v>
      </c>
      <c r="I1192" s="13">
        <v>0</v>
      </c>
      <c r="J1192" s="13">
        <v>0</v>
      </c>
      <c r="K1192" s="10">
        <v>6</v>
      </c>
      <c r="L1192" s="2">
        <v>468.8442</v>
      </c>
      <c r="M1192" s="1">
        <v>46121.365277777775</v>
      </c>
      <c r="N1192" t="s">
        <v>195</v>
      </c>
    </row>
    <row r="1193" spans="1:14" x14ac:dyDescent="0.25">
      <c r="A1193" s="9" t="s">
        <v>5211</v>
      </c>
      <c r="B1193" s="10">
        <v>636</v>
      </c>
      <c r="C1193" s="10" t="s">
        <v>70</v>
      </c>
      <c r="D1193" t="s">
        <v>571</v>
      </c>
      <c r="E1193" t="s">
        <v>572</v>
      </c>
      <c r="F1193" s="10" t="s">
        <v>39</v>
      </c>
      <c r="G1193" s="2">
        <v>9.7990999999999993</v>
      </c>
      <c r="H1193" s="13">
        <v>6</v>
      </c>
      <c r="I1193" s="13">
        <v>0</v>
      </c>
      <c r="J1193" s="13">
        <v>0</v>
      </c>
      <c r="K1193" s="10">
        <v>6</v>
      </c>
      <c r="L1193" s="2">
        <v>58.794600000000003</v>
      </c>
      <c r="M1193" s="1">
        <v>46122.352083333331</v>
      </c>
      <c r="N1193" t="s">
        <v>573</v>
      </c>
    </row>
    <row r="1194" spans="1:14" x14ac:dyDescent="0.25">
      <c r="A1194" s="9" t="s">
        <v>5211</v>
      </c>
      <c r="B1194" s="10">
        <v>634</v>
      </c>
      <c r="C1194" s="10" t="s">
        <v>323</v>
      </c>
      <c r="D1194" t="s">
        <v>390</v>
      </c>
      <c r="E1194" t="s">
        <v>391</v>
      </c>
      <c r="F1194" s="10" t="s">
        <v>29</v>
      </c>
      <c r="G1194" s="2">
        <v>141.81020000000001</v>
      </c>
      <c r="H1194" s="13">
        <v>6</v>
      </c>
      <c r="I1194" s="13">
        <v>-2</v>
      </c>
      <c r="J1194" s="13">
        <v>2</v>
      </c>
      <c r="K1194" s="10">
        <v>6</v>
      </c>
      <c r="L1194" s="2">
        <v>850.86120000000005</v>
      </c>
      <c r="M1194" s="1">
        <v>46122.515277777777</v>
      </c>
      <c r="N1194" t="s">
        <v>354</v>
      </c>
    </row>
    <row r="1195" spans="1:14" x14ac:dyDescent="0.25">
      <c r="A1195" s="9" t="s">
        <v>5211</v>
      </c>
      <c r="B1195" s="10">
        <v>636</v>
      </c>
      <c r="C1195" s="10" t="s">
        <v>323</v>
      </c>
      <c r="D1195" t="s">
        <v>4595</v>
      </c>
      <c r="E1195" t="s">
        <v>4596</v>
      </c>
      <c r="F1195" s="10" t="s">
        <v>23</v>
      </c>
      <c r="G1195" s="2">
        <v>94.926699999999997</v>
      </c>
      <c r="H1195" s="13">
        <v>6</v>
      </c>
      <c r="I1195" s="13">
        <v>4</v>
      </c>
      <c r="J1195" s="13">
        <v>-4</v>
      </c>
      <c r="K1195" s="10">
        <v>6</v>
      </c>
      <c r="L1195" s="2">
        <v>569.56020000000001</v>
      </c>
      <c r="M1195" s="1">
        <v>46125.395833333336</v>
      </c>
      <c r="N1195" t="s">
        <v>40</v>
      </c>
    </row>
    <row r="1196" spans="1:14" x14ac:dyDescent="0.25">
      <c r="A1196" s="9" t="s">
        <v>5211</v>
      </c>
      <c r="B1196" s="10">
        <v>714</v>
      </c>
      <c r="C1196" s="10" t="s">
        <v>143</v>
      </c>
      <c r="D1196" t="s">
        <v>253</v>
      </c>
      <c r="E1196" t="s">
        <v>254</v>
      </c>
      <c r="F1196" s="10" t="s">
        <v>29</v>
      </c>
      <c r="G1196" s="2">
        <v>108.94880000000001</v>
      </c>
      <c r="H1196" s="13">
        <v>6</v>
      </c>
      <c r="I1196" s="13">
        <v>0</v>
      </c>
      <c r="J1196" s="13">
        <v>0</v>
      </c>
      <c r="K1196" s="10">
        <v>6</v>
      </c>
      <c r="L1196" s="2">
        <v>653.69280000000003</v>
      </c>
      <c r="M1196" s="1">
        <v>46126.29791666667</v>
      </c>
      <c r="N1196" t="s">
        <v>2379</v>
      </c>
    </row>
    <row r="1197" spans="1:14" x14ac:dyDescent="0.25">
      <c r="A1197" s="9" t="s">
        <v>5211</v>
      </c>
      <c r="B1197" s="10">
        <v>636</v>
      </c>
      <c r="C1197" s="10" t="s">
        <v>143</v>
      </c>
      <c r="D1197" t="s">
        <v>4541</v>
      </c>
      <c r="E1197" t="s">
        <v>4542</v>
      </c>
      <c r="F1197" s="10" t="s">
        <v>39</v>
      </c>
      <c r="G1197" s="2">
        <v>18.508700000000001</v>
      </c>
      <c r="H1197" s="13">
        <v>6</v>
      </c>
      <c r="I1197" s="13">
        <v>11</v>
      </c>
      <c r="J1197" s="13">
        <v>-11</v>
      </c>
      <c r="K1197" s="10">
        <v>6</v>
      </c>
      <c r="L1197" s="2">
        <v>111.0522</v>
      </c>
      <c r="M1197" s="1">
        <v>46126.327777777777</v>
      </c>
      <c r="N1197" t="s">
        <v>159</v>
      </c>
    </row>
    <row r="1198" spans="1:14" x14ac:dyDescent="0.25">
      <c r="A1198" s="9" t="s">
        <v>5211</v>
      </c>
      <c r="B1198" s="10">
        <v>634</v>
      </c>
      <c r="C1198" s="10" t="s">
        <v>143</v>
      </c>
      <c r="D1198" t="s">
        <v>4218</v>
      </c>
      <c r="E1198" t="s">
        <v>4219</v>
      </c>
      <c r="F1198" s="10" t="s">
        <v>23</v>
      </c>
      <c r="G1198" s="2">
        <v>28.386399999999998</v>
      </c>
      <c r="H1198" s="13">
        <v>6</v>
      </c>
      <c r="I1198" s="13">
        <v>16</v>
      </c>
      <c r="J1198" s="13">
        <v>-16</v>
      </c>
      <c r="K1198" s="10">
        <v>6</v>
      </c>
      <c r="L1198" s="2">
        <v>170.3184</v>
      </c>
      <c r="M1198" s="1">
        <v>46126.546527777777</v>
      </c>
      <c r="N1198" t="s">
        <v>162</v>
      </c>
    </row>
    <row r="1199" spans="1:14" x14ac:dyDescent="0.25">
      <c r="A1199" s="9" t="s">
        <v>5211</v>
      </c>
      <c r="B1199" s="10">
        <v>714</v>
      </c>
      <c r="C1199" s="10" t="s">
        <v>323</v>
      </c>
      <c r="D1199" t="s">
        <v>2910</v>
      </c>
      <c r="E1199" t="s">
        <v>2911</v>
      </c>
      <c r="F1199" s="10" t="s">
        <v>23</v>
      </c>
      <c r="G1199" s="2">
        <v>190.98609999999999</v>
      </c>
      <c r="H1199" s="13">
        <v>6</v>
      </c>
      <c r="I1199" s="13">
        <v>2</v>
      </c>
      <c r="J1199" s="13">
        <v>-2</v>
      </c>
      <c r="K1199" s="10">
        <v>6</v>
      </c>
      <c r="L1199" s="2">
        <v>1145.9166</v>
      </c>
      <c r="M1199" s="1">
        <v>46126.649305555555</v>
      </c>
      <c r="N1199" t="s">
        <v>67</v>
      </c>
    </row>
    <row r="1200" spans="1:14" x14ac:dyDescent="0.25">
      <c r="A1200" s="9" t="s">
        <v>5211</v>
      </c>
      <c r="B1200" s="10">
        <v>714</v>
      </c>
      <c r="C1200" s="10" t="s">
        <v>323</v>
      </c>
      <c r="D1200" t="s">
        <v>3343</v>
      </c>
      <c r="E1200" t="s">
        <v>3344</v>
      </c>
      <c r="F1200" s="10" t="s">
        <v>29</v>
      </c>
      <c r="G1200" s="2">
        <v>47.473199999999999</v>
      </c>
      <c r="H1200" s="13">
        <v>6</v>
      </c>
      <c r="I1200" s="13">
        <v>1</v>
      </c>
      <c r="J1200" s="13">
        <v>-1</v>
      </c>
      <c r="K1200" s="10">
        <v>6</v>
      </c>
      <c r="L1200" s="2">
        <v>284.83920000000001</v>
      </c>
      <c r="M1200" s="1">
        <v>46126.649305555555</v>
      </c>
      <c r="N1200" t="s">
        <v>67</v>
      </c>
    </row>
    <row r="1201" spans="1:14" x14ac:dyDescent="0.25">
      <c r="A1201" s="9" t="s">
        <v>5211</v>
      </c>
      <c r="B1201" s="10">
        <v>636</v>
      </c>
      <c r="C1201" s="10" t="s">
        <v>323</v>
      </c>
      <c r="D1201" t="s">
        <v>3188</v>
      </c>
      <c r="E1201" t="s">
        <v>3189</v>
      </c>
      <c r="F1201" s="10" t="s">
        <v>23</v>
      </c>
      <c r="G1201" s="2">
        <v>200.32499999999999</v>
      </c>
      <c r="H1201" s="13">
        <v>6</v>
      </c>
      <c r="I1201" s="13">
        <v>2</v>
      </c>
      <c r="J1201" s="13">
        <v>-2</v>
      </c>
      <c r="K1201" s="10">
        <v>6</v>
      </c>
      <c r="L1201" s="2">
        <v>1201.95</v>
      </c>
      <c r="M1201" s="1">
        <v>46127.468055555553</v>
      </c>
      <c r="N1201" t="s">
        <v>1224</v>
      </c>
    </row>
    <row r="1202" spans="1:14" x14ac:dyDescent="0.25">
      <c r="A1202" s="9" t="s">
        <v>5211</v>
      </c>
      <c r="B1202" s="10">
        <v>636</v>
      </c>
      <c r="C1202" s="10" t="s">
        <v>323</v>
      </c>
      <c r="D1202" t="s">
        <v>1222</v>
      </c>
      <c r="E1202" t="s">
        <v>1223</v>
      </c>
      <c r="F1202" s="10" t="s">
        <v>19</v>
      </c>
      <c r="G1202" s="2">
        <v>420.08190000000002</v>
      </c>
      <c r="H1202" s="13">
        <v>6</v>
      </c>
      <c r="I1202" s="13">
        <v>0</v>
      </c>
      <c r="J1202" s="13">
        <v>0</v>
      </c>
      <c r="K1202" s="10">
        <v>6</v>
      </c>
      <c r="L1202" s="2">
        <v>2520.4913999999999</v>
      </c>
      <c r="M1202" s="1">
        <v>46127.468055555553</v>
      </c>
      <c r="N1202" t="s">
        <v>1224</v>
      </c>
    </row>
    <row r="1203" spans="1:14" x14ac:dyDescent="0.25">
      <c r="A1203" s="9" t="s">
        <v>5211</v>
      </c>
      <c r="B1203" s="10">
        <v>636</v>
      </c>
      <c r="C1203" s="10" t="s">
        <v>323</v>
      </c>
      <c r="D1203" t="s">
        <v>1480</v>
      </c>
      <c r="E1203" t="s">
        <v>1481</v>
      </c>
      <c r="F1203" s="10" t="s">
        <v>19</v>
      </c>
      <c r="G1203" s="2">
        <v>344.98570000000001</v>
      </c>
      <c r="H1203" s="13">
        <v>6</v>
      </c>
      <c r="I1203" s="13">
        <v>0</v>
      </c>
      <c r="J1203" s="13">
        <v>0</v>
      </c>
      <c r="K1203" s="10">
        <v>6</v>
      </c>
      <c r="L1203" s="2">
        <v>2069.9142000000002</v>
      </c>
      <c r="M1203" s="1">
        <v>46128.305555555555</v>
      </c>
      <c r="N1203" t="s">
        <v>903</v>
      </c>
    </row>
    <row r="1204" spans="1:14" x14ac:dyDescent="0.25">
      <c r="A1204" s="9" t="s">
        <v>5211</v>
      </c>
      <c r="B1204" s="10">
        <v>634</v>
      </c>
      <c r="C1204" s="10" t="s">
        <v>143</v>
      </c>
      <c r="D1204" t="s">
        <v>920</v>
      </c>
      <c r="E1204" t="s">
        <v>921</v>
      </c>
      <c r="F1204" s="10" t="s">
        <v>23</v>
      </c>
      <c r="G1204" s="2">
        <v>31.4985</v>
      </c>
      <c r="H1204" s="13">
        <v>6</v>
      </c>
      <c r="I1204" s="13">
        <v>12</v>
      </c>
      <c r="J1204" s="13">
        <v>-12</v>
      </c>
      <c r="K1204" s="10">
        <v>6</v>
      </c>
      <c r="L1204" s="2">
        <v>188.99100000000001</v>
      </c>
      <c r="M1204" s="1">
        <v>46128.40347222222</v>
      </c>
      <c r="N1204" t="s">
        <v>40</v>
      </c>
    </row>
    <row r="1205" spans="1:14" x14ac:dyDescent="0.25">
      <c r="A1205" s="9" t="s">
        <v>5211</v>
      </c>
      <c r="B1205" s="10">
        <v>636</v>
      </c>
      <c r="C1205" s="10" t="s">
        <v>70</v>
      </c>
      <c r="D1205" t="s">
        <v>648</v>
      </c>
      <c r="E1205" t="s">
        <v>649</v>
      </c>
      <c r="F1205" s="10" t="s">
        <v>39</v>
      </c>
      <c r="G1205" s="2">
        <v>11.587999999999999</v>
      </c>
      <c r="H1205" s="13">
        <v>6</v>
      </c>
      <c r="I1205" s="13">
        <v>0</v>
      </c>
      <c r="J1205" s="13">
        <v>0</v>
      </c>
      <c r="K1205" s="10">
        <v>6</v>
      </c>
      <c r="L1205" s="2">
        <v>69.528000000000006</v>
      </c>
      <c r="M1205" s="1">
        <v>46129.384722222225</v>
      </c>
      <c r="N1205" t="s">
        <v>16</v>
      </c>
    </row>
    <row r="1206" spans="1:14" x14ac:dyDescent="0.25">
      <c r="A1206" s="9" t="s">
        <v>5211</v>
      </c>
      <c r="B1206" s="10">
        <v>714</v>
      </c>
      <c r="C1206" s="10" t="s">
        <v>323</v>
      </c>
      <c r="D1206" t="s">
        <v>1363</v>
      </c>
      <c r="E1206" t="s">
        <v>1364</v>
      </c>
      <c r="F1206" s="10" t="s">
        <v>19</v>
      </c>
      <c r="G1206" s="2">
        <v>228.84819999999999</v>
      </c>
      <c r="H1206" s="13">
        <v>6</v>
      </c>
      <c r="I1206" s="13">
        <v>0</v>
      </c>
      <c r="J1206" s="13">
        <v>0</v>
      </c>
      <c r="K1206" s="10">
        <v>6</v>
      </c>
      <c r="L1206" s="2">
        <v>1373.0891999999999</v>
      </c>
      <c r="M1206" s="1">
        <v>46130.412499999999</v>
      </c>
      <c r="N1206" t="s">
        <v>1224</v>
      </c>
    </row>
    <row r="1207" spans="1:14" x14ac:dyDescent="0.25">
      <c r="A1207" s="9" t="s">
        <v>5211</v>
      </c>
      <c r="B1207" s="10">
        <v>636</v>
      </c>
      <c r="C1207" s="10" t="s">
        <v>143</v>
      </c>
      <c r="D1207" t="s">
        <v>285</v>
      </c>
      <c r="E1207" t="s">
        <v>286</v>
      </c>
      <c r="F1207" s="10" t="s">
        <v>23</v>
      </c>
      <c r="G1207" s="2">
        <v>27.072299999999998</v>
      </c>
      <c r="H1207" s="13">
        <v>6</v>
      </c>
      <c r="I1207" s="13">
        <v>0</v>
      </c>
      <c r="J1207" s="13">
        <v>0</v>
      </c>
      <c r="K1207" s="10">
        <v>6</v>
      </c>
      <c r="L1207" s="2">
        <v>162.43379999999999</v>
      </c>
      <c r="M1207" s="1">
        <v>46132.306944444441</v>
      </c>
      <c r="N1207" t="s">
        <v>30</v>
      </c>
    </row>
    <row r="1208" spans="1:14" x14ac:dyDescent="0.25">
      <c r="A1208" s="9" t="s">
        <v>5211</v>
      </c>
      <c r="B1208" s="10">
        <v>634</v>
      </c>
      <c r="C1208" s="10" t="s">
        <v>323</v>
      </c>
      <c r="D1208" t="s">
        <v>355</v>
      </c>
      <c r="E1208" t="s">
        <v>356</v>
      </c>
      <c r="F1208" s="10" t="s">
        <v>19</v>
      </c>
      <c r="G1208" s="2">
        <v>310.39569999999998</v>
      </c>
      <c r="H1208" s="13">
        <v>6</v>
      </c>
      <c r="I1208" s="13">
        <v>0</v>
      </c>
      <c r="J1208" s="13">
        <v>0</v>
      </c>
      <c r="K1208" s="10">
        <v>6</v>
      </c>
      <c r="L1208" s="2">
        <v>1862.3742</v>
      </c>
      <c r="M1208" s="1">
        <v>46132.624305555553</v>
      </c>
      <c r="N1208" t="s">
        <v>357</v>
      </c>
    </row>
    <row r="1209" spans="1:14" x14ac:dyDescent="0.25">
      <c r="A1209" s="9" t="s">
        <v>5211</v>
      </c>
      <c r="B1209" s="10">
        <v>634</v>
      </c>
      <c r="C1209" s="10" t="s">
        <v>323</v>
      </c>
      <c r="D1209" t="s">
        <v>4361</v>
      </c>
      <c r="E1209" t="s">
        <v>4362</v>
      </c>
      <c r="F1209" s="10" t="s">
        <v>43</v>
      </c>
      <c r="G1209" s="2">
        <v>111.5956</v>
      </c>
      <c r="H1209" s="13">
        <v>6</v>
      </c>
      <c r="I1209" s="13">
        <v>18</v>
      </c>
      <c r="J1209" s="13">
        <v>-18</v>
      </c>
      <c r="K1209" s="10">
        <v>6</v>
      </c>
      <c r="L1209" s="2">
        <v>669.57360000000006</v>
      </c>
      <c r="M1209" s="1">
        <v>46132.625</v>
      </c>
      <c r="N1209" t="s">
        <v>1271</v>
      </c>
    </row>
    <row r="1210" spans="1:14" x14ac:dyDescent="0.25">
      <c r="A1210" s="9" t="s">
        <v>5211</v>
      </c>
      <c r="B1210" s="10">
        <v>718</v>
      </c>
      <c r="C1210" s="10" t="s">
        <v>143</v>
      </c>
      <c r="D1210" t="s">
        <v>1068</v>
      </c>
      <c r="E1210" t="s">
        <v>1069</v>
      </c>
      <c r="F1210" s="10" t="s">
        <v>23</v>
      </c>
      <c r="G1210" s="2">
        <v>81.180300000000003</v>
      </c>
      <c r="H1210" s="13">
        <v>6</v>
      </c>
      <c r="I1210" s="13">
        <v>14</v>
      </c>
      <c r="J1210" s="13">
        <v>-14</v>
      </c>
      <c r="K1210" s="10">
        <v>6</v>
      </c>
      <c r="L1210" s="2">
        <v>487.08179999999999</v>
      </c>
      <c r="M1210" s="1">
        <v>46133.431250000001</v>
      </c>
      <c r="N1210" t="s">
        <v>175</v>
      </c>
    </row>
    <row r="1211" spans="1:14" x14ac:dyDescent="0.25">
      <c r="A1211" s="9" t="s">
        <v>5211</v>
      </c>
      <c r="B1211" s="10">
        <v>634</v>
      </c>
      <c r="C1211" s="10" t="s">
        <v>70</v>
      </c>
      <c r="D1211" t="s">
        <v>100</v>
      </c>
      <c r="E1211" t="s">
        <v>101</v>
      </c>
      <c r="F1211" s="10" t="s">
        <v>29</v>
      </c>
      <c r="G1211" s="2">
        <v>11.2438</v>
      </c>
      <c r="H1211" s="13">
        <v>6</v>
      </c>
      <c r="I1211" s="13">
        <v>0</v>
      </c>
      <c r="J1211" s="13">
        <v>0</v>
      </c>
      <c r="K1211" s="10">
        <v>6</v>
      </c>
      <c r="L1211" s="2">
        <v>67.462800000000001</v>
      </c>
      <c r="M1211" s="1">
        <v>46134.53125</v>
      </c>
      <c r="N1211" t="s">
        <v>40</v>
      </c>
    </row>
    <row r="1212" spans="1:14" x14ac:dyDescent="0.25">
      <c r="A1212" s="9" t="s">
        <v>5211</v>
      </c>
      <c r="B1212" s="10">
        <v>636</v>
      </c>
      <c r="C1212" s="10" t="s">
        <v>1749</v>
      </c>
      <c r="D1212" t="s">
        <v>1776</v>
      </c>
      <c r="E1212" t="s">
        <v>1777</v>
      </c>
      <c r="F1212" s="10" t="s">
        <v>23</v>
      </c>
      <c r="G1212" s="2">
        <v>22.0382</v>
      </c>
      <c r="H1212" s="13">
        <v>6</v>
      </c>
      <c r="I1212" s="13">
        <v>0</v>
      </c>
      <c r="J1212" s="13">
        <v>0</v>
      </c>
      <c r="K1212" s="10">
        <v>6</v>
      </c>
      <c r="L1212" s="2">
        <v>132.22919999999999</v>
      </c>
      <c r="M1212" s="1">
        <v>46135.595833333333</v>
      </c>
      <c r="N1212" t="s">
        <v>599</v>
      </c>
    </row>
    <row r="1213" spans="1:14" x14ac:dyDescent="0.25">
      <c r="A1213" s="9" t="s">
        <v>5211</v>
      </c>
      <c r="B1213" s="10">
        <v>636</v>
      </c>
      <c r="C1213" s="10" t="s">
        <v>323</v>
      </c>
      <c r="D1213" t="s">
        <v>453</v>
      </c>
      <c r="E1213" t="s">
        <v>454</v>
      </c>
      <c r="F1213" s="10" t="s">
        <v>29</v>
      </c>
      <c r="G1213" s="2">
        <v>232.32149999999999</v>
      </c>
      <c r="H1213" s="13">
        <v>6</v>
      </c>
      <c r="I1213" s="13">
        <v>-2</v>
      </c>
      <c r="J1213" s="13">
        <v>2</v>
      </c>
      <c r="K1213" s="10">
        <v>6</v>
      </c>
      <c r="L1213" s="2">
        <v>1393.9290000000001</v>
      </c>
      <c r="M1213" s="1">
        <v>46136.538194444445</v>
      </c>
      <c r="N1213" t="s">
        <v>1500</v>
      </c>
    </row>
    <row r="1214" spans="1:14" x14ac:dyDescent="0.25">
      <c r="A1214" s="9" t="s">
        <v>5211</v>
      </c>
      <c r="B1214" s="10">
        <v>636</v>
      </c>
      <c r="C1214" s="10" t="s">
        <v>143</v>
      </c>
      <c r="D1214" t="s">
        <v>1148</v>
      </c>
      <c r="E1214" t="s">
        <v>1149</v>
      </c>
      <c r="F1214" s="10" t="s">
        <v>29</v>
      </c>
      <c r="G1214" s="2">
        <v>79.957999999999998</v>
      </c>
      <c r="H1214" s="13">
        <v>6</v>
      </c>
      <c r="I1214" s="13">
        <v>0</v>
      </c>
      <c r="J1214" s="13">
        <v>0</v>
      </c>
      <c r="K1214" s="10">
        <v>6</v>
      </c>
      <c r="L1214" s="2">
        <v>479.74799999999999</v>
      </c>
      <c r="M1214" s="1">
        <v>46140.29583333333</v>
      </c>
      <c r="N1214" t="s">
        <v>501</v>
      </c>
    </row>
    <row r="1215" spans="1:14" x14ac:dyDescent="0.25">
      <c r="A1215" s="9" t="s">
        <v>5211</v>
      </c>
      <c r="B1215" s="10">
        <v>718</v>
      </c>
      <c r="C1215" s="10" t="s">
        <v>323</v>
      </c>
      <c r="D1215" t="s">
        <v>1336</v>
      </c>
      <c r="E1215" t="s">
        <v>1337</v>
      </c>
      <c r="F1215" s="10" t="s">
        <v>23</v>
      </c>
      <c r="G1215" s="2">
        <v>221.66669999999999</v>
      </c>
      <c r="H1215" s="13">
        <v>6</v>
      </c>
      <c r="I1215" s="13">
        <v>0</v>
      </c>
      <c r="J1215" s="13">
        <v>0</v>
      </c>
      <c r="K1215" s="10">
        <v>6</v>
      </c>
      <c r="L1215" s="2">
        <v>1330.0001999999999</v>
      </c>
      <c r="M1215" s="1">
        <v>46144.428472222222</v>
      </c>
      <c r="N1215" t="s">
        <v>3838</v>
      </c>
    </row>
    <row r="1216" spans="1:14" x14ac:dyDescent="0.25">
      <c r="A1216" s="9" t="s">
        <v>5211</v>
      </c>
      <c r="B1216" s="10">
        <v>636</v>
      </c>
      <c r="C1216" s="10" t="s">
        <v>323</v>
      </c>
      <c r="D1216" t="s">
        <v>1314</v>
      </c>
      <c r="E1216" t="s">
        <v>1315</v>
      </c>
      <c r="F1216" s="10" t="s">
        <v>158</v>
      </c>
      <c r="G1216" s="2">
        <v>126.5013</v>
      </c>
      <c r="H1216" s="13">
        <v>6</v>
      </c>
      <c r="I1216" s="13">
        <v>0</v>
      </c>
      <c r="J1216" s="13">
        <v>0</v>
      </c>
      <c r="K1216" s="10">
        <v>6</v>
      </c>
      <c r="L1216" s="2">
        <v>759.00779999999997</v>
      </c>
      <c r="M1216" s="1">
        <v>46146.344444444447</v>
      </c>
      <c r="N1216" t="s">
        <v>797</v>
      </c>
    </row>
    <row r="1217" spans="1:14" x14ac:dyDescent="0.25">
      <c r="A1217" s="9" t="s">
        <v>5211</v>
      </c>
      <c r="B1217" s="10">
        <v>636</v>
      </c>
      <c r="C1217" s="10" t="s">
        <v>143</v>
      </c>
      <c r="D1217" t="s">
        <v>1007</v>
      </c>
      <c r="E1217" t="s">
        <v>1008</v>
      </c>
      <c r="F1217" s="10" t="s">
        <v>43</v>
      </c>
      <c r="G1217" s="2">
        <v>34.739400000000003</v>
      </c>
      <c r="H1217" s="13">
        <v>6</v>
      </c>
      <c r="I1217" s="13">
        <v>0</v>
      </c>
      <c r="J1217" s="13">
        <v>0</v>
      </c>
      <c r="K1217" s="10">
        <v>6</v>
      </c>
      <c r="L1217" s="2">
        <v>208.43639999999999</v>
      </c>
      <c r="M1217" s="1">
        <v>46146.459722222222</v>
      </c>
      <c r="N1217" t="s">
        <v>67</v>
      </c>
    </row>
    <row r="1218" spans="1:14" x14ac:dyDescent="0.25">
      <c r="A1218" s="9" t="s">
        <v>5211</v>
      </c>
      <c r="B1218" s="10">
        <v>714</v>
      </c>
      <c r="C1218" s="10" t="s">
        <v>143</v>
      </c>
      <c r="D1218" t="s">
        <v>2683</v>
      </c>
      <c r="E1218" t="s">
        <v>2684</v>
      </c>
      <c r="F1218" s="10" t="s">
        <v>19</v>
      </c>
      <c r="G1218" s="2">
        <v>186.7516</v>
      </c>
      <c r="H1218" s="13">
        <v>6</v>
      </c>
      <c r="I1218" s="13">
        <v>0</v>
      </c>
      <c r="J1218" s="13">
        <v>0</v>
      </c>
      <c r="K1218" s="10">
        <v>6</v>
      </c>
      <c r="L1218" s="2">
        <v>1120.5096000000001</v>
      </c>
      <c r="M1218" s="1">
        <v>46147.435416666667</v>
      </c>
      <c r="N1218" t="s">
        <v>137</v>
      </c>
    </row>
    <row r="1219" spans="1:14" x14ac:dyDescent="0.25">
      <c r="A1219" s="9" t="s">
        <v>5211</v>
      </c>
      <c r="B1219" s="10">
        <v>718</v>
      </c>
      <c r="C1219" s="10" t="s">
        <v>143</v>
      </c>
      <c r="D1219" t="s">
        <v>920</v>
      </c>
      <c r="E1219" t="s">
        <v>921</v>
      </c>
      <c r="F1219" s="10" t="s">
        <v>23</v>
      </c>
      <c r="G1219" s="2">
        <v>20.165500000000002</v>
      </c>
      <c r="H1219" s="13">
        <v>6</v>
      </c>
      <c r="I1219" s="13">
        <v>12</v>
      </c>
      <c r="J1219" s="13">
        <v>-12</v>
      </c>
      <c r="K1219" s="10">
        <v>6</v>
      </c>
      <c r="L1219" s="2">
        <v>120.99299999999999</v>
      </c>
      <c r="M1219" s="1">
        <v>46147.688194444447</v>
      </c>
      <c r="N1219" t="s">
        <v>2066</v>
      </c>
    </row>
    <row r="1220" spans="1:14" x14ac:dyDescent="0.25">
      <c r="A1220" s="9" t="s">
        <v>5211</v>
      </c>
      <c r="B1220" s="10">
        <v>718</v>
      </c>
      <c r="C1220" s="10" t="s">
        <v>323</v>
      </c>
      <c r="D1220" t="s">
        <v>3873</v>
      </c>
      <c r="E1220" t="s">
        <v>3874</v>
      </c>
      <c r="F1220" s="10" t="s">
        <v>23</v>
      </c>
      <c r="G1220" s="2">
        <v>142.5789</v>
      </c>
      <c r="H1220" s="13">
        <v>6</v>
      </c>
      <c r="I1220" s="13">
        <v>3</v>
      </c>
      <c r="J1220" s="13">
        <v>-3</v>
      </c>
      <c r="K1220" s="10">
        <v>6</v>
      </c>
      <c r="L1220" s="2">
        <v>855.47339999999997</v>
      </c>
      <c r="M1220" s="1">
        <v>46147.727777777778</v>
      </c>
      <c r="N1220" t="s">
        <v>1870</v>
      </c>
    </row>
    <row r="1221" spans="1:14" x14ac:dyDescent="0.25">
      <c r="A1221" s="9" t="s">
        <v>5211</v>
      </c>
      <c r="B1221" s="10">
        <v>714</v>
      </c>
      <c r="C1221" s="10" t="s">
        <v>143</v>
      </c>
      <c r="D1221" t="s">
        <v>2226</v>
      </c>
      <c r="E1221" t="s">
        <v>2227</v>
      </c>
      <c r="F1221" s="10" t="s">
        <v>29</v>
      </c>
      <c r="G1221" s="2">
        <v>113.7765</v>
      </c>
      <c r="H1221" s="13">
        <v>6</v>
      </c>
      <c r="I1221" s="13">
        <v>0</v>
      </c>
      <c r="J1221" s="13">
        <v>0</v>
      </c>
      <c r="K1221" s="10">
        <v>6</v>
      </c>
      <c r="L1221" s="2">
        <v>682.65899999999999</v>
      </c>
      <c r="M1221" s="1">
        <v>46149.3125</v>
      </c>
      <c r="N1221" t="s">
        <v>137</v>
      </c>
    </row>
    <row r="1222" spans="1:14" x14ac:dyDescent="0.25">
      <c r="A1222" s="9" t="s">
        <v>5211</v>
      </c>
      <c r="B1222" s="10">
        <v>714</v>
      </c>
      <c r="C1222" s="10" t="s">
        <v>143</v>
      </c>
      <c r="D1222" t="s">
        <v>2537</v>
      </c>
      <c r="E1222" t="s">
        <v>2538</v>
      </c>
      <c r="F1222" s="10" t="s">
        <v>29</v>
      </c>
      <c r="G1222" s="2">
        <v>33.491500000000002</v>
      </c>
      <c r="H1222" s="13">
        <v>6</v>
      </c>
      <c r="I1222" s="13">
        <v>0</v>
      </c>
      <c r="J1222" s="13">
        <v>0</v>
      </c>
      <c r="K1222" s="10">
        <v>6</v>
      </c>
      <c r="L1222" s="2">
        <v>200.94900000000001</v>
      </c>
      <c r="M1222" s="1">
        <v>46149.324305555558</v>
      </c>
      <c r="N1222" t="s">
        <v>216</v>
      </c>
    </row>
    <row r="1223" spans="1:14" x14ac:dyDescent="0.25">
      <c r="A1223" s="9" t="s">
        <v>5211</v>
      </c>
      <c r="B1223" s="10">
        <v>714</v>
      </c>
      <c r="C1223" s="10" t="s">
        <v>70</v>
      </c>
      <c r="D1223" t="s">
        <v>2060</v>
      </c>
      <c r="E1223" t="s">
        <v>2061</v>
      </c>
      <c r="F1223" s="10" t="s">
        <v>29</v>
      </c>
      <c r="G1223" s="2">
        <v>6.16</v>
      </c>
      <c r="H1223" s="13">
        <v>6</v>
      </c>
      <c r="I1223" s="13">
        <v>0</v>
      </c>
      <c r="J1223" s="13">
        <v>0</v>
      </c>
      <c r="K1223" s="10">
        <v>6</v>
      </c>
      <c r="L1223" s="2">
        <v>36.96</v>
      </c>
      <c r="M1223" s="1">
        <v>46150.495138888888</v>
      </c>
      <c r="N1223" t="s">
        <v>522</v>
      </c>
    </row>
    <row r="1224" spans="1:14" x14ac:dyDescent="0.25">
      <c r="A1224" s="9" t="s">
        <v>5211</v>
      </c>
      <c r="B1224" s="10">
        <v>714</v>
      </c>
      <c r="C1224" s="10" t="s">
        <v>323</v>
      </c>
      <c r="D1224" t="s">
        <v>3219</v>
      </c>
      <c r="E1224" t="s">
        <v>3220</v>
      </c>
      <c r="F1224" s="10" t="s">
        <v>19</v>
      </c>
      <c r="G1224" s="2">
        <v>136.26740000000001</v>
      </c>
      <c r="H1224" s="13">
        <v>6</v>
      </c>
      <c r="I1224" s="13">
        <v>0</v>
      </c>
      <c r="J1224" s="13">
        <v>0</v>
      </c>
      <c r="K1224" s="10">
        <v>6</v>
      </c>
      <c r="L1224" s="2">
        <v>817.60440000000006</v>
      </c>
      <c r="M1224" s="1">
        <v>46151.382638888892</v>
      </c>
      <c r="N1224" t="s">
        <v>2225</v>
      </c>
    </row>
    <row r="1225" spans="1:14" x14ac:dyDescent="0.25">
      <c r="A1225" s="9" t="s">
        <v>5211</v>
      </c>
      <c r="B1225" s="10">
        <v>714</v>
      </c>
      <c r="C1225" s="10" t="s">
        <v>323</v>
      </c>
      <c r="D1225" t="s">
        <v>3345</v>
      </c>
      <c r="E1225" t="s">
        <v>3346</v>
      </c>
      <c r="F1225" s="10" t="s">
        <v>29</v>
      </c>
      <c r="G1225" s="2">
        <v>154.62620000000001</v>
      </c>
      <c r="H1225" s="13">
        <v>6</v>
      </c>
      <c r="I1225" s="13">
        <v>0</v>
      </c>
      <c r="J1225" s="13">
        <v>0</v>
      </c>
      <c r="K1225" s="10">
        <v>6</v>
      </c>
      <c r="L1225" s="2">
        <v>927.75720000000001</v>
      </c>
      <c r="M1225" s="1">
        <v>46153.668749999997</v>
      </c>
      <c r="N1225" t="s">
        <v>2271</v>
      </c>
    </row>
    <row r="1226" spans="1:14" x14ac:dyDescent="0.25">
      <c r="A1226" s="9" t="s">
        <v>5211</v>
      </c>
      <c r="B1226" s="10">
        <v>634</v>
      </c>
      <c r="C1226" s="10" t="s">
        <v>323</v>
      </c>
      <c r="D1226" t="s">
        <v>348</v>
      </c>
      <c r="E1226" t="s">
        <v>349</v>
      </c>
      <c r="F1226" s="10" t="s">
        <v>29</v>
      </c>
      <c r="G1226" s="2">
        <v>233.87799999999999</v>
      </c>
      <c r="H1226" s="13">
        <v>6</v>
      </c>
      <c r="I1226" s="13">
        <v>0</v>
      </c>
      <c r="J1226" s="13">
        <v>0</v>
      </c>
      <c r="K1226" s="10">
        <v>6</v>
      </c>
      <c r="L1226" s="2">
        <v>1403.268</v>
      </c>
      <c r="M1226" s="1">
        <v>46154.572222222225</v>
      </c>
      <c r="N1226" t="s">
        <v>137</v>
      </c>
    </row>
    <row r="1227" spans="1:14" x14ac:dyDescent="0.25">
      <c r="A1227" s="9" t="s">
        <v>5211</v>
      </c>
      <c r="B1227" s="10">
        <v>714</v>
      </c>
      <c r="C1227" s="10" t="s">
        <v>70</v>
      </c>
      <c r="D1227" t="s">
        <v>4415</v>
      </c>
      <c r="E1227" t="s">
        <v>4416</v>
      </c>
      <c r="F1227" s="10" t="s">
        <v>39</v>
      </c>
      <c r="G1227" s="2">
        <v>6.0430000000000001</v>
      </c>
      <c r="H1227" s="13">
        <v>6</v>
      </c>
      <c r="I1227" s="13">
        <v>8</v>
      </c>
      <c r="J1227" s="13">
        <v>-8</v>
      </c>
      <c r="K1227" s="10">
        <v>6</v>
      </c>
      <c r="L1227" s="2">
        <v>36.258000000000003</v>
      </c>
      <c r="M1227" s="1">
        <v>46155.413888888892</v>
      </c>
      <c r="N1227" t="s">
        <v>522</v>
      </c>
    </row>
    <row r="1228" spans="1:14" x14ac:dyDescent="0.25">
      <c r="A1228" s="9" t="s">
        <v>5211</v>
      </c>
      <c r="B1228" s="10">
        <v>636</v>
      </c>
      <c r="C1228" s="10" t="s">
        <v>323</v>
      </c>
      <c r="D1228" t="s">
        <v>1409</v>
      </c>
      <c r="E1228" t="s">
        <v>1410</v>
      </c>
      <c r="F1228" s="10" t="s">
        <v>19</v>
      </c>
      <c r="G1228" s="2">
        <v>67.381799999999998</v>
      </c>
      <c r="H1228" s="13">
        <v>6</v>
      </c>
      <c r="I1228" s="13">
        <v>0</v>
      </c>
      <c r="J1228" s="13">
        <v>0</v>
      </c>
      <c r="K1228" s="10">
        <v>6</v>
      </c>
      <c r="L1228" s="2">
        <v>404.29079999999999</v>
      </c>
      <c r="M1228" s="1">
        <v>46156.506249999999</v>
      </c>
      <c r="N1228" t="s">
        <v>195</v>
      </c>
    </row>
    <row r="1229" spans="1:14" x14ac:dyDescent="0.25">
      <c r="A1229" s="9" t="s">
        <v>5211</v>
      </c>
      <c r="B1229" s="10">
        <v>714</v>
      </c>
      <c r="C1229" s="10" t="s">
        <v>143</v>
      </c>
      <c r="D1229" t="s">
        <v>4889</v>
      </c>
      <c r="E1229" t="s">
        <v>4890</v>
      </c>
      <c r="F1229" s="10" t="s">
        <v>43</v>
      </c>
      <c r="G1229" s="2">
        <v>13.05</v>
      </c>
      <c r="H1229" s="13">
        <v>6</v>
      </c>
      <c r="I1229" s="13">
        <v>21</v>
      </c>
      <c r="J1229" s="13">
        <v>-21</v>
      </c>
      <c r="K1229" s="10">
        <v>6</v>
      </c>
      <c r="L1229" s="2">
        <v>78.3</v>
      </c>
      <c r="M1229" s="1">
        <v>46156.577777777777</v>
      </c>
      <c r="N1229" t="s">
        <v>229</v>
      </c>
    </row>
    <row r="1230" spans="1:14" x14ac:dyDescent="0.25">
      <c r="A1230" s="9" t="s">
        <v>5211</v>
      </c>
      <c r="B1230" s="10">
        <v>636</v>
      </c>
      <c r="C1230" s="10" t="s">
        <v>143</v>
      </c>
      <c r="D1230" t="s">
        <v>4102</v>
      </c>
      <c r="E1230" t="s">
        <v>4103</v>
      </c>
      <c r="F1230" s="10" t="s">
        <v>43</v>
      </c>
      <c r="G1230" s="2">
        <v>28.285699999999999</v>
      </c>
      <c r="H1230" s="13">
        <v>6</v>
      </c>
      <c r="I1230" s="13">
        <v>7</v>
      </c>
      <c r="J1230" s="13">
        <v>-7</v>
      </c>
      <c r="K1230" s="10">
        <v>6</v>
      </c>
      <c r="L1230" s="2">
        <v>169.71420000000001</v>
      </c>
      <c r="M1230" s="1">
        <v>46157.535416666666</v>
      </c>
      <c r="N1230" t="s">
        <v>64</v>
      </c>
    </row>
    <row r="1231" spans="1:14" x14ac:dyDescent="0.25">
      <c r="A1231" s="9" t="s">
        <v>5211</v>
      </c>
      <c r="B1231" s="10">
        <v>634</v>
      </c>
      <c r="C1231" s="10" t="s">
        <v>12</v>
      </c>
      <c r="D1231" t="s">
        <v>1857</v>
      </c>
      <c r="E1231" t="s">
        <v>1858</v>
      </c>
      <c r="F1231" s="10" t="s">
        <v>29</v>
      </c>
      <c r="G1231" s="2">
        <v>14.428900000000001</v>
      </c>
      <c r="H1231" s="13">
        <v>6</v>
      </c>
      <c r="I1231" s="13">
        <v>12</v>
      </c>
      <c r="J1231" s="13">
        <v>-12</v>
      </c>
      <c r="K1231" s="10">
        <v>6</v>
      </c>
      <c r="L1231" s="2">
        <v>86.573400000000007</v>
      </c>
      <c r="M1231" s="1">
        <v>46157.606249999997</v>
      </c>
      <c r="N1231" t="s">
        <v>175</v>
      </c>
    </row>
    <row r="1232" spans="1:14" x14ac:dyDescent="0.25">
      <c r="A1232" s="9" t="s">
        <v>5211</v>
      </c>
      <c r="B1232" s="10">
        <v>718</v>
      </c>
      <c r="C1232" s="10" t="s">
        <v>1749</v>
      </c>
      <c r="D1232" t="s">
        <v>5119</v>
      </c>
      <c r="E1232" t="s">
        <v>5120</v>
      </c>
      <c r="F1232" s="10" t="s">
        <v>29</v>
      </c>
      <c r="G1232" s="2">
        <v>68.004999999999995</v>
      </c>
      <c r="H1232" s="13">
        <v>6</v>
      </c>
      <c r="I1232" s="13">
        <v>0</v>
      </c>
      <c r="J1232" s="13">
        <v>0</v>
      </c>
      <c r="K1232" s="10">
        <v>6</v>
      </c>
      <c r="L1232" s="2">
        <v>408.03</v>
      </c>
      <c r="M1232" s="1">
        <v>46161.677083333336</v>
      </c>
      <c r="N1232" t="s">
        <v>36</v>
      </c>
    </row>
    <row r="1233" spans="1:14" x14ac:dyDescent="0.25">
      <c r="A1233" s="9" t="s">
        <v>5211</v>
      </c>
      <c r="B1233" s="10">
        <v>714</v>
      </c>
      <c r="C1233" s="10" t="s">
        <v>143</v>
      </c>
      <c r="D1233" t="s">
        <v>4244</v>
      </c>
      <c r="E1233" t="s">
        <v>4245</v>
      </c>
      <c r="F1233" s="10" t="s">
        <v>23</v>
      </c>
      <c r="G1233" s="2">
        <v>37.954700000000003</v>
      </c>
      <c r="H1233" s="13">
        <v>6</v>
      </c>
      <c r="I1233" s="13">
        <v>18</v>
      </c>
      <c r="J1233" s="13">
        <v>-18</v>
      </c>
      <c r="K1233" s="10">
        <v>6</v>
      </c>
      <c r="L1233" s="2">
        <v>227.72819999999999</v>
      </c>
      <c r="M1233" s="1">
        <v>46163.347222222219</v>
      </c>
      <c r="N1233" t="s">
        <v>30</v>
      </c>
    </row>
    <row r="1234" spans="1:14" x14ac:dyDescent="0.25">
      <c r="A1234" s="9" t="s">
        <v>5211</v>
      </c>
      <c r="B1234" s="10">
        <v>636</v>
      </c>
      <c r="C1234" s="10" t="s">
        <v>12</v>
      </c>
      <c r="D1234" t="s">
        <v>4391</v>
      </c>
      <c r="E1234" t="s">
        <v>4392</v>
      </c>
      <c r="F1234" s="10" t="s">
        <v>19</v>
      </c>
      <c r="G1234" s="2">
        <v>4.6026999999999996</v>
      </c>
      <c r="H1234" s="13">
        <v>6</v>
      </c>
      <c r="I1234" s="13">
        <v>50</v>
      </c>
      <c r="J1234" s="13">
        <v>-50</v>
      </c>
      <c r="K1234" s="10">
        <v>6</v>
      </c>
      <c r="L1234" s="2">
        <v>27.616199999999999</v>
      </c>
      <c r="M1234" s="1">
        <v>46163.495138888888</v>
      </c>
      <c r="N1234" t="s">
        <v>509</v>
      </c>
    </row>
    <row r="1235" spans="1:14" x14ac:dyDescent="0.25">
      <c r="A1235" s="9" t="s">
        <v>5211</v>
      </c>
      <c r="B1235" s="10">
        <v>714</v>
      </c>
      <c r="C1235" s="10" t="s">
        <v>143</v>
      </c>
      <c r="D1235" t="s">
        <v>4921</v>
      </c>
      <c r="E1235" t="s">
        <v>4922</v>
      </c>
      <c r="F1235" s="10" t="s">
        <v>39</v>
      </c>
      <c r="G1235" s="2">
        <v>30.507899999999999</v>
      </c>
      <c r="H1235" s="13">
        <v>6</v>
      </c>
      <c r="I1235" s="13">
        <v>6</v>
      </c>
      <c r="J1235" s="13">
        <v>-6</v>
      </c>
      <c r="K1235" s="10">
        <v>6</v>
      </c>
      <c r="L1235" s="2">
        <v>183.04740000000001</v>
      </c>
      <c r="M1235" s="1">
        <v>46164.538888888892</v>
      </c>
      <c r="N1235" t="s">
        <v>903</v>
      </c>
    </row>
    <row r="1236" spans="1:14" x14ac:dyDescent="0.25">
      <c r="A1236" s="9" t="s">
        <v>5211</v>
      </c>
      <c r="B1236" s="10">
        <v>714</v>
      </c>
      <c r="C1236" s="10" t="s">
        <v>70</v>
      </c>
      <c r="D1236" t="s">
        <v>4699</v>
      </c>
      <c r="E1236" t="s">
        <v>4700</v>
      </c>
      <c r="F1236" s="10" t="s">
        <v>29</v>
      </c>
      <c r="G1236" s="2">
        <v>6.1962000000000002</v>
      </c>
      <c r="H1236" s="13">
        <v>6</v>
      </c>
      <c r="I1236" s="13">
        <v>6</v>
      </c>
      <c r="J1236" s="13">
        <v>-6</v>
      </c>
      <c r="K1236" s="10">
        <v>6</v>
      </c>
      <c r="L1236" s="2">
        <v>37.177199999999999</v>
      </c>
      <c r="M1236" s="1">
        <v>46165.633333333331</v>
      </c>
      <c r="N1236" t="s">
        <v>720</v>
      </c>
    </row>
    <row r="1237" spans="1:14" x14ac:dyDescent="0.25">
      <c r="A1237" s="9" t="s">
        <v>5211</v>
      </c>
      <c r="B1237" s="10">
        <v>714</v>
      </c>
      <c r="C1237" s="10" t="s">
        <v>70</v>
      </c>
      <c r="D1237" t="s">
        <v>2137</v>
      </c>
      <c r="E1237" t="s">
        <v>2138</v>
      </c>
      <c r="F1237" s="10" t="s">
        <v>29</v>
      </c>
      <c r="G1237" s="2">
        <v>11.744199999999999</v>
      </c>
      <c r="H1237" s="13">
        <v>6</v>
      </c>
      <c r="I1237" s="13">
        <v>0</v>
      </c>
      <c r="J1237" s="13">
        <v>0</v>
      </c>
      <c r="K1237" s="10">
        <v>6</v>
      </c>
      <c r="L1237" s="2">
        <v>70.465199999999996</v>
      </c>
      <c r="M1237" s="1">
        <v>46169.374305555553</v>
      </c>
      <c r="N1237" t="s">
        <v>40</v>
      </c>
    </row>
    <row r="1238" spans="1:14" x14ac:dyDescent="0.25">
      <c r="A1238" s="9" t="s">
        <v>5211</v>
      </c>
      <c r="B1238" s="10">
        <v>718</v>
      </c>
      <c r="C1238" s="10" t="s">
        <v>323</v>
      </c>
      <c r="D1238" t="s">
        <v>3355</v>
      </c>
      <c r="E1238" t="s">
        <v>3356</v>
      </c>
      <c r="F1238" s="10" t="s">
        <v>29</v>
      </c>
      <c r="G1238" s="2">
        <v>226.00210000000001</v>
      </c>
      <c r="H1238" s="13">
        <v>6</v>
      </c>
      <c r="I1238" s="13">
        <v>0</v>
      </c>
      <c r="J1238" s="13">
        <v>0</v>
      </c>
      <c r="K1238" s="10">
        <v>6</v>
      </c>
      <c r="L1238" s="2">
        <v>1356.0126</v>
      </c>
      <c r="M1238" s="1">
        <v>46169.374305555553</v>
      </c>
      <c r="N1238" t="s">
        <v>137</v>
      </c>
    </row>
    <row r="1239" spans="1:14" x14ac:dyDescent="0.25">
      <c r="A1239" s="9" t="s">
        <v>5211</v>
      </c>
      <c r="B1239" s="10">
        <v>636</v>
      </c>
      <c r="C1239" s="10" t="s">
        <v>323</v>
      </c>
      <c r="D1239" t="s">
        <v>1386</v>
      </c>
      <c r="E1239" t="s">
        <v>1387</v>
      </c>
      <c r="F1239" s="10" t="s">
        <v>29</v>
      </c>
      <c r="G1239" s="2">
        <v>168.16319999999999</v>
      </c>
      <c r="H1239" s="13">
        <v>6</v>
      </c>
      <c r="I1239" s="13">
        <v>2</v>
      </c>
      <c r="J1239" s="13">
        <v>-2</v>
      </c>
      <c r="K1239" s="10">
        <v>6</v>
      </c>
      <c r="L1239" s="2">
        <v>1008.9792</v>
      </c>
      <c r="M1239" s="1">
        <v>46169.423611111109</v>
      </c>
      <c r="N1239" t="s">
        <v>890</v>
      </c>
    </row>
    <row r="1240" spans="1:14" x14ac:dyDescent="0.25">
      <c r="A1240" s="9" t="s">
        <v>5211</v>
      </c>
      <c r="B1240" s="10">
        <v>718</v>
      </c>
      <c r="C1240" s="10" t="s">
        <v>70</v>
      </c>
      <c r="D1240" t="s">
        <v>5132</v>
      </c>
      <c r="E1240" t="s">
        <v>5133</v>
      </c>
      <c r="F1240" s="10" t="s">
        <v>39</v>
      </c>
      <c r="G1240" s="2">
        <v>5.8799000000000001</v>
      </c>
      <c r="H1240" s="13">
        <v>6</v>
      </c>
      <c r="I1240" s="13">
        <v>-3</v>
      </c>
      <c r="J1240" s="13">
        <v>3</v>
      </c>
      <c r="K1240" s="10">
        <v>6</v>
      </c>
      <c r="L1240" s="2">
        <v>35.279400000000003</v>
      </c>
      <c r="M1240" s="1">
        <v>46169.443055555559</v>
      </c>
      <c r="N1240" t="s">
        <v>94</v>
      </c>
    </row>
    <row r="1241" spans="1:14" x14ac:dyDescent="0.25">
      <c r="A1241" s="9" t="s">
        <v>5211</v>
      </c>
      <c r="B1241" s="10">
        <v>714</v>
      </c>
      <c r="C1241" s="10" t="s">
        <v>126</v>
      </c>
      <c r="D1241" t="s">
        <v>4064</v>
      </c>
      <c r="E1241" t="s">
        <v>4065</v>
      </c>
      <c r="F1241" s="10" t="s">
        <v>112</v>
      </c>
      <c r="G1241" s="2">
        <v>6.9934000000000003</v>
      </c>
      <c r="H1241" s="13">
        <v>6</v>
      </c>
      <c r="I1241" s="13">
        <v>16</v>
      </c>
      <c r="J1241" s="13">
        <v>-16</v>
      </c>
      <c r="K1241" s="10">
        <v>6</v>
      </c>
      <c r="L1241" s="2">
        <v>41.9604</v>
      </c>
      <c r="M1241" s="1">
        <v>46169.488194444442</v>
      </c>
      <c r="N1241" t="s">
        <v>16</v>
      </c>
    </row>
    <row r="1242" spans="1:14" x14ac:dyDescent="0.25">
      <c r="A1242" s="9" t="s">
        <v>5211</v>
      </c>
      <c r="B1242" s="10">
        <v>714</v>
      </c>
      <c r="C1242" s="10" t="s">
        <v>70</v>
      </c>
      <c r="D1242" t="s">
        <v>3659</v>
      </c>
      <c r="E1242" t="s">
        <v>3660</v>
      </c>
      <c r="F1242" s="10" t="s">
        <v>39</v>
      </c>
      <c r="G1242" s="2">
        <v>7.2370000000000001</v>
      </c>
      <c r="H1242" s="13">
        <v>6</v>
      </c>
      <c r="I1242" s="13">
        <v>-13</v>
      </c>
      <c r="J1242" s="13">
        <v>13</v>
      </c>
      <c r="K1242" s="10">
        <v>6</v>
      </c>
      <c r="L1242" s="2">
        <v>43.421999999999997</v>
      </c>
      <c r="M1242" s="1">
        <v>46170.436805555553</v>
      </c>
      <c r="N1242" t="s">
        <v>94</v>
      </c>
    </row>
    <row r="1243" spans="1:14" x14ac:dyDescent="0.25">
      <c r="A1243" s="9" t="s">
        <v>5211</v>
      </c>
      <c r="B1243" s="10">
        <v>714</v>
      </c>
      <c r="C1243" s="10" t="s">
        <v>12</v>
      </c>
      <c r="D1243" t="s">
        <v>540</v>
      </c>
      <c r="E1243" t="s">
        <v>541</v>
      </c>
      <c r="F1243" s="10" t="s">
        <v>29</v>
      </c>
      <c r="G1243" s="2">
        <v>10.9201</v>
      </c>
      <c r="H1243" s="13">
        <v>6</v>
      </c>
      <c r="I1243" s="13">
        <v>0</v>
      </c>
      <c r="J1243" s="13">
        <v>0</v>
      </c>
      <c r="K1243" s="10">
        <v>6</v>
      </c>
      <c r="L1243" s="2">
        <v>65.520600000000002</v>
      </c>
      <c r="M1243" s="1">
        <v>46170.655555555553</v>
      </c>
      <c r="N1243" t="s">
        <v>542</v>
      </c>
    </row>
    <row r="1244" spans="1:14" x14ac:dyDescent="0.25">
      <c r="A1244" s="9" t="s">
        <v>5211</v>
      </c>
      <c r="B1244" s="10">
        <v>636</v>
      </c>
      <c r="C1244" s="10" t="s">
        <v>143</v>
      </c>
      <c r="D1244" t="s">
        <v>4517</v>
      </c>
      <c r="E1244" t="s">
        <v>4518</v>
      </c>
      <c r="F1244" s="10" t="s">
        <v>158</v>
      </c>
      <c r="G1244" s="2">
        <v>14.609500000000001</v>
      </c>
      <c r="H1244" s="13">
        <v>6</v>
      </c>
      <c r="I1244" s="13">
        <v>30</v>
      </c>
      <c r="J1244" s="13">
        <v>-30</v>
      </c>
      <c r="K1244" s="10">
        <v>6</v>
      </c>
      <c r="L1244" s="2">
        <v>87.656999999999996</v>
      </c>
      <c r="M1244" s="1">
        <v>46171.597222222219</v>
      </c>
      <c r="N1244" t="s">
        <v>40</v>
      </c>
    </row>
    <row r="1245" spans="1:14" x14ac:dyDescent="0.25">
      <c r="A1245" s="9" t="s">
        <v>5211</v>
      </c>
      <c r="B1245" s="10">
        <v>718</v>
      </c>
      <c r="C1245" s="10" t="s">
        <v>143</v>
      </c>
      <c r="D1245" t="s">
        <v>5170</v>
      </c>
      <c r="E1245" t="s">
        <v>5171</v>
      </c>
      <c r="F1245" s="10" t="s">
        <v>112</v>
      </c>
      <c r="G1245" s="2">
        <v>13.8141</v>
      </c>
      <c r="H1245" s="13">
        <v>6</v>
      </c>
      <c r="I1245" s="13">
        <v>72</v>
      </c>
      <c r="J1245" s="13">
        <v>-72</v>
      </c>
      <c r="K1245" s="10">
        <v>6</v>
      </c>
      <c r="L1245" s="2">
        <v>82.884600000000006</v>
      </c>
      <c r="M1245" s="1">
        <v>46171.619444444441</v>
      </c>
      <c r="N1245" t="s">
        <v>26</v>
      </c>
    </row>
    <row r="1246" spans="1:14" x14ac:dyDescent="0.25">
      <c r="A1246" s="9" t="s">
        <v>5211</v>
      </c>
      <c r="B1246" s="10">
        <v>718</v>
      </c>
      <c r="C1246" s="10" t="s">
        <v>323</v>
      </c>
      <c r="D1246" t="s">
        <v>3937</v>
      </c>
      <c r="E1246" t="s">
        <v>3938</v>
      </c>
      <c r="F1246" s="10" t="s">
        <v>29</v>
      </c>
      <c r="G1246" s="2">
        <v>86.751499999999993</v>
      </c>
      <c r="H1246" s="13">
        <v>6</v>
      </c>
      <c r="I1246" s="13">
        <v>0</v>
      </c>
      <c r="J1246" s="13">
        <v>0</v>
      </c>
      <c r="K1246" s="10">
        <v>6</v>
      </c>
      <c r="L1246" s="2">
        <v>520.50900000000001</v>
      </c>
      <c r="M1246" s="1">
        <v>46175.657638888886</v>
      </c>
      <c r="N1246" t="s">
        <v>3755</v>
      </c>
    </row>
    <row r="1247" spans="1:14" x14ac:dyDescent="0.25">
      <c r="A1247" s="9" t="s">
        <v>5211</v>
      </c>
      <c r="B1247" s="10">
        <v>636</v>
      </c>
      <c r="C1247" s="10" t="s">
        <v>323</v>
      </c>
      <c r="D1247" t="s">
        <v>4296</v>
      </c>
      <c r="E1247" t="s">
        <v>4297</v>
      </c>
      <c r="F1247" s="10" t="s">
        <v>43</v>
      </c>
      <c r="G1247" s="2">
        <v>272.70159999999998</v>
      </c>
      <c r="H1247" s="13">
        <v>6</v>
      </c>
      <c r="I1247" s="13">
        <v>42</v>
      </c>
      <c r="J1247" s="13">
        <v>-42</v>
      </c>
      <c r="K1247" s="10">
        <v>6</v>
      </c>
      <c r="L1247" s="2">
        <v>1636.2095999999999</v>
      </c>
      <c r="M1247" s="1">
        <v>46176.42083333333</v>
      </c>
      <c r="N1247" t="s">
        <v>151</v>
      </c>
    </row>
    <row r="1248" spans="1:14" x14ac:dyDescent="0.25">
      <c r="A1248" s="9" t="s">
        <v>5211</v>
      </c>
      <c r="B1248" s="10">
        <v>636</v>
      </c>
      <c r="C1248" s="10" t="s">
        <v>70</v>
      </c>
      <c r="D1248" t="s">
        <v>824</v>
      </c>
      <c r="E1248" t="s">
        <v>825</v>
      </c>
      <c r="F1248" s="10" t="s">
        <v>39</v>
      </c>
      <c r="G1248" s="2">
        <v>7.2500999999999998</v>
      </c>
      <c r="H1248" s="13">
        <v>6</v>
      </c>
      <c r="I1248" s="13">
        <v>0</v>
      </c>
      <c r="J1248" s="13">
        <v>0</v>
      </c>
      <c r="K1248" s="10">
        <v>6</v>
      </c>
      <c r="L1248" s="2">
        <v>43.500599999999999</v>
      </c>
      <c r="M1248" s="1">
        <v>46177.399305555555</v>
      </c>
      <c r="N1248" t="s">
        <v>16</v>
      </c>
    </row>
    <row r="1249" spans="1:14" x14ac:dyDescent="0.25">
      <c r="A1249" s="9" t="s">
        <v>5211</v>
      </c>
      <c r="B1249" s="10">
        <v>636</v>
      </c>
      <c r="C1249" s="10" t="s">
        <v>12</v>
      </c>
      <c r="D1249" t="s">
        <v>514</v>
      </c>
      <c r="E1249" t="s">
        <v>515</v>
      </c>
      <c r="F1249" s="10" t="s">
        <v>29</v>
      </c>
      <c r="G1249" s="2">
        <v>15.0024</v>
      </c>
      <c r="H1249" s="13">
        <v>6</v>
      </c>
      <c r="I1249" s="13">
        <v>0</v>
      </c>
      <c r="J1249" s="13">
        <v>0</v>
      </c>
      <c r="K1249" s="10">
        <v>6</v>
      </c>
      <c r="L1249" s="2">
        <v>90.014399999999995</v>
      </c>
      <c r="M1249" s="1">
        <v>46177.611805555556</v>
      </c>
      <c r="N1249" t="s">
        <v>26</v>
      </c>
    </row>
    <row r="1250" spans="1:14" x14ac:dyDescent="0.25">
      <c r="A1250" s="9" t="s">
        <v>5211</v>
      </c>
      <c r="B1250" s="10">
        <v>714</v>
      </c>
      <c r="C1250" s="10" t="s">
        <v>323</v>
      </c>
      <c r="D1250" t="s">
        <v>3520</v>
      </c>
      <c r="E1250" t="s">
        <v>3521</v>
      </c>
      <c r="F1250" s="10" t="s">
        <v>19</v>
      </c>
      <c r="G1250" s="2">
        <v>94.033699999999996</v>
      </c>
      <c r="H1250" s="13">
        <v>6</v>
      </c>
      <c r="I1250" s="13">
        <v>1</v>
      </c>
      <c r="J1250" s="13">
        <v>-1</v>
      </c>
      <c r="K1250" s="10">
        <v>6</v>
      </c>
      <c r="L1250" s="2">
        <v>564.20219999999995</v>
      </c>
      <c r="M1250" s="1">
        <v>46183.617361111108</v>
      </c>
      <c r="N1250" t="s">
        <v>3384</v>
      </c>
    </row>
    <row r="1251" spans="1:14" x14ac:dyDescent="0.25">
      <c r="A1251" s="9" t="s">
        <v>5211</v>
      </c>
      <c r="B1251" s="10">
        <v>714</v>
      </c>
      <c r="C1251" s="10" t="s">
        <v>143</v>
      </c>
      <c r="D1251" t="s">
        <v>951</v>
      </c>
      <c r="E1251" t="s">
        <v>952</v>
      </c>
      <c r="F1251" s="10" t="s">
        <v>29</v>
      </c>
      <c r="G1251" s="2">
        <v>79.826599999999999</v>
      </c>
      <c r="H1251" s="13">
        <v>6</v>
      </c>
      <c r="I1251" s="13">
        <v>0</v>
      </c>
      <c r="J1251" s="13">
        <v>0</v>
      </c>
      <c r="K1251" s="10">
        <v>6</v>
      </c>
      <c r="L1251" s="2">
        <v>478.95960000000002</v>
      </c>
      <c r="M1251" s="1">
        <v>46183.672222222223</v>
      </c>
      <c r="N1251" t="s">
        <v>159</v>
      </c>
    </row>
    <row r="1252" spans="1:14" x14ac:dyDescent="0.25">
      <c r="A1252" s="9" t="s">
        <v>5211</v>
      </c>
      <c r="B1252" s="10">
        <v>634</v>
      </c>
      <c r="C1252" s="10" t="s">
        <v>12</v>
      </c>
      <c r="D1252" t="s">
        <v>62</v>
      </c>
      <c r="E1252" t="s">
        <v>63</v>
      </c>
      <c r="F1252" s="10" t="s">
        <v>39</v>
      </c>
      <c r="G1252" s="2">
        <v>14.661</v>
      </c>
      <c r="H1252" s="13">
        <v>6</v>
      </c>
      <c r="I1252" s="13">
        <v>2</v>
      </c>
      <c r="J1252" s="13">
        <v>-2</v>
      </c>
      <c r="K1252" s="10">
        <v>6</v>
      </c>
      <c r="L1252" s="2">
        <v>87.965999999999994</v>
      </c>
      <c r="M1252" s="1">
        <v>46184.3</v>
      </c>
      <c r="N1252" t="s">
        <v>64</v>
      </c>
    </row>
    <row r="1253" spans="1:14" x14ac:dyDescent="0.25">
      <c r="A1253" s="9" t="s">
        <v>5211</v>
      </c>
      <c r="B1253" s="10">
        <v>636</v>
      </c>
      <c r="C1253" s="10" t="s">
        <v>70</v>
      </c>
      <c r="D1253" t="s">
        <v>837</v>
      </c>
      <c r="E1253" t="s">
        <v>838</v>
      </c>
      <c r="F1253" s="10" t="s">
        <v>29</v>
      </c>
      <c r="G1253" s="2">
        <v>10.2867</v>
      </c>
      <c r="H1253" s="13">
        <v>6</v>
      </c>
      <c r="I1253" s="13">
        <v>0</v>
      </c>
      <c r="J1253" s="13">
        <v>0</v>
      </c>
      <c r="K1253" s="10">
        <v>6</v>
      </c>
      <c r="L1253" s="2">
        <v>61.720199999999998</v>
      </c>
      <c r="M1253" s="1">
        <v>46189.418749999997</v>
      </c>
      <c r="N1253" t="s">
        <v>16</v>
      </c>
    </row>
    <row r="1254" spans="1:14" x14ac:dyDescent="0.25">
      <c r="A1254" s="9" t="s">
        <v>5211</v>
      </c>
      <c r="B1254" s="10">
        <v>718</v>
      </c>
      <c r="C1254" s="10" t="s">
        <v>143</v>
      </c>
      <c r="D1254" t="s">
        <v>2644</v>
      </c>
      <c r="E1254" t="s">
        <v>2645</v>
      </c>
      <c r="F1254" s="10" t="s">
        <v>29</v>
      </c>
      <c r="G1254" s="2">
        <v>50.3414</v>
      </c>
      <c r="H1254" s="13">
        <v>6</v>
      </c>
      <c r="I1254" s="13">
        <v>0</v>
      </c>
      <c r="J1254" s="13">
        <v>0</v>
      </c>
      <c r="K1254" s="10">
        <v>6</v>
      </c>
      <c r="L1254" s="2">
        <v>302.04840000000002</v>
      </c>
      <c r="M1254" s="1">
        <v>46189.48333333333</v>
      </c>
      <c r="N1254" t="s">
        <v>40</v>
      </c>
    </row>
    <row r="1255" spans="1:14" x14ac:dyDescent="0.25">
      <c r="A1255" s="9" t="s">
        <v>5211</v>
      </c>
      <c r="B1255" s="10">
        <v>714</v>
      </c>
      <c r="C1255" s="10" t="s">
        <v>70</v>
      </c>
      <c r="D1255" t="s">
        <v>4705</v>
      </c>
      <c r="E1255" t="s">
        <v>4706</v>
      </c>
      <c r="F1255" s="10" t="s">
        <v>39</v>
      </c>
      <c r="G1255" s="2">
        <v>7.7192999999999996</v>
      </c>
      <c r="H1255" s="13">
        <v>6</v>
      </c>
      <c r="I1255" s="13">
        <v>3</v>
      </c>
      <c r="J1255" s="13">
        <v>-3</v>
      </c>
      <c r="K1255" s="10">
        <v>6</v>
      </c>
      <c r="L1255" s="2">
        <v>46.315800000000003</v>
      </c>
      <c r="M1255" s="1">
        <v>46190.568055555559</v>
      </c>
      <c r="N1255" t="s">
        <v>40</v>
      </c>
    </row>
    <row r="1256" spans="1:14" x14ac:dyDescent="0.25">
      <c r="A1256" s="9" t="s">
        <v>5211</v>
      </c>
      <c r="B1256" s="10">
        <v>714</v>
      </c>
      <c r="C1256" s="10" t="s">
        <v>323</v>
      </c>
      <c r="D1256" t="s">
        <v>3237</v>
      </c>
      <c r="E1256" t="s">
        <v>3238</v>
      </c>
      <c r="F1256" s="10" t="s">
        <v>43</v>
      </c>
      <c r="G1256" s="2">
        <v>118.6602</v>
      </c>
      <c r="H1256" s="13">
        <v>6</v>
      </c>
      <c r="I1256" s="13">
        <v>-1</v>
      </c>
      <c r="J1256" s="13">
        <v>1</v>
      </c>
      <c r="K1256" s="10">
        <v>6</v>
      </c>
      <c r="L1256" s="2">
        <v>711.96119999999996</v>
      </c>
      <c r="M1256" s="1">
        <v>46191.352083333331</v>
      </c>
      <c r="N1256" t="s">
        <v>195</v>
      </c>
    </row>
    <row r="1257" spans="1:14" x14ac:dyDescent="0.25">
      <c r="A1257" s="9" t="s">
        <v>5211</v>
      </c>
      <c r="B1257" s="10">
        <v>636</v>
      </c>
      <c r="C1257" s="10" t="s">
        <v>143</v>
      </c>
      <c r="D1257" t="s">
        <v>223</v>
      </c>
      <c r="E1257" t="s">
        <v>224</v>
      </c>
      <c r="F1257" s="10" t="s">
        <v>158</v>
      </c>
      <c r="G1257" s="2">
        <v>140.03280000000001</v>
      </c>
      <c r="H1257" s="13">
        <v>6</v>
      </c>
      <c r="I1257" s="13">
        <v>0</v>
      </c>
      <c r="J1257" s="13">
        <v>0</v>
      </c>
      <c r="K1257" s="10">
        <v>6</v>
      </c>
      <c r="L1257" s="2">
        <v>840.19680000000005</v>
      </c>
      <c r="M1257" s="1">
        <v>46191.365277777775</v>
      </c>
      <c r="N1257" t="s">
        <v>903</v>
      </c>
    </row>
    <row r="1258" spans="1:14" x14ac:dyDescent="0.25">
      <c r="A1258" s="9" t="s">
        <v>5211</v>
      </c>
      <c r="B1258" s="10">
        <v>714</v>
      </c>
      <c r="C1258" s="10" t="s">
        <v>70</v>
      </c>
      <c r="D1258" t="s">
        <v>608</v>
      </c>
      <c r="E1258" t="s">
        <v>609</v>
      </c>
      <c r="F1258" s="10" t="s">
        <v>39</v>
      </c>
      <c r="G1258" s="2">
        <v>7.8678999999999997</v>
      </c>
      <c r="H1258" s="13">
        <v>6</v>
      </c>
      <c r="I1258" s="13">
        <v>0</v>
      </c>
      <c r="J1258" s="13">
        <v>0</v>
      </c>
      <c r="K1258" s="10">
        <v>6</v>
      </c>
      <c r="L1258" s="2">
        <v>47.2074</v>
      </c>
      <c r="M1258" s="1">
        <v>46192.581944444442</v>
      </c>
      <c r="N1258" t="s">
        <v>573</v>
      </c>
    </row>
    <row r="1259" spans="1:14" x14ac:dyDescent="0.25">
      <c r="A1259" s="9" t="s">
        <v>5211</v>
      </c>
      <c r="B1259" s="10">
        <v>714</v>
      </c>
      <c r="C1259" s="10" t="s">
        <v>323</v>
      </c>
      <c r="D1259" t="s">
        <v>3061</v>
      </c>
      <c r="E1259" t="s">
        <v>3062</v>
      </c>
      <c r="F1259" s="10" t="s">
        <v>23</v>
      </c>
      <c r="G1259" s="2">
        <v>120.8409</v>
      </c>
      <c r="H1259" s="13">
        <v>6</v>
      </c>
      <c r="I1259" s="13">
        <v>0</v>
      </c>
      <c r="J1259" s="13">
        <v>0</v>
      </c>
      <c r="K1259" s="10">
        <v>6</v>
      </c>
      <c r="L1259" s="2">
        <v>725.04539999999997</v>
      </c>
      <c r="M1259" s="1">
        <v>46192.649305555555</v>
      </c>
      <c r="N1259" t="s">
        <v>2821</v>
      </c>
    </row>
    <row r="1260" spans="1:14" x14ac:dyDescent="0.25">
      <c r="A1260" s="9" t="s">
        <v>5211</v>
      </c>
      <c r="B1260" s="10">
        <v>714</v>
      </c>
      <c r="C1260" s="10" t="s">
        <v>143</v>
      </c>
      <c r="D1260" t="s">
        <v>955</v>
      </c>
      <c r="E1260" t="s">
        <v>956</v>
      </c>
      <c r="F1260" s="10" t="s">
        <v>29</v>
      </c>
      <c r="G1260" s="2">
        <v>16.391100000000002</v>
      </c>
      <c r="H1260" s="13">
        <v>6</v>
      </c>
      <c r="I1260" s="13">
        <v>0</v>
      </c>
      <c r="J1260" s="13">
        <v>0</v>
      </c>
      <c r="K1260" s="10">
        <v>6</v>
      </c>
      <c r="L1260" s="2">
        <v>98.346599999999995</v>
      </c>
      <c r="M1260" s="1">
        <v>46195.50277777778</v>
      </c>
      <c r="N1260" t="s">
        <v>665</v>
      </c>
    </row>
    <row r="1261" spans="1:14" x14ac:dyDescent="0.25">
      <c r="A1261" s="9" t="s">
        <v>5211</v>
      </c>
      <c r="B1261" s="10">
        <v>714</v>
      </c>
      <c r="C1261" s="10" t="s">
        <v>70</v>
      </c>
      <c r="D1261" t="s">
        <v>2064</v>
      </c>
      <c r="E1261" t="s">
        <v>2065</v>
      </c>
      <c r="F1261" s="10" t="s">
        <v>29</v>
      </c>
      <c r="G1261" s="2">
        <v>9.0297999999999998</v>
      </c>
      <c r="H1261" s="13">
        <v>6</v>
      </c>
      <c r="I1261" s="13">
        <v>0</v>
      </c>
      <c r="J1261" s="13">
        <v>0</v>
      </c>
      <c r="K1261" s="10">
        <v>6</v>
      </c>
      <c r="L1261" s="2">
        <v>54.178800000000003</v>
      </c>
      <c r="M1261" s="1">
        <v>46195.55</v>
      </c>
      <c r="N1261" t="s">
        <v>2066</v>
      </c>
    </row>
    <row r="1262" spans="1:14" x14ac:dyDescent="0.25">
      <c r="A1262" s="9" t="s">
        <v>5211</v>
      </c>
      <c r="B1262" s="10">
        <v>636</v>
      </c>
      <c r="C1262" s="10" t="s">
        <v>70</v>
      </c>
      <c r="D1262" t="s">
        <v>636</v>
      </c>
      <c r="E1262" t="s">
        <v>637</v>
      </c>
      <c r="F1262" s="10" t="s">
        <v>29</v>
      </c>
      <c r="G1262" s="2">
        <v>6.3205999999999998</v>
      </c>
      <c r="H1262" s="13">
        <v>6</v>
      </c>
      <c r="I1262" s="13">
        <v>0</v>
      </c>
      <c r="J1262" s="13">
        <v>0</v>
      </c>
      <c r="K1262" s="10">
        <v>6</v>
      </c>
      <c r="L1262" s="2">
        <v>37.9236</v>
      </c>
      <c r="M1262" s="1">
        <v>46196.405555555553</v>
      </c>
      <c r="N1262" t="s">
        <v>16</v>
      </c>
    </row>
    <row r="1263" spans="1:14" x14ac:dyDescent="0.25">
      <c r="A1263" s="9" t="s">
        <v>5211</v>
      </c>
      <c r="B1263" s="10">
        <v>718</v>
      </c>
      <c r="C1263" s="10" t="s">
        <v>143</v>
      </c>
      <c r="D1263" t="s">
        <v>4917</v>
      </c>
      <c r="E1263" t="s">
        <v>4918</v>
      </c>
      <c r="F1263" s="10" t="s">
        <v>43</v>
      </c>
      <c r="G1263" s="2">
        <v>31.9115</v>
      </c>
      <c r="H1263" s="13">
        <v>6</v>
      </c>
      <c r="I1263" s="13">
        <v>41</v>
      </c>
      <c r="J1263" s="13">
        <v>-41</v>
      </c>
      <c r="K1263" s="10">
        <v>6</v>
      </c>
      <c r="L1263" s="2">
        <v>191.46899999999999</v>
      </c>
      <c r="M1263" s="1">
        <v>46196.648611111108</v>
      </c>
      <c r="N1263" t="s">
        <v>67</v>
      </c>
    </row>
    <row r="1264" spans="1:14" x14ac:dyDescent="0.25">
      <c r="A1264" s="9" t="s">
        <v>5211</v>
      </c>
      <c r="B1264" s="10">
        <v>714</v>
      </c>
      <c r="C1264" s="10" t="s">
        <v>323</v>
      </c>
      <c r="D1264" t="s">
        <v>3366</v>
      </c>
      <c r="E1264" t="s">
        <v>3367</v>
      </c>
      <c r="F1264" s="10" t="s">
        <v>19</v>
      </c>
      <c r="G1264" s="2">
        <v>144.76429999999999</v>
      </c>
      <c r="H1264" s="13">
        <v>6</v>
      </c>
      <c r="I1264" s="13">
        <v>0</v>
      </c>
      <c r="J1264" s="13">
        <v>0</v>
      </c>
      <c r="K1264" s="10">
        <v>6</v>
      </c>
      <c r="L1264" s="2">
        <v>868.58579999999995</v>
      </c>
      <c r="M1264" s="1">
        <v>46197.59652777778</v>
      </c>
      <c r="N1264" t="s">
        <v>366</v>
      </c>
    </row>
    <row r="1265" spans="1:14" x14ac:dyDescent="0.25">
      <c r="A1265" s="9" t="s">
        <v>5211</v>
      </c>
      <c r="B1265" s="10">
        <v>714</v>
      </c>
      <c r="C1265" s="10" t="s">
        <v>70</v>
      </c>
      <c r="D1265" t="s">
        <v>789</v>
      </c>
      <c r="E1265" t="s">
        <v>790</v>
      </c>
      <c r="F1265" s="10" t="s">
        <v>29</v>
      </c>
      <c r="G1265" s="2">
        <v>9.8862000000000005</v>
      </c>
      <c r="H1265" s="13">
        <v>6</v>
      </c>
      <c r="I1265" s="13">
        <v>0</v>
      </c>
      <c r="J1265" s="13">
        <v>0</v>
      </c>
      <c r="K1265" s="10">
        <v>6</v>
      </c>
      <c r="L1265" s="2">
        <v>59.3172</v>
      </c>
      <c r="M1265" s="1">
        <v>46198.40902777778</v>
      </c>
      <c r="N1265" t="s">
        <v>573</v>
      </c>
    </row>
    <row r="1266" spans="1:14" x14ac:dyDescent="0.25">
      <c r="A1266" s="9" t="s">
        <v>5211</v>
      </c>
      <c r="B1266" s="10">
        <v>636</v>
      </c>
      <c r="C1266" s="10" t="s">
        <v>70</v>
      </c>
      <c r="D1266" t="s">
        <v>4020</v>
      </c>
      <c r="E1266" t="s">
        <v>4021</v>
      </c>
      <c r="F1266" s="10" t="s">
        <v>112</v>
      </c>
      <c r="G1266" s="2">
        <v>5.9326999999999996</v>
      </c>
      <c r="H1266" s="13">
        <v>6</v>
      </c>
      <c r="I1266" s="13">
        <v>14</v>
      </c>
      <c r="J1266" s="13">
        <v>-14</v>
      </c>
      <c r="K1266" s="10">
        <v>6</v>
      </c>
      <c r="L1266" s="2">
        <v>35.596200000000003</v>
      </c>
      <c r="M1266" s="1">
        <v>46198.50277777778</v>
      </c>
      <c r="N1266" t="s">
        <v>26</v>
      </c>
    </row>
    <row r="1267" spans="1:14" x14ac:dyDescent="0.25">
      <c r="A1267" s="9" t="s">
        <v>5211</v>
      </c>
      <c r="B1267" s="10">
        <v>714</v>
      </c>
      <c r="C1267" s="10" t="s">
        <v>143</v>
      </c>
      <c r="D1267" t="s">
        <v>2302</v>
      </c>
      <c r="E1267" t="s">
        <v>2303</v>
      </c>
      <c r="F1267" s="10" t="s">
        <v>158</v>
      </c>
      <c r="G1267" s="2">
        <v>34.880200000000002</v>
      </c>
      <c r="H1267" s="13">
        <v>6</v>
      </c>
      <c r="I1267" s="13">
        <v>0</v>
      </c>
      <c r="J1267" s="13">
        <v>0</v>
      </c>
      <c r="K1267" s="10">
        <v>6</v>
      </c>
      <c r="L1267" s="2">
        <v>209.28120000000001</v>
      </c>
      <c r="M1267" s="1">
        <v>46199.347916666666</v>
      </c>
      <c r="N1267" t="s">
        <v>216</v>
      </c>
    </row>
    <row r="1268" spans="1:14" x14ac:dyDescent="0.25">
      <c r="A1268" s="9" t="s">
        <v>5211</v>
      </c>
      <c r="B1268" s="10">
        <v>636</v>
      </c>
      <c r="C1268" s="10" t="s">
        <v>70</v>
      </c>
      <c r="D1268" t="s">
        <v>710</v>
      </c>
      <c r="E1268" t="s">
        <v>711</v>
      </c>
      <c r="F1268" s="10" t="s">
        <v>39</v>
      </c>
      <c r="G1268" s="2">
        <v>5.5345000000000004</v>
      </c>
      <c r="H1268" s="13">
        <v>6</v>
      </c>
      <c r="I1268" s="13">
        <v>-2</v>
      </c>
      <c r="J1268" s="13">
        <v>2</v>
      </c>
      <c r="K1268" s="10">
        <v>6</v>
      </c>
      <c r="L1268" s="2">
        <v>33.207000000000001</v>
      </c>
      <c r="M1268" s="1">
        <v>46199.375</v>
      </c>
      <c r="N1268" t="s">
        <v>16</v>
      </c>
    </row>
    <row r="1269" spans="1:14" x14ac:dyDescent="0.25">
      <c r="A1269" s="9" t="s">
        <v>5211</v>
      </c>
      <c r="B1269" s="10">
        <v>714</v>
      </c>
      <c r="C1269" s="10" t="s">
        <v>143</v>
      </c>
      <c r="D1269" t="s">
        <v>897</v>
      </c>
      <c r="E1269" t="s">
        <v>898</v>
      </c>
      <c r="F1269" s="10" t="s">
        <v>43</v>
      </c>
      <c r="G1269" s="2">
        <v>55.771599999999999</v>
      </c>
      <c r="H1269" s="13">
        <v>6</v>
      </c>
      <c r="I1269" s="13">
        <v>-6</v>
      </c>
      <c r="J1269" s="13">
        <v>6</v>
      </c>
      <c r="K1269" s="10">
        <v>6</v>
      </c>
      <c r="L1269" s="2">
        <v>334.62959999999998</v>
      </c>
      <c r="M1269" s="1">
        <v>46200.382638888892</v>
      </c>
      <c r="N1269" t="s">
        <v>1062</v>
      </c>
    </row>
    <row r="1270" spans="1:14" x14ac:dyDescent="0.25">
      <c r="A1270" s="9" t="s">
        <v>5211</v>
      </c>
      <c r="B1270" s="10">
        <v>718</v>
      </c>
      <c r="C1270" s="10" t="s">
        <v>126</v>
      </c>
      <c r="D1270" t="s">
        <v>4461</v>
      </c>
      <c r="E1270" t="s">
        <v>4462</v>
      </c>
      <c r="F1270" s="10" t="s">
        <v>158</v>
      </c>
      <c r="G1270" s="2">
        <v>175.89420000000001</v>
      </c>
      <c r="H1270" s="13">
        <v>6</v>
      </c>
      <c r="I1270" s="13">
        <v>23</v>
      </c>
      <c r="J1270" s="13">
        <v>-23</v>
      </c>
      <c r="K1270" s="10">
        <v>6</v>
      </c>
      <c r="L1270" s="2">
        <v>1055.3652</v>
      </c>
      <c r="M1270" s="1">
        <v>46204.645138888889</v>
      </c>
      <c r="N1270" t="s">
        <v>2196</v>
      </c>
    </row>
    <row r="1271" spans="1:14" x14ac:dyDescent="0.25">
      <c r="A1271" s="9" t="s">
        <v>5211</v>
      </c>
      <c r="B1271" s="10">
        <v>636</v>
      </c>
      <c r="C1271" s="10" t="s">
        <v>143</v>
      </c>
      <c r="D1271" t="s">
        <v>4108</v>
      </c>
      <c r="E1271" t="s">
        <v>4109</v>
      </c>
      <c r="F1271" s="10" t="s">
        <v>23</v>
      </c>
      <c r="G1271" s="2">
        <v>14.9466</v>
      </c>
      <c r="H1271" s="13">
        <v>6</v>
      </c>
      <c r="I1271" s="13">
        <v>13</v>
      </c>
      <c r="J1271" s="13">
        <v>-13</v>
      </c>
      <c r="K1271" s="10">
        <v>6</v>
      </c>
      <c r="L1271" s="2">
        <v>89.679599999999994</v>
      </c>
      <c r="M1271" s="1">
        <v>46205.431944444441</v>
      </c>
      <c r="N1271" t="s">
        <v>175</v>
      </c>
    </row>
    <row r="1272" spans="1:14" x14ac:dyDescent="0.25">
      <c r="A1272" s="9" t="s">
        <v>5211</v>
      </c>
      <c r="B1272" s="10">
        <v>714</v>
      </c>
      <c r="C1272" s="10" t="s">
        <v>143</v>
      </c>
      <c r="D1272" t="s">
        <v>1182</v>
      </c>
      <c r="E1272" t="s">
        <v>1183</v>
      </c>
      <c r="F1272" s="10" t="s">
        <v>29</v>
      </c>
      <c r="G1272" s="2">
        <v>26.546399999999998</v>
      </c>
      <c r="H1272" s="13">
        <v>6</v>
      </c>
      <c r="I1272" s="13">
        <v>0</v>
      </c>
      <c r="J1272" s="13">
        <v>0</v>
      </c>
      <c r="K1272" s="10">
        <v>6</v>
      </c>
      <c r="L1272" s="2">
        <v>159.2784</v>
      </c>
      <c r="M1272" s="1">
        <v>46211.597916666666</v>
      </c>
      <c r="N1272" t="s">
        <v>40</v>
      </c>
    </row>
    <row r="1273" spans="1:14" x14ac:dyDescent="0.25">
      <c r="A1273" s="9" t="s">
        <v>5211</v>
      </c>
      <c r="B1273" s="10">
        <v>714</v>
      </c>
      <c r="C1273" s="10" t="s">
        <v>70</v>
      </c>
      <c r="D1273" t="s">
        <v>2050</v>
      </c>
      <c r="E1273" t="s">
        <v>2051</v>
      </c>
      <c r="F1273" s="10" t="s">
        <v>29</v>
      </c>
      <c r="G1273" s="2">
        <v>9.9474999999999998</v>
      </c>
      <c r="H1273" s="13">
        <v>6</v>
      </c>
      <c r="I1273" s="13">
        <v>0</v>
      </c>
      <c r="J1273" s="13">
        <v>0</v>
      </c>
      <c r="K1273" s="10">
        <v>6</v>
      </c>
      <c r="L1273" s="2">
        <v>59.685000000000002</v>
      </c>
      <c r="M1273" s="1">
        <v>46213.455555555556</v>
      </c>
      <c r="N1273" t="s">
        <v>573</v>
      </c>
    </row>
    <row r="1274" spans="1:14" x14ac:dyDescent="0.25">
      <c r="A1274" s="9" t="s">
        <v>5211</v>
      </c>
      <c r="B1274" s="10">
        <v>714</v>
      </c>
      <c r="C1274" s="10" t="s">
        <v>323</v>
      </c>
      <c r="D1274" t="s">
        <v>3442</v>
      </c>
      <c r="E1274" t="s">
        <v>3443</v>
      </c>
      <c r="F1274" s="10" t="s">
        <v>158</v>
      </c>
      <c r="G1274" s="2">
        <v>133.8965</v>
      </c>
      <c r="H1274" s="13">
        <v>6</v>
      </c>
      <c r="I1274" s="13">
        <v>0</v>
      </c>
      <c r="J1274" s="13">
        <v>0</v>
      </c>
      <c r="K1274" s="10">
        <v>6</v>
      </c>
      <c r="L1274" s="2">
        <v>803.37900000000002</v>
      </c>
      <c r="M1274" s="1">
        <v>46214.34652777778</v>
      </c>
      <c r="N1274" t="s">
        <v>903</v>
      </c>
    </row>
    <row r="1275" spans="1:14" x14ac:dyDescent="0.25">
      <c r="A1275" s="9" t="s">
        <v>5211</v>
      </c>
      <c r="B1275" s="10">
        <v>714</v>
      </c>
      <c r="C1275" s="10" t="s">
        <v>126</v>
      </c>
      <c r="D1275" t="s">
        <v>4058</v>
      </c>
      <c r="E1275" t="s">
        <v>4059</v>
      </c>
      <c r="F1275" s="10" t="s">
        <v>112</v>
      </c>
      <c r="G1275" s="2">
        <v>6.4255000000000004</v>
      </c>
      <c r="H1275" s="13">
        <v>6</v>
      </c>
      <c r="I1275" s="13">
        <v>3</v>
      </c>
      <c r="J1275" s="13">
        <v>-3</v>
      </c>
      <c r="K1275" s="10">
        <v>6</v>
      </c>
      <c r="L1275" s="2">
        <v>38.552999999999997</v>
      </c>
      <c r="M1275" s="1">
        <v>46220.4375</v>
      </c>
      <c r="N1275" t="s">
        <v>878</v>
      </c>
    </row>
    <row r="1276" spans="1:14" x14ac:dyDescent="0.25">
      <c r="A1276" s="9" t="s">
        <v>5211</v>
      </c>
      <c r="B1276" s="10">
        <v>718</v>
      </c>
      <c r="C1276" s="10" t="s">
        <v>143</v>
      </c>
      <c r="D1276" t="s">
        <v>5172</v>
      </c>
      <c r="E1276" t="s">
        <v>5173</v>
      </c>
      <c r="F1276" s="10" t="s">
        <v>23</v>
      </c>
      <c r="G1276" s="2">
        <v>10.7844</v>
      </c>
      <c r="H1276" s="13">
        <v>6</v>
      </c>
      <c r="I1276" s="13">
        <v>3</v>
      </c>
      <c r="J1276" s="13">
        <v>-3</v>
      </c>
      <c r="K1276" s="10">
        <v>6</v>
      </c>
      <c r="L1276" s="2">
        <v>64.706400000000002</v>
      </c>
      <c r="M1276" s="1">
        <v>46220.544444444444</v>
      </c>
      <c r="N1276" t="s">
        <v>878</v>
      </c>
    </row>
    <row r="1277" spans="1:14" x14ac:dyDescent="0.25">
      <c r="A1277" s="9" t="s">
        <v>5211</v>
      </c>
      <c r="B1277" s="10">
        <v>636</v>
      </c>
      <c r="C1277" s="10" t="s">
        <v>126</v>
      </c>
      <c r="D1277" t="s">
        <v>138</v>
      </c>
      <c r="E1277" t="s">
        <v>139</v>
      </c>
      <c r="F1277" s="10" t="s">
        <v>23</v>
      </c>
      <c r="G1277" s="2">
        <v>14.977399999999999</v>
      </c>
      <c r="H1277" s="13">
        <v>6</v>
      </c>
      <c r="I1277" s="13">
        <v>0</v>
      </c>
      <c r="J1277" s="13">
        <v>0</v>
      </c>
      <c r="K1277" s="10">
        <v>6</v>
      </c>
      <c r="L1277" s="2">
        <v>89.864400000000003</v>
      </c>
      <c r="M1277" s="1">
        <v>46225.344444444447</v>
      </c>
      <c r="N1277" t="s">
        <v>140</v>
      </c>
    </row>
    <row r="1278" spans="1:14" x14ac:dyDescent="0.25">
      <c r="A1278" s="9" t="s">
        <v>5211</v>
      </c>
      <c r="B1278" s="10">
        <v>718</v>
      </c>
      <c r="C1278" s="10" t="s">
        <v>323</v>
      </c>
      <c r="D1278" t="s">
        <v>5111</v>
      </c>
      <c r="E1278" t="s">
        <v>5112</v>
      </c>
      <c r="F1278" s="10" t="s">
        <v>43</v>
      </c>
      <c r="G1278" s="2">
        <v>119.71510000000001</v>
      </c>
      <c r="H1278" s="13">
        <v>6</v>
      </c>
      <c r="I1278" s="13">
        <v>1</v>
      </c>
      <c r="J1278" s="13">
        <v>-1</v>
      </c>
      <c r="K1278" s="10">
        <v>6</v>
      </c>
      <c r="L1278" s="2">
        <v>718.29060000000004</v>
      </c>
      <c r="M1278" s="1">
        <v>46225.381249999999</v>
      </c>
      <c r="N1278" t="s">
        <v>366</v>
      </c>
    </row>
    <row r="1279" spans="1:14" x14ac:dyDescent="0.25">
      <c r="A1279" s="9" t="s">
        <v>5211</v>
      </c>
      <c r="B1279" s="10">
        <v>636</v>
      </c>
      <c r="C1279" s="10" t="s">
        <v>70</v>
      </c>
      <c r="D1279" t="s">
        <v>826</v>
      </c>
      <c r="E1279" t="s">
        <v>827</v>
      </c>
      <c r="F1279" s="10" t="s">
        <v>39</v>
      </c>
      <c r="G1279" s="2">
        <v>6.2291999999999996</v>
      </c>
      <c r="H1279" s="13">
        <v>6</v>
      </c>
      <c r="I1279" s="13">
        <v>0</v>
      </c>
      <c r="J1279" s="13">
        <v>0</v>
      </c>
      <c r="K1279" s="10">
        <v>6</v>
      </c>
      <c r="L1279" s="2">
        <v>37.3752</v>
      </c>
      <c r="M1279" s="1">
        <v>46225.4</v>
      </c>
      <c r="N1279" t="s">
        <v>16</v>
      </c>
    </row>
    <row r="1280" spans="1:14" x14ac:dyDescent="0.25">
      <c r="A1280" s="9" t="s">
        <v>5211</v>
      </c>
      <c r="B1280" s="10">
        <v>718</v>
      </c>
      <c r="C1280" s="10" t="s">
        <v>143</v>
      </c>
      <c r="D1280" t="s">
        <v>4755</v>
      </c>
      <c r="E1280" t="s">
        <v>4756</v>
      </c>
      <c r="F1280" s="10" t="s">
        <v>43</v>
      </c>
      <c r="G1280" s="2">
        <v>20.842099999999999</v>
      </c>
      <c r="H1280" s="13">
        <v>6</v>
      </c>
      <c r="I1280" s="13">
        <v>86</v>
      </c>
      <c r="J1280" s="13">
        <v>-86</v>
      </c>
      <c r="K1280" s="10">
        <v>6</v>
      </c>
      <c r="L1280" s="2">
        <v>125.0526</v>
      </c>
      <c r="M1280" s="1">
        <v>46234.35</v>
      </c>
      <c r="N1280" t="s">
        <v>30</v>
      </c>
    </row>
    <row r="1281" spans="1:14" x14ac:dyDescent="0.25">
      <c r="A1281" s="9" t="s">
        <v>5211</v>
      </c>
      <c r="B1281" s="10">
        <v>718</v>
      </c>
      <c r="C1281" s="10" t="s">
        <v>143</v>
      </c>
      <c r="D1281" t="s">
        <v>3774</v>
      </c>
      <c r="E1281" t="s">
        <v>3775</v>
      </c>
      <c r="F1281" s="10" t="s">
        <v>112</v>
      </c>
      <c r="G1281" s="2">
        <v>15.545500000000001</v>
      </c>
      <c r="H1281" s="13">
        <v>6</v>
      </c>
      <c r="I1281" s="13">
        <v>-9</v>
      </c>
      <c r="J1281" s="13">
        <v>9</v>
      </c>
      <c r="K1281" s="10">
        <v>6</v>
      </c>
      <c r="L1281" s="2">
        <v>93.272999999999996</v>
      </c>
      <c r="M1281" s="1">
        <v>46240.421527777777</v>
      </c>
      <c r="N1281" t="s">
        <v>175</v>
      </c>
    </row>
    <row r="1282" spans="1:14" x14ac:dyDescent="0.25">
      <c r="A1282" s="9" t="s">
        <v>5211</v>
      </c>
      <c r="B1282" s="10">
        <v>636</v>
      </c>
      <c r="C1282" s="10" t="s">
        <v>1749</v>
      </c>
      <c r="D1282" t="s">
        <v>1754</v>
      </c>
      <c r="E1282" t="s">
        <v>1755</v>
      </c>
      <c r="F1282" s="10" t="s">
        <v>112</v>
      </c>
      <c r="G1282" s="2">
        <v>19.7239</v>
      </c>
      <c r="H1282" s="13">
        <v>6</v>
      </c>
      <c r="I1282" s="13">
        <v>0</v>
      </c>
      <c r="J1282" s="13">
        <v>0</v>
      </c>
      <c r="K1282" s="10">
        <v>6</v>
      </c>
      <c r="L1282" s="2">
        <v>118.3434</v>
      </c>
      <c r="M1282" s="1">
        <v>46242.431944444441</v>
      </c>
      <c r="N1282" t="s">
        <v>652</v>
      </c>
    </row>
    <row r="1283" spans="1:14" x14ac:dyDescent="0.25">
      <c r="A1283" s="9" t="s">
        <v>5211</v>
      </c>
      <c r="B1283" s="10">
        <v>714</v>
      </c>
      <c r="C1283" s="10" t="s">
        <v>143</v>
      </c>
      <c r="D1283" t="s">
        <v>2648</v>
      </c>
      <c r="E1283" t="s">
        <v>2649</v>
      </c>
      <c r="F1283" s="10" t="s">
        <v>19</v>
      </c>
      <c r="G1283" s="2">
        <v>33.021000000000001</v>
      </c>
      <c r="H1283" s="13">
        <v>5</v>
      </c>
      <c r="I1283" s="13">
        <v>0</v>
      </c>
      <c r="J1283" s="13">
        <v>0</v>
      </c>
      <c r="K1283" s="10">
        <v>5</v>
      </c>
      <c r="L1283" s="2">
        <v>165.10499999999999</v>
      </c>
      <c r="M1283" s="1">
        <v>43077.925000000003</v>
      </c>
      <c r="N1283" t="s">
        <v>2650</v>
      </c>
    </row>
    <row r="1284" spans="1:14" x14ac:dyDescent="0.25">
      <c r="A1284" s="9" t="s">
        <v>5211</v>
      </c>
      <c r="B1284" s="10">
        <v>634</v>
      </c>
      <c r="C1284" s="10" t="s">
        <v>70</v>
      </c>
      <c r="D1284" t="s">
        <v>97</v>
      </c>
      <c r="E1284" t="s">
        <v>98</v>
      </c>
      <c r="F1284" s="10" t="s">
        <v>29</v>
      </c>
      <c r="G1284" s="2">
        <v>1.9140999999999999</v>
      </c>
      <c r="H1284" s="13">
        <v>5</v>
      </c>
      <c r="I1284" s="13">
        <v>0</v>
      </c>
      <c r="J1284" s="13">
        <v>0</v>
      </c>
      <c r="K1284" s="10">
        <v>5</v>
      </c>
      <c r="L1284" s="2">
        <v>9.5704999999999991</v>
      </c>
      <c r="M1284" s="1">
        <v>44697.443055555559</v>
      </c>
      <c r="N1284" t="s">
        <v>99</v>
      </c>
    </row>
    <row r="1285" spans="1:14" x14ac:dyDescent="0.25">
      <c r="A1285" s="9" t="s">
        <v>5211</v>
      </c>
      <c r="B1285" s="10">
        <v>718</v>
      </c>
      <c r="C1285" s="10" t="s">
        <v>143</v>
      </c>
      <c r="D1285" t="s">
        <v>2539</v>
      </c>
      <c r="E1285" t="s">
        <v>2540</v>
      </c>
      <c r="F1285" s="10" t="s">
        <v>29</v>
      </c>
      <c r="G1285" s="2">
        <v>110.79510000000001</v>
      </c>
      <c r="H1285" s="13">
        <v>5</v>
      </c>
      <c r="I1285" s="13">
        <v>0</v>
      </c>
      <c r="J1285" s="13">
        <v>0</v>
      </c>
      <c r="K1285" s="10">
        <v>5</v>
      </c>
      <c r="L1285" s="2">
        <v>553.97550000000001</v>
      </c>
      <c r="M1285" s="1">
        <v>44749.308333333334</v>
      </c>
      <c r="N1285" t="s">
        <v>903</v>
      </c>
    </row>
    <row r="1286" spans="1:14" x14ac:dyDescent="0.25">
      <c r="A1286" s="9" t="s">
        <v>5211</v>
      </c>
      <c r="B1286" s="10">
        <v>714</v>
      </c>
      <c r="C1286" s="10" t="s">
        <v>323</v>
      </c>
      <c r="D1286" t="s">
        <v>3067</v>
      </c>
      <c r="E1286" t="s">
        <v>3068</v>
      </c>
      <c r="F1286" s="10" t="s">
        <v>23</v>
      </c>
      <c r="G1286" s="2">
        <v>288.82690000000002</v>
      </c>
      <c r="H1286" s="13">
        <v>5</v>
      </c>
      <c r="I1286" s="13">
        <v>1</v>
      </c>
      <c r="J1286" s="13">
        <v>-1</v>
      </c>
      <c r="K1286" s="10">
        <v>5</v>
      </c>
      <c r="L1286" s="2">
        <v>1444.1344999999999</v>
      </c>
      <c r="M1286" s="1">
        <v>45040.643055555556</v>
      </c>
      <c r="N1286" t="s">
        <v>2868</v>
      </c>
    </row>
    <row r="1287" spans="1:14" x14ac:dyDescent="0.25">
      <c r="A1287" s="9" t="s">
        <v>5211</v>
      </c>
      <c r="B1287" s="10">
        <v>636</v>
      </c>
      <c r="C1287" s="10" t="s">
        <v>323</v>
      </c>
      <c r="D1287" t="s">
        <v>1284</v>
      </c>
      <c r="E1287" s="6" t="s">
        <v>1285</v>
      </c>
      <c r="F1287" s="11" t="s">
        <v>58</v>
      </c>
      <c r="G1287" s="2">
        <v>78.906099999999995</v>
      </c>
      <c r="H1287" s="13">
        <v>5</v>
      </c>
      <c r="I1287" s="13">
        <v>3</v>
      </c>
      <c r="J1287" s="13">
        <v>-3</v>
      </c>
      <c r="K1287" s="10">
        <v>5</v>
      </c>
      <c r="L1287" s="2">
        <v>394.53050000000002</v>
      </c>
      <c r="M1287" s="1">
        <v>45358.370833333334</v>
      </c>
      <c r="N1287" t="s">
        <v>40</v>
      </c>
    </row>
    <row r="1288" spans="1:14" x14ac:dyDescent="0.25">
      <c r="A1288" s="9" t="s">
        <v>5211</v>
      </c>
      <c r="B1288" s="10">
        <v>634</v>
      </c>
      <c r="C1288" s="10" t="s">
        <v>143</v>
      </c>
      <c r="D1288" t="s">
        <v>176</v>
      </c>
      <c r="E1288" s="6" t="s">
        <v>177</v>
      </c>
      <c r="F1288" s="11" t="s">
        <v>58</v>
      </c>
      <c r="G1288" s="2">
        <v>168.0549</v>
      </c>
      <c r="H1288" s="13">
        <v>5</v>
      </c>
      <c r="I1288" s="13">
        <v>0</v>
      </c>
      <c r="J1288" s="13">
        <v>0</v>
      </c>
      <c r="K1288" s="10">
        <v>5</v>
      </c>
      <c r="L1288" s="2">
        <v>840.27449999999999</v>
      </c>
      <c r="M1288" s="1">
        <v>45412.510416666664</v>
      </c>
      <c r="N1288" t="s">
        <v>178</v>
      </c>
    </row>
    <row r="1289" spans="1:14" x14ac:dyDescent="0.25">
      <c r="A1289" s="9" t="s">
        <v>5211</v>
      </c>
      <c r="B1289" s="10">
        <v>634</v>
      </c>
      <c r="C1289" s="10" t="s">
        <v>143</v>
      </c>
      <c r="D1289" t="s">
        <v>230</v>
      </c>
      <c r="E1289" t="s">
        <v>231</v>
      </c>
      <c r="F1289" s="10" t="s">
        <v>29</v>
      </c>
      <c r="G1289" s="2">
        <v>14.473100000000001</v>
      </c>
      <c r="H1289" s="13">
        <v>5</v>
      </c>
      <c r="I1289" s="13">
        <v>0</v>
      </c>
      <c r="J1289" s="13">
        <v>0</v>
      </c>
      <c r="K1289" s="10">
        <v>5</v>
      </c>
      <c r="L1289" s="2">
        <v>72.365499999999997</v>
      </c>
      <c r="M1289" s="1">
        <v>45420.447916666664</v>
      </c>
      <c r="N1289" t="s">
        <v>140</v>
      </c>
    </row>
    <row r="1290" spans="1:14" x14ac:dyDescent="0.25">
      <c r="A1290" s="9" t="s">
        <v>5211</v>
      </c>
      <c r="B1290" s="10">
        <v>714</v>
      </c>
      <c r="C1290" s="10" t="s">
        <v>323</v>
      </c>
      <c r="D1290" t="s">
        <v>3174</v>
      </c>
      <c r="E1290" t="s">
        <v>3175</v>
      </c>
      <c r="F1290" s="10" t="s">
        <v>29</v>
      </c>
      <c r="G1290" s="2">
        <v>127.1905</v>
      </c>
      <c r="H1290" s="13">
        <v>5</v>
      </c>
      <c r="I1290" s="13">
        <v>0</v>
      </c>
      <c r="J1290" s="13">
        <v>0</v>
      </c>
      <c r="K1290" s="10">
        <v>5</v>
      </c>
      <c r="L1290" s="2">
        <v>635.95249999999999</v>
      </c>
      <c r="M1290" s="1">
        <v>45427.51458333333</v>
      </c>
      <c r="N1290" t="s">
        <v>137</v>
      </c>
    </row>
    <row r="1291" spans="1:14" x14ac:dyDescent="0.25">
      <c r="A1291" s="9" t="s">
        <v>5211</v>
      </c>
      <c r="B1291" s="10">
        <v>714</v>
      </c>
      <c r="C1291" s="10" t="s">
        <v>323</v>
      </c>
      <c r="D1291" t="s">
        <v>2914</v>
      </c>
      <c r="E1291" t="s">
        <v>2915</v>
      </c>
      <c r="F1291" s="10" t="s">
        <v>35</v>
      </c>
      <c r="G1291" s="2">
        <v>45.304200000000002</v>
      </c>
      <c r="H1291" s="13">
        <v>5</v>
      </c>
      <c r="I1291" s="13">
        <v>0</v>
      </c>
      <c r="J1291" s="13">
        <v>0</v>
      </c>
      <c r="K1291" s="10">
        <v>5</v>
      </c>
      <c r="L1291" s="2">
        <v>226.52099999999999</v>
      </c>
      <c r="M1291" s="1">
        <v>45430.453472222223</v>
      </c>
      <c r="N1291" t="s">
        <v>67</v>
      </c>
    </row>
    <row r="1292" spans="1:14" x14ac:dyDescent="0.25">
      <c r="A1292" s="9" t="s">
        <v>5211</v>
      </c>
      <c r="B1292" s="10">
        <v>718</v>
      </c>
      <c r="C1292" s="10" t="s">
        <v>143</v>
      </c>
      <c r="D1292" t="s">
        <v>2286</v>
      </c>
      <c r="E1292" t="s">
        <v>2287</v>
      </c>
      <c r="F1292" s="10" t="s">
        <v>39</v>
      </c>
      <c r="G1292" s="2">
        <v>33.069800000000001</v>
      </c>
      <c r="H1292" s="13">
        <v>5</v>
      </c>
      <c r="I1292" s="13">
        <v>0</v>
      </c>
      <c r="J1292" s="13">
        <v>0</v>
      </c>
      <c r="K1292" s="10">
        <v>5</v>
      </c>
      <c r="L1292" s="2">
        <v>165.34899999999999</v>
      </c>
      <c r="M1292" s="1">
        <v>45447.611805555556</v>
      </c>
      <c r="N1292" t="s">
        <v>140</v>
      </c>
    </row>
    <row r="1293" spans="1:14" x14ac:dyDescent="0.25">
      <c r="A1293" s="9" t="s">
        <v>5211</v>
      </c>
      <c r="B1293" s="10">
        <v>634</v>
      </c>
      <c r="C1293" s="10" t="s">
        <v>323</v>
      </c>
      <c r="D1293" t="s">
        <v>379</v>
      </c>
      <c r="E1293" t="s">
        <v>380</v>
      </c>
      <c r="F1293" s="10" t="s">
        <v>29</v>
      </c>
      <c r="G1293" s="2">
        <v>179.74260000000001</v>
      </c>
      <c r="H1293" s="13">
        <v>5</v>
      </c>
      <c r="I1293" s="13">
        <v>0</v>
      </c>
      <c r="J1293" s="13">
        <v>0</v>
      </c>
      <c r="K1293" s="10">
        <v>5</v>
      </c>
      <c r="L1293" s="2">
        <v>898.71299999999997</v>
      </c>
      <c r="M1293" s="1">
        <v>45744.493055555555</v>
      </c>
      <c r="N1293" t="s">
        <v>330</v>
      </c>
    </row>
    <row r="1294" spans="1:14" x14ac:dyDescent="0.25">
      <c r="A1294" s="9" t="s">
        <v>5211</v>
      </c>
      <c r="B1294" s="10">
        <v>636</v>
      </c>
      <c r="C1294" s="10" t="s">
        <v>323</v>
      </c>
      <c r="D1294" t="s">
        <v>1365</v>
      </c>
      <c r="E1294" s="6" t="s">
        <v>1366</v>
      </c>
      <c r="F1294" s="11" t="s">
        <v>58</v>
      </c>
      <c r="G1294" s="2">
        <v>188.50319999999999</v>
      </c>
      <c r="H1294" s="13">
        <v>5</v>
      </c>
      <c r="I1294" s="13">
        <v>0</v>
      </c>
      <c r="J1294" s="13">
        <v>0</v>
      </c>
      <c r="K1294" s="10">
        <v>5</v>
      </c>
      <c r="L1294" s="2">
        <v>942.51599999999996</v>
      </c>
      <c r="M1294" s="1">
        <v>45748.797222222223</v>
      </c>
      <c r="N1294" t="s">
        <v>159</v>
      </c>
    </row>
    <row r="1295" spans="1:14" x14ac:dyDescent="0.25">
      <c r="A1295" s="9" t="s">
        <v>5211</v>
      </c>
      <c r="B1295" s="10">
        <v>718</v>
      </c>
      <c r="C1295" s="10" t="s">
        <v>143</v>
      </c>
      <c r="D1295" t="s">
        <v>5154</v>
      </c>
      <c r="E1295" t="s">
        <v>5155</v>
      </c>
      <c r="F1295" s="10" t="s">
        <v>35</v>
      </c>
      <c r="G1295" s="2">
        <v>23.733499999999999</v>
      </c>
      <c r="H1295" s="13">
        <v>5</v>
      </c>
      <c r="I1295" s="13">
        <v>2</v>
      </c>
      <c r="J1295" s="13">
        <v>-2</v>
      </c>
      <c r="K1295" s="10">
        <v>5</v>
      </c>
      <c r="L1295" s="2">
        <v>118.6675</v>
      </c>
      <c r="M1295" s="1">
        <v>45750.478472222225</v>
      </c>
      <c r="N1295" t="s">
        <v>2225</v>
      </c>
    </row>
    <row r="1296" spans="1:14" x14ac:dyDescent="0.25">
      <c r="A1296" s="9" t="s">
        <v>5211</v>
      </c>
      <c r="B1296" s="10">
        <v>714</v>
      </c>
      <c r="C1296" s="10" t="s">
        <v>143</v>
      </c>
      <c r="D1296" t="s">
        <v>2715</v>
      </c>
      <c r="E1296" t="s">
        <v>2716</v>
      </c>
      <c r="F1296" s="10" t="s">
        <v>15</v>
      </c>
      <c r="G1296" s="2">
        <v>29.641400000000001</v>
      </c>
      <c r="H1296" s="13">
        <v>5</v>
      </c>
      <c r="I1296" s="13">
        <v>0</v>
      </c>
      <c r="J1296" s="13">
        <v>0</v>
      </c>
      <c r="K1296" s="10">
        <v>5</v>
      </c>
      <c r="L1296" s="2">
        <v>148.20699999999999</v>
      </c>
      <c r="M1296" s="1">
        <v>45756.664583333331</v>
      </c>
      <c r="N1296" t="s">
        <v>1870</v>
      </c>
    </row>
    <row r="1297" spans="1:14" x14ac:dyDescent="0.25">
      <c r="A1297" s="9" t="s">
        <v>5211</v>
      </c>
      <c r="B1297" s="10">
        <v>636</v>
      </c>
      <c r="C1297" s="10" t="s">
        <v>1749</v>
      </c>
      <c r="D1297" t="s">
        <v>1786</v>
      </c>
      <c r="E1297" t="s">
        <v>1787</v>
      </c>
      <c r="F1297" s="10" t="s">
        <v>123</v>
      </c>
      <c r="G1297" s="2">
        <v>11.1488</v>
      </c>
      <c r="H1297" s="13">
        <v>5</v>
      </c>
      <c r="I1297" s="13">
        <v>2</v>
      </c>
      <c r="J1297" s="13">
        <v>-2</v>
      </c>
      <c r="K1297" s="10">
        <v>5</v>
      </c>
      <c r="L1297" s="2">
        <v>55.744</v>
      </c>
      <c r="M1297" s="1">
        <v>45761.496527777781</v>
      </c>
      <c r="N1297" t="s">
        <v>599</v>
      </c>
    </row>
    <row r="1298" spans="1:14" x14ac:dyDescent="0.25">
      <c r="A1298" s="9" t="s">
        <v>5211</v>
      </c>
      <c r="B1298" s="10">
        <v>714</v>
      </c>
      <c r="C1298" s="10" t="s">
        <v>143</v>
      </c>
      <c r="D1298" t="s">
        <v>2604</v>
      </c>
      <c r="E1298" s="6" t="s">
        <v>2605</v>
      </c>
      <c r="F1298" s="11" t="s">
        <v>58</v>
      </c>
      <c r="G1298" s="2">
        <v>102.84269999999999</v>
      </c>
      <c r="H1298" s="13">
        <v>5</v>
      </c>
      <c r="I1298" s="13">
        <v>0</v>
      </c>
      <c r="J1298" s="13">
        <v>0</v>
      </c>
      <c r="K1298" s="10">
        <v>5</v>
      </c>
      <c r="L1298" s="2">
        <v>514.21349999999995</v>
      </c>
      <c r="M1298" s="1">
        <v>45764.464583333334</v>
      </c>
      <c r="N1298" t="s">
        <v>67</v>
      </c>
    </row>
    <row r="1299" spans="1:14" x14ac:dyDescent="0.25">
      <c r="A1299" s="9" t="s">
        <v>5211</v>
      </c>
      <c r="B1299" s="10">
        <v>714</v>
      </c>
      <c r="C1299" s="10" t="s">
        <v>143</v>
      </c>
      <c r="D1299" t="s">
        <v>2419</v>
      </c>
      <c r="E1299" t="s">
        <v>2420</v>
      </c>
      <c r="F1299" s="10" t="s">
        <v>35</v>
      </c>
      <c r="G1299" s="2">
        <v>89.072599999999994</v>
      </c>
      <c r="H1299" s="13">
        <v>5</v>
      </c>
      <c r="I1299" s="13">
        <v>1</v>
      </c>
      <c r="J1299" s="13">
        <v>-1</v>
      </c>
      <c r="K1299" s="10">
        <v>5</v>
      </c>
      <c r="L1299" s="2">
        <v>445.363</v>
      </c>
      <c r="M1299" s="1">
        <v>45766.383333333331</v>
      </c>
      <c r="N1299" t="s">
        <v>2271</v>
      </c>
    </row>
    <row r="1300" spans="1:14" x14ac:dyDescent="0.25">
      <c r="A1300" s="9" t="s">
        <v>5211</v>
      </c>
      <c r="B1300" s="10">
        <v>636</v>
      </c>
      <c r="C1300" s="10" t="s">
        <v>323</v>
      </c>
      <c r="D1300" t="s">
        <v>1348</v>
      </c>
      <c r="E1300" s="6" t="s">
        <v>1349</v>
      </c>
      <c r="F1300" s="11" t="s">
        <v>58</v>
      </c>
      <c r="G1300" s="2">
        <v>184.3689</v>
      </c>
      <c r="H1300" s="13">
        <v>5</v>
      </c>
      <c r="I1300" s="13">
        <v>0</v>
      </c>
      <c r="J1300" s="13">
        <v>0</v>
      </c>
      <c r="K1300" s="10">
        <v>5</v>
      </c>
      <c r="L1300" s="2">
        <v>921.84450000000004</v>
      </c>
      <c r="M1300" s="1">
        <v>45769.595138888886</v>
      </c>
      <c r="N1300" t="s">
        <v>1350</v>
      </c>
    </row>
    <row r="1301" spans="1:14" x14ac:dyDescent="0.25">
      <c r="A1301" s="9" t="s">
        <v>5211</v>
      </c>
      <c r="B1301" s="10">
        <v>718</v>
      </c>
      <c r="C1301" s="10" t="s">
        <v>143</v>
      </c>
      <c r="D1301" t="s">
        <v>2207</v>
      </c>
      <c r="E1301" t="s">
        <v>2208</v>
      </c>
      <c r="F1301" s="10" t="s">
        <v>29</v>
      </c>
      <c r="G1301" s="2">
        <v>102.58069999999999</v>
      </c>
      <c r="H1301" s="13">
        <v>5</v>
      </c>
      <c r="I1301" s="13">
        <v>1</v>
      </c>
      <c r="J1301" s="13">
        <v>-1</v>
      </c>
      <c r="K1301" s="10">
        <v>5</v>
      </c>
      <c r="L1301" s="2">
        <v>512.90350000000001</v>
      </c>
      <c r="M1301" s="1">
        <v>45770.570138888892</v>
      </c>
      <c r="N1301" t="s">
        <v>67</v>
      </c>
    </row>
    <row r="1302" spans="1:14" x14ac:dyDescent="0.25">
      <c r="A1302" s="9" t="s">
        <v>5211</v>
      </c>
      <c r="B1302" s="10">
        <v>714</v>
      </c>
      <c r="C1302" s="10" t="s">
        <v>323</v>
      </c>
      <c r="D1302" t="s">
        <v>3476</v>
      </c>
      <c r="E1302" t="s">
        <v>3477</v>
      </c>
      <c r="F1302" s="10" t="s">
        <v>29</v>
      </c>
      <c r="G1302" s="2">
        <v>159</v>
      </c>
      <c r="H1302" s="13">
        <v>5</v>
      </c>
      <c r="I1302" s="13">
        <v>0</v>
      </c>
      <c r="J1302" s="13">
        <v>0</v>
      </c>
      <c r="K1302" s="10">
        <v>5</v>
      </c>
      <c r="L1302" s="2">
        <v>795</v>
      </c>
      <c r="M1302" s="1">
        <v>45772.45416666667</v>
      </c>
      <c r="N1302" t="s">
        <v>345</v>
      </c>
    </row>
    <row r="1303" spans="1:14" x14ac:dyDescent="0.25">
      <c r="A1303" s="9" t="s">
        <v>5211</v>
      </c>
      <c r="B1303" s="10">
        <v>714</v>
      </c>
      <c r="C1303" s="10" t="s">
        <v>143</v>
      </c>
      <c r="D1303" t="s">
        <v>2499</v>
      </c>
      <c r="E1303" s="6" t="s">
        <v>2500</v>
      </c>
      <c r="F1303" s="11" t="s">
        <v>58</v>
      </c>
      <c r="G1303" s="2">
        <v>28.584</v>
      </c>
      <c r="H1303" s="13">
        <v>5</v>
      </c>
      <c r="I1303" s="13">
        <v>0</v>
      </c>
      <c r="J1303" s="13">
        <v>0</v>
      </c>
      <c r="K1303" s="10">
        <v>5</v>
      </c>
      <c r="L1303" s="2">
        <v>142.91999999999999</v>
      </c>
      <c r="M1303" s="1">
        <v>45776.645833333336</v>
      </c>
      <c r="N1303" t="s">
        <v>501</v>
      </c>
    </row>
    <row r="1304" spans="1:14" x14ac:dyDescent="0.25">
      <c r="A1304" s="9" t="s">
        <v>5211</v>
      </c>
      <c r="B1304" s="10">
        <v>714</v>
      </c>
      <c r="C1304" s="10" t="s">
        <v>143</v>
      </c>
      <c r="D1304" t="s">
        <v>2228</v>
      </c>
      <c r="E1304" t="s">
        <v>2229</v>
      </c>
      <c r="F1304" s="10" t="s">
        <v>35</v>
      </c>
      <c r="G1304" s="2">
        <v>17.3018</v>
      </c>
      <c r="H1304" s="13">
        <v>5</v>
      </c>
      <c r="I1304" s="13">
        <v>0</v>
      </c>
      <c r="J1304" s="13">
        <v>0</v>
      </c>
      <c r="K1304" s="10">
        <v>5</v>
      </c>
      <c r="L1304" s="2">
        <v>86.509</v>
      </c>
      <c r="M1304" s="1">
        <v>45784.364583333336</v>
      </c>
      <c r="N1304" t="s">
        <v>30</v>
      </c>
    </row>
    <row r="1305" spans="1:14" x14ac:dyDescent="0.25">
      <c r="A1305" s="9" t="s">
        <v>5211</v>
      </c>
      <c r="B1305" s="10">
        <v>714</v>
      </c>
      <c r="C1305" s="10" t="s">
        <v>143</v>
      </c>
      <c r="D1305" t="s">
        <v>2722</v>
      </c>
      <c r="E1305" t="s">
        <v>2723</v>
      </c>
      <c r="F1305" s="10" t="s">
        <v>39</v>
      </c>
      <c r="G1305" s="2">
        <v>16.626100000000001</v>
      </c>
      <c r="H1305" s="13">
        <v>5</v>
      </c>
      <c r="I1305" s="13">
        <v>1</v>
      </c>
      <c r="J1305" s="13">
        <v>-1</v>
      </c>
      <c r="K1305" s="10">
        <v>5</v>
      </c>
      <c r="L1305" s="2">
        <v>83.130499999999998</v>
      </c>
      <c r="M1305" s="1">
        <v>45784.364583333336</v>
      </c>
      <c r="N1305" t="s">
        <v>30</v>
      </c>
    </row>
    <row r="1306" spans="1:14" x14ac:dyDescent="0.25">
      <c r="A1306" s="9" t="s">
        <v>5211</v>
      </c>
      <c r="B1306" s="10">
        <v>718</v>
      </c>
      <c r="C1306" s="10" t="s">
        <v>143</v>
      </c>
      <c r="D1306" t="s">
        <v>2294</v>
      </c>
      <c r="E1306" s="6" t="s">
        <v>2295</v>
      </c>
      <c r="F1306" s="11" t="s">
        <v>58</v>
      </c>
      <c r="G1306" s="2">
        <v>133.01150000000001</v>
      </c>
      <c r="H1306" s="13">
        <v>5</v>
      </c>
      <c r="I1306" s="13">
        <v>0</v>
      </c>
      <c r="J1306" s="13">
        <v>0</v>
      </c>
      <c r="K1306" s="10">
        <v>5</v>
      </c>
      <c r="L1306" s="2">
        <v>665.0575</v>
      </c>
      <c r="M1306" s="1">
        <v>45791.508333333331</v>
      </c>
      <c r="N1306" t="s">
        <v>137</v>
      </c>
    </row>
    <row r="1307" spans="1:14" x14ac:dyDescent="0.25">
      <c r="A1307" s="9" t="s">
        <v>5211</v>
      </c>
      <c r="B1307" s="10">
        <v>714</v>
      </c>
      <c r="C1307" s="10" t="s">
        <v>143</v>
      </c>
      <c r="D1307" t="s">
        <v>2350</v>
      </c>
      <c r="E1307" t="s">
        <v>2351</v>
      </c>
      <c r="F1307" s="10" t="s">
        <v>35</v>
      </c>
      <c r="G1307" s="2">
        <v>18.4115</v>
      </c>
      <c r="H1307" s="13">
        <v>5</v>
      </c>
      <c r="I1307" s="13">
        <v>0</v>
      </c>
      <c r="J1307" s="13">
        <v>0</v>
      </c>
      <c r="K1307" s="10">
        <v>5</v>
      </c>
      <c r="L1307" s="2">
        <v>92.057500000000005</v>
      </c>
      <c r="M1307" s="1">
        <v>45791.642361111109</v>
      </c>
      <c r="N1307" t="s">
        <v>195</v>
      </c>
    </row>
    <row r="1308" spans="1:14" x14ac:dyDescent="0.25">
      <c r="A1308" s="9" t="s">
        <v>5211</v>
      </c>
      <c r="B1308" s="10">
        <v>714</v>
      </c>
      <c r="C1308" s="10" t="s">
        <v>323</v>
      </c>
      <c r="D1308" t="s">
        <v>5055</v>
      </c>
      <c r="E1308" t="s">
        <v>5056</v>
      </c>
      <c r="F1308" s="10" t="s">
        <v>29</v>
      </c>
      <c r="G1308" s="2">
        <v>164.97640000000001</v>
      </c>
      <c r="H1308" s="13">
        <v>5</v>
      </c>
      <c r="I1308" s="13">
        <v>12</v>
      </c>
      <c r="J1308" s="13">
        <v>-12</v>
      </c>
      <c r="K1308" s="10">
        <v>5</v>
      </c>
      <c r="L1308" s="2">
        <v>824.88199999999995</v>
      </c>
      <c r="M1308" s="1">
        <v>45797.415277777778</v>
      </c>
      <c r="N1308" t="s">
        <v>890</v>
      </c>
    </row>
    <row r="1309" spans="1:14" x14ac:dyDescent="0.25">
      <c r="A1309" s="9" t="s">
        <v>5211</v>
      </c>
      <c r="B1309" s="10">
        <v>718</v>
      </c>
      <c r="C1309" s="10" t="s">
        <v>323</v>
      </c>
      <c r="D1309" t="s">
        <v>5001</v>
      </c>
      <c r="E1309" t="s">
        <v>5002</v>
      </c>
      <c r="F1309" s="10" t="s">
        <v>23</v>
      </c>
      <c r="G1309" s="2">
        <v>97.617699999999999</v>
      </c>
      <c r="H1309" s="13">
        <v>5</v>
      </c>
      <c r="I1309" s="13">
        <v>17</v>
      </c>
      <c r="J1309" s="13">
        <v>-17</v>
      </c>
      <c r="K1309" s="10">
        <v>5</v>
      </c>
      <c r="L1309" s="2">
        <v>488.08850000000001</v>
      </c>
      <c r="M1309" s="1">
        <v>45806.537499999999</v>
      </c>
      <c r="N1309" t="s">
        <v>216</v>
      </c>
    </row>
    <row r="1310" spans="1:14" x14ac:dyDescent="0.25">
      <c r="A1310" s="9" t="s">
        <v>5211</v>
      </c>
      <c r="B1310" s="10">
        <v>718</v>
      </c>
      <c r="C1310" s="10" t="s">
        <v>143</v>
      </c>
      <c r="D1310" t="s">
        <v>3782</v>
      </c>
      <c r="E1310" t="s">
        <v>3783</v>
      </c>
      <c r="F1310" s="10" t="s">
        <v>15</v>
      </c>
      <c r="G1310" s="2">
        <v>19.16</v>
      </c>
      <c r="H1310" s="13">
        <v>5</v>
      </c>
      <c r="I1310" s="13">
        <v>1</v>
      </c>
      <c r="J1310" s="13">
        <v>-1</v>
      </c>
      <c r="K1310" s="10">
        <v>5</v>
      </c>
      <c r="L1310" s="2">
        <v>95.8</v>
      </c>
      <c r="M1310" s="1">
        <v>45868.397916666669</v>
      </c>
      <c r="N1310" t="s">
        <v>40</v>
      </c>
    </row>
    <row r="1311" spans="1:14" x14ac:dyDescent="0.25">
      <c r="A1311" s="9" t="s">
        <v>5211</v>
      </c>
      <c r="B1311" s="10">
        <v>718</v>
      </c>
      <c r="C1311" s="10" t="s">
        <v>143</v>
      </c>
      <c r="D1311" t="s">
        <v>988</v>
      </c>
      <c r="E1311" s="6" t="s">
        <v>989</v>
      </c>
      <c r="F1311" s="11" t="s">
        <v>58</v>
      </c>
      <c r="G1311" s="2">
        <v>13.0442</v>
      </c>
      <c r="H1311" s="13">
        <v>5</v>
      </c>
      <c r="I1311" s="13">
        <v>0</v>
      </c>
      <c r="J1311" s="13">
        <v>0</v>
      </c>
      <c r="K1311" s="10">
        <v>5</v>
      </c>
      <c r="L1311" s="2">
        <v>65.221000000000004</v>
      </c>
      <c r="M1311" s="1">
        <v>45890.426388888889</v>
      </c>
      <c r="N1311" t="s">
        <v>268</v>
      </c>
    </row>
    <row r="1312" spans="1:14" x14ac:dyDescent="0.25">
      <c r="A1312" s="9" t="s">
        <v>5211</v>
      </c>
      <c r="B1312" s="10">
        <v>714</v>
      </c>
      <c r="C1312" s="10" t="s">
        <v>143</v>
      </c>
      <c r="D1312" t="s">
        <v>4767</v>
      </c>
      <c r="E1312" t="s">
        <v>4768</v>
      </c>
      <c r="F1312" s="10" t="s">
        <v>29</v>
      </c>
      <c r="G1312" s="2">
        <v>24.192</v>
      </c>
      <c r="H1312" s="13">
        <v>5</v>
      </c>
      <c r="I1312" s="13">
        <v>8</v>
      </c>
      <c r="J1312" s="13">
        <v>-8</v>
      </c>
      <c r="K1312" s="10">
        <v>5</v>
      </c>
      <c r="L1312" s="2">
        <v>120.96</v>
      </c>
      <c r="M1312" s="1">
        <v>45891.441666666666</v>
      </c>
      <c r="N1312" t="s">
        <v>36</v>
      </c>
    </row>
    <row r="1313" spans="1:14" x14ac:dyDescent="0.25">
      <c r="A1313" s="9" t="s">
        <v>5211</v>
      </c>
      <c r="B1313" s="10">
        <v>718</v>
      </c>
      <c r="C1313" s="10" t="s">
        <v>143</v>
      </c>
      <c r="D1313" t="s">
        <v>3749</v>
      </c>
      <c r="E1313" t="s">
        <v>3750</v>
      </c>
      <c r="F1313" s="10" t="s">
        <v>39</v>
      </c>
      <c r="G1313" s="2">
        <v>33.0944</v>
      </c>
      <c r="H1313" s="13">
        <v>5</v>
      </c>
      <c r="I1313" s="13">
        <v>2</v>
      </c>
      <c r="J1313" s="13">
        <v>-2</v>
      </c>
      <c r="K1313" s="10">
        <v>5</v>
      </c>
      <c r="L1313" s="2">
        <v>165.47200000000001</v>
      </c>
      <c r="M1313" s="1">
        <v>45896.34097222222</v>
      </c>
      <c r="N1313" t="s">
        <v>216</v>
      </c>
    </row>
    <row r="1314" spans="1:14" x14ac:dyDescent="0.25">
      <c r="A1314" s="9" t="s">
        <v>5211</v>
      </c>
      <c r="B1314" s="10">
        <v>714</v>
      </c>
      <c r="C1314" s="10" t="s">
        <v>323</v>
      </c>
      <c r="D1314" t="s">
        <v>2975</v>
      </c>
      <c r="E1314" t="s">
        <v>2976</v>
      </c>
      <c r="F1314" s="10" t="s">
        <v>1047</v>
      </c>
      <c r="G1314" s="2">
        <v>153.9761</v>
      </c>
      <c r="H1314" s="13">
        <v>5</v>
      </c>
      <c r="I1314" s="13">
        <v>0</v>
      </c>
      <c r="J1314" s="13">
        <v>0</v>
      </c>
      <c r="K1314" s="10">
        <v>5</v>
      </c>
      <c r="L1314" s="2">
        <v>769.88049999999998</v>
      </c>
      <c r="M1314" s="1">
        <v>45903.385416666664</v>
      </c>
      <c r="N1314" t="s">
        <v>36</v>
      </c>
    </row>
    <row r="1315" spans="1:14" x14ac:dyDescent="0.25">
      <c r="A1315" s="9" t="s">
        <v>5211</v>
      </c>
      <c r="B1315" s="10">
        <v>714</v>
      </c>
      <c r="C1315" s="10" t="s">
        <v>143</v>
      </c>
      <c r="D1315" t="s">
        <v>149</v>
      </c>
      <c r="E1315" s="6" t="s">
        <v>150</v>
      </c>
      <c r="F1315" s="11" t="s">
        <v>58</v>
      </c>
      <c r="G1315" s="2">
        <v>19.845500000000001</v>
      </c>
      <c r="H1315" s="13">
        <v>5</v>
      </c>
      <c r="I1315" s="13">
        <v>0</v>
      </c>
      <c r="J1315" s="13">
        <v>0</v>
      </c>
      <c r="K1315" s="10">
        <v>5</v>
      </c>
      <c r="L1315" s="2">
        <v>99.227500000000006</v>
      </c>
      <c r="M1315" s="1">
        <v>45911.447222222225</v>
      </c>
      <c r="N1315" t="s">
        <v>40</v>
      </c>
    </row>
    <row r="1316" spans="1:14" x14ac:dyDescent="0.25">
      <c r="A1316" s="9" t="s">
        <v>5211</v>
      </c>
      <c r="B1316" s="10">
        <v>636</v>
      </c>
      <c r="C1316" s="10" t="s">
        <v>143</v>
      </c>
      <c r="D1316" t="s">
        <v>1190</v>
      </c>
      <c r="E1316" t="s">
        <v>1191</v>
      </c>
      <c r="F1316" s="10" t="s">
        <v>29</v>
      </c>
      <c r="G1316" s="2">
        <v>68.319800000000001</v>
      </c>
      <c r="H1316" s="13">
        <v>5</v>
      </c>
      <c r="I1316" s="13">
        <v>0</v>
      </c>
      <c r="J1316" s="13">
        <v>0</v>
      </c>
      <c r="K1316" s="10">
        <v>5</v>
      </c>
      <c r="L1316" s="2">
        <v>341.59899999999999</v>
      </c>
      <c r="M1316" s="1">
        <v>45916.527083333334</v>
      </c>
      <c r="N1316" t="s">
        <v>216</v>
      </c>
    </row>
    <row r="1317" spans="1:14" x14ac:dyDescent="0.25">
      <c r="A1317" s="9" t="s">
        <v>5211</v>
      </c>
      <c r="B1317" s="10">
        <v>714</v>
      </c>
      <c r="C1317" s="10" t="s">
        <v>323</v>
      </c>
      <c r="D1317" t="s">
        <v>3372</v>
      </c>
      <c r="E1317" s="6" t="s">
        <v>3373</v>
      </c>
      <c r="F1317" s="11" t="s">
        <v>58</v>
      </c>
      <c r="G1317" s="2">
        <v>59.951099999999997</v>
      </c>
      <c r="H1317" s="13">
        <v>5</v>
      </c>
      <c r="I1317" s="13">
        <v>0</v>
      </c>
      <c r="J1317" s="13">
        <v>0</v>
      </c>
      <c r="K1317" s="10">
        <v>5</v>
      </c>
      <c r="L1317" s="2">
        <v>299.75549999999998</v>
      </c>
      <c r="M1317" s="1">
        <v>45924.445138888892</v>
      </c>
      <c r="N1317" t="s">
        <v>140</v>
      </c>
    </row>
    <row r="1318" spans="1:14" x14ac:dyDescent="0.25">
      <c r="A1318" s="9" t="s">
        <v>5211</v>
      </c>
      <c r="B1318" s="10">
        <v>636</v>
      </c>
      <c r="C1318" s="10" t="s">
        <v>323</v>
      </c>
      <c r="D1318" t="s">
        <v>2869</v>
      </c>
      <c r="E1318" t="s">
        <v>2870</v>
      </c>
      <c r="F1318" s="10" t="s">
        <v>19</v>
      </c>
      <c r="G1318" s="2">
        <v>147.61879999999999</v>
      </c>
      <c r="H1318" s="13">
        <v>5</v>
      </c>
      <c r="I1318" s="13">
        <v>6</v>
      </c>
      <c r="J1318" s="13">
        <v>-6</v>
      </c>
      <c r="K1318" s="10">
        <v>5</v>
      </c>
      <c r="L1318" s="2">
        <v>738.09400000000005</v>
      </c>
      <c r="M1318" s="1">
        <v>45938.481249999997</v>
      </c>
      <c r="N1318" t="s">
        <v>151</v>
      </c>
    </row>
    <row r="1319" spans="1:14" x14ac:dyDescent="0.25">
      <c r="A1319" s="9" t="s">
        <v>5211</v>
      </c>
      <c r="B1319" s="10">
        <v>714</v>
      </c>
      <c r="C1319" s="10" t="s">
        <v>12</v>
      </c>
      <c r="D1319" t="s">
        <v>1808</v>
      </c>
      <c r="E1319" t="s">
        <v>1809</v>
      </c>
      <c r="F1319" s="10" t="s">
        <v>29</v>
      </c>
      <c r="G1319" s="2">
        <v>8.4336000000000002</v>
      </c>
      <c r="H1319" s="13">
        <v>5</v>
      </c>
      <c r="I1319" s="13">
        <v>0</v>
      </c>
      <c r="J1319" s="13">
        <v>0</v>
      </c>
      <c r="K1319" s="10">
        <v>5</v>
      </c>
      <c r="L1319" s="2">
        <v>42.167999999999999</v>
      </c>
      <c r="M1319" s="1">
        <v>45940.375</v>
      </c>
      <c r="N1319" t="s">
        <v>44</v>
      </c>
    </row>
    <row r="1320" spans="1:14" x14ac:dyDescent="0.25">
      <c r="A1320" s="9" t="s">
        <v>5211</v>
      </c>
      <c r="B1320" s="10">
        <v>636</v>
      </c>
      <c r="C1320" s="10" t="s">
        <v>143</v>
      </c>
      <c r="D1320" t="s">
        <v>1029</v>
      </c>
      <c r="E1320" t="s">
        <v>1030</v>
      </c>
      <c r="F1320" s="10" t="s">
        <v>35</v>
      </c>
      <c r="G1320" s="2">
        <v>29.911100000000001</v>
      </c>
      <c r="H1320" s="13">
        <v>5</v>
      </c>
      <c r="I1320" s="13">
        <v>0</v>
      </c>
      <c r="J1320" s="13">
        <v>0</v>
      </c>
      <c r="K1320" s="10">
        <v>5</v>
      </c>
      <c r="L1320" s="2">
        <v>149.55549999999999</v>
      </c>
      <c r="M1320" s="1">
        <v>45946.5</v>
      </c>
      <c r="N1320" t="s">
        <v>40</v>
      </c>
    </row>
    <row r="1321" spans="1:14" x14ac:dyDescent="0.25">
      <c r="A1321" s="9" t="s">
        <v>5211</v>
      </c>
      <c r="B1321" s="10">
        <v>714</v>
      </c>
      <c r="C1321" s="10" t="s">
        <v>323</v>
      </c>
      <c r="D1321" t="s">
        <v>2838</v>
      </c>
      <c r="E1321" t="s">
        <v>2839</v>
      </c>
      <c r="F1321" s="10" t="s">
        <v>35</v>
      </c>
      <c r="G1321" s="2">
        <v>75</v>
      </c>
      <c r="H1321" s="13">
        <v>5</v>
      </c>
      <c r="I1321" s="13">
        <v>0</v>
      </c>
      <c r="J1321" s="13">
        <v>0</v>
      </c>
      <c r="K1321" s="10">
        <v>5</v>
      </c>
      <c r="L1321" s="2">
        <v>375</v>
      </c>
      <c r="M1321" s="1">
        <v>45952.438888888886</v>
      </c>
      <c r="N1321" t="s">
        <v>1224</v>
      </c>
    </row>
    <row r="1322" spans="1:14" x14ac:dyDescent="0.25">
      <c r="A1322" s="9" t="s">
        <v>5211</v>
      </c>
      <c r="B1322" s="10">
        <v>636</v>
      </c>
      <c r="C1322" s="10" t="s">
        <v>143</v>
      </c>
      <c r="D1322" t="s">
        <v>189</v>
      </c>
      <c r="E1322" s="6" t="s">
        <v>190</v>
      </c>
      <c r="F1322" s="11" t="s">
        <v>58</v>
      </c>
      <c r="G1322" s="2">
        <v>165.2543</v>
      </c>
      <c r="H1322" s="13">
        <v>5</v>
      </c>
      <c r="I1322" s="13">
        <v>0</v>
      </c>
      <c r="J1322" s="13">
        <v>0</v>
      </c>
      <c r="K1322" s="10">
        <v>5</v>
      </c>
      <c r="L1322" s="2">
        <v>826.27149999999995</v>
      </c>
      <c r="M1322" s="1">
        <v>45971.493750000001</v>
      </c>
      <c r="N1322" t="s">
        <v>165</v>
      </c>
    </row>
    <row r="1323" spans="1:14" x14ac:dyDescent="0.25">
      <c r="A1323" s="9" t="s">
        <v>5211</v>
      </c>
      <c r="B1323" s="10">
        <v>636</v>
      </c>
      <c r="C1323" s="10" t="s">
        <v>323</v>
      </c>
      <c r="D1323" t="s">
        <v>4637</v>
      </c>
      <c r="E1323" t="s">
        <v>4638</v>
      </c>
      <c r="F1323" s="10" t="s">
        <v>455</v>
      </c>
      <c r="G1323" s="2">
        <v>200.15549999999999</v>
      </c>
      <c r="H1323" s="13">
        <v>5</v>
      </c>
      <c r="I1323" s="13">
        <v>7</v>
      </c>
      <c r="J1323" s="13">
        <v>-7</v>
      </c>
      <c r="K1323" s="10">
        <v>5</v>
      </c>
      <c r="L1323" s="2">
        <v>1000.7775</v>
      </c>
      <c r="M1323" s="1">
        <v>45971.493750000001</v>
      </c>
      <c r="N1323" t="s">
        <v>165</v>
      </c>
    </row>
    <row r="1324" spans="1:14" x14ac:dyDescent="0.25">
      <c r="A1324" s="9" t="s">
        <v>5211</v>
      </c>
      <c r="B1324" s="10">
        <v>636</v>
      </c>
      <c r="C1324" s="10" t="s">
        <v>323</v>
      </c>
      <c r="D1324" t="s">
        <v>1542</v>
      </c>
      <c r="E1324" t="s">
        <v>1543</v>
      </c>
      <c r="F1324" s="10" t="s">
        <v>29</v>
      </c>
      <c r="G1324" s="2">
        <v>245.61580000000001</v>
      </c>
      <c r="H1324" s="13">
        <v>5</v>
      </c>
      <c r="I1324" s="13">
        <v>0</v>
      </c>
      <c r="J1324" s="13">
        <v>0</v>
      </c>
      <c r="K1324" s="10">
        <v>5</v>
      </c>
      <c r="L1324" s="2">
        <v>1228.079</v>
      </c>
      <c r="M1324" s="1">
        <v>46072.503472222219</v>
      </c>
      <c r="N1324" t="s">
        <v>1229</v>
      </c>
    </row>
    <row r="1325" spans="1:14" x14ac:dyDescent="0.25">
      <c r="A1325" s="9" t="s">
        <v>5211</v>
      </c>
      <c r="B1325" s="10">
        <v>634</v>
      </c>
      <c r="C1325" s="10" t="s">
        <v>323</v>
      </c>
      <c r="D1325" t="s">
        <v>4278</v>
      </c>
      <c r="E1325" t="s">
        <v>4279</v>
      </c>
      <c r="F1325" s="10" t="s">
        <v>29</v>
      </c>
      <c r="G1325" s="2">
        <v>161.0258</v>
      </c>
      <c r="H1325" s="13">
        <v>5</v>
      </c>
      <c r="I1325" s="13">
        <v>0</v>
      </c>
      <c r="J1325" s="13">
        <v>0</v>
      </c>
      <c r="K1325" s="10">
        <v>5</v>
      </c>
      <c r="L1325" s="2">
        <v>805.12900000000002</v>
      </c>
      <c r="M1325" s="1">
        <v>46080.318749999999</v>
      </c>
      <c r="N1325" t="s">
        <v>151</v>
      </c>
    </row>
    <row r="1326" spans="1:14" x14ac:dyDescent="0.25">
      <c r="A1326" s="9" t="s">
        <v>5211</v>
      </c>
      <c r="B1326" s="10">
        <v>634</v>
      </c>
      <c r="C1326" s="10" t="s">
        <v>323</v>
      </c>
      <c r="D1326" t="s">
        <v>1427</v>
      </c>
      <c r="E1326" t="s">
        <v>1428</v>
      </c>
      <c r="F1326" s="10" t="s">
        <v>158</v>
      </c>
      <c r="G1326" s="2">
        <v>138.4674</v>
      </c>
      <c r="H1326" s="13">
        <v>5</v>
      </c>
      <c r="I1326" s="13">
        <v>6</v>
      </c>
      <c r="J1326" s="13">
        <v>-6</v>
      </c>
      <c r="K1326" s="10">
        <v>5</v>
      </c>
      <c r="L1326" s="2">
        <v>692.33699999999999</v>
      </c>
      <c r="M1326" s="1">
        <v>46080.506249999999</v>
      </c>
      <c r="N1326" t="s">
        <v>159</v>
      </c>
    </row>
    <row r="1327" spans="1:14" x14ac:dyDescent="0.25">
      <c r="A1327" s="9" t="s">
        <v>5211</v>
      </c>
      <c r="B1327" s="10">
        <v>714</v>
      </c>
      <c r="C1327" s="10" t="s">
        <v>323</v>
      </c>
      <c r="D1327" t="s">
        <v>3472</v>
      </c>
      <c r="E1327" t="s">
        <v>3473</v>
      </c>
      <c r="F1327" s="10" t="s">
        <v>29</v>
      </c>
      <c r="G1327" s="2">
        <v>125.4723</v>
      </c>
      <c r="H1327" s="13">
        <v>5</v>
      </c>
      <c r="I1327" s="13">
        <v>0</v>
      </c>
      <c r="J1327" s="13">
        <v>0</v>
      </c>
      <c r="K1327" s="10">
        <v>5</v>
      </c>
      <c r="L1327" s="2">
        <v>627.36149999999998</v>
      </c>
      <c r="M1327" s="1">
        <v>46083.444444444445</v>
      </c>
      <c r="N1327" t="s">
        <v>137</v>
      </c>
    </row>
    <row r="1328" spans="1:14" x14ac:dyDescent="0.25">
      <c r="A1328" s="9" t="s">
        <v>5211</v>
      </c>
      <c r="B1328" s="10">
        <v>714</v>
      </c>
      <c r="C1328" s="10" t="s">
        <v>323</v>
      </c>
      <c r="D1328" t="s">
        <v>2812</v>
      </c>
      <c r="E1328" t="s">
        <v>2813</v>
      </c>
      <c r="F1328" s="10" t="s">
        <v>158</v>
      </c>
      <c r="G1328" s="2">
        <v>75</v>
      </c>
      <c r="H1328" s="13">
        <v>5</v>
      </c>
      <c r="I1328" s="13">
        <v>1</v>
      </c>
      <c r="J1328" s="13">
        <v>-1</v>
      </c>
      <c r="K1328" s="10">
        <v>5</v>
      </c>
      <c r="L1328" s="2">
        <v>375</v>
      </c>
      <c r="M1328" s="1">
        <v>46085.367361111108</v>
      </c>
      <c r="N1328" t="s">
        <v>2257</v>
      </c>
    </row>
    <row r="1329" spans="1:14" x14ac:dyDescent="0.25">
      <c r="A1329" s="9" t="s">
        <v>5211</v>
      </c>
      <c r="B1329" s="10">
        <v>636</v>
      </c>
      <c r="C1329" s="10" t="s">
        <v>323</v>
      </c>
      <c r="D1329" t="s">
        <v>1253</v>
      </c>
      <c r="E1329" t="s">
        <v>1254</v>
      </c>
      <c r="F1329" s="10" t="s">
        <v>29</v>
      </c>
      <c r="G1329" s="2">
        <v>207.67609999999999</v>
      </c>
      <c r="H1329" s="13">
        <v>5</v>
      </c>
      <c r="I1329" s="13">
        <v>0</v>
      </c>
      <c r="J1329" s="13">
        <v>0</v>
      </c>
      <c r="K1329" s="10">
        <v>5</v>
      </c>
      <c r="L1329" s="2">
        <v>1038.3805</v>
      </c>
      <c r="M1329" s="1">
        <v>46086.3125</v>
      </c>
      <c r="N1329" t="s">
        <v>1229</v>
      </c>
    </row>
    <row r="1330" spans="1:14" x14ac:dyDescent="0.25">
      <c r="A1330" s="9" t="s">
        <v>5211</v>
      </c>
      <c r="B1330" s="10">
        <v>714</v>
      </c>
      <c r="C1330" s="10" t="s">
        <v>323</v>
      </c>
      <c r="D1330" t="s">
        <v>3043</v>
      </c>
      <c r="E1330" t="s">
        <v>3044</v>
      </c>
      <c r="F1330" s="10" t="s">
        <v>29</v>
      </c>
      <c r="G1330" s="2">
        <v>343.02190000000002</v>
      </c>
      <c r="H1330" s="13">
        <v>5</v>
      </c>
      <c r="I1330" s="13">
        <v>0</v>
      </c>
      <c r="J1330" s="13">
        <v>0</v>
      </c>
      <c r="K1330" s="10">
        <v>5</v>
      </c>
      <c r="L1330" s="2">
        <v>1715.1095</v>
      </c>
      <c r="M1330" s="1">
        <v>46086.356249999997</v>
      </c>
      <c r="N1330" t="s">
        <v>3024</v>
      </c>
    </row>
    <row r="1331" spans="1:14" x14ac:dyDescent="0.25">
      <c r="A1331" s="9" t="s">
        <v>5211</v>
      </c>
      <c r="B1331" s="10">
        <v>718</v>
      </c>
      <c r="C1331" s="10" t="s">
        <v>323</v>
      </c>
      <c r="D1331" t="s">
        <v>3512</v>
      </c>
      <c r="E1331" t="s">
        <v>3513</v>
      </c>
      <c r="F1331" s="10" t="s">
        <v>19</v>
      </c>
      <c r="G1331" s="2">
        <v>144.17910000000001</v>
      </c>
      <c r="H1331" s="13">
        <v>5</v>
      </c>
      <c r="I1331" s="13">
        <v>-1</v>
      </c>
      <c r="J1331" s="13">
        <v>1</v>
      </c>
      <c r="K1331" s="10">
        <v>5</v>
      </c>
      <c r="L1331" s="2">
        <v>720.89549999999997</v>
      </c>
      <c r="M1331" s="1">
        <v>46092.524305555555</v>
      </c>
      <c r="N1331" t="s">
        <v>2257</v>
      </c>
    </row>
    <row r="1332" spans="1:14" x14ac:dyDescent="0.25">
      <c r="A1332" s="9" t="s">
        <v>5211</v>
      </c>
      <c r="B1332" s="10">
        <v>634</v>
      </c>
      <c r="C1332" s="10" t="s">
        <v>323</v>
      </c>
      <c r="D1332" t="s">
        <v>434</v>
      </c>
      <c r="E1332" t="s">
        <v>435</v>
      </c>
      <c r="F1332" s="10" t="s">
        <v>23</v>
      </c>
      <c r="G1332" s="2">
        <v>139.1885</v>
      </c>
      <c r="H1332" s="13">
        <v>5</v>
      </c>
      <c r="I1332" s="13">
        <v>0</v>
      </c>
      <c r="J1332" s="13">
        <v>0</v>
      </c>
      <c r="K1332" s="10">
        <v>5</v>
      </c>
      <c r="L1332" s="2">
        <v>695.9425</v>
      </c>
      <c r="M1332" s="1">
        <v>46094.541666666664</v>
      </c>
      <c r="N1332" t="s">
        <v>354</v>
      </c>
    </row>
    <row r="1333" spans="1:14" x14ac:dyDescent="0.25">
      <c r="A1333" s="9" t="s">
        <v>5211</v>
      </c>
      <c r="B1333" s="10">
        <v>634</v>
      </c>
      <c r="C1333" s="10" t="s">
        <v>323</v>
      </c>
      <c r="D1333" t="s">
        <v>4290</v>
      </c>
      <c r="E1333" t="s">
        <v>4291</v>
      </c>
      <c r="F1333" s="10" t="s">
        <v>29</v>
      </c>
      <c r="G1333" s="2">
        <v>153.4622</v>
      </c>
      <c r="H1333" s="13">
        <v>5</v>
      </c>
      <c r="I1333" s="13">
        <v>5</v>
      </c>
      <c r="J1333" s="13">
        <v>-5</v>
      </c>
      <c r="K1333" s="10">
        <v>5</v>
      </c>
      <c r="L1333" s="2">
        <v>767.31100000000004</v>
      </c>
      <c r="M1333" s="1">
        <v>46094.541666666664</v>
      </c>
      <c r="N1333" t="s">
        <v>354</v>
      </c>
    </row>
    <row r="1334" spans="1:14" x14ac:dyDescent="0.25">
      <c r="A1334" s="9" t="s">
        <v>5211</v>
      </c>
      <c r="B1334" s="10">
        <v>714</v>
      </c>
      <c r="C1334" s="10" t="s">
        <v>323</v>
      </c>
      <c r="D1334" t="s">
        <v>3063</v>
      </c>
      <c r="E1334" s="6" t="s">
        <v>3064</v>
      </c>
      <c r="F1334" s="11" t="s">
        <v>58</v>
      </c>
      <c r="G1334" s="2">
        <v>121.02119999999999</v>
      </c>
      <c r="H1334" s="13">
        <v>5</v>
      </c>
      <c r="I1334" s="13">
        <v>0</v>
      </c>
      <c r="J1334" s="13">
        <v>0</v>
      </c>
      <c r="K1334" s="10">
        <v>5</v>
      </c>
      <c r="L1334" s="2">
        <v>605.10599999999999</v>
      </c>
      <c r="M1334" s="1">
        <v>46098.381249999999</v>
      </c>
      <c r="N1334" t="s">
        <v>885</v>
      </c>
    </row>
    <row r="1335" spans="1:14" x14ac:dyDescent="0.25">
      <c r="A1335" s="9" t="s">
        <v>5211</v>
      </c>
      <c r="B1335" s="10">
        <v>714</v>
      </c>
      <c r="C1335" s="10" t="s">
        <v>323</v>
      </c>
      <c r="D1335" t="s">
        <v>3466</v>
      </c>
      <c r="E1335" t="s">
        <v>3467</v>
      </c>
      <c r="F1335" s="10" t="s">
        <v>29</v>
      </c>
      <c r="G1335" s="2">
        <v>122.1093</v>
      </c>
      <c r="H1335" s="13">
        <v>5</v>
      </c>
      <c r="I1335" s="13">
        <v>0</v>
      </c>
      <c r="J1335" s="13">
        <v>0</v>
      </c>
      <c r="K1335" s="10">
        <v>5</v>
      </c>
      <c r="L1335" s="2">
        <v>610.54650000000004</v>
      </c>
      <c r="M1335" s="1">
        <v>46098.381249999999</v>
      </c>
      <c r="N1335" t="s">
        <v>885</v>
      </c>
    </row>
    <row r="1336" spans="1:14" x14ac:dyDescent="0.25">
      <c r="A1336" s="9" t="s">
        <v>5211</v>
      </c>
      <c r="B1336" s="10">
        <v>714</v>
      </c>
      <c r="C1336" s="10" t="s">
        <v>323</v>
      </c>
      <c r="D1336" t="s">
        <v>3409</v>
      </c>
      <c r="E1336" t="s">
        <v>3410</v>
      </c>
      <c r="F1336" s="10" t="s">
        <v>29</v>
      </c>
      <c r="G1336" s="2">
        <v>88.224500000000006</v>
      </c>
      <c r="H1336" s="13">
        <v>5</v>
      </c>
      <c r="I1336" s="13">
        <v>0</v>
      </c>
      <c r="J1336" s="13">
        <v>0</v>
      </c>
      <c r="K1336" s="10">
        <v>5</v>
      </c>
      <c r="L1336" s="2">
        <v>441.1225</v>
      </c>
      <c r="M1336" s="1">
        <v>46098.381249999999</v>
      </c>
      <c r="N1336" t="s">
        <v>885</v>
      </c>
    </row>
    <row r="1337" spans="1:14" x14ac:dyDescent="0.25">
      <c r="A1337" s="9" t="s">
        <v>5211</v>
      </c>
      <c r="B1337" s="10">
        <v>634</v>
      </c>
      <c r="C1337" s="10" t="s">
        <v>143</v>
      </c>
      <c r="D1337" t="s">
        <v>4142</v>
      </c>
      <c r="E1337" t="s">
        <v>4143</v>
      </c>
      <c r="F1337" s="10" t="s">
        <v>23</v>
      </c>
      <c r="G1337" s="2">
        <v>81.515600000000006</v>
      </c>
      <c r="H1337" s="13">
        <v>5</v>
      </c>
      <c r="I1337" s="13">
        <v>5</v>
      </c>
      <c r="J1337" s="13">
        <v>-5</v>
      </c>
      <c r="K1337" s="10">
        <v>5</v>
      </c>
      <c r="L1337" s="2">
        <v>407.57799999999997</v>
      </c>
      <c r="M1337" s="1">
        <v>46098.504166666666</v>
      </c>
      <c r="N1337" t="s">
        <v>40</v>
      </c>
    </row>
    <row r="1338" spans="1:14" x14ac:dyDescent="0.25">
      <c r="A1338" s="9" t="s">
        <v>5211</v>
      </c>
      <c r="B1338" s="10">
        <v>634</v>
      </c>
      <c r="C1338" s="10" t="s">
        <v>143</v>
      </c>
      <c r="D1338" t="s">
        <v>4204</v>
      </c>
      <c r="E1338" t="s">
        <v>4205</v>
      </c>
      <c r="F1338" s="10" t="s">
        <v>23</v>
      </c>
      <c r="G1338" s="2">
        <v>82.190100000000001</v>
      </c>
      <c r="H1338" s="13">
        <v>5</v>
      </c>
      <c r="I1338" s="13">
        <v>81</v>
      </c>
      <c r="J1338" s="13">
        <v>-81</v>
      </c>
      <c r="K1338" s="10">
        <v>5</v>
      </c>
      <c r="L1338" s="2">
        <v>410.95049999999998</v>
      </c>
      <c r="M1338" s="1">
        <v>46098.504166666666</v>
      </c>
      <c r="N1338" t="s">
        <v>40</v>
      </c>
    </row>
    <row r="1339" spans="1:14" x14ac:dyDescent="0.25">
      <c r="A1339" s="9" t="s">
        <v>5211</v>
      </c>
      <c r="B1339" s="10">
        <v>634</v>
      </c>
      <c r="C1339" s="10" t="s">
        <v>143</v>
      </c>
      <c r="D1339" t="s">
        <v>264</v>
      </c>
      <c r="E1339" t="s">
        <v>265</v>
      </c>
      <c r="F1339" s="10" t="s">
        <v>23</v>
      </c>
      <c r="G1339" s="2">
        <v>72.453299999999999</v>
      </c>
      <c r="H1339" s="13">
        <v>5</v>
      </c>
      <c r="I1339" s="13">
        <v>0</v>
      </c>
      <c r="J1339" s="13">
        <v>0</v>
      </c>
      <c r="K1339" s="10">
        <v>5</v>
      </c>
      <c r="L1339" s="2">
        <v>362.26650000000001</v>
      </c>
      <c r="M1339" s="1">
        <v>46099.42083333333</v>
      </c>
      <c r="N1339" t="s">
        <v>137</v>
      </c>
    </row>
    <row r="1340" spans="1:14" x14ac:dyDescent="0.25">
      <c r="A1340" s="9" t="s">
        <v>5211</v>
      </c>
      <c r="B1340" s="10">
        <v>714</v>
      </c>
      <c r="C1340" s="10" t="s">
        <v>323</v>
      </c>
      <c r="D1340" t="s">
        <v>2965</v>
      </c>
      <c r="E1340" t="s">
        <v>2966</v>
      </c>
      <c r="F1340" s="10" t="s">
        <v>19</v>
      </c>
      <c r="G1340" s="2">
        <v>169.28139999999999</v>
      </c>
      <c r="H1340" s="13">
        <v>5</v>
      </c>
      <c r="I1340" s="13">
        <v>0</v>
      </c>
      <c r="J1340" s="13">
        <v>0</v>
      </c>
      <c r="K1340" s="10">
        <v>5</v>
      </c>
      <c r="L1340" s="2">
        <v>846.40700000000004</v>
      </c>
      <c r="M1340" s="1">
        <v>46101.384722222225</v>
      </c>
      <c r="N1340" t="s">
        <v>2257</v>
      </c>
    </row>
    <row r="1341" spans="1:14" x14ac:dyDescent="0.25">
      <c r="A1341" s="9" t="s">
        <v>5211</v>
      </c>
      <c r="B1341" s="10">
        <v>714</v>
      </c>
      <c r="C1341" s="10" t="s">
        <v>323</v>
      </c>
      <c r="D1341" t="s">
        <v>3209</v>
      </c>
      <c r="E1341" t="s">
        <v>3210</v>
      </c>
      <c r="F1341" s="10" t="s">
        <v>29</v>
      </c>
      <c r="G1341" s="2">
        <v>169.28139999999999</v>
      </c>
      <c r="H1341" s="13">
        <v>5</v>
      </c>
      <c r="I1341" s="13">
        <v>0</v>
      </c>
      <c r="J1341" s="13">
        <v>0</v>
      </c>
      <c r="K1341" s="10">
        <v>5</v>
      </c>
      <c r="L1341" s="2">
        <v>846.40700000000004</v>
      </c>
      <c r="M1341" s="1">
        <v>46101.384722222225</v>
      </c>
      <c r="N1341" t="s">
        <v>2257</v>
      </c>
    </row>
    <row r="1342" spans="1:14" x14ac:dyDescent="0.25">
      <c r="A1342" s="9" t="s">
        <v>5211</v>
      </c>
      <c r="B1342" s="10">
        <v>714</v>
      </c>
      <c r="C1342" s="10" t="s">
        <v>143</v>
      </c>
      <c r="D1342" t="s">
        <v>2428</v>
      </c>
      <c r="E1342" t="s">
        <v>2429</v>
      </c>
      <c r="F1342" s="10" t="s">
        <v>29</v>
      </c>
      <c r="G1342" s="2">
        <v>0</v>
      </c>
      <c r="H1342" s="13">
        <v>5</v>
      </c>
      <c r="I1342" s="13">
        <v>0</v>
      </c>
      <c r="J1342" s="13">
        <v>0</v>
      </c>
      <c r="K1342" s="10">
        <v>5</v>
      </c>
      <c r="L1342" s="2">
        <v>0</v>
      </c>
      <c r="M1342" s="1">
        <v>46101.615277777775</v>
      </c>
      <c r="N1342" t="s">
        <v>2271</v>
      </c>
    </row>
    <row r="1343" spans="1:14" x14ac:dyDescent="0.25">
      <c r="A1343" s="9" t="s">
        <v>5211</v>
      </c>
      <c r="B1343" s="10">
        <v>714</v>
      </c>
      <c r="C1343" s="10" t="s">
        <v>323</v>
      </c>
      <c r="D1343" t="s">
        <v>3205</v>
      </c>
      <c r="E1343" t="s">
        <v>3206</v>
      </c>
      <c r="F1343" s="10" t="s">
        <v>29</v>
      </c>
      <c r="G1343" s="2">
        <v>164.83860000000001</v>
      </c>
      <c r="H1343" s="13">
        <v>5</v>
      </c>
      <c r="I1343" s="13">
        <v>0</v>
      </c>
      <c r="J1343" s="13">
        <v>0</v>
      </c>
      <c r="K1343" s="10">
        <v>5</v>
      </c>
      <c r="L1343" s="2">
        <v>824.19299999999998</v>
      </c>
      <c r="M1343" s="1">
        <v>46104.46597222222</v>
      </c>
      <c r="N1343" t="s">
        <v>137</v>
      </c>
    </row>
    <row r="1344" spans="1:14" x14ac:dyDescent="0.25">
      <c r="A1344" s="9" t="s">
        <v>5211</v>
      </c>
      <c r="B1344" s="10">
        <v>714</v>
      </c>
      <c r="C1344" s="10" t="s">
        <v>323</v>
      </c>
      <c r="D1344" t="s">
        <v>1257</v>
      </c>
      <c r="E1344" t="s">
        <v>1258</v>
      </c>
      <c r="F1344" s="10" t="s">
        <v>29</v>
      </c>
      <c r="G1344" s="2">
        <v>169.68680000000001</v>
      </c>
      <c r="H1344" s="13">
        <v>5</v>
      </c>
      <c r="I1344" s="13">
        <v>0</v>
      </c>
      <c r="J1344" s="13">
        <v>0</v>
      </c>
      <c r="K1344" s="10">
        <v>5</v>
      </c>
      <c r="L1344" s="2">
        <v>848.43399999999997</v>
      </c>
      <c r="M1344" s="1">
        <v>46104.46597222222</v>
      </c>
      <c r="N1344" t="s">
        <v>137</v>
      </c>
    </row>
    <row r="1345" spans="1:14" x14ac:dyDescent="0.25">
      <c r="A1345" s="9" t="s">
        <v>5211</v>
      </c>
      <c r="B1345" s="10">
        <v>636</v>
      </c>
      <c r="C1345" s="10" t="s">
        <v>323</v>
      </c>
      <c r="D1345" t="s">
        <v>1334</v>
      </c>
      <c r="E1345" t="s">
        <v>1335</v>
      </c>
      <c r="F1345" s="10" t="s">
        <v>29</v>
      </c>
      <c r="G1345" s="2">
        <v>327.96550000000002</v>
      </c>
      <c r="H1345" s="13">
        <v>5</v>
      </c>
      <c r="I1345" s="13">
        <v>0</v>
      </c>
      <c r="J1345" s="13">
        <v>0</v>
      </c>
      <c r="K1345" s="10">
        <v>5</v>
      </c>
      <c r="L1345" s="2">
        <v>1639.8275000000001</v>
      </c>
      <c r="M1345" s="1">
        <v>46107.522222222222</v>
      </c>
      <c r="N1345" t="s">
        <v>178</v>
      </c>
    </row>
    <row r="1346" spans="1:14" x14ac:dyDescent="0.25">
      <c r="A1346" s="9" t="s">
        <v>5211</v>
      </c>
      <c r="B1346" s="10">
        <v>636</v>
      </c>
      <c r="C1346" s="10" t="s">
        <v>323</v>
      </c>
      <c r="D1346" t="s">
        <v>1255</v>
      </c>
      <c r="E1346" t="s">
        <v>1256</v>
      </c>
      <c r="F1346" s="10" t="s">
        <v>29</v>
      </c>
      <c r="G1346" s="2">
        <v>204.25620000000001</v>
      </c>
      <c r="H1346" s="13">
        <v>5</v>
      </c>
      <c r="I1346" s="13">
        <v>0</v>
      </c>
      <c r="J1346" s="13">
        <v>0</v>
      </c>
      <c r="K1346" s="10">
        <v>5</v>
      </c>
      <c r="L1346" s="2">
        <v>1021.2809999999999</v>
      </c>
      <c r="M1346" s="1">
        <v>46107.539583333331</v>
      </c>
      <c r="N1346" t="s">
        <v>295</v>
      </c>
    </row>
    <row r="1347" spans="1:14" x14ac:dyDescent="0.25">
      <c r="A1347" s="9" t="s">
        <v>5211</v>
      </c>
      <c r="B1347" s="10">
        <v>636</v>
      </c>
      <c r="C1347" s="10" t="s">
        <v>323</v>
      </c>
      <c r="D1347" t="s">
        <v>1384</v>
      </c>
      <c r="E1347" t="s">
        <v>1385</v>
      </c>
      <c r="F1347" s="10" t="s">
        <v>29</v>
      </c>
      <c r="G1347" s="2">
        <v>204.25620000000001</v>
      </c>
      <c r="H1347" s="13">
        <v>5</v>
      </c>
      <c r="I1347" s="13">
        <v>0</v>
      </c>
      <c r="J1347" s="13">
        <v>0</v>
      </c>
      <c r="K1347" s="10">
        <v>5</v>
      </c>
      <c r="L1347" s="2">
        <v>1021.2809999999999</v>
      </c>
      <c r="M1347" s="1">
        <v>46107.539583333331</v>
      </c>
      <c r="N1347" t="s">
        <v>295</v>
      </c>
    </row>
    <row r="1348" spans="1:14" x14ac:dyDescent="0.25">
      <c r="A1348" s="9" t="s">
        <v>5211</v>
      </c>
      <c r="B1348" s="10">
        <v>636</v>
      </c>
      <c r="C1348" s="10" t="s">
        <v>323</v>
      </c>
      <c r="D1348" t="s">
        <v>4266</v>
      </c>
      <c r="E1348" t="s">
        <v>4267</v>
      </c>
      <c r="F1348" s="10" t="s">
        <v>158</v>
      </c>
      <c r="G1348" s="2">
        <v>137.76900000000001</v>
      </c>
      <c r="H1348" s="13">
        <v>5</v>
      </c>
      <c r="I1348" s="13">
        <v>4</v>
      </c>
      <c r="J1348" s="13">
        <v>-4</v>
      </c>
      <c r="K1348" s="10">
        <v>5</v>
      </c>
      <c r="L1348" s="2">
        <v>688.84500000000003</v>
      </c>
      <c r="M1348" s="1">
        <v>46108.488888888889</v>
      </c>
      <c r="N1348" t="s">
        <v>357</v>
      </c>
    </row>
    <row r="1349" spans="1:14" x14ac:dyDescent="0.25">
      <c r="A1349" s="9" t="s">
        <v>5211</v>
      </c>
      <c r="B1349" s="10">
        <v>636</v>
      </c>
      <c r="C1349" s="10" t="s">
        <v>323</v>
      </c>
      <c r="D1349" t="s">
        <v>1574</v>
      </c>
      <c r="E1349" t="s">
        <v>1575</v>
      </c>
      <c r="F1349" s="10" t="s">
        <v>29</v>
      </c>
      <c r="G1349" s="2">
        <v>172.84289999999999</v>
      </c>
      <c r="H1349" s="13">
        <v>5</v>
      </c>
      <c r="I1349" s="13">
        <v>0</v>
      </c>
      <c r="J1349" s="13">
        <v>0</v>
      </c>
      <c r="K1349" s="10">
        <v>5</v>
      </c>
      <c r="L1349" s="2">
        <v>864.21450000000004</v>
      </c>
      <c r="M1349" s="1">
        <v>46108.488888888889</v>
      </c>
      <c r="N1349" t="s">
        <v>357</v>
      </c>
    </row>
    <row r="1350" spans="1:14" x14ac:dyDescent="0.25">
      <c r="A1350" s="9" t="s">
        <v>5211</v>
      </c>
      <c r="B1350" s="10">
        <v>636</v>
      </c>
      <c r="C1350" s="10" t="s">
        <v>323</v>
      </c>
      <c r="D1350" t="s">
        <v>4306</v>
      </c>
      <c r="E1350" t="s">
        <v>4307</v>
      </c>
      <c r="F1350" s="10" t="s">
        <v>158</v>
      </c>
      <c r="G1350" s="2">
        <v>184.7807</v>
      </c>
      <c r="H1350" s="13">
        <v>5</v>
      </c>
      <c r="I1350" s="13">
        <v>47</v>
      </c>
      <c r="J1350" s="13">
        <v>-47</v>
      </c>
      <c r="K1350" s="10">
        <v>5</v>
      </c>
      <c r="L1350" s="2">
        <v>923.90350000000001</v>
      </c>
      <c r="M1350" s="1">
        <v>46108.519444444442</v>
      </c>
      <c r="N1350" t="s">
        <v>411</v>
      </c>
    </row>
    <row r="1351" spans="1:14" x14ac:dyDescent="0.25">
      <c r="A1351" s="9" t="s">
        <v>5211</v>
      </c>
      <c r="B1351" s="10">
        <v>714</v>
      </c>
      <c r="C1351" s="10" t="s">
        <v>143</v>
      </c>
      <c r="D1351" t="s">
        <v>2711</v>
      </c>
      <c r="E1351" t="s">
        <v>2712</v>
      </c>
      <c r="F1351" s="10" t="s">
        <v>29</v>
      </c>
      <c r="G1351" s="2">
        <v>119.56189999999999</v>
      </c>
      <c r="H1351" s="13">
        <v>5</v>
      </c>
      <c r="I1351" s="13">
        <v>0</v>
      </c>
      <c r="J1351" s="13">
        <v>0</v>
      </c>
      <c r="K1351" s="10">
        <v>5</v>
      </c>
      <c r="L1351" s="2">
        <v>597.80949999999996</v>
      </c>
      <c r="M1351" s="1">
        <v>46112.315972222219</v>
      </c>
      <c r="N1351" t="s">
        <v>36</v>
      </c>
    </row>
    <row r="1352" spans="1:14" x14ac:dyDescent="0.25">
      <c r="A1352" s="9" t="s">
        <v>5211</v>
      </c>
      <c r="B1352" s="10">
        <v>714</v>
      </c>
      <c r="C1352" s="10" t="s">
        <v>143</v>
      </c>
      <c r="D1352" t="s">
        <v>2367</v>
      </c>
      <c r="E1352" t="s">
        <v>2368</v>
      </c>
      <c r="F1352" s="10" t="s">
        <v>23</v>
      </c>
      <c r="G1352" s="2">
        <v>123.07810000000001</v>
      </c>
      <c r="H1352" s="13">
        <v>5</v>
      </c>
      <c r="I1352" s="13">
        <v>0</v>
      </c>
      <c r="J1352" s="13">
        <v>0</v>
      </c>
      <c r="K1352" s="10">
        <v>5</v>
      </c>
      <c r="L1352" s="2">
        <v>615.39049999999997</v>
      </c>
      <c r="M1352" s="1">
        <v>46112.315972222219</v>
      </c>
      <c r="N1352" t="s">
        <v>36</v>
      </c>
    </row>
    <row r="1353" spans="1:14" x14ac:dyDescent="0.25">
      <c r="A1353" s="9" t="s">
        <v>5211</v>
      </c>
      <c r="B1353" s="10">
        <v>636</v>
      </c>
      <c r="C1353" s="10" t="s">
        <v>323</v>
      </c>
      <c r="D1353" t="s">
        <v>392</v>
      </c>
      <c r="E1353" t="s">
        <v>393</v>
      </c>
      <c r="F1353" s="10" t="s">
        <v>29</v>
      </c>
      <c r="G1353" s="2">
        <v>232.73580000000001</v>
      </c>
      <c r="H1353" s="13">
        <v>5</v>
      </c>
      <c r="I1353" s="13">
        <v>0</v>
      </c>
      <c r="J1353" s="13">
        <v>0</v>
      </c>
      <c r="K1353" s="10">
        <v>5</v>
      </c>
      <c r="L1353" s="2">
        <v>1163.6790000000001</v>
      </c>
      <c r="M1353" s="1">
        <v>46112.343055555553</v>
      </c>
      <c r="N1353" t="s">
        <v>137</v>
      </c>
    </row>
    <row r="1354" spans="1:14" x14ac:dyDescent="0.25">
      <c r="A1354" s="9" t="s">
        <v>5211</v>
      </c>
      <c r="B1354" s="10">
        <v>634</v>
      </c>
      <c r="C1354" s="10" t="s">
        <v>70</v>
      </c>
      <c r="D1354" t="s">
        <v>95</v>
      </c>
      <c r="E1354" t="s">
        <v>96</v>
      </c>
      <c r="F1354" s="10" t="s">
        <v>39</v>
      </c>
      <c r="G1354" s="2">
        <v>6.0419999999999998</v>
      </c>
      <c r="H1354" s="13">
        <v>5</v>
      </c>
      <c r="I1354" s="13">
        <v>-1</v>
      </c>
      <c r="J1354" s="13">
        <v>1</v>
      </c>
      <c r="K1354" s="10">
        <v>5</v>
      </c>
      <c r="L1354" s="2">
        <v>30.21</v>
      </c>
      <c r="M1354" s="1">
        <v>46113.434027777781</v>
      </c>
      <c r="N1354" t="s">
        <v>16</v>
      </c>
    </row>
    <row r="1355" spans="1:14" x14ac:dyDescent="0.25">
      <c r="A1355" s="9" t="s">
        <v>5211</v>
      </c>
      <c r="B1355" s="10">
        <v>636</v>
      </c>
      <c r="C1355" s="10" t="s">
        <v>323</v>
      </c>
      <c r="D1355" t="s">
        <v>1640</v>
      </c>
      <c r="E1355" t="s">
        <v>1641</v>
      </c>
      <c r="F1355" s="10" t="s">
        <v>29</v>
      </c>
      <c r="G1355" s="2">
        <v>207.011</v>
      </c>
      <c r="H1355" s="13">
        <v>5</v>
      </c>
      <c r="I1355" s="13">
        <v>-1</v>
      </c>
      <c r="J1355" s="13">
        <v>1</v>
      </c>
      <c r="K1355" s="10">
        <v>5</v>
      </c>
      <c r="L1355" s="2">
        <v>1035.0550000000001</v>
      </c>
      <c r="M1355" s="1">
        <v>46114.394444444442</v>
      </c>
      <c r="N1355" t="s">
        <v>486</v>
      </c>
    </row>
    <row r="1356" spans="1:14" x14ac:dyDescent="0.25">
      <c r="A1356" s="9" t="s">
        <v>5211</v>
      </c>
      <c r="B1356" s="10">
        <v>636</v>
      </c>
      <c r="C1356" s="10" t="s">
        <v>1749</v>
      </c>
      <c r="D1356" t="s">
        <v>1752</v>
      </c>
      <c r="E1356" t="s">
        <v>1753</v>
      </c>
      <c r="F1356" s="10" t="s">
        <v>39</v>
      </c>
      <c r="G1356" s="2">
        <v>27.264299999999999</v>
      </c>
      <c r="H1356" s="13">
        <v>5</v>
      </c>
      <c r="I1356" s="13">
        <v>0</v>
      </c>
      <c r="J1356" s="13">
        <v>0</v>
      </c>
      <c r="K1356" s="10">
        <v>5</v>
      </c>
      <c r="L1356" s="2">
        <v>136.32149999999999</v>
      </c>
      <c r="M1356" s="1">
        <v>46114.597916666666</v>
      </c>
      <c r="N1356" t="s">
        <v>797</v>
      </c>
    </row>
    <row r="1357" spans="1:14" x14ac:dyDescent="0.25">
      <c r="A1357" s="9" t="s">
        <v>5211</v>
      </c>
      <c r="B1357" s="10">
        <v>636</v>
      </c>
      <c r="C1357" s="10" t="s">
        <v>70</v>
      </c>
      <c r="D1357" t="s">
        <v>2105</v>
      </c>
      <c r="E1357" t="s">
        <v>2106</v>
      </c>
      <c r="F1357" s="10" t="s">
        <v>29</v>
      </c>
      <c r="G1357" s="2">
        <v>8.6447000000000003</v>
      </c>
      <c r="H1357" s="13">
        <v>5</v>
      </c>
      <c r="I1357" s="13">
        <v>6</v>
      </c>
      <c r="J1357" s="13">
        <v>-6</v>
      </c>
      <c r="K1357" s="10">
        <v>5</v>
      </c>
      <c r="L1357" s="2">
        <v>43.223500000000001</v>
      </c>
      <c r="M1357" s="1">
        <v>46115.417361111111</v>
      </c>
      <c r="N1357" t="s">
        <v>573</v>
      </c>
    </row>
    <row r="1358" spans="1:14" x14ac:dyDescent="0.25">
      <c r="A1358" s="9" t="s">
        <v>5211</v>
      </c>
      <c r="B1358" s="10">
        <v>636</v>
      </c>
      <c r="C1358" s="10" t="s">
        <v>70</v>
      </c>
      <c r="D1358" t="s">
        <v>789</v>
      </c>
      <c r="E1358" t="s">
        <v>790</v>
      </c>
      <c r="F1358" s="10" t="s">
        <v>23</v>
      </c>
      <c r="G1358" s="2">
        <v>9.5730000000000004</v>
      </c>
      <c r="H1358" s="13">
        <v>5</v>
      </c>
      <c r="I1358" s="13">
        <v>0</v>
      </c>
      <c r="J1358" s="13">
        <v>0</v>
      </c>
      <c r="K1358" s="10">
        <v>5</v>
      </c>
      <c r="L1358" s="2">
        <v>47.865000000000002</v>
      </c>
      <c r="M1358" s="1">
        <v>46115.417361111111</v>
      </c>
      <c r="N1358" t="s">
        <v>573</v>
      </c>
    </row>
    <row r="1359" spans="1:14" x14ac:dyDescent="0.25">
      <c r="A1359" s="9" t="s">
        <v>5211</v>
      </c>
      <c r="B1359" s="10">
        <v>634</v>
      </c>
      <c r="C1359" s="10" t="s">
        <v>143</v>
      </c>
      <c r="D1359" t="s">
        <v>293</v>
      </c>
      <c r="E1359" t="s">
        <v>294</v>
      </c>
      <c r="F1359" s="10" t="s">
        <v>29</v>
      </c>
      <c r="G1359" s="2">
        <v>113.0416</v>
      </c>
      <c r="H1359" s="13">
        <v>5</v>
      </c>
      <c r="I1359" s="13">
        <v>0</v>
      </c>
      <c r="J1359" s="13">
        <v>0</v>
      </c>
      <c r="K1359" s="10">
        <v>5</v>
      </c>
      <c r="L1359" s="2">
        <v>565.20799999999997</v>
      </c>
      <c r="M1359" s="1">
        <v>46115.618055555555</v>
      </c>
      <c r="N1359" t="s">
        <v>295</v>
      </c>
    </row>
    <row r="1360" spans="1:14" x14ac:dyDescent="0.25">
      <c r="A1360" s="9" t="s">
        <v>5211</v>
      </c>
      <c r="B1360" s="10">
        <v>718</v>
      </c>
      <c r="C1360" s="10" t="s">
        <v>323</v>
      </c>
      <c r="D1360" t="s">
        <v>4308</v>
      </c>
      <c r="E1360" t="s">
        <v>4309</v>
      </c>
      <c r="F1360" s="10" t="s">
        <v>23</v>
      </c>
      <c r="G1360" s="2">
        <v>158.73320000000001</v>
      </c>
      <c r="H1360" s="13">
        <v>5</v>
      </c>
      <c r="I1360" s="13">
        <v>12</v>
      </c>
      <c r="J1360" s="13">
        <v>-12</v>
      </c>
      <c r="K1360" s="10">
        <v>5</v>
      </c>
      <c r="L1360" s="2">
        <v>793.66600000000005</v>
      </c>
      <c r="M1360" s="1">
        <v>46118.48333333333</v>
      </c>
      <c r="N1360" t="s">
        <v>354</v>
      </c>
    </row>
    <row r="1361" spans="1:14" x14ac:dyDescent="0.25">
      <c r="A1361" s="9" t="s">
        <v>5211</v>
      </c>
      <c r="B1361" s="10">
        <v>634</v>
      </c>
      <c r="C1361" s="10" t="s">
        <v>143</v>
      </c>
      <c r="D1361" t="s">
        <v>168</v>
      </c>
      <c r="E1361" t="s">
        <v>169</v>
      </c>
      <c r="F1361" s="10" t="s">
        <v>29</v>
      </c>
      <c r="G1361" s="2">
        <v>117.7174</v>
      </c>
      <c r="H1361" s="13">
        <v>5</v>
      </c>
      <c r="I1361" s="13">
        <v>0</v>
      </c>
      <c r="J1361" s="13">
        <v>0</v>
      </c>
      <c r="K1361" s="10">
        <v>5</v>
      </c>
      <c r="L1361" s="2">
        <v>588.58699999999999</v>
      </c>
      <c r="M1361" s="1">
        <v>46119.382638888892</v>
      </c>
      <c r="N1361" t="s">
        <v>170</v>
      </c>
    </row>
    <row r="1362" spans="1:14" x14ac:dyDescent="0.25">
      <c r="A1362" s="9" t="s">
        <v>5211</v>
      </c>
      <c r="B1362" s="10">
        <v>634</v>
      </c>
      <c r="C1362" s="10" t="s">
        <v>143</v>
      </c>
      <c r="D1362" t="s">
        <v>206</v>
      </c>
      <c r="E1362" t="s">
        <v>207</v>
      </c>
      <c r="F1362" s="10" t="s">
        <v>23</v>
      </c>
      <c r="G1362" s="2">
        <v>105.3261</v>
      </c>
      <c r="H1362" s="13">
        <v>5</v>
      </c>
      <c r="I1362" s="13">
        <v>0</v>
      </c>
      <c r="J1362" s="13">
        <v>0</v>
      </c>
      <c r="K1362" s="10">
        <v>5</v>
      </c>
      <c r="L1362" s="2">
        <v>526.63049999999998</v>
      </c>
      <c r="M1362" s="1">
        <v>46119.382638888892</v>
      </c>
      <c r="N1362" t="s">
        <v>170</v>
      </c>
    </row>
    <row r="1363" spans="1:14" x14ac:dyDescent="0.25">
      <c r="A1363" s="9" t="s">
        <v>5211</v>
      </c>
      <c r="B1363" s="10">
        <v>714</v>
      </c>
      <c r="C1363" s="10" t="s">
        <v>143</v>
      </c>
      <c r="D1363" t="s">
        <v>2274</v>
      </c>
      <c r="E1363" t="s">
        <v>2275</v>
      </c>
      <c r="F1363" s="10" t="s">
        <v>19</v>
      </c>
      <c r="G1363" s="2">
        <v>174.77209999999999</v>
      </c>
      <c r="H1363" s="13">
        <v>5</v>
      </c>
      <c r="I1363" s="13">
        <v>0</v>
      </c>
      <c r="J1363" s="13">
        <v>0</v>
      </c>
      <c r="K1363" s="10">
        <v>5</v>
      </c>
      <c r="L1363" s="2">
        <v>873.8605</v>
      </c>
      <c r="M1363" s="1">
        <v>46119.573611111111</v>
      </c>
      <c r="N1363" t="s">
        <v>137</v>
      </c>
    </row>
    <row r="1364" spans="1:14" x14ac:dyDescent="0.25">
      <c r="A1364" s="9" t="s">
        <v>5211</v>
      </c>
      <c r="B1364" s="10">
        <v>634</v>
      </c>
      <c r="C1364" s="10" t="s">
        <v>143</v>
      </c>
      <c r="D1364" t="s">
        <v>237</v>
      </c>
      <c r="E1364" t="s">
        <v>238</v>
      </c>
      <c r="F1364" s="10" t="s">
        <v>29</v>
      </c>
      <c r="G1364" s="2">
        <v>187.08340000000001</v>
      </c>
      <c r="H1364" s="13">
        <v>5</v>
      </c>
      <c r="I1364" s="13">
        <v>0</v>
      </c>
      <c r="J1364" s="13">
        <v>0</v>
      </c>
      <c r="K1364" s="10">
        <v>5</v>
      </c>
      <c r="L1364" s="2">
        <v>935.41700000000003</v>
      </c>
      <c r="M1364" s="1">
        <v>46119.724999999999</v>
      </c>
      <c r="N1364" t="s">
        <v>165</v>
      </c>
    </row>
    <row r="1365" spans="1:14" x14ac:dyDescent="0.25">
      <c r="A1365" s="9" t="s">
        <v>5211</v>
      </c>
      <c r="B1365" s="10">
        <v>634</v>
      </c>
      <c r="C1365" s="10" t="s">
        <v>143</v>
      </c>
      <c r="D1365" t="s">
        <v>255</v>
      </c>
      <c r="E1365" t="s">
        <v>256</v>
      </c>
      <c r="F1365" s="10" t="s">
        <v>29</v>
      </c>
      <c r="G1365" s="2">
        <v>108.43689999999999</v>
      </c>
      <c r="H1365" s="13">
        <v>5</v>
      </c>
      <c r="I1365" s="13">
        <v>0</v>
      </c>
      <c r="J1365" s="13">
        <v>0</v>
      </c>
      <c r="K1365" s="10">
        <v>5</v>
      </c>
      <c r="L1365" s="2">
        <v>542.18449999999996</v>
      </c>
      <c r="M1365" s="1">
        <v>46119.724999999999</v>
      </c>
      <c r="N1365" t="s">
        <v>165</v>
      </c>
    </row>
    <row r="1366" spans="1:14" x14ac:dyDescent="0.25">
      <c r="A1366" s="9" t="s">
        <v>5211</v>
      </c>
      <c r="B1366" s="10">
        <v>636</v>
      </c>
      <c r="C1366" s="10" t="s">
        <v>323</v>
      </c>
      <c r="D1366" t="s">
        <v>1225</v>
      </c>
      <c r="E1366" t="s">
        <v>1226</v>
      </c>
      <c r="F1366" s="10" t="s">
        <v>23</v>
      </c>
      <c r="G1366" s="2">
        <v>263.33699999999999</v>
      </c>
      <c r="H1366" s="13">
        <v>5</v>
      </c>
      <c r="I1366" s="13">
        <v>0</v>
      </c>
      <c r="J1366" s="13">
        <v>0</v>
      </c>
      <c r="K1366" s="10">
        <v>5</v>
      </c>
      <c r="L1366" s="2">
        <v>1316.6849999999999</v>
      </c>
      <c r="M1366" s="1">
        <v>46119.725694444445</v>
      </c>
      <c r="N1366" t="s">
        <v>165</v>
      </c>
    </row>
    <row r="1367" spans="1:14" x14ac:dyDescent="0.25">
      <c r="A1367" s="9" t="s">
        <v>5211</v>
      </c>
      <c r="B1367" s="10">
        <v>634</v>
      </c>
      <c r="C1367" s="10" t="s">
        <v>323</v>
      </c>
      <c r="D1367" t="s">
        <v>4276</v>
      </c>
      <c r="E1367" t="s">
        <v>4277</v>
      </c>
      <c r="F1367" s="10" t="s">
        <v>158</v>
      </c>
      <c r="G1367" s="2">
        <v>184.8614</v>
      </c>
      <c r="H1367" s="13">
        <v>5</v>
      </c>
      <c r="I1367" s="13">
        <v>4</v>
      </c>
      <c r="J1367" s="13">
        <v>-4</v>
      </c>
      <c r="K1367" s="10">
        <v>5</v>
      </c>
      <c r="L1367" s="2">
        <v>924.30700000000002</v>
      </c>
      <c r="M1367" s="1">
        <v>46121.589583333334</v>
      </c>
      <c r="N1367" t="s">
        <v>159</v>
      </c>
    </row>
    <row r="1368" spans="1:14" x14ac:dyDescent="0.25">
      <c r="A1368" s="9" t="s">
        <v>5211</v>
      </c>
      <c r="B1368" s="10">
        <v>636</v>
      </c>
      <c r="C1368" s="10" t="s">
        <v>143</v>
      </c>
      <c r="D1368" t="s">
        <v>1123</v>
      </c>
      <c r="E1368" t="s">
        <v>1124</v>
      </c>
      <c r="F1368" s="10" t="s">
        <v>23</v>
      </c>
      <c r="G1368" s="2">
        <v>107.738</v>
      </c>
      <c r="H1368" s="13">
        <v>5</v>
      </c>
      <c r="I1368" s="13">
        <v>1</v>
      </c>
      <c r="J1368" s="13">
        <v>-1</v>
      </c>
      <c r="K1368" s="10">
        <v>5</v>
      </c>
      <c r="L1368" s="2">
        <v>538.69000000000005</v>
      </c>
      <c r="M1368" s="1">
        <v>46122.493750000001</v>
      </c>
      <c r="N1368" t="s">
        <v>195</v>
      </c>
    </row>
    <row r="1369" spans="1:14" x14ac:dyDescent="0.25">
      <c r="A1369" s="9" t="s">
        <v>5211</v>
      </c>
      <c r="B1369" s="10">
        <v>634</v>
      </c>
      <c r="C1369" s="10" t="s">
        <v>323</v>
      </c>
      <c r="D1369" t="s">
        <v>352</v>
      </c>
      <c r="E1369" t="s">
        <v>353</v>
      </c>
      <c r="F1369" s="10" t="s">
        <v>29</v>
      </c>
      <c r="G1369" s="2">
        <v>135.36420000000001</v>
      </c>
      <c r="H1369" s="13">
        <v>5</v>
      </c>
      <c r="I1369" s="13">
        <v>-1</v>
      </c>
      <c r="J1369" s="13">
        <v>1</v>
      </c>
      <c r="K1369" s="10">
        <v>5</v>
      </c>
      <c r="L1369" s="2">
        <v>676.82100000000003</v>
      </c>
      <c r="M1369" s="1">
        <v>46122.515277777777</v>
      </c>
      <c r="N1369" t="s">
        <v>354</v>
      </c>
    </row>
    <row r="1370" spans="1:14" x14ac:dyDescent="0.25">
      <c r="A1370" s="9" t="s">
        <v>5211</v>
      </c>
      <c r="B1370" s="10">
        <v>714</v>
      </c>
      <c r="C1370" s="10" t="s">
        <v>12</v>
      </c>
      <c r="D1370" t="s">
        <v>1817</v>
      </c>
      <c r="E1370" t="s">
        <v>1818</v>
      </c>
      <c r="F1370" s="10" t="s">
        <v>39</v>
      </c>
      <c r="G1370" s="2">
        <v>10.155099999999999</v>
      </c>
      <c r="H1370" s="13">
        <v>5</v>
      </c>
      <c r="I1370" s="13">
        <v>0</v>
      </c>
      <c r="J1370" s="13">
        <v>0</v>
      </c>
      <c r="K1370" s="10">
        <v>5</v>
      </c>
      <c r="L1370" s="2">
        <v>50.775500000000001</v>
      </c>
      <c r="M1370" s="1">
        <v>46126.649305555555</v>
      </c>
      <c r="N1370" t="s">
        <v>67</v>
      </c>
    </row>
    <row r="1371" spans="1:14" x14ac:dyDescent="0.25">
      <c r="A1371" s="9" t="s">
        <v>5211</v>
      </c>
      <c r="B1371" s="10">
        <v>714</v>
      </c>
      <c r="C1371" s="10" t="s">
        <v>12</v>
      </c>
      <c r="D1371" t="s">
        <v>1871</v>
      </c>
      <c r="E1371" t="s">
        <v>1872</v>
      </c>
      <c r="F1371" s="10" t="s">
        <v>29</v>
      </c>
      <c r="G1371" s="2">
        <v>46.295299999999997</v>
      </c>
      <c r="H1371" s="13">
        <v>5</v>
      </c>
      <c r="I1371" s="13">
        <v>0</v>
      </c>
      <c r="J1371" s="13">
        <v>0</v>
      </c>
      <c r="K1371" s="10">
        <v>5</v>
      </c>
      <c r="L1371" s="2">
        <v>231.47649999999999</v>
      </c>
      <c r="M1371" s="1">
        <v>46126.649305555555</v>
      </c>
      <c r="N1371" t="s">
        <v>67</v>
      </c>
    </row>
    <row r="1372" spans="1:14" x14ac:dyDescent="0.25">
      <c r="A1372" s="9" t="s">
        <v>5211</v>
      </c>
      <c r="B1372" s="10">
        <v>714</v>
      </c>
      <c r="C1372" s="10" t="s">
        <v>143</v>
      </c>
      <c r="D1372" t="s">
        <v>2326</v>
      </c>
      <c r="E1372" t="s">
        <v>2327</v>
      </c>
      <c r="F1372" s="10" t="s">
        <v>19</v>
      </c>
      <c r="G1372" s="2">
        <v>34.1051</v>
      </c>
      <c r="H1372" s="13">
        <v>5</v>
      </c>
      <c r="I1372" s="13">
        <v>0</v>
      </c>
      <c r="J1372" s="13">
        <v>0</v>
      </c>
      <c r="K1372" s="10">
        <v>5</v>
      </c>
      <c r="L1372" s="2">
        <v>170.52549999999999</v>
      </c>
      <c r="M1372" s="1">
        <v>46126.649305555555</v>
      </c>
      <c r="N1372" t="s">
        <v>67</v>
      </c>
    </row>
    <row r="1373" spans="1:14" x14ac:dyDescent="0.25">
      <c r="A1373" s="9" t="s">
        <v>5211</v>
      </c>
      <c r="B1373" s="10">
        <v>714</v>
      </c>
      <c r="C1373" s="10" t="s">
        <v>12</v>
      </c>
      <c r="D1373" t="s">
        <v>1826</v>
      </c>
      <c r="E1373" t="s">
        <v>1827</v>
      </c>
      <c r="F1373" s="10" t="s">
        <v>29</v>
      </c>
      <c r="G1373" s="2">
        <v>50.417900000000003</v>
      </c>
      <c r="H1373" s="13">
        <v>5</v>
      </c>
      <c r="I1373" s="13">
        <v>0</v>
      </c>
      <c r="J1373" s="13">
        <v>0</v>
      </c>
      <c r="K1373" s="10">
        <v>5</v>
      </c>
      <c r="L1373" s="2">
        <v>252.08949999999999</v>
      </c>
      <c r="M1373" s="1">
        <v>46126.649305555555</v>
      </c>
      <c r="N1373" t="s">
        <v>67</v>
      </c>
    </row>
    <row r="1374" spans="1:14" x14ac:dyDescent="0.25">
      <c r="A1374" s="9" t="s">
        <v>5211</v>
      </c>
      <c r="B1374" s="10">
        <v>714</v>
      </c>
      <c r="C1374" s="10" t="s">
        <v>143</v>
      </c>
      <c r="D1374" t="s">
        <v>2794</v>
      </c>
      <c r="E1374" t="s">
        <v>2795</v>
      </c>
      <c r="F1374" s="10" t="s">
        <v>29</v>
      </c>
      <c r="G1374" s="2">
        <v>24.676200000000001</v>
      </c>
      <c r="H1374" s="13">
        <v>5</v>
      </c>
      <c r="I1374" s="13">
        <v>0</v>
      </c>
      <c r="J1374" s="13">
        <v>0</v>
      </c>
      <c r="K1374" s="10">
        <v>5</v>
      </c>
      <c r="L1374" s="2">
        <v>123.381</v>
      </c>
      <c r="M1374" s="1">
        <v>46126.649305555555</v>
      </c>
      <c r="N1374" t="s">
        <v>67</v>
      </c>
    </row>
    <row r="1375" spans="1:14" x14ac:dyDescent="0.25">
      <c r="A1375" s="9" t="s">
        <v>5211</v>
      </c>
      <c r="B1375" s="10">
        <v>636</v>
      </c>
      <c r="C1375" s="10" t="s">
        <v>323</v>
      </c>
      <c r="D1375" t="s">
        <v>1332</v>
      </c>
      <c r="E1375" t="s">
        <v>1333</v>
      </c>
      <c r="F1375" s="10" t="s">
        <v>19</v>
      </c>
      <c r="G1375" s="2">
        <v>421.26440000000002</v>
      </c>
      <c r="H1375" s="13">
        <v>5</v>
      </c>
      <c r="I1375" s="13">
        <v>4</v>
      </c>
      <c r="J1375" s="13">
        <v>-4</v>
      </c>
      <c r="K1375" s="10">
        <v>5</v>
      </c>
      <c r="L1375" s="2">
        <v>2106.3220000000001</v>
      </c>
      <c r="M1375" s="1">
        <v>46127.468055555553</v>
      </c>
      <c r="N1375" t="s">
        <v>1224</v>
      </c>
    </row>
    <row r="1376" spans="1:14" x14ac:dyDescent="0.25">
      <c r="A1376" s="9" t="s">
        <v>5211</v>
      </c>
      <c r="B1376" s="10">
        <v>636</v>
      </c>
      <c r="C1376" s="10" t="s">
        <v>323</v>
      </c>
      <c r="D1376" t="s">
        <v>4326</v>
      </c>
      <c r="E1376" t="s">
        <v>4327</v>
      </c>
      <c r="F1376" s="10" t="s">
        <v>158</v>
      </c>
      <c r="G1376" s="2">
        <v>340.83019999999999</v>
      </c>
      <c r="H1376" s="13">
        <v>5</v>
      </c>
      <c r="I1376" s="13">
        <v>9</v>
      </c>
      <c r="J1376" s="13">
        <v>-9</v>
      </c>
      <c r="K1376" s="10">
        <v>5</v>
      </c>
      <c r="L1376" s="2">
        <v>1704.1510000000001</v>
      </c>
      <c r="M1376" s="1">
        <v>46127.468055555553</v>
      </c>
      <c r="N1376" t="s">
        <v>1224</v>
      </c>
    </row>
    <row r="1377" spans="1:14" x14ac:dyDescent="0.25">
      <c r="A1377" s="9" t="s">
        <v>5211</v>
      </c>
      <c r="B1377" s="10">
        <v>714</v>
      </c>
      <c r="C1377" s="10" t="s">
        <v>323</v>
      </c>
      <c r="D1377" t="s">
        <v>2924</v>
      </c>
      <c r="E1377" t="s">
        <v>2925</v>
      </c>
      <c r="F1377" s="10" t="s">
        <v>29</v>
      </c>
      <c r="G1377" s="2">
        <v>187.67240000000001</v>
      </c>
      <c r="H1377" s="13">
        <v>5</v>
      </c>
      <c r="I1377" s="13">
        <v>0</v>
      </c>
      <c r="J1377" s="13">
        <v>0</v>
      </c>
      <c r="K1377" s="10">
        <v>5</v>
      </c>
      <c r="L1377" s="2">
        <v>938.36199999999997</v>
      </c>
      <c r="M1377" s="1">
        <v>46127.478472222225</v>
      </c>
      <c r="N1377" t="s">
        <v>1224</v>
      </c>
    </row>
    <row r="1378" spans="1:14" x14ac:dyDescent="0.25">
      <c r="A1378" s="9" t="s">
        <v>5211</v>
      </c>
      <c r="B1378" s="10">
        <v>718</v>
      </c>
      <c r="C1378" s="10" t="s">
        <v>143</v>
      </c>
      <c r="D1378" t="s">
        <v>234</v>
      </c>
      <c r="E1378" t="s">
        <v>235</v>
      </c>
      <c r="F1378" s="10" t="s">
        <v>19</v>
      </c>
      <c r="G1378" s="2">
        <v>261.06529999999998</v>
      </c>
      <c r="H1378" s="13">
        <v>5</v>
      </c>
      <c r="I1378" s="13">
        <v>0</v>
      </c>
      <c r="J1378" s="13">
        <v>0</v>
      </c>
      <c r="K1378" s="10">
        <v>5</v>
      </c>
      <c r="L1378" s="2">
        <v>1305.3264999999999</v>
      </c>
      <c r="M1378" s="1">
        <v>46127.539583333331</v>
      </c>
      <c r="N1378" t="s">
        <v>3769</v>
      </c>
    </row>
    <row r="1379" spans="1:14" x14ac:dyDescent="0.25">
      <c r="A1379" s="9" t="s">
        <v>5211</v>
      </c>
      <c r="B1379" s="10">
        <v>636</v>
      </c>
      <c r="C1379" s="10" t="s">
        <v>143</v>
      </c>
      <c r="D1379" t="s">
        <v>4571</v>
      </c>
      <c r="E1379" t="s">
        <v>4572</v>
      </c>
      <c r="F1379" s="10" t="s">
        <v>23</v>
      </c>
      <c r="G1379" s="2">
        <v>31.132899999999999</v>
      </c>
      <c r="H1379" s="13">
        <v>5</v>
      </c>
      <c r="I1379" s="13">
        <v>60</v>
      </c>
      <c r="J1379" s="13">
        <v>-60</v>
      </c>
      <c r="K1379" s="10">
        <v>5</v>
      </c>
      <c r="L1379" s="2">
        <v>155.6645</v>
      </c>
      <c r="M1379" s="1">
        <v>46128.305555555555</v>
      </c>
      <c r="N1379" t="s">
        <v>903</v>
      </c>
    </row>
    <row r="1380" spans="1:14" x14ac:dyDescent="0.25">
      <c r="A1380" s="9" t="s">
        <v>5211</v>
      </c>
      <c r="B1380" s="10">
        <v>636</v>
      </c>
      <c r="C1380" s="10" t="s">
        <v>323</v>
      </c>
      <c r="D1380" t="s">
        <v>1741</v>
      </c>
      <c r="E1380" t="s">
        <v>1742</v>
      </c>
      <c r="F1380" s="10" t="s">
        <v>29</v>
      </c>
      <c r="G1380" s="2">
        <v>344.6438</v>
      </c>
      <c r="H1380" s="13">
        <v>5</v>
      </c>
      <c r="I1380" s="13">
        <v>0</v>
      </c>
      <c r="J1380" s="13">
        <v>0</v>
      </c>
      <c r="K1380" s="10">
        <v>5</v>
      </c>
      <c r="L1380" s="2">
        <v>1723.2190000000001</v>
      </c>
      <c r="M1380" s="1">
        <v>46128.310416666667</v>
      </c>
      <c r="N1380" t="s">
        <v>178</v>
      </c>
    </row>
    <row r="1381" spans="1:14" x14ac:dyDescent="0.25">
      <c r="A1381" s="9" t="s">
        <v>5211</v>
      </c>
      <c r="B1381" s="10">
        <v>714</v>
      </c>
      <c r="C1381" s="10" t="s">
        <v>323</v>
      </c>
      <c r="D1381" t="s">
        <v>2836</v>
      </c>
      <c r="E1381" t="s">
        <v>2837</v>
      </c>
      <c r="F1381" s="10" t="s">
        <v>29</v>
      </c>
      <c r="G1381" s="2">
        <v>101.5724</v>
      </c>
      <c r="H1381" s="13">
        <v>5</v>
      </c>
      <c r="I1381" s="13">
        <v>0</v>
      </c>
      <c r="J1381" s="13">
        <v>0</v>
      </c>
      <c r="K1381" s="10">
        <v>5</v>
      </c>
      <c r="L1381" s="2">
        <v>507.86200000000002</v>
      </c>
      <c r="M1381" s="1">
        <v>46132.597222222219</v>
      </c>
      <c r="N1381" t="s">
        <v>40</v>
      </c>
    </row>
    <row r="1382" spans="1:14" x14ac:dyDescent="0.25">
      <c r="A1382" s="9" t="s">
        <v>5211</v>
      </c>
      <c r="B1382" s="10">
        <v>634</v>
      </c>
      <c r="C1382" s="10" t="s">
        <v>323</v>
      </c>
      <c r="D1382" t="s">
        <v>458</v>
      </c>
      <c r="E1382" t="s">
        <v>459</v>
      </c>
      <c r="F1382" s="10" t="s">
        <v>29</v>
      </c>
      <c r="G1382" s="2">
        <v>432.77390000000003</v>
      </c>
      <c r="H1382" s="13">
        <v>5</v>
      </c>
      <c r="I1382" s="13">
        <v>0</v>
      </c>
      <c r="J1382" s="13">
        <v>0</v>
      </c>
      <c r="K1382" s="10">
        <v>5</v>
      </c>
      <c r="L1382" s="2">
        <v>2163.8694999999998</v>
      </c>
      <c r="M1382" s="1">
        <v>46132.624305555553</v>
      </c>
      <c r="N1382" t="s">
        <v>357</v>
      </c>
    </row>
    <row r="1383" spans="1:14" x14ac:dyDescent="0.25">
      <c r="A1383" s="9" t="s">
        <v>5211</v>
      </c>
      <c r="B1383" s="10">
        <v>634</v>
      </c>
      <c r="C1383" s="10" t="s">
        <v>323</v>
      </c>
      <c r="D1383" t="s">
        <v>470</v>
      </c>
      <c r="E1383" t="s">
        <v>471</v>
      </c>
      <c r="F1383" s="10" t="s">
        <v>455</v>
      </c>
      <c r="G1383" s="2">
        <v>159</v>
      </c>
      <c r="H1383" s="13">
        <v>5</v>
      </c>
      <c r="I1383" s="13">
        <v>0</v>
      </c>
      <c r="J1383" s="13">
        <v>0</v>
      </c>
      <c r="K1383" s="10">
        <v>5</v>
      </c>
      <c r="L1383" s="2">
        <v>795</v>
      </c>
      <c r="M1383" s="1">
        <v>46132.625694444447</v>
      </c>
      <c r="N1383" t="s">
        <v>354</v>
      </c>
    </row>
    <row r="1384" spans="1:14" x14ac:dyDescent="0.25">
      <c r="A1384" s="9" t="s">
        <v>5211</v>
      </c>
      <c r="B1384" s="10">
        <v>634</v>
      </c>
      <c r="C1384" s="10" t="s">
        <v>323</v>
      </c>
      <c r="D1384" t="s">
        <v>328</v>
      </c>
      <c r="E1384" t="s">
        <v>329</v>
      </c>
      <c r="F1384" s="10" t="s">
        <v>19</v>
      </c>
      <c r="G1384" s="2">
        <v>130.42089999999999</v>
      </c>
      <c r="H1384" s="13">
        <v>5</v>
      </c>
      <c r="I1384" s="13">
        <v>-3</v>
      </c>
      <c r="J1384" s="13">
        <v>3</v>
      </c>
      <c r="K1384" s="10">
        <v>5</v>
      </c>
      <c r="L1384" s="2">
        <v>652.10450000000003</v>
      </c>
      <c r="M1384" s="1">
        <v>46134.371527777781</v>
      </c>
      <c r="N1384" t="s">
        <v>330</v>
      </c>
    </row>
    <row r="1385" spans="1:14" x14ac:dyDescent="0.25">
      <c r="A1385" s="9" t="s">
        <v>5211</v>
      </c>
      <c r="B1385" s="10">
        <v>718</v>
      </c>
      <c r="C1385" s="10" t="s">
        <v>323</v>
      </c>
      <c r="D1385" t="s">
        <v>3927</v>
      </c>
      <c r="E1385" t="s">
        <v>3928</v>
      </c>
      <c r="F1385" s="10" t="s">
        <v>23</v>
      </c>
      <c r="G1385" s="2">
        <v>222.12039999999999</v>
      </c>
      <c r="H1385" s="13">
        <v>5</v>
      </c>
      <c r="I1385" s="13">
        <v>0</v>
      </c>
      <c r="J1385" s="13">
        <v>0</v>
      </c>
      <c r="K1385" s="10">
        <v>5</v>
      </c>
      <c r="L1385" s="2">
        <v>1110.6020000000001</v>
      </c>
      <c r="M1385" s="1">
        <v>46134.417361111111</v>
      </c>
      <c r="N1385" t="s">
        <v>3024</v>
      </c>
    </row>
    <row r="1386" spans="1:14" x14ac:dyDescent="0.25">
      <c r="A1386" s="9" t="s">
        <v>5211</v>
      </c>
      <c r="B1386" s="10">
        <v>718</v>
      </c>
      <c r="C1386" s="10" t="s">
        <v>143</v>
      </c>
      <c r="D1386" t="s">
        <v>3778</v>
      </c>
      <c r="E1386" t="s">
        <v>3779</v>
      </c>
      <c r="F1386" s="10" t="s">
        <v>29</v>
      </c>
      <c r="G1386" s="2">
        <v>237.17349999999999</v>
      </c>
      <c r="H1386" s="13">
        <v>5</v>
      </c>
      <c r="I1386" s="13">
        <v>0</v>
      </c>
      <c r="J1386" s="13">
        <v>0</v>
      </c>
      <c r="K1386" s="10">
        <v>5</v>
      </c>
      <c r="L1386" s="2">
        <v>1185.8675000000001</v>
      </c>
      <c r="M1386" s="1">
        <v>46134.54791666667</v>
      </c>
      <c r="N1386" t="s">
        <v>2423</v>
      </c>
    </row>
    <row r="1387" spans="1:14" x14ac:dyDescent="0.25">
      <c r="A1387" s="9" t="s">
        <v>5211</v>
      </c>
      <c r="B1387" s="10">
        <v>636</v>
      </c>
      <c r="C1387" s="10" t="s">
        <v>323</v>
      </c>
      <c r="D1387" t="s">
        <v>1394</v>
      </c>
      <c r="E1387" t="s">
        <v>1395</v>
      </c>
      <c r="F1387" s="10" t="s">
        <v>19</v>
      </c>
      <c r="G1387" s="2">
        <v>125.8999</v>
      </c>
      <c r="H1387" s="13">
        <v>5</v>
      </c>
      <c r="I1387" s="13">
        <v>0</v>
      </c>
      <c r="J1387" s="13">
        <v>0</v>
      </c>
      <c r="K1387" s="10">
        <v>5</v>
      </c>
      <c r="L1387" s="2">
        <v>629.49950000000001</v>
      </c>
      <c r="M1387" s="1">
        <v>46136.45208333333</v>
      </c>
      <c r="N1387" t="s">
        <v>216</v>
      </c>
    </row>
    <row r="1388" spans="1:14" x14ac:dyDescent="0.25">
      <c r="A1388" s="9" t="s">
        <v>5211</v>
      </c>
      <c r="B1388" s="10">
        <v>714</v>
      </c>
      <c r="C1388" s="10" t="s">
        <v>323</v>
      </c>
      <c r="D1388" t="s">
        <v>3253</v>
      </c>
      <c r="E1388" t="s">
        <v>3254</v>
      </c>
      <c r="F1388" s="10" t="s">
        <v>19</v>
      </c>
      <c r="G1388" s="2">
        <v>100.1382</v>
      </c>
      <c r="H1388" s="13">
        <v>5</v>
      </c>
      <c r="I1388" s="13">
        <v>0</v>
      </c>
      <c r="J1388" s="13">
        <v>0</v>
      </c>
      <c r="K1388" s="10">
        <v>5</v>
      </c>
      <c r="L1388" s="2">
        <v>500.69099999999997</v>
      </c>
      <c r="M1388" s="1">
        <v>46136.695833333331</v>
      </c>
      <c r="N1388" t="s">
        <v>216</v>
      </c>
    </row>
    <row r="1389" spans="1:14" x14ac:dyDescent="0.25">
      <c r="A1389" s="9" t="s">
        <v>5211</v>
      </c>
      <c r="B1389" s="10">
        <v>714</v>
      </c>
      <c r="C1389" s="10" t="s">
        <v>143</v>
      </c>
      <c r="D1389" t="s">
        <v>2539</v>
      </c>
      <c r="E1389" t="s">
        <v>2540</v>
      </c>
      <c r="F1389" s="10" t="s">
        <v>29</v>
      </c>
      <c r="G1389" s="2">
        <v>110.79510000000001</v>
      </c>
      <c r="H1389" s="13">
        <v>5</v>
      </c>
      <c r="I1389" s="13">
        <v>0</v>
      </c>
      <c r="J1389" s="13">
        <v>0</v>
      </c>
      <c r="K1389" s="10">
        <v>5</v>
      </c>
      <c r="L1389" s="2">
        <v>553.97550000000001</v>
      </c>
      <c r="M1389" s="1">
        <v>46137.60833333333</v>
      </c>
      <c r="N1389" t="s">
        <v>2379</v>
      </c>
    </row>
    <row r="1390" spans="1:14" x14ac:dyDescent="0.25">
      <c r="A1390" s="9" t="s">
        <v>5211</v>
      </c>
      <c r="B1390" s="10">
        <v>636</v>
      </c>
      <c r="C1390" s="10" t="s">
        <v>143</v>
      </c>
      <c r="D1390" t="s">
        <v>891</v>
      </c>
      <c r="E1390" t="s">
        <v>892</v>
      </c>
      <c r="F1390" s="10" t="s">
        <v>29</v>
      </c>
      <c r="G1390" s="2">
        <v>72.748699999999999</v>
      </c>
      <c r="H1390" s="13">
        <v>5</v>
      </c>
      <c r="I1390" s="13">
        <v>0</v>
      </c>
      <c r="J1390" s="13">
        <v>0</v>
      </c>
      <c r="K1390" s="10">
        <v>5</v>
      </c>
      <c r="L1390" s="2">
        <v>363.74349999999998</v>
      </c>
      <c r="M1390" s="1">
        <v>46140.29583333333</v>
      </c>
      <c r="N1390" t="s">
        <v>501</v>
      </c>
    </row>
    <row r="1391" spans="1:14" x14ac:dyDescent="0.25">
      <c r="A1391" s="9" t="s">
        <v>5211</v>
      </c>
      <c r="B1391" s="10">
        <v>718</v>
      </c>
      <c r="C1391" s="10" t="s">
        <v>143</v>
      </c>
      <c r="D1391" t="s">
        <v>2638</v>
      </c>
      <c r="E1391" t="s">
        <v>2639</v>
      </c>
      <c r="F1391" s="10" t="s">
        <v>29</v>
      </c>
      <c r="G1391" s="2">
        <v>40.9709</v>
      </c>
      <c r="H1391" s="13">
        <v>5</v>
      </c>
      <c r="I1391" s="13">
        <v>0</v>
      </c>
      <c r="J1391" s="13">
        <v>0</v>
      </c>
      <c r="K1391" s="10">
        <v>5</v>
      </c>
      <c r="L1391" s="2">
        <v>204.8545</v>
      </c>
      <c r="M1391" s="1">
        <v>46140.671527777777</v>
      </c>
      <c r="N1391" t="s">
        <v>36</v>
      </c>
    </row>
    <row r="1392" spans="1:14" x14ac:dyDescent="0.25">
      <c r="A1392" s="9" t="s">
        <v>5211</v>
      </c>
      <c r="B1392" s="10">
        <v>714</v>
      </c>
      <c r="C1392" s="10" t="s">
        <v>12</v>
      </c>
      <c r="D1392" t="s">
        <v>1844</v>
      </c>
      <c r="E1392" t="s">
        <v>1845</v>
      </c>
      <c r="F1392" s="10" t="s">
        <v>29</v>
      </c>
      <c r="G1392" s="2">
        <v>45.209099999999999</v>
      </c>
      <c r="H1392" s="13">
        <v>5</v>
      </c>
      <c r="I1392" s="13">
        <v>0</v>
      </c>
      <c r="J1392" s="13">
        <v>0</v>
      </c>
      <c r="K1392" s="10">
        <v>5</v>
      </c>
      <c r="L1392" s="2">
        <v>226.0455</v>
      </c>
      <c r="M1392" s="1">
        <v>46143.318749999999</v>
      </c>
      <c r="N1392" t="s">
        <v>36</v>
      </c>
    </row>
    <row r="1393" spans="1:14" x14ac:dyDescent="0.25">
      <c r="A1393" s="9" t="s">
        <v>5211</v>
      </c>
      <c r="B1393" s="10">
        <v>634</v>
      </c>
      <c r="C1393" s="10" t="s">
        <v>126</v>
      </c>
      <c r="D1393" t="s">
        <v>138</v>
      </c>
      <c r="E1393" t="s">
        <v>139</v>
      </c>
      <c r="F1393" s="10" t="s">
        <v>29</v>
      </c>
      <c r="G1393" s="2">
        <v>15.3476</v>
      </c>
      <c r="H1393" s="13">
        <v>5</v>
      </c>
      <c r="I1393" s="13">
        <v>0</v>
      </c>
      <c r="J1393" s="13">
        <v>0</v>
      </c>
      <c r="K1393" s="10">
        <v>5</v>
      </c>
      <c r="L1393" s="2">
        <v>76.738</v>
      </c>
      <c r="M1393" s="1">
        <v>46143.52847222222</v>
      </c>
      <c r="N1393" t="s">
        <v>140</v>
      </c>
    </row>
    <row r="1394" spans="1:14" x14ac:dyDescent="0.25">
      <c r="A1394" s="9" t="s">
        <v>5211</v>
      </c>
      <c r="B1394" s="10">
        <v>714</v>
      </c>
      <c r="C1394" s="10" t="s">
        <v>70</v>
      </c>
      <c r="D1394" t="s">
        <v>2176</v>
      </c>
      <c r="E1394" t="s">
        <v>2177</v>
      </c>
      <c r="F1394" s="10" t="s">
        <v>29</v>
      </c>
      <c r="G1394" s="2">
        <v>8.0258000000000003</v>
      </c>
      <c r="H1394" s="13">
        <v>5</v>
      </c>
      <c r="I1394" s="13">
        <v>0</v>
      </c>
      <c r="J1394" s="13">
        <v>0</v>
      </c>
      <c r="K1394" s="10">
        <v>5</v>
      </c>
      <c r="L1394" s="2">
        <v>40.128999999999998</v>
      </c>
      <c r="M1394" s="1">
        <v>46144.325694444444</v>
      </c>
      <c r="N1394" t="s">
        <v>40</v>
      </c>
    </row>
    <row r="1395" spans="1:14" x14ac:dyDescent="0.25">
      <c r="A1395" s="9" t="s">
        <v>5211</v>
      </c>
      <c r="B1395" s="10">
        <v>714</v>
      </c>
      <c r="C1395" s="10" t="s">
        <v>323</v>
      </c>
      <c r="D1395" t="s">
        <v>3010</v>
      </c>
      <c r="E1395" t="s">
        <v>3011</v>
      </c>
      <c r="F1395" s="10" t="s">
        <v>29</v>
      </c>
      <c r="G1395" s="2">
        <v>301.54289999999997</v>
      </c>
      <c r="H1395" s="13">
        <v>5</v>
      </c>
      <c r="I1395" s="13">
        <v>0</v>
      </c>
      <c r="J1395" s="13">
        <v>0</v>
      </c>
      <c r="K1395" s="10">
        <v>5</v>
      </c>
      <c r="L1395" s="2">
        <v>1507.7145</v>
      </c>
      <c r="M1395" s="1">
        <v>46144.581944444442</v>
      </c>
      <c r="N1395" t="s">
        <v>2379</v>
      </c>
    </row>
    <row r="1396" spans="1:14" x14ac:dyDescent="0.25">
      <c r="A1396" s="9" t="s">
        <v>5211</v>
      </c>
      <c r="B1396" s="10">
        <v>714</v>
      </c>
      <c r="C1396" s="10" t="s">
        <v>323</v>
      </c>
      <c r="D1396" t="s">
        <v>4341</v>
      </c>
      <c r="E1396" t="s">
        <v>4342</v>
      </c>
      <c r="F1396" s="10" t="s">
        <v>158</v>
      </c>
      <c r="G1396" s="2">
        <v>186.8569</v>
      </c>
      <c r="H1396" s="13">
        <v>5</v>
      </c>
      <c r="I1396" s="13">
        <v>35</v>
      </c>
      <c r="J1396" s="13">
        <v>-35</v>
      </c>
      <c r="K1396" s="10">
        <v>5</v>
      </c>
      <c r="L1396" s="2">
        <v>934.28449999999998</v>
      </c>
      <c r="M1396" s="1">
        <v>46146.441666666666</v>
      </c>
      <c r="N1396" t="s">
        <v>1500</v>
      </c>
    </row>
    <row r="1397" spans="1:14" x14ac:dyDescent="0.25">
      <c r="A1397" s="9" t="s">
        <v>5211</v>
      </c>
      <c r="B1397" s="10">
        <v>718</v>
      </c>
      <c r="C1397" s="10" t="s">
        <v>143</v>
      </c>
      <c r="D1397" t="s">
        <v>187</v>
      </c>
      <c r="E1397" t="s">
        <v>188</v>
      </c>
      <c r="F1397" s="10" t="s">
        <v>19</v>
      </c>
      <c r="G1397" s="2">
        <v>154.25960000000001</v>
      </c>
      <c r="H1397" s="13">
        <v>5</v>
      </c>
      <c r="I1397" s="13">
        <v>0</v>
      </c>
      <c r="J1397" s="13">
        <v>0</v>
      </c>
      <c r="K1397" s="10">
        <v>5</v>
      </c>
      <c r="L1397" s="2">
        <v>771.298</v>
      </c>
      <c r="M1397" s="1">
        <v>46147.675694444442</v>
      </c>
      <c r="N1397" t="s">
        <v>1535</v>
      </c>
    </row>
    <row r="1398" spans="1:14" x14ac:dyDescent="0.25">
      <c r="A1398" s="9" t="s">
        <v>5211</v>
      </c>
      <c r="B1398" s="10">
        <v>718</v>
      </c>
      <c r="C1398" s="10" t="s">
        <v>143</v>
      </c>
      <c r="D1398" t="s">
        <v>3711</v>
      </c>
      <c r="E1398" t="s">
        <v>3712</v>
      </c>
      <c r="F1398" s="10" t="s">
        <v>29</v>
      </c>
      <c r="G1398" s="2">
        <v>26.450900000000001</v>
      </c>
      <c r="H1398" s="13">
        <v>5</v>
      </c>
      <c r="I1398" s="13">
        <v>0</v>
      </c>
      <c r="J1398" s="13">
        <v>0</v>
      </c>
      <c r="K1398" s="10">
        <v>5</v>
      </c>
      <c r="L1398" s="2">
        <v>132.25450000000001</v>
      </c>
      <c r="M1398" s="1">
        <v>46147.688194444447</v>
      </c>
      <c r="N1398" t="s">
        <v>2066</v>
      </c>
    </row>
    <row r="1399" spans="1:14" x14ac:dyDescent="0.25">
      <c r="A1399" s="9" t="s">
        <v>5211</v>
      </c>
      <c r="B1399" s="10">
        <v>714</v>
      </c>
      <c r="C1399" s="10" t="s">
        <v>323</v>
      </c>
      <c r="D1399" t="s">
        <v>3294</v>
      </c>
      <c r="E1399" t="s">
        <v>3295</v>
      </c>
      <c r="F1399" s="10" t="s">
        <v>29</v>
      </c>
      <c r="G1399" s="2">
        <v>166.4898</v>
      </c>
      <c r="H1399" s="13">
        <v>5</v>
      </c>
      <c r="I1399" s="13">
        <v>0</v>
      </c>
      <c r="J1399" s="13">
        <v>0</v>
      </c>
      <c r="K1399" s="10">
        <v>5</v>
      </c>
      <c r="L1399" s="2">
        <v>832.44899999999996</v>
      </c>
      <c r="M1399" s="1">
        <v>46148.463888888888</v>
      </c>
      <c r="N1399" t="s">
        <v>137</v>
      </c>
    </row>
    <row r="1400" spans="1:14" x14ac:dyDescent="0.25">
      <c r="A1400" s="9" t="s">
        <v>5211</v>
      </c>
      <c r="B1400" s="10">
        <v>714</v>
      </c>
      <c r="C1400" s="10" t="s">
        <v>143</v>
      </c>
      <c r="D1400" t="s">
        <v>2691</v>
      </c>
      <c r="E1400" t="s">
        <v>2692</v>
      </c>
      <c r="F1400" s="10" t="s">
        <v>23</v>
      </c>
      <c r="G1400" s="2">
        <v>191.4836</v>
      </c>
      <c r="H1400" s="13">
        <v>5</v>
      </c>
      <c r="I1400" s="13">
        <v>2</v>
      </c>
      <c r="J1400" s="13">
        <v>-2</v>
      </c>
      <c r="K1400" s="10">
        <v>5</v>
      </c>
      <c r="L1400" s="2">
        <v>957.41800000000001</v>
      </c>
      <c r="M1400" s="1">
        <v>46149.429861111108</v>
      </c>
      <c r="N1400" t="s">
        <v>1062</v>
      </c>
    </row>
    <row r="1401" spans="1:14" x14ac:dyDescent="0.25">
      <c r="A1401" s="9" t="s">
        <v>5211</v>
      </c>
      <c r="B1401" s="10">
        <v>636</v>
      </c>
      <c r="C1401" s="10" t="s">
        <v>70</v>
      </c>
      <c r="D1401" t="s">
        <v>783</v>
      </c>
      <c r="E1401" t="s">
        <v>784</v>
      </c>
      <c r="F1401" s="10" t="s">
        <v>29</v>
      </c>
      <c r="G1401" s="2">
        <v>44.7682</v>
      </c>
      <c r="H1401" s="13">
        <v>5</v>
      </c>
      <c r="I1401" s="13">
        <v>0</v>
      </c>
      <c r="J1401" s="13">
        <v>0</v>
      </c>
      <c r="K1401" s="10">
        <v>5</v>
      </c>
      <c r="L1401" s="2">
        <v>223.84100000000001</v>
      </c>
      <c r="M1401" s="1">
        <v>46149.512499999997</v>
      </c>
      <c r="N1401" t="s">
        <v>195</v>
      </c>
    </row>
    <row r="1402" spans="1:14" x14ac:dyDescent="0.25">
      <c r="A1402" s="9" t="s">
        <v>5211</v>
      </c>
      <c r="B1402" s="10">
        <v>718</v>
      </c>
      <c r="C1402" s="10" t="s">
        <v>12</v>
      </c>
      <c r="D1402" t="s">
        <v>3578</v>
      </c>
      <c r="E1402" t="s">
        <v>3579</v>
      </c>
      <c r="F1402" s="10" t="s">
        <v>29</v>
      </c>
      <c r="G1402" s="2">
        <v>45.866700000000002</v>
      </c>
      <c r="H1402" s="13">
        <v>5</v>
      </c>
      <c r="I1402" s="13">
        <v>0</v>
      </c>
      <c r="J1402" s="13">
        <v>0</v>
      </c>
      <c r="K1402" s="10">
        <v>5</v>
      </c>
      <c r="L1402" s="2">
        <v>229.33349999999999</v>
      </c>
      <c r="M1402" s="1">
        <v>46149.54791666667</v>
      </c>
      <c r="N1402" t="s">
        <v>1062</v>
      </c>
    </row>
    <row r="1403" spans="1:14" x14ac:dyDescent="0.25">
      <c r="A1403" s="9" t="s">
        <v>5211</v>
      </c>
      <c r="B1403" s="10">
        <v>714</v>
      </c>
      <c r="C1403" s="10" t="s">
        <v>323</v>
      </c>
      <c r="D1403" t="s">
        <v>5099</v>
      </c>
      <c r="E1403" t="s">
        <v>5100</v>
      </c>
      <c r="F1403" s="10" t="s">
        <v>158</v>
      </c>
      <c r="G1403" s="2">
        <v>85.680899999999994</v>
      </c>
      <c r="H1403" s="13">
        <v>5</v>
      </c>
      <c r="I1403" s="13">
        <v>11</v>
      </c>
      <c r="J1403" s="13">
        <v>-11</v>
      </c>
      <c r="K1403" s="10">
        <v>5</v>
      </c>
      <c r="L1403" s="2">
        <v>428.40449999999998</v>
      </c>
      <c r="M1403" s="1">
        <v>46151.382638888892</v>
      </c>
      <c r="N1403" t="s">
        <v>2225</v>
      </c>
    </row>
    <row r="1404" spans="1:14" x14ac:dyDescent="0.25">
      <c r="A1404" s="9" t="s">
        <v>5211</v>
      </c>
      <c r="B1404" s="10">
        <v>714</v>
      </c>
      <c r="C1404" s="10" t="s">
        <v>143</v>
      </c>
      <c r="D1404" t="s">
        <v>4849</v>
      </c>
      <c r="E1404" t="s">
        <v>4850</v>
      </c>
      <c r="F1404" s="10" t="s">
        <v>158</v>
      </c>
      <c r="G1404" s="2">
        <v>175.9256</v>
      </c>
      <c r="H1404" s="13">
        <v>5</v>
      </c>
      <c r="I1404" s="13">
        <v>3</v>
      </c>
      <c r="J1404" s="13">
        <v>-3</v>
      </c>
      <c r="K1404" s="10">
        <v>5</v>
      </c>
      <c r="L1404" s="2">
        <v>879.62800000000004</v>
      </c>
      <c r="M1404" s="1">
        <v>46154.45416666667</v>
      </c>
      <c r="N1404" t="s">
        <v>2066</v>
      </c>
    </row>
    <row r="1405" spans="1:14" x14ac:dyDescent="0.25">
      <c r="A1405" s="9" t="s">
        <v>5211</v>
      </c>
      <c r="B1405" s="10">
        <v>634</v>
      </c>
      <c r="C1405" s="10" t="s">
        <v>323</v>
      </c>
      <c r="D1405" t="s">
        <v>392</v>
      </c>
      <c r="E1405" t="s">
        <v>393</v>
      </c>
      <c r="F1405" s="10" t="s">
        <v>29</v>
      </c>
      <c r="G1405" s="2">
        <v>231.19749999999999</v>
      </c>
      <c r="H1405" s="13">
        <v>5</v>
      </c>
      <c r="I1405" s="13">
        <v>0</v>
      </c>
      <c r="J1405" s="13">
        <v>0</v>
      </c>
      <c r="K1405" s="10">
        <v>5</v>
      </c>
      <c r="L1405" s="2">
        <v>1155.9875</v>
      </c>
      <c r="M1405" s="1">
        <v>46154.572222222225</v>
      </c>
      <c r="N1405" t="s">
        <v>137</v>
      </c>
    </row>
    <row r="1406" spans="1:14" x14ac:dyDescent="0.25">
      <c r="A1406" s="9" t="s">
        <v>5211</v>
      </c>
      <c r="B1406" s="10">
        <v>636</v>
      </c>
      <c r="C1406" s="10" t="s">
        <v>143</v>
      </c>
      <c r="D1406" t="s">
        <v>4248</v>
      </c>
      <c r="E1406" t="s">
        <v>4249</v>
      </c>
      <c r="F1406" s="10" t="s">
        <v>23</v>
      </c>
      <c r="G1406" s="2">
        <v>47.473399999999998</v>
      </c>
      <c r="H1406" s="13">
        <v>5</v>
      </c>
      <c r="I1406" s="13">
        <v>12</v>
      </c>
      <c r="J1406" s="13">
        <v>-12</v>
      </c>
      <c r="K1406" s="10">
        <v>5</v>
      </c>
      <c r="L1406" s="2">
        <v>237.36699999999999</v>
      </c>
      <c r="M1406" s="1">
        <v>46156.302083333336</v>
      </c>
      <c r="N1406" t="s">
        <v>310</v>
      </c>
    </row>
    <row r="1407" spans="1:14" x14ac:dyDescent="0.25">
      <c r="A1407" s="9" t="s">
        <v>5211</v>
      </c>
      <c r="B1407" s="10">
        <v>718</v>
      </c>
      <c r="C1407" s="10" t="s">
        <v>323</v>
      </c>
      <c r="D1407" t="s">
        <v>3913</v>
      </c>
      <c r="E1407" t="s">
        <v>3914</v>
      </c>
      <c r="F1407" s="10" t="s">
        <v>15</v>
      </c>
      <c r="G1407" s="2">
        <v>50.569699999999997</v>
      </c>
      <c r="H1407" s="13">
        <v>5</v>
      </c>
      <c r="I1407" s="13">
        <v>0</v>
      </c>
      <c r="J1407" s="13">
        <v>0</v>
      </c>
      <c r="K1407" s="10">
        <v>5</v>
      </c>
      <c r="L1407" s="2">
        <v>252.8485</v>
      </c>
      <c r="M1407" s="1">
        <v>46156.663194444445</v>
      </c>
      <c r="N1407" t="s">
        <v>67</v>
      </c>
    </row>
    <row r="1408" spans="1:14" x14ac:dyDescent="0.25">
      <c r="A1408" s="9" t="s">
        <v>5211</v>
      </c>
      <c r="B1408" s="10">
        <v>636</v>
      </c>
      <c r="C1408" s="10" t="s">
        <v>143</v>
      </c>
      <c r="D1408" t="s">
        <v>4072</v>
      </c>
      <c r="E1408" t="s">
        <v>4073</v>
      </c>
      <c r="F1408" s="10" t="s">
        <v>39</v>
      </c>
      <c r="G1408" s="2">
        <v>28.747199999999999</v>
      </c>
      <c r="H1408" s="13">
        <v>5</v>
      </c>
      <c r="I1408" s="13">
        <v>2</v>
      </c>
      <c r="J1408" s="13">
        <v>-2</v>
      </c>
      <c r="K1408" s="10">
        <v>5</v>
      </c>
      <c r="L1408" s="2">
        <v>143.73599999999999</v>
      </c>
      <c r="M1408" s="1">
        <v>46157.430555555555</v>
      </c>
      <c r="N1408" t="s">
        <v>40</v>
      </c>
    </row>
    <row r="1409" spans="1:14" x14ac:dyDescent="0.25">
      <c r="A1409" s="9" t="s">
        <v>5211</v>
      </c>
      <c r="B1409" s="10">
        <v>636</v>
      </c>
      <c r="C1409" s="10" t="s">
        <v>323</v>
      </c>
      <c r="D1409" t="s">
        <v>1308</v>
      </c>
      <c r="E1409" t="s">
        <v>1309</v>
      </c>
      <c r="F1409" s="10" t="s">
        <v>29</v>
      </c>
      <c r="G1409" s="2">
        <v>441.08609999999999</v>
      </c>
      <c r="H1409" s="13">
        <v>5</v>
      </c>
      <c r="I1409" s="13">
        <v>0</v>
      </c>
      <c r="J1409" s="13">
        <v>0</v>
      </c>
      <c r="K1409" s="10">
        <v>5</v>
      </c>
      <c r="L1409" s="2">
        <v>2205.4304999999999</v>
      </c>
      <c r="M1409" s="1">
        <v>46157.602083333331</v>
      </c>
      <c r="N1409" t="s">
        <v>1224</v>
      </c>
    </row>
    <row r="1410" spans="1:14" x14ac:dyDescent="0.25">
      <c r="A1410" s="9" t="s">
        <v>5211</v>
      </c>
      <c r="B1410" s="10">
        <v>636</v>
      </c>
      <c r="C1410" s="10" t="s">
        <v>323</v>
      </c>
      <c r="D1410" t="s">
        <v>1691</v>
      </c>
      <c r="E1410" t="s">
        <v>1692</v>
      </c>
      <c r="F1410" s="10" t="s">
        <v>158</v>
      </c>
      <c r="G1410" s="2">
        <v>1393.4426000000001</v>
      </c>
      <c r="H1410" s="13">
        <v>5</v>
      </c>
      <c r="I1410" s="13">
        <v>3</v>
      </c>
      <c r="J1410" s="13">
        <v>-3</v>
      </c>
      <c r="K1410" s="10">
        <v>5</v>
      </c>
      <c r="L1410" s="2">
        <v>6967.2129999999997</v>
      </c>
      <c r="M1410" s="1">
        <v>46160.319444444445</v>
      </c>
      <c r="N1410" t="s">
        <v>1379</v>
      </c>
    </row>
    <row r="1411" spans="1:14" x14ac:dyDescent="0.25">
      <c r="A1411" s="9" t="s">
        <v>5211</v>
      </c>
      <c r="B1411" s="10">
        <v>714</v>
      </c>
      <c r="C1411" s="10" t="s">
        <v>323</v>
      </c>
      <c r="D1411" t="s">
        <v>2834</v>
      </c>
      <c r="E1411" t="s">
        <v>2835</v>
      </c>
      <c r="F1411" s="10" t="s">
        <v>29</v>
      </c>
      <c r="G1411" s="2">
        <v>131.85589999999999</v>
      </c>
      <c r="H1411" s="13">
        <v>5</v>
      </c>
      <c r="I1411" s="13">
        <v>0</v>
      </c>
      <c r="J1411" s="13">
        <v>0</v>
      </c>
      <c r="K1411" s="10">
        <v>5</v>
      </c>
      <c r="L1411" s="2">
        <v>659.27949999999998</v>
      </c>
      <c r="M1411" s="1">
        <v>46161.380555555559</v>
      </c>
      <c r="N1411" t="s">
        <v>151</v>
      </c>
    </row>
    <row r="1412" spans="1:14" x14ac:dyDescent="0.25">
      <c r="A1412" s="9" t="s">
        <v>5211</v>
      </c>
      <c r="B1412" s="10">
        <v>714</v>
      </c>
      <c r="C1412" s="10" t="s">
        <v>323</v>
      </c>
      <c r="D1412" t="s">
        <v>2881</v>
      </c>
      <c r="E1412" t="s">
        <v>2882</v>
      </c>
      <c r="F1412" s="10" t="s">
        <v>23</v>
      </c>
      <c r="G1412" s="2">
        <v>29.791699999999999</v>
      </c>
      <c r="H1412" s="13">
        <v>5</v>
      </c>
      <c r="I1412" s="13">
        <v>0</v>
      </c>
      <c r="J1412" s="13">
        <v>0</v>
      </c>
      <c r="K1412" s="10">
        <v>5</v>
      </c>
      <c r="L1412" s="2">
        <v>148.95849999999999</v>
      </c>
      <c r="M1412" s="1">
        <v>46163.347222222219</v>
      </c>
      <c r="N1412" t="s">
        <v>30</v>
      </c>
    </row>
    <row r="1413" spans="1:14" x14ac:dyDescent="0.25">
      <c r="A1413" s="9" t="s">
        <v>5211</v>
      </c>
      <c r="B1413" s="10">
        <v>718</v>
      </c>
      <c r="C1413" s="10" t="s">
        <v>323</v>
      </c>
      <c r="D1413" t="s">
        <v>442</v>
      </c>
      <c r="E1413" t="s">
        <v>443</v>
      </c>
      <c r="F1413" s="10" t="s">
        <v>29</v>
      </c>
      <c r="G1413" s="2">
        <v>610.23699999999997</v>
      </c>
      <c r="H1413" s="13">
        <v>5</v>
      </c>
      <c r="I1413" s="13">
        <v>0</v>
      </c>
      <c r="J1413" s="13">
        <v>0</v>
      </c>
      <c r="K1413" s="10">
        <v>5</v>
      </c>
      <c r="L1413" s="2">
        <v>3051.1849999999999</v>
      </c>
      <c r="M1413" s="1">
        <v>46163.499305555553</v>
      </c>
      <c r="N1413" t="s">
        <v>444</v>
      </c>
    </row>
    <row r="1414" spans="1:14" x14ac:dyDescent="0.25">
      <c r="A1414" s="9" t="s">
        <v>5211</v>
      </c>
      <c r="B1414" s="10">
        <v>636</v>
      </c>
      <c r="C1414" s="10" t="s">
        <v>70</v>
      </c>
      <c r="D1414" t="s">
        <v>4433</v>
      </c>
      <c r="E1414" t="s">
        <v>4434</v>
      </c>
      <c r="F1414" s="10" t="s">
        <v>39</v>
      </c>
      <c r="G1414" s="2">
        <v>7.6559999999999997</v>
      </c>
      <c r="H1414" s="13">
        <v>5</v>
      </c>
      <c r="I1414" s="13">
        <v>57</v>
      </c>
      <c r="J1414" s="13">
        <v>-57</v>
      </c>
      <c r="K1414" s="10">
        <v>5</v>
      </c>
      <c r="L1414" s="2">
        <v>38.28</v>
      </c>
      <c r="M1414" s="1">
        <v>46163.606249999997</v>
      </c>
      <c r="N1414" t="s">
        <v>26</v>
      </c>
    </row>
    <row r="1415" spans="1:14" x14ac:dyDescent="0.25">
      <c r="A1415" s="9" t="s">
        <v>5211</v>
      </c>
      <c r="B1415" s="10">
        <v>634</v>
      </c>
      <c r="C1415" s="10" t="s">
        <v>143</v>
      </c>
      <c r="D1415" t="s">
        <v>4116</v>
      </c>
      <c r="E1415" t="s">
        <v>4117</v>
      </c>
      <c r="F1415" s="10" t="s">
        <v>43</v>
      </c>
      <c r="G1415" s="2">
        <v>31.6188</v>
      </c>
      <c r="H1415" s="13">
        <v>5</v>
      </c>
      <c r="I1415" s="13">
        <v>205</v>
      </c>
      <c r="J1415" s="13">
        <v>-205</v>
      </c>
      <c r="K1415" s="10">
        <v>5</v>
      </c>
      <c r="L1415" s="2">
        <v>158.09399999999999</v>
      </c>
      <c r="M1415" s="1">
        <v>46164.45</v>
      </c>
      <c r="N1415" t="s">
        <v>562</v>
      </c>
    </row>
    <row r="1416" spans="1:14" x14ac:dyDescent="0.25">
      <c r="A1416" s="9" t="s">
        <v>5211</v>
      </c>
      <c r="B1416" s="10">
        <v>714</v>
      </c>
      <c r="C1416" s="10" t="s">
        <v>143</v>
      </c>
      <c r="D1416" t="s">
        <v>2699</v>
      </c>
      <c r="E1416" t="s">
        <v>2700</v>
      </c>
      <c r="F1416" s="10" t="s">
        <v>23</v>
      </c>
      <c r="G1416" s="2">
        <v>36.798099999999998</v>
      </c>
      <c r="H1416" s="13">
        <v>5</v>
      </c>
      <c r="I1416" s="13">
        <v>0</v>
      </c>
      <c r="J1416" s="13">
        <v>0</v>
      </c>
      <c r="K1416" s="10">
        <v>5</v>
      </c>
      <c r="L1416" s="2">
        <v>183.9905</v>
      </c>
      <c r="M1416" s="1">
        <v>46165.331944444442</v>
      </c>
      <c r="N1416" t="s">
        <v>1062</v>
      </c>
    </row>
    <row r="1417" spans="1:14" x14ac:dyDescent="0.25">
      <c r="A1417" s="9" t="s">
        <v>5211</v>
      </c>
      <c r="B1417" s="10">
        <v>636</v>
      </c>
      <c r="C1417" s="10" t="s">
        <v>323</v>
      </c>
      <c r="D1417" t="s">
        <v>1454</v>
      </c>
      <c r="E1417" t="s">
        <v>1455</v>
      </c>
      <c r="F1417" s="10" t="s">
        <v>29</v>
      </c>
      <c r="G1417" s="2">
        <v>197.40899999999999</v>
      </c>
      <c r="H1417" s="13">
        <v>5</v>
      </c>
      <c r="I1417" s="13">
        <v>0</v>
      </c>
      <c r="J1417" s="13">
        <v>0</v>
      </c>
      <c r="K1417" s="10">
        <v>5</v>
      </c>
      <c r="L1417" s="2">
        <v>987.04499999999996</v>
      </c>
      <c r="M1417" s="1">
        <v>46169.423611111109</v>
      </c>
      <c r="N1417" t="s">
        <v>890</v>
      </c>
    </row>
    <row r="1418" spans="1:14" x14ac:dyDescent="0.25">
      <c r="A1418" s="9" t="s">
        <v>5211</v>
      </c>
      <c r="B1418" s="10">
        <v>634</v>
      </c>
      <c r="C1418" s="10" t="s">
        <v>143</v>
      </c>
      <c r="D1418" t="s">
        <v>191</v>
      </c>
      <c r="E1418" t="s">
        <v>192</v>
      </c>
      <c r="F1418" s="10" t="s">
        <v>29</v>
      </c>
      <c r="G1418" s="2">
        <v>244.73679999999999</v>
      </c>
      <c r="H1418" s="13">
        <v>5</v>
      </c>
      <c r="I1418" s="13">
        <v>0</v>
      </c>
      <c r="J1418" s="13">
        <v>0</v>
      </c>
      <c r="K1418" s="10">
        <v>5</v>
      </c>
      <c r="L1418" s="2">
        <v>1223.684</v>
      </c>
      <c r="M1418" s="1">
        <v>46170.463194444441</v>
      </c>
      <c r="N1418" t="s">
        <v>61</v>
      </c>
    </row>
    <row r="1419" spans="1:14" x14ac:dyDescent="0.25">
      <c r="A1419" s="9" t="s">
        <v>5211</v>
      </c>
      <c r="B1419" s="10">
        <v>714</v>
      </c>
      <c r="C1419" s="10" t="s">
        <v>323</v>
      </c>
      <c r="D1419" t="s">
        <v>3157</v>
      </c>
      <c r="E1419" t="s">
        <v>3158</v>
      </c>
      <c r="F1419" s="10" t="s">
        <v>158</v>
      </c>
      <c r="G1419" s="2">
        <v>91.880099999999999</v>
      </c>
      <c r="H1419" s="13">
        <v>5</v>
      </c>
      <c r="I1419" s="13">
        <v>-2</v>
      </c>
      <c r="J1419" s="13">
        <v>2</v>
      </c>
      <c r="K1419" s="10">
        <v>5</v>
      </c>
      <c r="L1419" s="2">
        <v>459.40050000000002</v>
      </c>
      <c r="M1419" s="1">
        <v>46171.327777777777</v>
      </c>
      <c r="N1419" t="s">
        <v>1841</v>
      </c>
    </row>
    <row r="1420" spans="1:14" x14ac:dyDescent="0.25">
      <c r="A1420" s="9" t="s">
        <v>5211</v>
      </c>
      <c r="B1420" s="10">
        <v>714</v>
      </c>
      <c r="C1420" s="10" t="s">
        <v>143</v>
      </c>
      <c r="D1420" t="s">
        <v>2780</v>
      </c>
      <c r="E1420" t="s">
        <v>2781</v>
      </c>
      <c r="F1420" s="10" t="s">
        <v>29</v>
      </c>
      <c r="G1420" s="2">
        <v>119.0082</v>
      </c>
      <c r="H1420" s="13">
        <v>5</v>
      </c>
      <c r="I1420" s="13">
        <v>0</v>
      </c>
      <c r="J1420" s="13">
        <v>0</v>
      </c>
      <c r="K1420" s="10">
        <v>5</v>
      </c>
      <c r="L1420" s="2">
        <v>595.04100000000005</v>
      </c>
      <c r="M1420" s="1">
        <v>46171.526388888888</v>
      </c>
      <c r="N1420" t="s">
        <v>261</v>
      </c>
    </row>
    <row r="1421" spans="1:14" x14ac:dyDescent="0.25">
      <c r="A1421" s="9" t="s">
        <v>5211</v>
      </c>
      <c r="B1421" s="10">
        <v>714</v>
      </c>
      <c r="C1421" s="10" t="s">
        <v>143</v>
      </c>
      <c r="D1421" t="s">
        <v>2707</v>
      </c>
      <c r="E1421" t="s">
        <v>2708</v>
      </c>
      <c r="F1421" s="10" t="s">
        <v>23</v>
      </c>
      <c r="G1421" s="2">
        <v>115.1467</v>
      </c>
      <c r="H1421" s="13">
        <v>5</v>
      </c>
      <c r="I1421" s="13">
        <v>-2</v>
      </c>
      <c r="J1421" s="13">
        <v>2</v>
      </c>
      <c r="K1421" s="10">
        <v>5</v>
      </c>
      <c r="L1421" s="2">
        <v>575.73350000000005</v>
      </c>
      <c r="M1421" s="1">
        <v>46171.532638888886</v>
      </c>
      <c r="N1421" t="s">
        <v>137</v>
      </c>
    </row>
    <row r="1422" spans="1:14" x14ac:dyDescent="0.25">
      <c r="A1422" s="9" t="s">
        <v>5211</v>
      </c>
      <c r="B1422" s="10">
        <v>636</v>
      </c>
      <c r="C1422" s="10" t="s">
        <v>143</v>
      </c>
      <c r="D1422" t="s">
        <v>1202</v>
      </c>
      <c r="E1422" t="s">
        <v>1203</v>
      </c>
      <c r="F1422" s="10" t="s">
        <v>29</v>
      </c>
      <c r="G1422" s="2">
        <v>9.7476000000000003</v>
      </c>
      <c r="H1422" s="13">
        <v>5</v>
      </c>
      <c r="I1422" s="13">
        <v>0</v>
      </c>
      <c r="J1422" s="13">
        <v>0</v>
      </c>
      <c r="K1422" s="10">
        <v>5</v>
      </c>
      <c r="L1422" s="2">
        <v>48.738</v>
      </c>
      <c r="M1422" s="1">
        <v>46171.597222222219</v>
      </c>
      <c r="N1422" t="s">
        <v>40</v>
      </c>
    </row>
    <row r="1423" spans="1:14" x14ac:dyDescent="0.25">
      <c r="A1423" s="9" t="s">
        <v>5211</v>
      </c>
      <c r="B1423" s="10">
        <v>718</v>
      </c>
      <c r="C1423" s="10" t="s">
        <v>143</v>
      </c>
      <c r="D1423" t="s">
        <v>2677</v>
      </c>
      <c r="E1423" s="6" t="s">
        <v>2678</v>
      </c>
      <c r="F1423" s="11" t="s">
        <v>58</v>
      </c>
      <c r="G1423" s="2">
        <v>90.487700000000004</v>
      </c>
      <c r="H1423" s="13">
        <v>5</v>
      </c>
      <c r="I1423" s="13">
        <v>0</v>
      </c>
      <c r="J1423" s="13">
        <v>0</v>
      </c>
      <c r="K1423" s="10">
        <v>5</v>
      </c>
      <c r="L1423" s="2">
        <v>452.43849999999998</v>
      </c>
      <c r="M1423" s="1">
        <v>46172.410416666666</v>
      </c>
      <c r="N1423" t="s">
        <v>2358</v>
      </c>
    </row>
    <row r="1424" spans="1:14" x14ac:dyDescent="0.25">
      <c r="A1424" s="9" t="s">
        <v>5211</v>
      </c>
      <c r="B1424" s="10">
        <v>714</v>
      </c>
      <c r="C1424" s="10" t="s">
        <v>143</v>
      </c>
      <c r="D1424" t="s">
        <v>2481</v>
      </c>
      <c r="E1424" t="s">
        <v>2482</v>
      </c>
      <c r="F1424" s="10" t="s">
        <v>158</v>
      </c>
      <c r="G1424" s="2">
        <v>46.780200000000001</v>
      </c>
      <c r="H1424" s="13">
        <v>5</v>
      </c>
      <c r="I1424" s="13">
        <v>0</v>
      </c>
      <c r="J1424" s="13">
        <v>0</v>
      </c>
      <c r="K1424" s="10">
        <v>5</v>
      </c>
      <c r="L1424" s="2">
        <v>233.90100000000001</v>
      </c>
      <c r="M1424" s="1">
        <v>46174.37777777778</v>
      </c>
      <c r="N1424" t="s">
        <v>310</v>
      </c>
    </row>
    <row r="1425" spans="1:14" x14ac:dyDescent="0.25">
      <c r="A1425" s="9" t="s">
        <v>5211</v>
      </c>
      <c r="B1425" s="10">
        <v>714</v>
      </c>
      <c r="C1425" s="10" t="s">
        <v>323</v>
      </c>
      <c r="D1425" t="s">
        <v>5107</v>
      </c>
      <c r="E1425" t="s">
        <v>5108</v>
      </c>
      <c r="F1425" s="10" t="s">
        <v>158</v>
      </c>
      <c r="G1425" s="2">
        <v>109.259</v>
      </c>
      <c r="H1425" s="13">
        <v>5</v>
      </c>
      <c r="I1425" s="13">
        <v>22</v>
      </c>
      <c r="J1425" s="13">
        <v>-22</v>
      </c>
      <c r="K1425" s="10">
        <v>5</v>
      </c>
      <c r="L1425" s="2">
        <v>546.29499999999996</v>
      </c>
      <c r="M1425" s="1">
        <v>46174.381249999999</v>
      </c>
      <c r="N1425" t="s">
        <v>903</v>
      </c>
    </row>
    <row r="1426" spans="1:14" x14ac:dyDescent="0.25">
      <c r="A1426" s="9" t="s">
        <v>5211</v>
      </c>
      <c r="B1426" s="10">
        <v>714</v>
      </c>
      <c r="C1426" s="10" t="s">
        <v>12</v>
      </c>
      <c r="D1426" t="s">
        <v>1964</v>
      </c>
      <c r="E1426" t="s">
        <v>1965</v>
      </c>
      <c r="F1426" s="10" t="s">
        <v>23</v>
      </c>
      <c r="G1426" s="2">
        <v>8.3411000000000008</v>
      </c>
      <c r="H1426" s="13">
        <v>5</v>
      </c>
      <c r="I1426" s="13">
        <v>0</v>
      </c>
      <c r="J1426" s="13">
        <v>0</v>
      </c>
      <c r="K1426" s="10">
        <v>5</v>
      </c>
      <c r="L1426" s="2">
        <v>41.705500000000001</v>
      </c>
      <c r="M1426" s="1">
        <v>46176.70416666667</v>
      </c>
      <c r="N1426" t="s">
        <v>94</v>
      </c>
    </row>
    <row r="1427" spans="1:14" x14ac:dyDescent="0.25">
      <c r="A1427" s="9" t="s">
        <v>5211</v>
      </c>
      <c r="B1427" s="10">
        <v>636</v>
      </c>
      <c r="C1427" s="10" t="s">
        <v>70</v>
      </c>
      <c r="D1427" t="s">
        <v>690</v>
      </c>
      <c r="E1427" t="s">
        <v>691</v>
      </c>
      <c r="F1427" s="10" t="s">
        <v>39</v>
      </c>
      <c r="G1427" s="2">
        <v>6.2050000000000001</v>
      </c>
      <c r="H1427" s="13">
        <v>5</v>
      </c>
      <c r="I1427" s="13">
        <v>0</v>
      </c>
      <c r="J1427" s="13">
        <v>0</v>
      </c>
      <c r="K1427" s="10">
        <v>5</v>
      </c>
      <c r="L1427" s="2">
        <v>31.024999999999999</v>
      </c>
      <c r="M1427" s="1">
        <v>46177.399305555555</v>
      </c>
      <c r="N1427" t="s">
        <v>16</v>
      </c>
    </row>
    <row r="1428" spans="1:14" x14ac:dyDescent="0.25">
      <c r="A1428" s="9" t="s">
        <v>5211</v>
      </c>
      <c r="B1428" s="10">
        <v>634</v>
      </c>
      <c r="C1428" s="10" t="s">
        <v>143</v>
      </c>
      <c r="D1428" t="s">
        <v>4182</v>
      </c>
      <c r="E1428" t="s">
        <v>4183</v>
      </c>
      <c r="F1428" s="10" t="s">
        <v>29</v>
      </c>
      <c r="G1428" s="2">
        <v>166.20050000000001</v>
      </c>
      <c r="H1428" s="13">
        <v>5</v>
      </c>
      <c r="I1428" s="13">
        <v>11</v>
      </c>
      <c r="J1428" s="13">
        <v>-11</v>
      </c>
      <c r="K1428" s="10">
        <v>5</v>
      </c>
      <c r="L1428" s="2">
        <v>831.00250000000005</v>
      </c>
      <c r="M1428" s="1">
        <v>46178.629166666666</v>
      </c>
      <c r="N1428" t="s">
        <v>216</v>
      </c>
    </row>
    <row r="1429" spans="1:14" x14ac:dyDescent="0.25">
      <c r="A1429" s="9" t="s">
        <v>5211</v>
      </c>
      <c r="B1429" s="10">
        <v>718</v>
      </c>
      <c r="C1429" s="10" t="s">
        <v>143</v>
      </c>
      <c r="D1429" t="s">
        <v>4925</v>
      </c>
      <c r="E1429" t="s">
        <v>4926</v>
      </c>
      <c r="F1429" s="10" t="s">
        <v>112</v>
      </c>
      <c r="G1429" s="2">
        <v>24.551100000000002</v>
      </c>
      <c r="H1429" s="13">
        <v>5</v>
      </c>
      <c r="I1429" s="13">
        <v>5</v>
      </c>
      <c r="J1429" s="13">
        <v>-5</v>
      </c>
      <c r="K1429" s="10">
        <v>5</v>
      </c>
      <c r="L1429" s="2">
        <v>122.7555</v>
      </c>
      <c r="M1429" s="1">
        <v>46181.580555555556</v>
      </c>
      <c r="N1429" t="s">
        <v>67</v>
      </c>
    </row>
    <row r="1430" spans="1:14" x14ac:dyDescent="0.25">
      <c r="A1430" s="9" t="s">
        <v>5211</v>
      </c>
      <c r="B1430" s="10">
        <v>718</v>
      </c>
      <c r="C1430" s="10" t="s">
        <v>323</v>
      </c>
      <c r="D1430" t="s">
        <v>3343</v>
      </c>
      <c r="E1430" t="s">
        <v>3344</v>
      </c>
      <c r="F1430" s="10" t="s">
        <v>39</v>
      </c>
      <c r="G1430" s="2">
        <v>47.134399999999999</v>
      </c>
      <c r="H1430" s="13">
        <v>5</v>
      </c>
      <c r="I1430" s="13">
        <v>1</v>
      </c>
      <c r="J1430" s="13">
        <v>-1</v>
      </c>
      <c r="K1430" s="10">
        <v>5</v>
      </c>
      <c r="L1430" s="2">
        <v>235.672</v>
      </c>
      <c r="M1430" s="1">
        <v>46181.580555555556</v>
      </c>
      <c r="N1430" t="s">
        <v>67</v>
      </c>
    </row>
    <row r="1431" spans="1:14" x14ac:dyDescent="0.25">
      <c r="A1431" s="9" t="s">
        <v>5211</v>
      </c>
      <c r="B1431" s="10">
        <v>718</v>
      </c>
      <c r="C1431" s="10" t="s">
        <v>143</v>
      </c>
      <c r="D1431" t="s">
        <v>2241</v>
      </c>
      <c r="E1431" t="s">
        <v>2242</v>
      </c>
      <c r="F1431" s="10" t="s">
        <v>158</v>
      </c>
      <c r="G1431" s="2">
        <v>68.386399999999995</v>
      </c>
      <c r="H1431" s="13">
        <v>5</v>
      </c>
      <c r="I1431" s="13">
        <v>0</v>
      </c>
      <c r="J1431" s="13">
        <v>0</v>
      </c>
      <c r="K1431" s="10">
        <v>5</v>
      </c>
      <c r="L1431" s="2">
        <v>341.93200000000002</v>
      </c>
      <c r="M1431" s="1">
        <v>46182.537499999999</v>
      </c>
      <c r="N1431" t="s">
        <v>2066</v>
      </c>
    </row>
    <row r="1432" spans="1:14" x14ac:dyDescent="0.25">
      <c r="A1432" s="9" t="s">
        <v>5211</v>
      </c>
      <c r="B1432" s="10">
        <v>714</v>
      </c>
      <c r="C1432" s="10" t="s">
        <v>323</v>
      </c>
      <c r="D1432" t="s">
        <v>3425</v>
      </c>
      <c r="E1432" t="s">
        <v>3426</v>
      </c>
      <c r="F1432" s="10" t="s">
        <v>19</v>
      </c>
      <c r="G1432" s="2">
        <v>126.2715</v>
      </c>
      <c r="H1432" s="13">
        <v>5</v>
      </c>
      <c r="I1432" s="13">
        <v>0</v>
      </c>
      <c r="J1432" s="13">
        <v>0</v>
      </c>
      <c r="K1432" s="10">
        <v>5</v>
      </c>
      <c r="L1432" s="2">
        <v>631.35749999999996</v>
      </c>
      <c r="M1432" s="1">
        <v>46183.617361111108</v>
      </c>
      <c r="N1432" t="s">
        <v>3384</v>
      </c>
    </row>
    <row r="1433" spans="1:14" x14ac:dyDescent="0.25">
      <c r="A1433" s="9" t="s">
        <v>5211</v>
      </c>
      <c r="B1433" s="10">
        <v>636</v>
      </c>
      <c r="C1433" s="10" t="s">
        <v>70</v>
      </c>
      <c r="D1433" t="s">
        <v>787</v>
      </c>
      <c r="E1433" t="s">
        <v>788</v>
      </c>
      <c r="F1433" s="10" t="s">
        <v>29</v>
      </c>
      <c r="G1433" s="2">
        <v>5.8784999999999998</v>
      </c>
      <c r="H1433" s="13">
        <v>5</v>
      </c>
      <c r="I1433" s="13">
        <v>0</v>
      </c>
      <c r="J1433" s="13">
        <v>0</v>
      </c>
      <c r="K1433" s="10">
        <v>5</v>
      </c>
      <c r="L1433" s="2">
        <v>29.392499999999998</v>
      </c>
      <c r="M1433" s="1">
        <v>46184.540277777778</v>
      </c>
      <c r="N1433" t="s">
        <v>16</v>
      </c>
    </row>
    <row r="1434" spans="1:14" x14ac:dyDescent="0.25">
      <c r="A1434" s="9" t="s">
        <v>5211</v>
      </c>
      <c r="B1434" s="10">
        <v>636</v>
      </c>
      <c r="C1434" s="10" t="s">
        <v>70</v>
      </c>
      <c r="D1434" t="s">
        <v>672</v>
      </c>
      <c r="E1434" t="s">
        <v>673</v>
      </c>
      <c r="F1434" s="10" t="s">
        <v>39</v>
      </c>
      <c r="G1434" s="2">
        <v>7.4866999999999999</v>
      </c>
      <c r="H1434" s="13">
        <v>5</v>
      </c>
      <c r="I1434" s="13">
        <v>0</v>
      </c>
      <c r="J1434" s="13">
        <v>0</v>
      </c>
      <c r="K1434" s="10">
        <v>5</v>
      </c>
      <c r="L1434" s="2">
        <v>37.433500000000002</v>
      </c>
      <c r="M1434" s="1">
        <v>46184.540277777778</v>
      </c>
      <c r="N1434" t="s">
        <v>16</v>
      </c>
    </row>
    <row r="1435" spans="1:14" x14ac:dyDescent="0.25">
      <c r="A1435" s="9" t="s">
        <v>5211</v>
      </c>
      <c r="B1435" s="10">
        <v>636</v>
      </c>
      <c r="C1435" s="10" t="s">
        <v>143</v>
      </c>
      <c r="D1435" t="s">
        <v>914</v>
      </c>
      <c r="E1435" t="s">
        <v>915</v>
      </c>
      <c r="F1435" s="10" t="s">
        <v>23</v>
      </c>
      <c r="G1435" s="2">
        <v>82.819000000000003</v>
      </c>
      <c r="H1435" s="13">
        <v>5</v>
      </c>
      <c r="I1435" s="13">
        <v>3</v>
      </c>
      <c r="J1435" s="13">
        <v>-3</v>
      </c>
      <c r="K1435" s="10">
        <v>5</v>
      </c>
      <c r="L1435" s="2">
        <v>414.09500000000003</v>
      </c>
      <c r="M1435" s="1">
        <v>46185.387499999997</v>
      </c>
      <c r="N1435" t="s">
        <v>159</v>
      </c>
    </row>
    <row r="1436" spans="1:14" x14ac:dyDescent="0.25">
      <c r="A1436" s="9" t="s">
        <v>5211</v>
      </c>
      <c r="B1436" s="10">
        <v>714</v>
      </c>
      <c r="C1436" s="10" t="s">
        <v>323</v>
      </c>
      <c r="D1436" t="s">
        <v>3012</v>
      </c>
      <c r="E1436" t="s">
        <v>3013</v>
      </c>
      <c r="F1436" s="10" t="s">
        <v>29</v>
      </c>
      <c r="G1436" s="2">
        <v>27.3446</v>
      </c>
      <c r="H1436" s="13">
        <v>5</v>
      </c>
      <c r="I1436" s="13">
        <v>0</v>
      </c>
      <c r="J1436" s="13">
        <v>0</v>
      </c>
      <c r="K1436" s="10">
        <v>5</v>
      </c>
      <c r="L1436" s="2">
        <v>136.72300000000001</v>
      </c>
      <c r="M1436" s="1">
        <v>46185.630555555559</v>
      </c>
      <c r="N1436" t="s">
        <v>1825</v>
      </c>
    </row>
    <row r="1437" spans="1:14" x14ac:dyDescent="0.25">
      <c r="A1437" s="9" t="s">
        <v>5211</v>
      </c>
      <c r="B1437" s="10">
        <v>714</v>
      </c>
      <c r="C1437" s="10" t="s">
        <v>143</v>
      </c>
      <c r="D1437" t="s">
        <v>2774</v>
      </c>
      <c r="E1437" t="s">
        <v>2775</v>
      </c>
      <c r="F1437" s="10" t="s">
        <v>23</v>
      </c>
      <c r="G1437" s="2">
        <v>21.303000000000001</v>
      </c>
      <c r="H1437" s="13">
        <v>5</v>
      </c>
      <c r="I1437" s="13">
        <v>0</v>
      </c>
      <c r="J1437" s="13">
        <v>0</v>
      </c>
      <c r="K1437" s="10">
        <v>5</v>
      </c>
      <c r="L1437" s="2">
        <v>106.515</v>
      </c>
      <c r="M1437" s="1">
        <v>46188.35</v>
      </c>
      <c r="N1437" t="s">
        <v>26</v>
      </c>
    </row>
    <row r="1438" spans="1:14" x14ac:dyDescent="0.25">
      <c r="A1438" s="9" t="s">
        <v>5211</v>
      </c>
      <c r="B1438" s="10">
        <v>714</v>
      </c>
      <c r="C1438" s="10" t="s">
        <v>143</v>
      </c>
      <c r="D1438" t="s">
        <v>4881</v>
      </c>
      <c r="E1438" t="s">
        <v>4882</v>
      </c>
      <c r="F1438" s="10" t="s">
        <v>29</v>
      </c>
      <c r="G1438" s="2">
        <v>13.4621</v>
      </c>
      <c r="H1438" s="13">
        <v>5</v>
      </c>
      <c r="I1438" s="13">
        <v>0</v>
      </c>
      <c r="J1438" s="13">
        <v>0</v>
      </c>
      <c r="K1438" s="10">
        <v>5</v>
      </c>
      <c r="L1438" s="2">
        <v>67.310500000000005</v>
      </c>
      <c r="M1438" s="1">
        <v>46188.35</v>
      </c>
      <c r="N1438" t="s">
        <v>26</v>
      </c>
    </row>
    <row r="1439" spans="1:14" x14ac:dyDescent="0.25">
      <c r="A1439" s="9" t="s">
        <v>5211</v>
      </c>
      <c r="B1439" s="10">
        <v>718</v>
      </c>
      <c r="C1439" s="10" t="s">
        <v>323</v>
      </c>
      <c r="D1439" t="s">
        <v>3877</v>
      </c>
      <c r="E1439" t="s">
        <v>3878</v>
      </c>
      <c r="F1439" s="10" t="s">
        <v>19</v>
      </c>
      <c r="G1439" s="2">
        <v>78.392099999999999</v>
      </c>
      <c r="H1439" s="13">
        <v>5</v>
      </c>
      <c r="I1439" s="13">
        <v>0</v>
      </c>
      <c r="J1439" s="13">
        <v>0</v>
      </c>
      <c r="K1439" s="10">
        <v>5</v>
      </c>
      <c r="L1439" s="2">
        <v>391.96050000000002</v>
      </c>
      <c r="M1439" s="1">
        <v>46188.697222222225</v>
      </c>
      <c r="N1439" t="s">
        <v>1062</v>
      </c>
    </row>
    <row r="1440" spans="1:14" x14ac:dyDescent="0.25">
      <c r="A1440" s="9" t="s">
        <v>5211</v>
      </c>
      <c r="B1440" s="10">
        <v>718</v>
      </c>
      <c r="C1440" s="10" t="s">
        <v>323</v>
      </c>
      <c r="D1440" t="s">
        <v>3085</v>
      </c>
      <c r="E1440" t="s">
        <v>3086</v>
      </c>
      <c r="F1440" s="10" t="s">
        <v>29</v>
      </c>
      <c r="G1440" s="2">
        <v>195.93039999999999</v>
      </c>
      <c r="H1440" s="13">
        <v>5</v>
      </c>
      <c r="I1440" s="13">
        <v>0</v>
      </c>
      <c r="J1440" s="13">
        <v>0</v>
      </c>
      <c r="K1440" s="10">
        <v>5</v>
      </c>
      <c r="L1440" s="2">
        <v>979.65200000000004</v>
      </c>
      <c r="M1440" s="1">
        <v>46189.361805555556</v>
      </c>
      <c r="N1440" t="s">
        <v>1825</v>
      </c>
    </row>
    <row r="1441" spans="1:14" x14ac:dyDescent="0.25">
      <c r="A1441" s="9" t="s">
        <v>5211</v>
      </c>
      <c r="B1441" s="10">
        <v>714</v>
      </c>
      <c r="C1441" s="10" t="s">
        <v>323</v>
      </c>
      <c r="D1441" t="s">
        <v>3528</v>
      </c>
      <c r="E1441" t="s">
        <v>3529</v>
      </c>
      <c r="F1441" s="10" t="s">
        <v>29</v>
      </c>
      <c r="G1441" s="2">
        <v>127.7658</v>
      </c>
      <c r="H1441" s="13">
        <v>5</v>
      </c>
      <c r="I1441" s="13">
        <v>0</v>
      </c>
      <c r="J1441" s="13">
        <v>0</v>
      </c>
      <c r="K1441" s="10">
        <v>5</v>
      </c>
      <c r="L1441" s="2">
        <v>638.82899999999995</v>
      </c>
      <c r="M1441" s="1">
        <v>46189.518750000003</v>
      </c>
      <c r="N1441" t="s">
        <v>2271</v>
      </c>
    </row>
    <row r="1442" spans="1:14" x14ac:dyDescent="0.25">
      <c r="A1442" s="9" t="s">
        <v>5211</v>
      </c>
      <c r="B1442" s="10">
        <v>714</v>
      </c>
      <c r="C1442" s="10" t="s">
        <v>323</v>
      </c>
      <c r="D1442" t="s">
        <v>3164</v>
      </c>
      <c r="E1442" t="s">
        <v>3165</v>
      </c>
      <c r="F1442" s="10" t="s">
        <v>29</v>
      </c>
      <c r="G1442" s="2">
        <v>127.7658</v>
      </c>
      <c r="H1442" s="13">
        <v>5</v>
      </c>
      <c r="I1442" s="13">
        <v>0</v>
      </c>
      <c r="J1442" s="13">
        <v>0</v>
      </c>
      <c r="K1442" s="10">
        <v>5</v>
      </c>
      <c r="L1442" s="2">
        <v>638.82899999999995</v>
      </c>
      <c r="M1442" s="1">
        <v>46189.518750000003</v>
      </c>
      <c r="N1442" t="s">
        <v>2271</v>
      </c>
    </row>
    <row r="1443" spans="1:14" x14ac:dyDescent="0.25">
      <c r="A1443" s="9" t="s">
        <v>5211</v>
      </c>
      <c r="B1443" s="10">
        <v>714</v>
      </c>
      <c r="C1443" s="10" t="s">
        <v>323</v>
      </c>
      <c r="D1443" t="s">
        <v>1247</v>
      </c>
      <c r="E1443" t="s">
        <v>1248</v>
      </c>
      <c r="F1443" s="10" t="s">
        <v>19</v>
      </c>
      <c r="G1443" s="2">
        <v>159.8638</v>
      </c>
      <c r="H1443" s="13">
        <v>5</v>
      </c>
      <c r="I1443" s="13">
        <v>0</v>
      </c>
      <c r="J1443" s="13">
        <v>0</v>
      </c>
      <c r="K1443" s="10">
        <v>5</v>
      </c>
      <c r="L1443" s="2">
        <v>799.31899999999996</v>
      </c>
      <c r="M1443" s="1">
        <v>46189.518750000003</v>
      </c>
      <c r="N1443" t="s">
        <v>2271</v>
      </c>
    </row>
    <row r="1444" spans="1:14" x14ac:dyDescent="0.25">
      <c r="A1444" s="9" t="s">
        <v>5211</v>
      </c>
      <c r="B1444" s="10">
        <v>714</v>
      </c>
      <c r="C1444" s="10" t="s">
        <v>323</v>
      </c>
      <c r="D1444" t="s">
        <v>2858</v>
      </c>
      <c r="E1444" t="s">
        <v>2859</v>
      </c>
      <c r="F1444" s="10" t="s">
        <v>158</v>
      </c>
      <c r="G1444" s="2">
        <v>115</v>
      </c>
      <c r="H1444" s="13">
        <v>5</v>
      </c>
      <c r="I1444" s="13">
        <v>2</v>
      </c>
      <c r="J1444" s="13">
        <v>-2</v>
      </c>
      <c r="K1444" s="10">
        <v>5</v>
      </c>
      <c r="L1444" s="2">
        <v>575</v>
      </c>
      <c r="M1444" s="1">
        <v>46192.34097222222</v>
      </c>
      <c r="N1444" t="s">
        <v>2444</v>
      </c>
    </row>
    <row r="1445" spans="1:14" x14ac:dyDescent="0.25">
      <c r="A1445" s="9" t="s">
        <v>5211</v>
      </c>
      <c r="B1445" s="10">
        <v>714</v>
      </c>
      <c r="C1445" s="10" t="s">
        <v>143</v>
      </c>
      <c r="D1445" t="s">
        <v>306</v>
      </c>
      <c r="E1445" t="s">
        <v>307</v>
      </c>
      <c r="F1445" s="10" t="s">
        <v>23</v>
      </c>
      <c r="G1445" s="2">
        <v>55.525300000000001</v>
      </c>
      <c r="H1445" s="13">
        <v>5</v>
      </c>
      <c r="I1445" s="13">
        <v>1</v>
      </c>
      <c r="J1445" s="13">
        <v>-1</v>
      </c>
      <c r="K1445" s="10">
        <v>5</v>
      </c>
      <c r="L1445" s="2">
        <v>277.62650000000002</v>
      </c>
      <c r="M1445" s="1">
        <v>46195.50277777778</v>
      </c>
      <c r="N1445" t="s">
        <v>665</v>
      </c>
    </row>
    <row r="1446" spans="1:14" x14ac:dyDescent="0.25">
      <c r="A1446" s="9" t="s">
        <v>5211</v>
      </c>
      <c r="B1446" s="10">
        <v>714</v>
      </c>
      <c r="C1446" s="10" t="s">
        <v>143</v>
      </c>
      <c r="D1446" t="s">
        <v>2675</v>
      </c>
      <c r="E1446" t="s">
        <v>2676</v>
      </c>
      <c r="F1446" s="10" t="s">
        <v>39</v>
      </c>
      <c r="G1446" s="2">
        <v>18.834599999999998</v>
      </c>
      <c r="H1446" s="13">
        <v>5</v>
      </c>
      <c r="I1446" s="13">
        <v>0</v>
      </c>
      <c r="J1446" s="13">
        <v>0</v>
      </c>
      <c r="K1446" s="10">
        <v>5</v>
      </c>
      <c r="L1446" s="2">
        <v>94.173000000000002</v>
      </c>
      <c r="M1446" s="1">
        <v>46195.50277777778</v>
      </c>
      <c r="N1446" t="s">
        <v>665</v>
      </c>
    </row>
    <row r="1447" spans="1:14" x14ac:dyDescent="0.25">
      <c r="A1447" s="9" t="s">
        <v>5211</v>
      </c>
      <c r="B1447" s="10">
        <v>718</v>
      </c>
      <c r="C1447" s="10" t="s">
        <v>323</v>
      </c>
      <c r="D1447" t="s">
        <v>3907</v>
      </c>
      <c r="E1447" t="s">
        <v>3908</v>
      </c>
      <c r="F1447" s="10" t="s">
        <v>455</v>
      </c>
      <c r="G1447" s="2">
        <v>162.34389999999999</v>
      </c>
      <c r="H1447" s="13">
        <v>5</v>
      </c>
      <c r="I1447" s="13">
        <v>-2</v>
      </c>
      <c r="J1447" s="13">
        <v>2</v>
      </c>
      <c r="K1447" s="10">
        <v>5</v>
      </c>
      <c r="L1447" s="2">
        <v>811.71950000000004</v>
      </c>
      <c r="M1447" s="1">
        <v>46195.657638888886</v>
      </c>
      <c r="N1447" t="s">
        <v>1535</v>
      </c>
    </row>
    <row r="1448" spans="1:14" x14ac:dyDescent="0.25">
      <c r="A1448" s="9" t="s">
        <v>5211</v>
      </c>
      <c r="B1448" s="10">
        <v>714</v>
      </c>
      <c r="C1448" s="10" t="s">
        <v>143</v>
      </c>
      <c r="D1448" t="s">
        <v>2638</v>
      </c>
      <c r="E1448" t="s">
        <v>2639</v>
      </c>
      <c r="F1448" s="10" t="s">
        <v>39</v>
      </c>
      <c r="G1448" s="2">
        <v>38.441400000000002</v>
      </c>
      <c r="H1448" s="13">
        <v>5</v>
      </c>
      <c r="I1448" s="13">
        <v>0</v>
      </c>
      <c r="J1448" s="13">
        <v>0</v>
      </c>
      <c r="K1448" s="10">
        <v>5</v>
      </c>
      <c r="L1448" s="2">
        <v>192.20699999999999</v>
      </c>
      <c r="M1448" s="1">
        <v>46196.347916666666</v>
      </c>
      <c r="N1448" t="s">
        <v>36</v>
      </c>
    </row>
    <row r="1449" spans="1:14" x14ac:dyDescent="0.25">
      <c r="A1449" s="9" t="s">
        <v>5211</v>
      </c>
      <c r="B1449" s="10">
        <v>636</v>
      </c>
      <c r="C1449" s="10" t="s">
        <v>70</v>
      </c>
      <c r="D1449" t="s">
        <v>653</v>
      </c>
      <c r="E1449" t="s">
        <v>654</v>
      </c>
      <c r="F1449" s="10" t="s">
        <v>123</v>
      </c>
      <c r="G1449" s="2">
        <v>9.4578000000000007</v>
      </c>
      <c r="H1449" s="13">
        <v>5</v>
      </c>
      <c r="I1449" s="13">
        <v>-2</v>
      </c>
      <c r="J1449" s="13">
        <v>2</v>
      </c>
      <c r="K1449" s="10">
        <v>5</v>
      </c>
      <c r="L1449" s="2">
        <v>47.289000000000001</v>
      </c>
      <c r="M1449" s="1">
        <v>46196.405555555553</v>
      </c>
      <c r="N1449" t="s">
        <v>16</v>
      </c>
    </row>
    <row r="1450" spans="1:14" x14ac:dyDescent="0.25">
      <c r="A1450" s="9" t="s">
        <v>5211</v>
      </c>
      <c r="B1450" s="10">
        <v>714</v>
      </c>
      <c r="C1450" s="10" t="s">
        <v>323</v>
      </c>
      <c r="D1450" t="s">
        <v>3031</v>
      </c>
      <c r="E1450" t="s">
        <v>3032</v>
      </c>
      <c r="F1450" s="10" t="s">
        <v>29</v>
      </c>
      <c r="G1450" s="2">
        <v>26.415800000000001</v>
      </c>
      <c r="H1450" s="13">
        <v>5</v>
      </c>
      <c r="I1450" s="13">
        <v>0</v>
      </c>
      <c r="J1450" s="13">
        <v>0</v>
      </c>
      <c r="K1450" s="10">
        <v>5</v>
      </c>
      <c r="L1450" s="2">
        <v>132.07900000000001</v>
      </c>
      <c r="M1450" s="1">
        <v>46197.482638888891</v>
      </c>
      <c r="N1450" t="s">
        <v>40</v>
      </c>
    </row>
    <row r="1451" spans="1:14" x14ac:dyDescent="0.25">
      <c r="A1451" s="9" t="s">
        <v>5211</v>
      </c>
      <c r="B1451" s="10">
        <v>714</v>
      </c>
      <c r="C1451" s="10" t="s">
        <v>126</v>
      </c>
      <c r="D1451" t="s">
        <v>2188</v>
      </c>
      <c r="E1451" t="s">
        <v>2189</v>
      </c>
      <c r="F1451" s="10" t="s">
        <v>23</v>
      </c>
      <c r="G1451" s="2">
        <v>17.088699999999999</v>
      </c>
      <c r="H1451" s="13">
        <v>5</v>
      </c>
      <c r="I1451" s="13">
        <v>0</v>
      </c>
      <c r="J1451" s="13">
        <v>0</v>
      </c>
      <c r="K1451" s="10">
        <v>5</v>
      </c>
      <c r="L1451" s="2">
        <v>85.4435</v>
      </c>
      <c r="M1451" s="1">
        <v>46199.370833333334</v>
      </c>
      <c r="N1451" t="s">
        <v>140</v>
      </c>
    </row>
    <row r="1452" spans="1:14" x14ac:dyDescent="0.25">
      <c r="A1452" s="9" t="s">
        <v>5211</v>
      </c>
      <c r="B1452" s="10">
        <v>636</v>
      </c>
      <c r="C1452" s="10" t="s">
        <v>70</v>
      </c>
      <c r="D1452" t="s">
        <v>3667</v>
      </c>
      <c r="E1452" t="s">
        <v>3668</v>
      </c>
      <c r="F1452" s="10" t="s">
        <v>29</v>
      </c>
      <c r="G1452" s="2">
        <v>7.2653999999999996</v>
      </c>
      <c r="H1452" s="13">
        <v>5</v>
      </c>
      <c r="I1452" s="13">
        <v>3</v>
      </c>
      <c r="J1452" s="13">
        <v>-3</v>
      </c>
      <c r="K1452" s="10">
        <v>5</v>
      </c>
      <c r="L1452" s="2">
        <v>36.326999999999998</v>
      </c>
      <c r="M1452" s="1">
        <v>46199.375</v>
      </c>
      <c r="N1452" t="s">
        <v>16</v>
      </c>
    </row>
    <row r="1453" spans="1:14" x14ac:dyDescent="0.25">
      <c r="A1453" s="9" t="s">
        <v>5211</v>
      </c>
      <c r="B1453" s="10">
        <v>636</v>
      </c>
      <c r="C1453" s="10" t="s">
        <v>323</v>
      </c>
      <c r="D1453" t="s">
        <v>1367</v>
      </c>
      <c r="E1453" t="s">
        <v>1368</v>
      </c>
      <c r="F1453" s="10" t="s">
        <v>158</v>
      </c>
      <c r="G1453" s="2">
        <v>74.7804</v>
      </c>
      <c r="H1453" s="13">
        <v>5</v>
      </c>
      <c r="I1453" s="13">
        <v>-7</v>
      </c>
      <c r="J1453" s="13">
        <v>7</v>
      </c>
      <c r="K1453" s="10">
        <v>5</v>
      </c>
      <c r="L1453" s="2">
        <v>373.90199999999999</v>
      </c>
      <c r="M1453" s="1">
        <v>46199.425694444442</v>
      </c>
      <c r="N1453" t="s">
        <v>1154</v>
      </c>
    </row>
    <row r="1454" spans="1:14" x14ac:dyDescent="0.25">
      <c r="A1454" s="9" t="s">
        <v>5211</v>
      </c>
      <c r="B1454" s="10">
        <v>714</v>
      </c>
      <c r="C1454" s="10" t="s">
        <v>126</v>
      </c>
      <c r="D1454" t="s">
        <v>129</v>
      </c>
      <c r="E1454" t="s">
        <v>130</v>
      </c>
      <c r="F1454" s="10" t="s">
        <v>112</v>
      </c>
      <c r="G1454" s="2">
        <v>7.9734999999999996</v>
      </c>
      <c r="H1454" s="13">
        <v>5</v>
      </c>
      <c r="I1454" s="13">
        <v>2</v>
      </c>
      <c r="J1454" s="13">
        <v>-2</v>
      </c>
      <c r="K1454" s="10">
        <v>5</v>
      </c>
      <c r="L1454" s="2">
        <v>39.8675</v>
      </c>
      <c r="M1454" s="1">
        <v>46199.499305555553</v>
      </c>
      <c r="N1454" t="s">
        <v>16</v>
      </c>
    </row>
    <row r="1455" spans="1:14" x14ac:dyDescent="0.25">
      <c r="A1455" s="9" t="s">
        <v>5211</v>
      </c>
      <c r="B1455" s="10">
        <v>714</v>
      </c>
      <c r="C1455" s="10" t="s">
        <v>143</v>
      </c>
      <c r="D1455" t="s">
        <v>2239</v>
      </c>
      <c r="E1455" t="s">
        <v>2240</v>
      </c>
      <c r="F1455" s="10" t="s">
        <v>39</v>
      </c>
      <c r="G1455" s="2">
        <v>21.378299999999999</v>
      </c>
      <c r="H1455" s="13">
        <v>5</v>
      </c>
      <c r="I1455" s="13">
        <v>0</v>
      </c>
      <c r="J1455" s="13">
        <v>0</v>
      </c>
      <c r="K1455" s="10">
        <v>5</v>
      </c>
      <c r="L1455" s="2">
        <v>106.89149999999999</v>
      </c>
      <c r="M1455" s="1">
        <v>46200.382638888892</v>
      </c>
      <c r="N1455" t="s">
        <v>1062</v>
      </c>
    </row>
    <row r="1456" spans="1:14" x14ac:dyDescent="0.25">
      <c r="A1456" s="9" t="s">
        <v>5211</v>
      </c>
      <c r="B1456" s="10">
        <v>714</v>
      </c>
      <c r="C1456" s="10" t="s">
        <v>126</v>
      </c>
      <c r="D1456" t="s">
        <v>2199</v>
      </c>
      <c r="E1456" t="s">
        <v>2200</v>
      </c>
      <c r="F1456" s="10" t="s">
        <v>39</v>
      </c>
      <c r="G1456" s="2">
        <v>35.312600000000003</v>
      </c>
      <c r="H1456" s="13">
        <v>5</v>
      </c>
      <c r="I1456" s="13">
        <v>0</v>
      </c>
      <c r="J1456" s="13">
        <v>0</v>
      </c>
      <c r="K1456" s="10">
        <v>5</v>
      </c>
      <c r="L1456" s="2">
        <v>176.56299999999999</v>
      </c>
      <c r="M1456" s="1">
        <v>46204.464583333334</v>
      </c>
      <c r="N1456" t="s">
        <v>878</v>
      </c>
    </row>
    <row r="1457" spans="1:14" x14ac:dyDescent="0.25">
      <c r="A1457" s="9" t="s">
        <v>5211</v>
      </c>
      <c r="B1457" s="10">
        <v>634</v>
      </c>
      <c r="C1457" s="10" t="s">
        <v>323</v>
      </c>
      <c r="D1457" t="s">
        <v>324</v>
      </c>
      <c r="E1457" t="s">
        <v>325</v>
      </c>
      <c r="F1457" s="10" t="s">
        <v>29</v>
      </c>
      <c r="G1457" s="2">
        <v>193.05070000000001</v>
      </c>
      <c r="H1457" s="13">
        <v>5</v>
      </c>
      <c r="I1457" s="13">
        <v>0</v>
      </c>
      <c r="J1457" s="13">
        <v>0</v>
      </c>
      <c r="K1457" s="10">
        <v>5</v>
      </c>
      <c r="L1457" s="2">
        <v>965.25350000000003</v>
      </c>
      <c r="M1457" s="1">
        <v>46209.655555555553</v>
      </c>
      <c r="N1457" t="s">
        <v>151</v>
      </c>
    </row>
    <row r="1458" spans="1:14" x14ac:dyDescent="0.25">
      <c r="A1458" s="9" t="s">
        <v>5211</v>
      </c>
      <c r="B1458" s="10">
        <v>714</v>
      </c>
      <c r="C1458" s="10" t="s">
        <v>143</v>
      </c>
      <c r="D1458" t="s">
        <v>2458</v>
      </c>
      <c r="E1458" t="s">
        <v>2459</v>
      </c>
      <c r="F1458" s="10" t="s">
        <v>39</v>
      </c>
      <c r="G1458" s="2">
        <v>24.0959</v>
      </c>
      <c r="H1458" s="13">
        <v>5</v>
      </c>
      <c r="I1458" s="13">
        <v>0</v>
      </c>
      <c r="J1458" s="13">
        <v>0</v>
      </c>
      <c r="K1458" s="10">
        <v>5</v>
      </c>
      <c r="L1458" s="2">
        <v>120.4795</v>
      </c>
      <c r="M1458" s="1">
        <v>46214.343055555553</v>
      </c>
      <c r="N1458" t="s">
        <v>40</v>
      </c>
    </row>
    <row r="1459" spans="1:14" x14ac:dyDescent="0.25">
      <c r="A1459" s="9" t="s">
        <v>5211</v>
      </c>
      <c r="B1459" s="10">
        <v>714</v>
      </c>
      <c r="C1459" s="10" t="s">
        <v>143</v>
      </c>
      <c r="D1459" t="s">
        <v>4250</v>
      </c>
      <c r="E1459" t="s">
        <v>4251</v>
      </c>
      <c r="F1459" s="10" t="s">
        <v>23</v>
      </c>
      <c r="G1459" s="2">
        <v>30.5014</v>
      </c>
      <c r="H1459" s="13">
        <v>5</v>
      </c>
      <c r="I1459" s="13">
        <v>113</v>
      </c>
      <c r="J1459" s="13">
        <v>-113</v>
      </c>
      <c r="K1459" s="10">
        <v>5</v>
      </c>
      <c r="L1459" s="2">
        <v>152.50700000000001</v>
      </c>
      <c r="M1459" s="1">
        <v>46224.477083333331</v>
      </c>
      <c r="N1459" t="s">
        <v>36</v>
      </c>
    </row>
    <row r="1460" spans="1:14" x14ac:dyDescent="0.25">
      <c r="A1460" s="9" t="s">
        <v>5211</v>
      </c>
      <c r="B1460" s="10">
        <v>718</v>
      </c>
      <c r="C1460" s="10" t="s">
        <v>323</v>
      </c>
      <c r="D1460" t="s">
        <v>5091</v>
      </c>
      <c r="E1460" t="s">
        <v>5092</v>
      </c>
      <c r="F1460" s="10" t="s">
        <v>43</v>
      </c>
      <c r="G1460" s="2">
        <v>70.867699999999999</v>
      </c>
      <c r="H1460" s="13">
        <v>5</v>
      </c>
      <c r="I1460" s="13">
        <v>22</v>
      </c>
      <c r="J1460" s="13">
        <v>-22</v>
      </c>
      <c r="K1460" s="10">
        <v>5</v>
      </c>
      <c r="L1460" s="2">
        <v>354.33850000000001</v>
      </c>
      <c r="M1460" s="1">
        <v>46225.381249999999</v>
      </c>
      <c r="N1460" t="s">
        <v>366</v>
      </c>
    </row>
    <row r="1461" spans="1:14" x14ac:dyDescent="0.25">
      <c r="A1461" s="9" t="s">
        <v>5211</v>
      </c>
      <c r="B1461" s="10">
        <v>714</v>
      </c>
      <c r="C1461" s="10" t="s">
        <v>143</v>
      </c>
      <c r="D1461" t="s">
        <v>2624</v>
      </c>
      <c r="E1461" t="s">
        <v>2625</v>
      </c>
      <c r="F1461" s="10" t="s">
        <v>158</v>
      </c>
      <c r="G1461" s="2">
        <v>90.943899999999999</v>
      </c>
      <c r="H1461" s="13">
        <v>5</v>
      </c>
      <c r="I1461" s="13">
        <v>0</v>
      </c>
      <c r="J1461" s="13">
        <v>0</v>
      </c>
      <c r="K1461" s="10">
        <v>5</v>
      </c>
      <c r="L1461" s="2">
        <v>454.71949999999998</v>
      </c>
      <c r="M1461" s="1">
        <v>46226.429166666669</v>
      </c>
      <c r="N1461" t="s">
        <v>371</v>
      </c>
    </row>
    <row r="1462" spans="1:14" x14ac:dyDescent="0.25">
      <c r="A1462" s="9" t="s">
        <v>5211</v>
      </c>
      <c r="B1462" s="10">
        <v>718</v>
      </c>
      <c r="C1462" s="10" t="s">
        <v>70</v>
      </c>
      <c r="D1462" t="s">
        <v>5130</v>
      </c>
      <c r="E1462" t="s">
        <v>5131</v>
      </c>
      <c r="F1462" s="10" t="s">
        <v>39</v>
      </c>
      <c r="G1462" s="2">
        <v>6.6585999999999999</v>
      </c>
      <c r="H1462" s="13">
        <v>5</v>
      </c>
      <c r="I1462" s="13">
        <v>-21</v>
      </c>
      <c r="J1462" s="13">
        <v>21</v>
      </c>
      <c r="K1462" s="10">
        <v>5</v>
      </c>
      <c r="L1462" s="2">
        <v>33.292999999999999</v>
      </c>
      <c r="M1462" s="1">
        <v>46232.6</v>
      </c>
      <c r="N1462" t="s">
        <v>573</v>
      </c>
    </row>
    <row r="1463" spans="1:14" x14ac:dyDescent="0.25">
      <c r="A1463" s="9" t="s">
        <v>5211</v>
      </c>
      <c r="B1463" s="10">
        <v>634</v>
      </c>
      <c r="C1463" s="10" t="s">
        <v>143</v>
      </c>
      <c r="D1463" t="s">
        <v>4198</v>
      </c>
      <c r="E1463" t="s">
        <v>4199</v>
      </c>
      <c r="F1463" s="10" t="s">
        <v>43</v>
      </c>
      <c r="G1463" s="2">
        <v>125.0188</v>
      </c>
      <c r="H1463" s="13">
        <v>5</v>
      </c>
      <c r="I1463" s="13">
        <v>41</v>
      </c>
      <c r="J1463" s="13">
        <v>-41</v>
      </c>
      <c r="K1463" s="10">
        <v>5</v>
      </c>
      <c r="L1463" s="2">
        <v>625.09400000000005</v>
      </c>
      <c r="M1463" s="1">
        <v>46239.402777777781</v>
      </c>
      <c r="N1463" t="s">
        <v>175</v>
      </c>
    </row>
    <row r="1464" spans="1:14" x14ac:dyDescent="0.25">
      <c r="A1464" s="9" t="s">
        <v>5211</v>
      </c>
      <c r="B1464" s="10">
        <v>714</v>
      </c>
      <c r="C1464" s="10" t="s">
        <v>323</v>
      </c>
      <c r="D1464" t="s">
        <v>3397</v>
      </c>
      <c r="E1464" t="s">
        <v>3398</v>
      </c>
      <c r="F1464" s="10" t="s">
        <v>29</v>
      </c>
      <c r="G1464" s="2">
        <v>688.36879999999996</v>
      </c>
      <c r="H1464" s="13">
        <v>5</v>
      </c>
      <c r="I1464" s="13">
        <v>-2</v>
      </c>
      <c r="J1464" s="13">
        <v>2</v>
      </c>
      <c r="K1464" s="10">
        <v>5</v>
      </c>
      <c r="L1464" s="2">
        <v>3441.8440000000001</v>
      </c>
      <c r="M1464" s="1">
        <v>46240.359027777777</v>
      </c>
      <c r="N1464" t="s">
        <v>216</v>
      </c>
    </row>
    <row r="1465" spans="1:14" x14ac:dyDescent="0.25">
      <c r="A1465" s="9" t="s">
        <v>5211</v>
      </c>
      <c r="B1465" s="10">
        <v>718</v>
      </c>
      <c r="C1465" s="10" t="s">
        <v>143</v>
      </c>
      <c r="D1465" t="s">
        <v>4515</v>
      </c>
      <c r="E1465" t="s">
        <v>4516</v>
      </c>
      <c r="F1465" s="10" t="s">
        <v>23</v>
      </c>
      <c r="G1465" s="2">
        <v>15.486700000000001</v>
      </c>
      <c r="H1465" s="13">
        <v>5</v>
      </c>
      <c r="I1465" s="13">
        <v>41</v>
      </c>
      <c r="J1465" s="13">
        <v>-41</v>
      </c>
      <c r="K1465" s="10">
        <v>5</v>
      </c>
      <c r="L1465" s="2">
        <v>77.433499999999995</v>
      </c>
      <c r="M1465" s="1">
        <v>46245.497916666667</v>
      </c>
      <c r="N1465" t="s">
        <v>195</v>
      </c>
    </row>
    <row r="1466" spans="1:14" x14ac:dyDescent="0.25">
      <c r="A1466" s="9" t="s">
        <v>5211</v>
      </c>
      <c r="B1466" s="10">
        <v>636</v>
      </c>
      <c r="C1466" s="10" t="s">
        <v>70</v>
      </c>
      <c r="D1466" t="s">
        <v>4413</v>
      </c>
      <c r="E1466" t="s">
        <v>4414</v>
      </c>
      <c r="F1466" s="10" t="s">
        <v>29</v>
      </c>
      <c r="G1466" s="2">
        <v>6.6226000000000003</v>
      </c>
      <c r="H1466" s="13">
        <v>5</v>
      </c>
      <c r="I1466" s="13">
        <v>5</v>
      </c>
      <c r="J1466" s="13">
        <v>-5</v>
      </c>
      <c r="K1466" s="10">
        <v>5</v>
      </c>
      <c r="L1466" s="2">
        <v>33.113</v>
      </c>
      <c r="M1466" s="1">
        <v>46247.30972222222</v>
      </c>
      <c r="N1466" t="s">
        <v>40</v>
      </c>
    </row>
    <row r="1467" spans="1:14" x14ac:dyDescent="0.25">
      <c r="A1467" s="9" t="s">
        <v>5211</v>
      </c>
      <c r="B1467" s="10">
        <v>714</v>
      </c>
      <c r="C1467" s="10" t="s">
        <v>323</v>
      </c>
      <c r="D1467" t="s">
        <v>3403</v>
      </c>
      <c r="E1467" t="s">
        <v>3404</v>
      </c>
      <c r="F1467" s="10" t="s">
        <v>29</v>
      </c>
      <c r="G1467" s="2">
        <v>169.25829999999999</v>
      </c>
      <c r="H1467" s="13">
        <v>4</v>
      </c>
      <c r="I1467" s="13">
        <v>0</v>
      </c>
      <c r="J1467" s="13">
        <v>0</v>
      </c>
      <c r="K1467" s="10">
        <v>4</v>
      </c>
      <c r="L1467" s="2">
        <v>677.03319999999997</v>
      </c>
      <c r="M1467" s="1">
        <v>44271.386805555558</v>
      </c>
      <c r="N1467" t="s">
        <v>216</v>
      </c>
    </row>
    <row r="1468" spans="1:14" x14ac:dyDescent="0.25">
      <c r="A1468" s="9" t="s">
        <v>5211</v>
      </c>
      <c r="B1468" s="10">
        <v>634</v>
      </c>
      <c r="C1468" s="10" t="s">
        <v>143</v>
      </c>
      <c r="D1468" t="s">
        <v>4164</v>
      </c>
      <c r="E1468" t="s">
        <v>4165</v>
      </c>
      <c r="F1468" s="10" t="s">
        <v>29</v>
      </c>
      <c r="G1468" s="2">
        <v>27.765499999999999</v>
      </c>
      <c r="H1468" s="13">
        <v>4</v>
      </c>
      <c r="I1468" s="13">
        <v>21</v>
      </c>
      <c r="J1468" s="13">
        <v>-21</v>
      </c>
      <c r="K1468" s="10">
        <v>4</v>
      </c>
      <c r="L1468" s="2">
        <v>111.062</v>
      </c>
      <c r="M1468" s="1">
        <v>45176.328472222223</v>
      </c>
      <c r="N1468" t="s">
        <v>175</v>
      </c>
    </row>
    <row r="1469" spans="1:14" x14ac:dyDescent="0.25">
      <c r="A1469" s="9" t="s">
        <v>5211</v>
      </c>
      <c r="B1469" s="10">
        <v>714</v>
      </c>
      <c r="C1469" s="10" t="s">
        <v>323</v>
      </c>
      <c r="D1469" t="s">
        <v>3502</v>
      </c>
      <c r="E1469" s="6" t="s">
        <v>3503</v>
      </c>
      <c r="F1469" s="11" t="s">
        <v>58</v>
      </c>
      <c r="G1469" s="2">
        <v>224.49930000000001</v>
      </c>
      <c r="H1469" s="13">
        <v>4</v>
      </c>
      <c r="I1469" s="13">
        <v>0</v>
      </c>
      <c r="J1469" s="13">
        <v>0</v>
      </c>
      <c r="K1469" s="10">
        <v>4</v>
      </c>
      <c r="L1469" s="2">
        <v>897.99720000000002</v>
      </c>
      <c r="M1469" s="1">
        <v>45370.397222222222</v>
      </c>
      <c r="N1469" t="s">
        <v>363</v>
      </c>
    </row>
    <row r="1470" spans="1:14" x14ac:dyDescent="0.25">
      <c r="A1470" s="9" t="s">
        <v>5211</v>
      </c>
      <c r="B1470" s="10">
        <v>634</v>
      </c>
      <c r="C1470" s="10" t="s">
        <v>126</v>
      </c>
      <c r="D1470" t="s">
        <v>4060</v>
      </c>
      <c r="E1470" s="6" t="s">
        <v>4061</v>
      </c>
      <c r="F1470" s="11" t="s">
        <v>58</v>
      </c>
      <c r="G1470" s="2">
        <v>18.1478</v>
      </c>
      <c r="H1470" s="13">
        <v>4</v>
      </c>
      <c r="I1470" s="13">
        <v>5</v>
      </c>
      <c r="J1470" s="13">
        <v>-5</v>
      </c>
      <c r="K1470" s="10">
        <v>4</v>
      </c>
      <c r="L1470" s="2">
        <v>72.591200000000001</v>
      </c>
      <c r="M1470" s="1">
        <v>45420.447916666664</v>
      </c>
      <c r="N1470" t="s">
        <v>140</v>
      </c>
    </row>
    <row r="1471" spans="1:14" x14ac:dyDescent="0.25">
      <c r="A1471" s="9" t="s">
        <v>5211</v>
      </c>
      <c r="B1471" s="10">
        <v>714</v>
      </c>
      <c r="C1471" s="10" t="s">
        <v>12</v>
      </c>
      <c r="D1471" t="s">
        <v>1886</v>
      </c>
      <c r="E1471" s="6" t="s">
        <v>1887</v>
      </c>
      <c r="F1471" s="11" t="s">
        <v>58</v>
      </c>
      <c r="G1471" s="2">
        <v>15.6762</v>
      </c>
      <c r="H1471" s="13">
        <v>4</v>
      </c>
      <c r="I1471" s="13">
        <v>0</v>
      </c>
      <c r="J1471" s="13">
        <v>0</v>
      </c>
      <c r="K1471" s="10">
        <v>4</v>
      </c>
      <c r="L1471" s="2">
        <v>62.704799999999999</v>
      </c>
      <c r="M1471" s="1">
        <v>45426.642361111109</v>
      </c>
      <c r="N1471" t="s">
        <v>64</v>
      </c>
    </row>
    <row r="1472" spans="1:14" x14ac:dyDescent="0.25">
      <c r="A1472" s="9" t="s">
        <v>5211</v>
      </c>
      <c r="B1472" s="10">
        <v>634</v>
      </c>
      <c r="C1472" s="10" t="s">
        <v>143</v>
      </c>
      <c r="D1472" t="s">
        <v>4234</v>
      </c>
      <c r="E1472" t="s">
        <v>4235</v>
      </c>
      <c r="F1472" s="10" t="s">
        <v>15</v>
      </c>
      <c r="G1472" s="2">
        <v>19.367699999999999</v>
      </c>
      <c r="H1472" s="13">
        <v>4</v>
      </c>
      <c r="I1472" s="13">
        <v>4</v>
      </c>
      <c r="J1472" s="13">
        <v>-4</v>
      </c>
      <c r="K1472" s="10">
        <v>4</v>
      </c>
      <c r="L1472" s="2">
        <v>77.470799999999997</v>
      </c>
      <c r="M1472" s="1">
        <v>45450.48541666667</v>
      </c>
      <c r="N1472" t="s">
        <v>40</v>
      </c>
    </row>
    <row r="1473" spans="1:14" x14ac:dyDescent="0.25">
      <c r="A1473" s="9" t="s">
        <v>5211</v>
      </c>
      <c r="B1473" s="10">
        <v>636</v>
      </c>
      <c r="C1473" s="10" t="s">
        <v>70</v>
      </c>
      <c r="D1473" t="s">
        <v>3673</v>
      </c>
      <c r="E1473" t="s">
        <v>3674</v>
      </c>
      <c r="F1473" s="10" t="s">
        <v>29</v>
      </c>
      <c r="G1473" s="2">
        <v>5.4</v>
      </c>
      <c r="H1473" s="13">
        <v>4</v>
      </c>
      <c r="I1473" s="13">
        <v>16</v>
      </c>
      <c r="J1473" s="13">
        <v>-16</v>
      </c>
      <c r="K1473" s="10">
        <v>4</v>
      </c>
      <c r="L1473" s="2">
        <v>21.6</v>
      </c>
      <c r="M1473" s="1">
        <v>45506.462500000001</v>
      </c>
      <c r="N1473" t="s">
        <v>40</v>
      </c>
    </row>
    <row r="1474" spans="1:14" x14ac:dyDescent="0.25">
      <c r="A1474" s="9" t="s">
        <v>5211</v>
      </c>
      <c r="B1474" s="10">
        <v>634</v>
      </c>
      <c r="C1474" s="10" t="s">
        <v>323</v>
      </c>
      <c r="D1474" t="s">
        <v>482</v>
      </c>
      <c r="E1474" s="6" t="s">
        <v>483</v>
      </c>
      <c r="F1474" s="11" t="s">
        <v>58</v>
      </c>
      <c r="G1474" s="2">
        <v>142.16130000000001</v>
      </c>
      <c r="H1474" s="13">
        <v>4</v>
      </c>
      <c r="I1474" s="13">
        <v>-1</v>
      </c>
      <c r="J1474" s="13">
        <v>1</v>
      </c>
      <c r="K1474" s="10">
        <v>4</v>
      </c>
      <c r="L1474" s="2">
        <v>568.64520000000005</v>
      </c>
      <c r="M1474" s="1">
        <v>45716.448611111111</v>
      </c>
      <c r="N1474" t="s">
        <v>151</v>
      </c>
    </row>
    <row r="1475" spans="1:14" x14ac:dyDescent="0.25">
      <c r="A1475" s="9" t="s">
        <v>5211</v>
      </c>
      <c r="B1475" s="10">
        <v>636</v>
      </c>
      <c r="C1475" s="10" t="s">
        <v>323</v>
      </c>
      <c r="D1475" t="s">
        <v>1731</v>
      </c>
      <c r="E1475" t="s">
        <v>1732</v>
      </c>
      <c r="F1475" s="10" t="s">
        <v>1047</v>
      </c>
      <c r="G1475" s="2">
        <v>187.95320000000001</v>
      </c>
      <c r="H1475" s="13">
        <v>4</v>
      </c>
      <c r="I1475" s="13">
        <v>0</v>
      </c>
      <c r="J1475" s="13">
        <v>0</v>
      </c>
      <c r="K1475" s="10">
        <v>4</v>
      </c>
      <c r="L1475" s="2">
        <v>751.81280000000004</v>
      </c>
      <c r="M1475" s="1">
        <v>45733.642361111109</v>
      </c>
      <c r="N1475" t="s">
        <v>357</v>
      </c>
    </row>
    <row r="1476" spans="1:14" x14ac:dyDescent="0.25">
      <c r="A1476" s="9" t="s">
        <v>5211</v>
      </c>
      <c r="B1476" s="10">
        <v>718</v>
      </c>
      <c r="C1476" s="10" t="s">
        <v>12</v>
      </c>
      <c r="D1476" t="s">
        <v>3586</v>
      </c>
      <c r="E1476" s="6" t="s">
        <v>3587</v>
      </c>
      <c r="F1476" s="11" t="s">
        <v>58</v>
      </c>
      <c r="G1476" s="2">
        <v>32.017000000000003</v>
      </c>
      <c r="H1476" s="13">
        <v>4</v>
      </c>
      <c r="I1476" s="13">
        <v>0</v>
      </c>
      <c r="J1476" s="13">
        <v>0</v>
      </c>
      <c r="K1476" s="10">
        <v>4</v>
      </c>
      <c r="L1476" s="2">
        <v>128.06800000000001</v>
      </c>
      <c r="M1476" s="1">
        <v>45735.504861111112</v>
      </c>
      <c r="N1476" t="s">
        <v>30</v>
      </c>
    </row>
    <row r="1477" spans="1:14" x14ac:dyDescent="0.25">
      <c r="A1477" s="9" t="s">
        <v>5211</v>
      </c>
      <c r="B1477" s="10">
        <v>718</v>
      </c>
      <c r="C1477" s="10" t="s">
        <v>143</v>
      </c>
      <c r="D1477" t="s">
        <v>1114</v>
      </c>
      <c r="E1477" t="s">
        <v>1115</v>
      </c>
      <c r="F1477" s="10" t="s">
        <v>35</v>
      </c>
      <c r="G1477" s="2">
        <v>59.035400000000003</v>
      </c>
      <c r="H1477" s="13">
        <v>4</v>
      </c>
      <c r="I1477" s="13">
        <v>0</v>
      </c>
      <c r="J1477" s="13">
        <v>0</v>
      </c>
      <c r="K1477" s="10">
        <v>4</v>
      </c>
      <c r="L1477" s="2">
        <v>236.14160000000001</v>
      </c>
      <c r="M1477" s="1">
        <v>45740.618055555555</v>
      </c>
      <c r="N1477" t="s">
        <v>885</v>
      </c>
    </row>
    <row r="1478" spans="1:14" x14ac:dyDescent="0.25">
      <c r="A1478" s="9" t="s">
        <v>5211</v>
      </c>
      <c r="B1478" s="10">
        <v>714</v>
      </c>
      <c r="C1478" s="10" t="s">
        <v>143</v>
      </c>
      <c r="D1478" t="s">
        <v>2557</v>
      </c>
      <c r="E1478" t="s">
        <v>2558</v>
      </c>
      <c r="F1478" s="10" t="s">
        <v>35</v>
      </c>
      <c r="G1478" s="2">
        <v>49</v>
      </c>
      <c r="H1478" s="13">
        <v>4</v>
      </c>
      <c r="I1478" s="13">
        <v>0</v>
      </c>
      <c r="J1478" s="13">
        <v>0</v>
      </c>
      <c r="K1478" s="10">
        <v>4</v>
      </c>
      <c r="L1478" s="2">
        <v>196</v>
      </c>
      <c r="M1478" s="1">
        <v>45742.353472222225</v>
      </c>
      <c r="N1478" t="s">
        <v>2444</v>
      </c>
    </row>
    <row r="1479" spans="1:14" x14ac:dyDescent="0.25">
      <c r="A1479" s="9" t="s">
        <v>5211</v>
      </c>
      <c r="B1479" s="10">
        <v>714</v>
      </c>
      <c r="C1479" s="10" t="s">
        <v>143</v>
      </c>
      <c r="D1479" t="s">
        <v>2442</v>
      </c>
      <c r="E1479" t="s">
        <v>2443</v>
      </c>
      <c r="F1479" s="10" t="s">
        <v>29</v>
      </c>
      <c r="G1479" s="2">
        <v>97.195599999999999</v>
      </c>
      <c r="H1479" s="13">
        <v>4</v>
      </c>
      <c r="I1479" s="13">
        <v>0</v>
      </c>
      <c r="J1479" s="13">
        <v>0</v>
      </c>
      <c r="K1479" s="10">
        <v>4</v>
      </c>
      <c r="L1479" s="2">
        <v>388.7824</v>
      </c>
      <c r="M1479" s="1">
        <v>45742.353472222225</v>
      </c>
      <c r="N1479" t="s">
        <v>2444</v>
      </c>
    </row>
    <row r="1480" spans="1:14" x14ac:dyDescent="0.25">
      <c r="A1480" s="9" t="s">
        <v>5211</v>
      </c>
      <c r="B1480" s="10">
        <v>718</v>
      </c>
      <c r="C1480" s="10" t="s">
        <v>143</v>
      </c>
      <c r="D1480" t="s">
        <v>2778</v>
      </c>
      <c r="E1480" s="6" t="s">
        <v>2779</v>
      </c>
      <c r="F1480" s="11" t="s">
        <v>58</v>
      </c>
      <c r="G1480" s="2">
        <v>23.569600000000001</v>
      </c>
      <c r="H1480" s="13">
        <v>4</v>
      </c>
      <c r="I1480" s="13">
        <v>1</v>
      </c>
      <c r="J1480" s="13">
        <v>-1</v>
      </c>
      <c r="K1480" s="10">
        <v>4</v>
      </c>
      <c r="L1480" s="2">
        <v>94.278400000000005</v>
      </c>
      <c r="M1480" s="1">
        <v>45742.504861111112</v>
      </c>
      <c r="N1480" t="s">
        <v>2225</v>
      </c>
    </row>
    <row r="1481" spans="1:14" x14ac:dyDescent="0.25">
      <c r="A1481" s="9" t="s">
        <v>5211</v>
      </c>
      <c r="B1481" s="10">
        <v>718</v>
      </c>
      <c r="C1481" s="10" t="s">
        <v>143</v>
      </c>
      <c r="D1481" t="s">
        <v>2304</v>
      </c>
      <c r="E1481" t="s">
        <v>2305</v>
      </c>
      <c r="F1481" s="10" t="s">
        <v>35</v>
      </c>
      <c r="G1481" s="2">
        <v>81.351200000000006</v>
      </c>
      <c r="H1481" s="13">
        <v>4</v>
      </c>
      <c r="I1481" s="13">
        <v>1</v>
      </c>
      <c r="J1481" s="13">
        <v>-1</v>
      </c>
      <c r="K1481" s="10">
        <v>4</v>
      </c>
      <c r="L1481" s="2">
        <v>325.40480000000002</v>
      </c>
      <c r="M1481" s="1">
        <v>45745.640277777777</v>
      </c>
      <c r="N1481" t="s">
        <v>67</v>
      </c>
    </row>
    <row r="1482" spans="1:14" x14ac:dyDescent="0.25">
      <c r="A1482" s="9" t="s">
        <v>5211</v>
      </c>
      <c r="B1482" s="10">
        <v>714</v>
      </c>
      <c r="C1482" s="10" t="s">
        <v>323</v>
      </c>
      <c r="D1482" t="s">
        <v>3433</v>
      </c>
      <c r="E1482" t="s">
        <v>3434</v>
      </c>
      <c r="F1482" s="10" t="s">
        <v>23</v>
      </c>
      <c r="G1482" s="2">
        <v>151.86269999999999</v>
      </c>
      <c r="H1482" s="13">
        <v>4</v>
      </c>
      <c r="I1482" s="13">
        <v>0</v>
      </c>
      <c r="J1482" s="13">
        <v>0</v>
      </c>
      <c r="K1482" s="10">
        <v>4</v>
      </c>
      <c r="L1482" s="2">
        <v>607.45079999999996</v>
      </c>
      <c r="M1482" s="1">
        <v>45749.493750000001</v>
      </c>
      <c r="N1482" t="s">
        <v>2358</v>
      </c>
    </row>
    <row r="1483" spans="1:14" x14ac:dyDescent="0.25">
      <c r="A1483" s="9" t="s">
        <v>5211</v>
      </c>
      <c r="B1483" s="10">
        <v>714</v>
      </c>
      <c r="C1483" s="10" t="s">
        <v>143</v>
      </c>
      <c r="D1483" t="s">
        <v>2523</v>
      </c>
      <c r="E1483" t="s">
        <v>2524</v>
      </c>
      <c r="F1483" s="10" t="s">
        <v>15</v>
      </c>
      <c r="G1483" s="2">
        <v>17.597999999999999</v>
      </c>
      <c r="H1483" s="13">
        <v>4</v>
      </c>
      <c r="I1483" s="13">
        <v>1</v>
      </c>
      <c r="J1483" s="13">
        <v>-1</v>
      </c>
      <c r="K1483" s="10">
        <v>4</v>
      </c>
      <c r="L1483" s="2">
        <v>70.391999999999996</v>
      </c>
      <c r="M1483" s="1">
        <v>45750.533333333333</v>
      </c>
      <c r="N1483" t="s">
        <v>2225</v>
      </c>
    </row>
    <row r="1484" spans="1:14" x14ac:dyDescent="0.25">
      <c r="A1484" s="9" t="s">
        <v>5211</v>
      </c>
      <c r="B1484" s="10">
        <v>714</v>
      </c>
      <c r="C1484" s="10" t="s">
        <v>323</v>
      </c>
      <c r="D1484" t="s">
        <v>3498</v>
      </c>
      <c r="E1484" s="6" t="s">
        <v>3499</v>
      </c>
      <c r="F1484" s="11" t="s">
        <v>58</v>
      </c>
      <c r="G1484" s="2">
        <v>156.22890000000001</v>
      </c>
      <c r="H1484" s="13">
        <v>4</v>
      </c>
      <c r="I1484" s="13">
        <v>-3</v>
      </c>
      <c r="J1484" s="13">
        <v>3</v>
      </c>
      <c r="K1484" s="10">
        <v>4</v>
      </c>
      <c r="L1484" s="2">
        <v>624.91560000000004</v>
      </c>
      <c r="M1484" s="1">
        <v>45756.330555555556</v>
      </c>
      <c r="N1484" t="s">
        <v>2457</v>
      </c>
    </row>
    <row r="1485" spans="1:14" x14ac:dyDescent="0.25">
      <c r="A1485" s="9" t="s">
        <v>5211</v>
      </c>
      <c r="B1485" s="10">
        <v>714</v>
      </c>
      <c r="C1485" s="10" t="s">
        <v>323</v>
      </c>
      <c r="D1485" t="s">
        <v>4955</v>
      </c>
      <c r="E1485" s="6" t="s">
        <v>4956</v>
      </c>
      <c r="F1485" s="11" t="s">
        <v>58</v>
      </c>
      <c r="G1485" s="2">
        <v>360</v>
      </c>
      <c r="H1485" s="13">
        <v>4</v>
      </c>
      <c r="I1485" s="13">
        <v>6</v>
      </c>
      <c r="J1485" s="13">
        <v>-6</v>
      </c>
      <c r="K1485" s="10">
        <v>4</v>
      </c>
      <c r="L1485" s="2">
        <v>1440</v>
      </c>
      <c r="M1485" s="1">
        <v>45757.679166666669</v>
      </c>
      <c r="N1485" t="s">
        <v>4957</v>
      </c>
    </row>
    <row r="1486" spans="1:14" x14ac:dyDescent="0.25">
      <c r="A1486" s="9" t="s">
        <v>5211</v>
      </c>
      <c r="B1486" s="10">
        <v>714</v>
      </c>
      <c r="C1486" s="10" t="s">
        <v>143</v>
      </c>
      <c r="D1486" t="s">
        <v>4893</v>
      </c>
      <c r="E1486" t="s">
        <v>4894</v>
      </c>
      <c r="F1486" s="10" t="s">
        <v>39</v>
      </c>
      <c r="G1486" s="2">
        <v>15.081</v>
      </c>
      <c r="H1486" s="13">
        <v>4</v>
      </c>
      <c r="I1486" s="13">
        <v>20</v>
      </c>
      <c r="J1486" s="13">
        <v>-20</v>
      </c>
      <c r="K1486" s="10">
        <v>4</v>
      </c>
      <c r="L1486" s="2">
        <v>60.323999999999998</v>
      </c>
      <c r="M1486" s="1">
        <v>45759.422222222223</v>
      </c>
      <c r="N1486" t="s">
        <v>140</v>
      </c>
    </row>
    <row r="1487" spans="1:14" x14ac:dyDescent="0.25">
      <c r="A1487" s="9" t="s">
        <v>5211</v>
      </c>
      <c r="B1487" s="10">
        <v>718</v>
      </c>
      <c r="C1487" s="10" t="s">
        <v>143</v>
      </c>
      <c r="D1487" t="s">
        <v>3765</v>
      </c>
      <c r="E1487" t="s">
        <v>3766</v>
      </c>
      <c r="F1487" s="10" t="s">
        <v>19</v>
      </c>
      <c r="G1487" s="2">
        <v>230.46100000000001</v>
      </c>
      <c r="H1487" s="13">
        <v>4</v>
      </c>
      <c r="I1487" s="13">
        <v>0</v>
      </c>
      <c r="J1487" s="13">
        <v>0</v>
      </c>
      <c r="K1487" s="10">
        <v>4</v>
      </c>
      <c r="L1487" s="2">
        <v>921.84400000000005</v>
      </c>
      <c r="M1487" s="1">
        <v>45764.410416666666</v>
      </c>
      <c r="N1487" t="s">
        <v>178</v>
      </c>
    </row>
    <row r="1488" spans="1:14" x14ac:dyDescent="0.25">
      <c r="A1488" s="9" t="s">
        <v>5211</v>
      </c>
      <c r="B1488" s="10">
        <v>714</v>
      </c>
      <c r="C1488" s="10" t="s">
        <v>323</v>
      </c>
      <c r="D1488" t="s">
        <v>3182</v>
      </c>
      <c r="E1488" s="6" t="s">
        <v>3183</v>
      </c>
      <c r="F1488" s="11" t="s">
        <v>58</v>
      </c>
      <c r="G1488" s="2">
        <v>123.3314</v>
      </c>
      <c r="H1488" s="13">
        <v>4</v>
      </c>
      <c r="I1488" s="13">
        <v>0</v>
      </c>
      <c r="J1488" s="13">
        <v>0</v>
      </c>
      <c r="K1488" s="10">
        <v>4</v>
      </c>
      <c r="L1488" s="2">
        <v>493.32560000000001</v>
      </c>
      <c r="M1488" s="1">
        <v>45766.383333333331</v>
      </c>
      <c r="N1488" t="s">
        <v>2271</v>
      </c>
    </row>
    <row r="1489" spans="1:14" x14ac:dyDescent="0.25">
      <c r="A1489" s="9" t="s">
        <v>5211</v>
      </c>
      <c r="B1489" s="10">
        <v>718</v>
      </c>
      <c r="C1489" s="10" t="s">
        <v>323</v>
      </c>
      <c r="D1489" t="s">
        <v>3839</v>
      </c>
      <c r="E1489" t="s">
        <v>3840</v>
      </c>
      <c r="F1489" s="10" t="s">
        <v>29</v>
      </c>
      <c r="G1489" s="2">
        <v>111.0369</v>
      </c>
      <c r="H1489" s="13">
        <v>4</v>
      </c>
      <c r="I1489" s="13">
        <v>-3</v>
      </c>
      <c r="J1489" s="13">
        <v>3</v>
      </c>
      <c r="K1489" s="10">
        <v>4</v>
      </c>
      <c r="L1489" s="2">
        <v>444.14760000000001</v>
      </c>
      <c r="M1489" s="1">
        <v>45768.57708333333</v>
      </c>
      <c r="N1489" t="s">
        <v>137</v>
      </c>
    </row>
    <row r="1490" spans="1:14" x14ac:dyDescent="0.25">
      <c r="A1490" s="9" t="s">
        <v>5211</v>
      </c>
      <c r="B1490" s="10">
        <v>714</v>
      </c>
      <c r="C1490" s="10" t="s">
        <v>1749</v>
      </c>
      <c r="D1490" t="s">
        <v>5119</v>
      </c>
      <c r="E1490" t="s">
        <v>5120</v>
      </c>
      <c r="F1490" s="10" t="s">
        <v>19</v>
      </c>
      <c r="G1490" s="2">
        <v>60.318399999999997</v>
      </c>
      <c r="H1490" s="13">
        <v>4</v>
      </c>
      <c r="I1490" s="13">
        <v>0</v>
      </c>
      <c r="J1490" s="13">
        <v>0</v>
      </c>
      <c r="K1490" s="10">
        <v>4</v>
      </c>
      <c r="L1490" s="2">
        <v>241.27359999999999</v>
      </c>
      <c r="M1490" s="1">
        <v>45769.379861111112</v>
      </c>
      <c r="N1490" t="s">
        <v>36</v>
      </c>
    </row>
    <row r="1491" spans="1:14" x14ac:dyDescent="0.25">
      <c r="A1491" s="9" t="s">
        <v>5211</v>
      </c>
      <c r="B1491" s="10">
        <v>714</v>
      </c>
      <c r="C1491" s="10" t="s">
        <v>323</v>
      </c>
      <c r="D1491" t="s">
        <v>3170</v>
      </c>
      <c r="E1491" t="s">
        <v>3171</v>
      </c>
      <c r="F1491" s="10" t="s">
        <v>35</v>
      </c>
      <c r="G1491" s="2">
        <v>108.3068</v>
      </c>
      <c r="H1491" s="13">
        <v>4</v>
      </c>
      <c r="I1491" s="13">
        <v>0</v>
      </c>
      <c r="J1491" s="13">
        <v>0</v>
      </c>
      <c r="K1491" s="10">
        <v>4</v>
      </c>
      <c r="L1491" s="2">
        <v>433.22719999999998</v>
      </c>
      <c r="M1491" s="1">
        <v>45776.32708333333</v>
      </c>
      <c r="N1491" t="s">
        <v>2898</v>
      </c>
    </row>
    <row r="1492" spans="1:14" x14ac:dyDescent="0.25">
      <c r="A1492" s="9" t="s">
        <v>5211</v>
      </c>
      <c r="B1492" s="10">
        <v>636</v>
      </c>
      <c r="C1492" s="10" t="s">
        <v>323</v>
      </c>
      <c r="D1492" t="s">
        <v>1435</v>
      </c>
      <c r="E1492" t="s">
        <v>1436</v>
      </c>
      <c r="F1492" s="10" t="s">
        <v>19</v>
      </c>
      <c r="G1492" s="2">
        <v>573.84630000000004</v>
      </c>
      <c r="H1492" s="13">
        <v>4</v>
      </c>
      <c r="I1492" s="13">
        <v>3</v>
      </c>
      <c r="J1492" s="13">
        <v>-3</v>
      </c>
      <c r="K1492" s="10">
        <v>4</v>
      </c>
      <c r="L1492" s="2">
        <v>2295.3852000000002</v>
      </c>
      <c r="M1492" s="1">
        <v>45777.481249999997</v>
      </c>
      <c r="N1492" t="s">
        <v>1437</v>
      </c>
    </row>
    <row r="1493" spans="1:14" x14ac:dyDescent="0.25">
      <c r="A1493" s="9" t="s">
        <v>5211</v>
      </c>
      <c r="B1493" s="10">
        <v>714</v>
      </c>
      <c r="C1493" s="10" t="s">
        <v>143</v>
      </c>
      <c r="D1493" t="s">
        <v>2451</v>
      </c>
      <c r="E1493" t="s">
        <v>2452</v>
      </c>
      <c r="F1493" s="10" t="s">
        <v>29</v>
      </c>
      <c r="G1493" s="2">
        <v>89.989199999999997</v>
      </c>
      <c r="H1493" s="13">
        <v>4</v>
      </c>
      <c r="I1493" s="13">
        <v>0</v>
      </c>
      <c r="J1493" s="13">
        <v>0</v>
      </c>
      <c r="K1493" s="10">
        <v>4</v>
      </c>
      <c r="L1493" s="2">
        <v>359.95679999999999</v>
      </c>
      <c r="M1493" s="1">
        <v>45783.498611111114</v>
      </c>
      <c r="N1493" t="s">
        <v>26</v>
      </c>
    </row>
    <row r="1494" spans="1:14" x14ac:dyDescent="0.25">
      <c r="A1494" s="9" t="s">
        <v>5211</v>
      </c>
      <c r="B1494" s="10">
        <v>636</v>
      </c>
      <c r="C1494" s="10" t="s">
        <v>143</v>
      </c>
      <c r="D1494" t="s">
        <v>4567</v>
      </c>
      <c r="E1494" t="s">
        <v>4568</v>
      </c>
      <c r="F1494" s="10" t="s">
        <v>35</v>
      </c>
      <c r="G1494" s="2">
        <v>21.231100000000001</v>
      </c>
      <c r="H1494" s="13">
        <v>4</v>
      </c>
      <c r="I1494" s="13">
        <v>3</v>
      </c>
      <c r="J1494" s="13">
        <v>-3</v>
      </c>
      <c r="K1494" s="10">
        <v>4</v>
      </c>
      <c r="L1494" s="2">
        <v>84.924400000000006</v>
      </c>
      <c r="M1494" s="1">
        <v>45786.473611111112</v>
      </c>
      <c r="N1494" t="s">
        <v>40</v>
      </c>
    </row>
    <row r="1495" spans="1:14" x14ac:dyDescent="0.25">
      <c r="A1495" s="9" t="s">
        <v>5211</v>
      </c>
      <c r="B1495" s="10">
        <v>714</v>
      </c>
      <c r="C1495" s="10" t="s">
        <v>323</v>
      </c>
      <c r="D1495" t="s">
        <v>3073</v>
      </c>
      <c r="E1495" t="s">
        <v>3074</v>
      </c>
      <c r="F1495" s="10" t="s">
        <v>29</v>
      </c>
      <c r="G1495" s="2">
        <v>144.28360000000001</v>
      </c>
      <c r="H1495" s="13">
        <v>4</v>
      </c>
      <c r="I1495" s="13">
        <v>0</v>
      </c>
      <c r="J1495" s="13">
        <v>0</v>
      </c>
      <c r="K1495" s="10">
        <v>4</v>
      </c>
      <c r="L1495" s="2">
        <v>577.13440000000003</v>
      </c>
      <c r="M1495" s="1">
        <v>45790.337500000001</v>
      </c>
      <c r="N1495" t="s">
        <v>2379</v>
      </c>
    </row>
    <row r="1496" spans="1:14" x14ac:dyDescent="0.25">
      <c r="A1496" s="9" t="s">
        <v>5211</v>
      </c>
      <c r="B1496" s="10">
        <v>718</v>
      </c>
      <c r="C1496" s="10" t="s">
        <v>323</v>
      </c>
      <c r="D1496" t="s">
        <v>1243</v>
      </c>
      <c r="E1496" t="s">
        <v>1244</v>
      </c>
      <c r="F1496" s="10" t="s">
        <v>29</v>
      </c>
      <c r="G1496" s="2">
        <v>221.32929999999999</v>
      </c>
      <c r="H1496" s="13">
        <v>4</v>
      </c>
      <c r="I1496" s="13">
        <v>0</v>
      </c>
      <c r="J1496" s="13">
        <v>0</v>
      </c>
      <c r="K1496" s="10">
        <v>4</v>
      </c>
      <c r="L1496" s="2">
        <v>885.31719999999996</v>
      </c>
      <c r="M1496" s="1">
        <v>45792.502083333333</v>
      </c>
      <c r="N1496" t="s">
        <v>2930</v>
      </c>
    </row>
    <row r="1497" spans="1:14" x14ac:dyDescent="0.25">
      <c r="A1497" s="9" t="s">
        <v>5211</v>
      </c>
      <c r="B1497" s="10">
        <v>634</v>
      </c>
      <c r="C1497" s="10" t="s">
        <v>70</v>
      </c>
      <c r="D1497" t="s">
        <v>117</v>
      </c>
      <c r="E1497" s="6" t="s">
        <v>118</v>
      </c>
      <c r="F1497" s="11" t="s">
        <v>58</v>
      </c>
      <c r="G1497" s="2">
        <v>5.8616999999999999</v>
      </c>
      <c r="H1497" s="13">
        <v>4</v>
      </c>
      <c r="I1497" s="13">
        <v>0</v>
      </c>
      <c r="J1497" s="13">
        <v>0</v>
      </c>
      <c r="K1497" s="10">
        <v>4</v>
      </c>
      <c r="L1497" s="2">
        <v>23.4468</v>
      </c>
      <c r="M1497" s="1">
        <v>45807.578472222223</v>
      </c>
      <c r="N1497" t="s">
        <v>16</v>
      </c>
    </row>
    <row r="1498" spans="1:14" x14ac:dyDescent="0.25">
      <c r="A1498" s="9" t="s">
        <v>5211</v>
      </c>
      <c r="B1498" s="10">
        <v>718</v>
      </c>
      <c r="C1498" s="10" t="s">
        <v>323</v>
      </c>
      <c r="D1498" t="s">
        <v>2858</v>
      </c>
      <c r="E1498" t="s">
        <v>2859</v>
      </c>
      <c r="F1498" s="10" t="s">
        <v>29</v>
      </c>
      <c r="G1498" s="2">
        <v>157.923</v>
      </c>
      <c r="H1498" s="13">
        <v>4</v>
      </c>
      <c r="I1498" s="13">
        <v>2</v>
      </c>
      <c r="J1498" s="13">
        <v>-2</v>
      </c>
      <c r="K1498" s="10">
        <v>4</v>
      </c>
      <c r="L1498" s="2">
        <v>631.69200000000001</v>
      </c>
      <c r="M1498" s="1">
        <v>45815.55972222222</v>
      </c>
      <c r="N1498" t="s">
        <v>903</v>
      </c>
    </row>
    <row r="1499" spans="1:14" x14ac:dyDescent="0.25">
      <c r="A1499" s="9" t="s">
        <v>5211</v>
      </c>
      <c r="B1499" s="10">
        <v>718</v>
      </c>
      <c r="C1499" s="10" t="s">
        <v>323</v>
      </c>
      <c r="D1499" t="s">
        <v>3007</v>
      </c>
      <c r="E1499" t="s">
        <v>3008</v>
      </c>
      <c r="F1499" s="10" t="s">
        <v>29</v>
      </c>
      <c r="G1499" s="2">
        <v>176.4435</v>
      </c>
      <c r="H1499" s="13">
        <v>4</v>
      </c>
      <c r="I1499" s="13">
        <v>0</v>
      </c>
      <c r="J1499" s="13">
        <v>0</v>
      </c>
      <c r="K1499" s="10">
        <v>4</v>
      </c>
      <c r="L1499" s="2">
        <v>705.774</v>
      </c>
      <c r="M1499" s="1">
        <v>45827.370138888888</v>
      </c>
      <c r="N1499" t="s">
        <v>3009</v>
      </c>
    </row>
    <row r="1500" spans="1:14" x14ac:dyDescent="0.25">
      <c r="A1500" s="9" t="s">
        <v>5211</v>
      </c>
      <c r="B1500" s="10">
        <v>718</v>
      </c>
      <c r="C1500" s="10" t="s">
        <v>323</v>
      </c>
      <c r="D1500" t="s">
        <v>5176</v>
      </c>
      <c r="E1500" t="s">
        <v>5177</v>
      </c>
      <c r="F1500" s="10" t="s">
        <v>29</v>
      </c>
      <c r="G1500" s="2">
        <v>170.16309999999999</v>
      </c>
      <c r="H1500" s="13">
        <v>4</v>
      </c>
      <c r="I1500" s="13">
        <v>0</v>
      </c>
      <c r="J1500" s="13">
        <v>0</v>
      </c>
      <c r="K1500" s="10">
        <v>4</v>
      </c>
      <c r="L1500" s="2">
        <v>680.65239999999994</v>
      </c>
      <c r="M1500" s="1">
        <v>45832.652083333334</v>
      </c>
      <c r="N1500" t="s">
        <v>3323</v>
      </c>
    </row>
    <row r="1501" spans="1:14" x14ac:dyDescent="0.25">
      <c r="A1501" s="9" t="s">
        <v>5211</v>
      </c>
      <c r="B1501" s="10">
        <v>636</v>
      </c>
      <c r="C1501" s="10" t="s">
        <v>323</v>
      </c>
      <c r="D1501" t="s">
        <v>1624</v>
      </c>
      <c r="E1501" t="s">
        <v>1625</v>
      </c>
      <c r="F1501" s="10" t="s">
        <v>29</v>
      </c>
      <c r="G1501" s="2">
        <v>230.7313</v>
      </c>
      <c r="H1501" s="13">
        <v>4</v>
      </c>
      <c r="I1501" s="13">
        <v>0</v>
      </c>
      <c r="J1501" s="13">
        <v>0</v>
      </c>
      <c r="K1501" s="10">
        <v>4</v>
      </c>
      <c r="L1501" s="2">
        <v>922.92520000000002</v>
      </c>
      <c r="M1501" s="1">
        <v>45838.500694444447</v>
      </c>
      <c r="N1501" t="s">
        <v>890</v>
      </c>
    </row>
    <row r="1502" spans="1:14" x14ac:dyDescent="0.25">
      <c r="A1502" s="9" t="s">
        <v>5211</v>
      </c>
      <c r="B1502" s="10">
        <v>634</v>
      </c>
      <c r="C1502" s="10" t="s">
        <v>70</v>
      </c>
      <c r="D1502" t="s">
        <v>71</v>
      </c>
      <c r="E1502" s="6" t="s">
        <v>72</v>
      </c>
      <c r="F1502" s="11" t="s">
        <v>58</v>
      </c>
      <c r="G1502" s="2">
        <v>5.8710000000000004</v>
      </c>
      <c r="H1502" s="13">
        <v>4</v>
      </c>
      <c r="I1502" s="13">
        <v>0</v>
      </c>
      <c r="J1502" s="13">
        <v>0</v>
      </c>
      <c r="K1502" s="10">
        <v>4</v>
      </c>
      <c r="L1502" s="2">
        <v>23.484000000000002</v>
      </c>
      <c r="M1502" s="1">
        <v>45863.606249999997</v>
      </c>
      <c r="N1502" t="s">
        <v>16</v>
      </c>
    </row>
    <row r="1503" spans="1:14" x14ac:dyDescent="0.25">
      <c r="A1503" s="9" t="s">
        <v>5211</v>
      </c>
      <c r="B1503" s="10">
        <v>636</v>
      </c>
      <c r="C1503" s="10" t="s">
        <v>143</v>
      </c>
      <c r="D1503" t="s">
        <v>4473</v>
      </c>
      <c r="E1503" t="s">
        <v>4474</v>
      </c>
      <c r="F1503" s="10" t="s">
        <v>29</v>
      </c>
      <c r="G1503" s="2">
        <v>17.997699999999998</v>
      </c>
      <c r="H1503" s="13">
        <v>4</v>
      </c>
      <c r="I1503" s="13">
        <v>0</v>
      </c>
      <c r="J1503" s="13">
        <v>0</v>
      </c>
      <c r="K1503" s="10">
        <v>4</v>
      </c>
      <c r="L1503" s="2">
        <v>71.990799999999993</v>
      </c>
      <c r="M1503" s="1">
        <v>45926.381944444445</v>
      </c>
      <c r="N1503" t="s">
        <v>830</v>
      </c>
    </row>
    <row r="1504" spans="1:14" x14ac:dyDescent="0.25">
      <c r="A1504" s="9" t="s">
        <v>5211</v>
      </c>
      <c r="B1504" s="10">
        <v>718</v>
      </c>
      <c r="C1504" s="10" t="s">
        <v>143</v>
      </c>
      <c r="D1504" t="s">
        <v>4222</v>
      </c>
      <c r="E1504" t="s">
        <v>4223</v>
      </c>
      <c r="F1504" s="10" t="s">
        <v>29</v>
      </c>
      <c r="G1504" s="2">
        <v>43.866700000000002</v>
      </c>
      <c r="H1504" s="13">
        <v>4</v>
      </c>
      <c r="I1504" s="13">
        <v>95</v>
      </c>
      <c r="J1504" s="13">
        <v>-95</v>
      </c>
      <c r="K1504" s="10">
        <v>4</v>
      </c>
      <c r="L1504" s="2">
        <v>175.46680000000001</v>
      </c>
      <c r="M1504" s="1">
        <v>45926.795138888891</v>
      </c>
      <c r="N1504" t="s">
        <v>1870</v>
      </c>
    </row>
    <row r="1505" spans="1:14" x14ac:dyDescent="0.25">
      <c r="A1505" s="9" t="s">
        <v>5211</v>
      </c>
      <c r="B1505" s="10">
        <v>636</v>
      </c>
      <c r="C1505" s="10" t="s">
        <v>323</v>
      </c>
      <c r="D1505" t="s">
        <v>2906</v>
      </c>
      <c r="E1505" t="s">
        <v>2907</v>
      </c>
      <c r="F1505" s="10" t="s">
        <v>15</v>
      </c>
      <c r="G1505" s="2">
        <v>63.805300000000003</v>
      </c>
      <c r="H1505" s="13">
        <v>4</v>
      </c>
      <c r="I1505" s="13">
        <v>2</v>
      </c>
      <c r="J1505" s="13">
        <v>-2</v>
      </c>
      <c r="K1505" s="10">
        <v>4</v>
      </c>
      <c r="L1505" s="2">
        <v>255.22120000000001</v>
      </c>
      <c r="M1505" s="1">
        <v>45937.617361111108</v>
      </c>
      <c r="N1505" t="s">
        <v>175</v>
      </c>
    </row>
    <row r="1506" spans="1:14" x14ac:dyDescent="0.25">
      <c r="A1506" s="9" t="s">
        <v>5211</v>
      </c>
      <c r="B1506" s="10">
        <v>636</v>
      </c>
      <c r="C1506" s="10" t="s">
        <v>323</v>
      </c>
      <c r="D1506" t="s">
        <v>4258</v>
      </c>
      <c r="E1506" t="s">
        <v>4259</v>
      </c>
      <c r="F1506" s="10" t="s">
        <v>23</v>
      </c>
      <c r="G1506" s="2">
        <v>273.20249999999999</v>
      </c>
      <c r="H1506" s="13">
        <v>4</v>
      </c>
      <c r="I1506" s="13">
        <v>1</v>
      </c>
      <c r="J1506" s="13">
        <v>-1</v>
      </c>
      <c r="K1506" s="10">
        <v>4</v>
      </c>
      <c r="L1506" s="2">
        <v>1092.81</v>
      </c>
      <c r="M1506" s="1">
        <v>45940.46597222222</v>
      </c>
      <c r="N1506" t="s">
        <v>486</v>
      </c>
    </row>
    <row r="1507" spans="1:14" x14ac:dyDescent="0.25">
      <c r="A1507" s="9" t="s">
        <v>5211</v>
      </c>
      <c r="B1507" s="10">
        <v>634</v>
      </c>
      <c r="C1507" s="10" t="s">
        <v>323</v>
      </c>
      <c r="D1507" t="s">
        <v>4320</v>
      </c>
      <c r="E1507" t="s">
        <v>4321</v>
      </c>
      <c r="F1507" s="10" t="s">
        <v>29</v>
      </c>
      <c r="G1507" s="2">
        <v>214.57509999999999</v>
      </c>
      <c r="H1507" s="13">
        <v>4</v>
      </c>
      <c r="I1507" s="13">
        <v>4</v>
      </c>
      <c r="J1507" s="13">
        <v>-4</v>
      </c>
      <c r="K1507" s="10">
        <v>4</v>
      </c>
      <c r="L1507" s="2">
        <v>858.30039999999997</v>
      </c>
      <c r="M1507" s="1">
        <v>45940.796527777777</v>
      </c>
      <c r="N1507" t="s">
        <v>486</v>
      </c>
    </row>
    <row r="1508" spans="1:14" x14ac:dyDescent="0.25">
      <c r="A1508" s="9" t="s">
        <v>5211</v>
      </c>
      <c r="B1508" s="10">
        <v>714</v>
      </c>
      <c r="C1508" s="10" t="s">
        <v>323</v>
      </c>
      <c r="D1508" t="s">
        <v>3159</v>
      </c>
      <c r="E1508" t="s">
        <v>3160</v>
      </c>
      <c r="F1508" s="10" t="s">
        <v>29</v>
      </c>
      <c r="G1508" s="2">
        <v>75</v>
      </c>
      <c r="H1508" s="13">
        <v>4</v>
      </c>
      <c r="I1508" s="13">
        <v>0</v>
      </c>
      <c r="J1508" s="13">
        <v>0</v>
      </c>
      <c r="K1508" s="10">
        <v>4</v>
      </c>
      <c r="L1508" s="2">
        <v>300</v>
      </c>
      <c r="M1508" s="1">
        <v>45947.566666666666</v>
      </c>
      <c r="N1508" t="s">
        <v>1224</v>
      </c>
    </row>
    <row r="1509" spans="1:14" x14ac:dyDescent="0.25">
      <c r="A1509" s="9" t="s">
        <v>5211</v>
      </c>
      <c r="B1509" s="10">
        <v>714</v>
      </c>
      <c r="C1509" s="10" t="s">
        <v>323</v>
      </c>
      <c r="D1509" t="s">
        <v>3474</v>
      </c>
      <c r="E1509" t="s">
        <v>3475</v>
      </c>
      <c r="F1509" s="10" t="s">
        <v>23</v>
      </c>
      <c r="G1509" s="2">
        <v>75</v>
      </c>
      <c r="H1509" s="13">
        <v>4</v>
      </c>
      <c r="I1509" s="13">
        <v>1</v>
      </c>
      <c r="J1509" s="13">
        <v>-1</v>
      </c>
      <c r="K1509" s="10">
        <v>4</v>
      </c>
      <c r="L1509" s="2">
        <v>300</v>
      </c>
      <c r="M1509" s="1">
        <v>45953.361111111109</v>
      </c>
      <c r="N1509" t="s">
        <v>1224</v>
      </c>
    </row>
    <row r="1510" spans="1:14" x14ac:dyDescent="0.25">
      <c r="A1510" s="9" t="s">
        <v>5211</v>
      </c>
      <c r="B1510" s="10">
        <v>636</v>
      </c>
      <c r="C1510" s="10" t="s">
        <v>323</v>
      </c>
      <c r="D1510" t="s">
        <v>4371</v>
      </c>
      <c r="E1510" t="s">
        <v>4372</v>
      </c>
      <c r="F1510" s="10" t="s">
        <v>158</v>
      </c>
      <c r="G1510" s="2">
        <v>222.74610000000001</v>
      </c>
      <c r="H1510" s="13">
        <v>4</v>
      </c>
      <c r="I1510" s="13">
        <v>23</v>
      </c>
      <c r="J1510" s="13">
        <v>-23</v>
      </c>
      <c r="K1510" s="10">
        <v>4</v>
      </c>
      <c r="L1510" s="2">
        <v>890.98440000000005</v>
      </c>
      <c r="M1510" s="1">
        <v>45954.380555555559</v>
      </c>
      <c r="N1510" t="s">
        <v>151</v>
      </c>
    </row>
    <row r="1511" spans="1:14" x14ac:dyDescent="0.25">
      <c r="A1511" s="9" t="s">
        <v>5211</v>
      </c>
      <c r="B1511" s="10">
        <v>714</v>
      </c>
      <c r="C1511" s="10" t="s">
        <v>323</v>
      </c>
      <c r="D1511" t="s">
        <v>4943</v>
      </c>
      <c r="E1511" t="s">
        <v>4944</v>
      </c>
      <c r="F1511" s="10" t="s">
        <v>19</v>
      </c>
      <c r="G1511" s="2">
        <v>123.732</v>
      </c>
      <c r="H1511" s="13">
        <v>4</v>
      </c>
      <c r="I1511" s="13">
        <v>0</v>
      </c>
      <c r="J1511" s="13">
        <v>0</v>
      </c>
      <c r="K1511" s="10">
        <v>4</v>
      </c>
      <c r="L1511" s="2">
        <v>494.928</v>
      </c>
      <c r="M1511" s="1">
        <v>45955.40347222222</v>
      </c>
      <c r="N1511" t="s">
        <v>216</v>
      </c>
    </row>
    <row r="1512" spans="1:14" x14ac:dyDescent="0.25">
      <c r="A1512" s="9" t="s">
        <v>5211</v>
      </c>
      <c r="B1512" s="10">
        <v>636</v>
      </c>
      <c r="C1512" s="10" t="s">
        <v>143</v>
      </c>
      <c r="D1512" t="s">
        <v>1043</v>
      </c>
      <c r="E1512" s="6" t="s">
        <v>1044</v>
      </c>
      <c r="F1512" s="11" t="s">
        <v>58</v>
      </c>
      <c r="G1512" s="2">
        <v>203.73820000000001</v>
      </c>
      <c r="H1512" s="13">
        <v>4</v>
      </c>
      <c r="I1512" s="13">
        <v>0</v>
      </c>
      <c r="J1512" s="13">
        <v>0</v>
      </c>
      <c r="K1512" s="10">
        <v>4</v>
      </c>
      <c r="L1512" s="2">
        <v>814.95280000000002</v>
      </c>
      <c r="M1512" s="1">
        <v>45971.493750000001</v>
      </c>
      <c r="N1512" t="s">
        <v>165</v>
      </c>
    </row>
    <row r="1513" spans="1:14" x14ac:dyDescent="0.25">
      <c r="A1513" s="9" t="s">
        <v>5211</v>
      </c>
      <c r="B1513" s="10">
        <v>714</v>
      </c>
      <c r="C1513" s="10" t="s">
        <v>323</v>
      </c>
      <c r="D1513" t="s">
        <v>5043</v>
      </c>
      <c r="E1513" t="s">
        <v>5044</v>
      </c>
      <c r="F1513" s="10" t="s">
        <v>158</v>
      </c>
      <c r="G1513" s="2">
        <v>164.26079999999999</v>
      </c>
      <c r="H1513" s="13">
        <v>4</v>
      </c>
      <c r="I1513" s="13">
        <v>30</v>
      </c>
      <c r="J1513" s="13">
        <v>-30</v>
      </c>
      <c r="K1513" s="10">
        <v>4</v>
      </c>
      <c r="L1513" s="2">
        <v>657.04319999999996</v>
      </c>
      <c r="M1513" s="1">
        <v>45978.509722222225</v>
      </c>
      <c r="N1513" t="s">
        <v>2225</v>
      </c>
    </row>
    <row r="1514" spans="1:14" x14ac:dyDescent="0.25">
      <c r="A1514" s="9" t="s">
        <v>5211</v>
      </c>
      <c r="B1514" s="10">
        <v>636</v>
      </c>
      <c r="C1514" s="10" t="s">
        <v>323</v>
      </c>
      <c r="D1514" t="s">
        <v>1421</v>
      </c>
      <c r="E1514" t="s">
        <v>1422</v>
      </c>
      <c r="F1514" s="10" t="s">
        <v>29</v>
      </c>
      <c r="G1514" s="2">
        <v>48.5884</v>
      </c>
      <c r="H1514" s="13">
        <v>4</v>
      </c>
      <c r="I1514" s="13">
        <v>2</v>
      </c>
      <c r="J1514" s="13">
        <v>-2</v>
      </c>
      <c r="K1514" s="10">
        <v>4</v>
      </c>
      <c r="L1514" s="2">
        <v>194.3536</v>
      </c>
      <c r="M1514" s="1">
        <v>45980.417361111111</v>
      </c>
      <c r="N1514" t="s">
        <v>40</v>
      </c>
    </row>
    <row r="1515" spans="1:14" x14ac:dyDescent="0.25">
      <c r="A1515" s="9" t="s">
        <v>5211</v>
      </c>
      <c r="B1515" s="10">
        <v>714</v>
      </c>
      <c r="C1515" s="10" t="s">
        <v>323</v>
      </c>
      <c r="D1515" t="s">
        <v>2985</v>
      </c>
      <c r="E1515" t="s">
        <v>2986</v>
      </c>
      <c r="F1515" s="10" t="s">
        <v>29</v>
      </c>
      <c r="G1515" s="2">
        <v>167.1585</v>
      </c>
      <c r="H1515" s="13">
        <v>4</v>
      </c>
      <c r="I1515" s="13">
        <v>0</v>
      </c>
      <c r="J1515" s="13">
        <v>0</v>
      </c>
      <c r="K1515" s="10">
        <v>4</v>
      </c>
      <c r="L1515" s="2">
        <v>668.63400000000001</v>
      </c>
      <c r="M1515" s="1">
        <v>46078.525694444441</v>
      </c>
      <c r="N1515" t="s">
        <v>354</v>
      </c>
    </row>
    <row r="1516" spans="1:14" x14ac:dyDescent="0.25">
      <c r="A1516" s="9" t="s">
        <v>5211</v>
      </c>
      <c r="B1516" s="10">
        <v>634</v>
      </c>
      <c r="C1516" s="10" t="s">
        <v>323</v>
      </c>
      <c r="D1516" t="s">
        <v>424</v>
      </c>
      <c r="E1516" t="s">
        <v>425</v>
      </c>
      <c r="F1516" s="10" t="s">
        <v>29</v>
      </c>
      <c r="G1516" s="2">
        <v>305.96179999999998</v>
      </c>
      <c r="H1516" s="13">
        <v>4</v>
      </c>
      <c r="I1516" s="13">
        <v>0</v>
      </c>
      <c r="J1516" s="13">
        <v>0</v>
      </c>
      <c r="K1516" s="10">
        <v>4</v>
      </c>
      <c r="L1516" s="2">
        <v>1223.8471999999999</v>
      </c>
      <c r="M1516" s="1">
        <v>46080.504166666666</v>
      </c>
      <c r="N1516" t="s">
        <v>151</v>
      </c>
    </row>
    <row r="1517" spans="1:14" x14ac:dyDescent="0.25">
      <c r="A1517" s="9" t="s">
        <v>5211</v>
      </c>
      <c r="B1517" s="10">
        <v>634</v>
      </c>
      <c r="C1517" s="10" t="s">
        <v>323</v>
      </c>
      <c r="D1517" t="s">
        <v>489</v>
      </c>
      <c r="E1517" t="s">
        <v>490</v>
      </c>
      <c r="F1517" s="10" t="s">
        <v>29</v>
      </c>
      <c r="G1517" s="2">
        <v>163.95419999999999</v>
      </c>
      <c r="H1517" s="13">
        <v>4</v>
      </c>
      <c r="I1517" s="13">
        <v>0</v>
      </c>
      <c r="J1517" s="13">
        <v>0</v>
      </c>
      <c r="K1517" s="10">
        <v>4</v>
      </c>
      <c r="L1517" s="2">
        <v>655.81679999999994</v>
      </c>
      <c r="M1517" s="1">
        <v>46080.504166666666</v>
      </c>
      <c r="N1517" t="s">
        <v>151</v>
      </c>
    </row>
    <row r="1518" spans="1:14" x14ac:dyDescent="0.25">
      <c r="A1518" s="9" t="s">
        <v>5211</v>
      </c>
      <c r="B1518" s="10">
        <v>634</v>
      </c>
      <c r="C1518" s="10" t="s">
        <v>323</v>
      </c>
      <c r="D1518" t="s">
        <v>480</v>
      </c>
      <c r="E1518" t="s">
        <v>481</v>
      </c>
      <c r="F1518" s="10" t="s">
        <v>29</v>
      </c>
      <c r="G1518" s="2">
        <v>127.9633</v>
      </c>
      <c r="H1518" s="13">
        <v>4</v>
      </c>
      <c r="I1518" s="13">
        <v>0</v>
      </c>
      <c r="J1518" s="13">
        <v>0</v>
      </c>
      <c r="K1518" s="10">
        <v>4</v>
      </c>
      <c r="L1518" s="2">
        <v>511.85320000000002</v>
      </c>
      <c r="M1518" s="1">
        <v>46083.431250000001</v>
      </c>
      <c r="N1518" t="s">
        <v>151</v>
      </c>
    </row>
    <row r="1519" spans="1:14" x14ac:dyDescent="0.25">
      <c r="A1519" s="9" t="s">
        <v>5211</v>
      </c>
      <c r="B1519" s="10">
        <v>636</v>
      </c>
      <c r="C1519" s="10" t="s">
        <v>323</v>
      </c>
      <c r="D1519" t="s">
        <v>1678</v>
      </c>
      <c r="E1519" t="s">
        <v>1679</v>
      </c>
      <c r="F1519" s="10" t="s">
        <v>23</v>
      </c>
      <c r="G1519" s="2">
        <v>222.76429999999999</v>
      </c>
      <c r="H1519" s="13">
        <v>4</v>
      </c>
      <c r="I1519" s="13">
        <v>0</v>
      </c>
      <c r="J1519" s="13">
        <v>0</v>
      </c>
      <c r="K1519" s="10">
        <v>4</v>
      </c>
      <c r="L1519" s="2">
        <v>891.05719999999997</v>
      </c>
      <c r="M1519" s="1">
        <v>46083.459722222222</v>
      </c>
      <c r="N1519" t="s">
        <v>137</v>
      </c>
    </row>
    <row r="1520" spans="1:14" x14ac:dyDescent="0.25">
      <c r="A1520" s="9" t="s">
        <v>5211</v>
      </c>
      <c r="B1520" s="10">
        <v>714</v>
      </c>
      <c r="C1520" s="10" t="s">
        <v>323</v>
      </c>
      <c r="D1520" t="s">
        <v>3478</v>
      </c>
      <c r="E1520" t="s">
        <v>3479</v>
      </c>
      <c r="F1520" s="10" t="s">
        <v>29</v>
      </c>
      <c r="G1520" s="2">
        <v>157.03729999999999</v>
      </c>
      <c r="H1520" s="13">
        <v>4</v>
      </c>
      <c r="I1520" s="13">
        <v>0</v>
      </c>
      <c r="J1520" s="13">
        <v>0</v>
      </c>
      <c r="K1520" s="10">
        <v>4</v>
      </c>
      <c r="L1520" s="2">
        <v>628.14919999999995</v>
      </c>
      <c r="M1520" s="1">
        <v>46085.367361111108</v>
      </c>
      <c r="N1520" t="s">
        <v>2257</v>
      </c>
    </row>
    <row r="1521" spans="1:14" x14ac:dyDescent="0.25">
      <c r="A1521" s="9" t="s">
        <v>5211</v>
      </c>
      <c r="B1521" s="10">
        <v>636</v>
      </c>
      <c r="C1521" s="10" t="s">
        <v>323</v>
      </c>
      <c r="D1521" t="s">
        <v>4351</v>
      </c>
      <c r="E1521" t="s">
        <v>4352</v>
      </c>
      <c r="F1521" s="10" t="s">
        <v>23</v>
      </c>
      <c r="G1521" s="2">
        <v>143.7328</v>
      </c>
      <c r="H1521" s="13">
        <v>4</v>
      </c>
      <c r="I1521" s="13">
        <v>10</v>
      </c>
      <c r="J1521" s="13">
        <v>-10</v>
      </c>
      <c r="K1521" s="10">
        <v>4</v>
      </c>
      <c r="L1521" s="2">
        <v>574.93119999999999</v>
      </c>
      <c r="M1521" s="1">
        <v>46085.617361111108</v>
      </c>
      <c r="N1521" t="s">
        <v>159</v>
      </c>
    </row>
    <row r="1522" spans="1:14" x14ac:dyDescent="0.25">
      <c r="A1522" s="9" t="s">
        <v>5211</v>
      </c>
      <c r="B1522" s="10">
        <v>636</v>
      </c>
      <c r="C1522" s="10" t="s">
        <v>323</v>
      </c>
      <c r="D1522" t="s">
        <v>1403</v>
      </c>
      <c r="E1522" t="s">
        <v>1404</v>
      </c>
      <c r="F1522" s="10" t="s">
        <v>29</v>
      </c>
      <c r="G1522" s="2">
        <v>272.49220000000003</v>
      </c>
      <c r="H1522" s="13">
        <v>4</v>
      </c>
      <c r="I1522" s="13">
        <v>0</v>
      </c>
      <c r="J1522" s="13">
        <v>0</v>
      </c>
      <c r="K1522" s="10">
        <v>4</v>
      </c>
      <c r="L1522" s="2">
        <v>1089.9688000000001</v>
      </c>
      <c r="M1522" s="1">
        <v>46086.3125</v>
      </c>
      <c r="N1522" t="s">
        <v>1229</v>
      </c>
    </row>
    <row r="1523" spans="1:14" x14ac:dyDescent="0.25">
      <c r="A1523" s="9" t="s">
        <v>5211</v>
      </c>
      <c r="B1523" s="10">
        <v>636</v>
      </c>
      <c r="C1523" s="10" t="s">
        <v>323</v>
      </c>
      <c r="D1523" t="s">
        <v>1278</v>
      </c>
      <c r="E1523" t="s">
        <v>1279</v>
      </c>
      <c r="F1523" s="10" t="s">
        <v>29</v>
      </c>
      <c r="G1523" s="2">
        <v>543.66160000000002</v>
      </c>
      <c r="H1523" s="13">
        <v>4</v>
      </c>
      <c r="I1523" s="13">
        <v>0</v>
      </c>
      <c r="J1523" s="13">
        <v>0</v>
      </c>
      <c r="K1523" s="10">
        <v>4</v>
      </c>
      <c r="L1523" s="2">
        <v>2174.6464000000001</v>
      </c>
      <c r="M1523" s="1">
        <v>46086.3125</v>
      </c>
      <c r="N1523" t="s">
        <v>1229</v>
      </c>
    </row>
    <row r="1524" spans="1:14" x14ac:dyDescent="0.25">
      <c r="A1524" s="9" t="s">
        <v>5211</v>
      </c>
      <c r="B1524" s="10">
        <v>714</v>
      </c>
      <c r="C1524" s="10" t="s">
        <v>323</v>
      </c>
      <c r="D1524" t="s">
        <v>3962</v>
      </c>
      <c r="E1524" t="s">
        <v>3963</v>
      </c>
      <c r="F1524" s="10" t="s">
        <v>23</v>
      </c>
      <c r="G1524" s="2">
        <v>139.53399999999999</v>
      </c>
      <c r="H1524" s="13">
        <v>4</v>
      </c>
      <c r="I1524" s="13">
        <v>2</v>
      </c>
      <c r="J1524" s="13">
        <v>-2</v>
      </c>
      <c r="K1524" s="10">
        <v>4</v>
      </c>
      <c r="L1524" s="2">
        <v>558.13599999999997</v>
      </c>
      <c r="M1524" s="1">
        <v>46087.429861111108</v>
      </c>
      <c r="N1524" t="s">
        <v>159</v>
      </c>
    </row>
    <row r="1525" spans="1:14" x14ac:dyDescent="0.25">
      <c r="A1525" s="9" t="s">
        <v>5211</v>
      </c>
      <c r="B1525" s="10">
        <v>714</v>
      </c>
      <c r="C1525" s="10" t="s">
        <v>323</v>
      </c>
      <c r="D1525" t="s">
        <v>3249</v>
      </c>
      <c r="E1525" t="s">
        <v>3250</v>
      </c>
      <c r="F1525" s="10" t="s">
        <v>23</v>
      </c>
      <c r="G1525" s="2">
        <v>201.2799</v>
      </c>
      <c r="H1525" s="13">
        <v>4</v>
      </c>
      <c r="I1525" s="13">
        <v>0</v>
      </c>
      <c r="J1525" s="13">
        <v>0</v>
      </c>
      <c r="K1525" s="10">
        <v>4</v>
      </c>
      <c r="L1525" s="2">
        <v>805.11959999999999</v>
      </c>
      <c r="M1525" s="1">
        <v>46087.429861111108</v>
      </c>
      <c r="N1525" t="s">
        <v>159</v>
      </c>
    </row>
    <row r="1526" spans="1:14" x14ac:dyDescent="0.25">
      <c r="A1526" s="9" t="s">
        <v>5211</v>
      </c>
      <c r="B1526" s="10">
        <v>714</v>
      </c>
      <c r="C1526" s="10" t="s">
        <v>323</v>
      </c>
      <c r="D1526" t="s">
        <v>2916</v>
      </c>
      <c r="E1526" t="s">
        <v>2917</v>
      </c>
      <c r="F1526" s="10" t="s">
        <v>29</v>
      </c>
      <c r="G1526" s="2">
        <v>241.53579999999999</v>
      </c>
      <c r="H1526" s="13">
        <v>4</v>
      </c>
      <c r="I1526" s="13">
        <v>0</v>
      </c>
      <c r="J1526" s="13">
        <v>0</v>
      </c>
      <c r="K1526" s="10">
        <v>4</v>
      </c>
      <c r="L1526" s="2">
        <v>966.14319999999998</v>
      </c>
      <c r="M1526" s="1">
        <v>46087.429861111108</v>
      </c>
      <c r="N1526" t="s">
        <v>159</v>
      </c>
    </row>
    <row r="1527" spans="1:14" x14ac:dyDescent="0.25">
      <c r="A1527" s="9" t="s">
        <v>5211</v>
      </c>
      <c r="B1527" s="10">
        <v>636</v>
      </c>
      <c r="C1527" s="10" t="s">
        <v>323</v>
      </c>
      <c r="D1527" t="s">
        <v>1251</v>
      </c>
      <c r="E1527" t="s">
        <v>1252</v>
      </c>
      <c r="F1527" s="10" t="s">
        <v>29</v>
      </c>
      <c r="G1527" s="2">
        <v>264.39170000000001</v>
      </c>
      <c r="H1527" s="13">
        <v>4</v>
      </c>
      <c r="I1527" s="13">
        <v>0</v>
      </c>
      <c r="J1527" s="13">
        <v>0</v>
      </c>
      <c r="K1527" s="10">
        <v>4</v>
      </c>
      <c r="L1527" s="2">
        <v>1057.5668000000001</v>
      </c>
      <c r="M1527" s="1">
        <v>46092.434027777781</v>
      </c>
      <c r="N1527" t="s">
        <v>357</v>
      </c>
    </row>
    <row r="1528" spans="1:14" x14ac:dyDescent="0.25">
      <c r="A1528" s="9" t="s">
        <v>5211</v>
      </c>
      <c r="B1528" s="10">
        <v>636</v>
      </c>
      <c r="C1528" s="10" t="s">
        <v>323</v>
      </c>
      <c r="D1528" t="s">
        <v>1507</v>
      </c>
      <c r="E1528" t="s">
        <v>1508</v>
      </c>
      <c r="F1528" s="10" t="s">
        <v>19</v>
      </c>
      <c r="G1528" s="2">
        <v>161.21449999999999</v>
      </c>
      <c r="H1528" s="13">
        <v>4</v>
      </c>
      <c r="I1528" s="13">
        <v>0</v>
      </c>
      <c r="J1528" s="13">
        <v>0</v>
      </c>
      <c r="K1528" s="10">
        <v>4</v>
      </c>
      <c r="L1528" s="2">
        <v>644.85799999999995</v>
      </c>
      <c r="M1528" s="1">
        <v>46092.434027777781</v>
      </c>
      <c r="N1528" t="s">
        <v>357</v>
      </c>
    </row>
    <row r="1529" spans="1:14" x14ac:dyDescent="0.25">
      <c r="A1529" s="9" t="s">
        <v>5211</v>
      </c>
      <c r="B1529" s="10">
        <v>718</v>
      </c>
      <c r="C1529" s="10" t="s">
        <v>323</v>
      </c>
      <c r="D1529" t="s">
        <v>432</v>
      </c>
      <c r="E1529" t="s">
        <v>433</v>
      </c>
      <c r="F1529" s="10" t="s">
        <v>158</v>
      </c>
      <c r="G1529" s="2">
        <v>181.3922</v>
      </c>
      <c r="H1529" s="13">
        <v>4</v>
      </c>
      <c r="I1529" s="13">
        <v>-4</v>
      </c>
      <c r="J1529" s="13">
        <v>4</v>
      </c>
      <c r="K1529" s="10">
        <v>4</v>
      </c>
      <c r="L1529" s="2">
        <v>725.56880000000001</v>
      </c>
      <c r="M1529" s="1">
        <v>46093.595833333333</v>
      </c>
      <c r="N1529" t="s">
        <v>2257</v>
      </c>
    </row>
    <row r="1530" spans="1:14" x14ac:dyDescent="0.25">
      <c r="A1530" s="9" t="s">
        <v>5211</v>
      </c>
      <c r="B1530" s="10">
        <v>714</v>
      </c>
      <c r="C1530" s="10" t="s">
        <v>323</v>
      </c>
      <c r="D1530" t="s">
        <v>4276</v>
      </c>
      <c r="E1530" t="s">
        <v>4277</v>
      </c>
      <c r="F1530" s="10" t="s">
        <v>43</v>
      </c>
      <c r="G1530" s="2">
        <v>174.75219999999999</v>
      </c>
      <c r="H1530" s="13">
        <v>4</v>
      </c>
      <c r="I1530" s="13">
        <v>4</v>
      </c>
      <c r="J1530" s="13">
        <v>-4</v>
      </c>
      <c r="K1530" s="10">
        <v>4</v>
      </c>
      <c r="L1530" s="2">
        <v>699.00879999999995</v>
      </c>
      <c r="M1530" s="1">
        <v>46093.634722222225</v>
      </c>
      <c r="N1530" t="s">
        <v>2257</v>
      </c>
    </row>
    <row r="1531" spans="1:14" x14ac:dyDescent="0.25">
      <c r="A1531" s="9" t="s">
        <v>5211</v>
      </c>
      <c r="B1531" s="10">
        <v>636</v>
      </c>
      <c r="C1531" s="10" t="s">
        <v>323</v>
      </c>
      <c r="D1531" t="s">
        <v>493</v>
      </c>
      <c r="E1531" s="6" t="s">
        <v>494</v>
      </c>
      <c r="F1531" s="11" t="s">
        <v>58</v>
      </c>
      <c r="G1531" s="2">
        <v>252.8657</v>
      </c>
      <c r="H1531" s="13">
        <v>4</v>
      </c>
      <c r="I1531" s="13">
        <v>0</v>
      </c>
      <c r="J1531" s="13">
        <v>0</v>
      </c>
      <c r="K1531" s="10">
        <v>4</v>
      </c>
      <c r="L1531" s="2">
        <v>1011.4628</v>
      </c>
      <c r="M1531" s="1">
        <v>46094.407638888886</v>
      </c>
      <c r="N1531" t="s">
        <v>354</v>
      </c>
    </row>
    <row r="1532" spans="1:14" x14ac:dyDescent="0.25">
      <c r="A1532" s="9" t="s">
        <v>5211</v>
      </c>
      <c r="B1532" s="10">
        <v>636</v>
      </c>
      <c r="C1532" s="10" t="s">
        <v>323</v>
      </c>
      <c r="D1532" t="s">
        <v>4290</v>
      </c>
      <c r="E1532" t="s">
        <v>4291</v>
      </c>
      <c r="F1532" s="10" t="s">
        <v>158</v>
      </c>
      <c r="G1532" s="2">
        <v>153.441</v>
      </c>
      <c r="H1532" s="13">
        <v>4</v>
      </c>
      <c r="I1532" s="13">
        <v>5</v>
      </c>
      <c r="J1532" s="13">
        <v>-5</v>
      </c>
      <c r="K1532" s="10">
        <v>4</v>
      </c>
      <c r="L1532" s="2">
        <v>613.76400000000001</v>
      </c>
      <c r="M1532" s="1">
        <v>46094.407638888886</v>
      </c>
      <c r="N1532" t="s">
        <v>354</v>
      </c>
    </row>
    <row r="1533" spans="1:14" x14ac:dyDescent="0.25">
      <c r="A1533" s="9" t="s">
        <v>5211</v>
      </c>
      <c r="B1533" s="10">
        <v>634</v>
      </c>
      <c r="C1533" s="10" t="s">
        <v>323</v>
      </c>
      <c r="D1533" t="s">
        <v>493</v>
      </c>
      <c r="E1533" t="s">
        <v>494</v>
      </c>
      <c r="F1533" s="10" t="s">
        <v>29</v>
      </c>
      <c r="G1533" s="2">
        <v>214.84710000000001</v>
      </c>
      <c r="H1533" s="13">
        <v>4</v>
      </c>
      <c r="I1533" s="13">
        <v>0</v>
      </c>
      <c r="J1533" s="13">
        <v>0</v>
      </c>
      <c r="K1533" s="10">
        <v>4</v>
      </c>
      <c r="L1533" s="2">
        <v>859.38840000000005</v>
      </c>
      <c r="M1533" s="1">
        <v>46094.541666666664</v>
      </c>
      <c r="N1533" t="s">
        <v>354</v>
      </c>
    </row>
    <row r="1534" spans="1:14" x14ac:dyDescent="0.25">
      <c r="A1534" s="9" t="s">
        <v>5211</v>
      </c>
      <c r="B1534" s="10">
        <v>636</v>
      </c>
      <c r="C1534" s="10" t="s">
        <v>143</v>
      </c>
      <c r="D1534" t="s">
        <v>1129</v>
      </c>
      <c r="E1534" t="s">
        <v>1130</v>
      </c>
      <c r="F1534" s="10" t="s">
        <v>29</v>
      </c>
      <c r="G1534" s="2">
        <v>11.117699999999999</v>
      </c>
      <c r="H1534" s="13">
        <v>4</v>
      </c>
      <c r="I1534" s="13">
        <v>0</v>
      </c>
      <c r="J1534" s="13">
        <v>0</v>
      </c>
      <c r="K1534" s="10">
        <v>4</v>
      </c>
      <c r="L1534" s="2">
        <v>44.470799999999997</v>
      </c>
      <c r="M1534" s="1">
        <v>46097.35833333333</v>
      </c>
      <c r="N1534" t="s">
        <v>1131</v>
      </c>
    </row>
    <row r="1535" spans="1:14" x14ac:dyDescent="0.25">
      <c r="A1535" s="9" t="s">
        <v>5211</v>
      </c>
      <c r="B1535" s="10">
        <v>636</v>
      </c>
      <c r="C1535" s="10" t="s">
        <v>323</v>
      </c>
      <c r="D1535" t="s">
        <v>1552</v>
      </c>
      <c r="E1535" t="s">
        <v>1553</v>
      </c>
      <c r="F1535" s="10" t="s">
        <v>29</v>
      </c>
      <c r="G1535" s="2">
        <v>318.91680000000002</v>
      </c>
      <c r="H1535" s="13">
        <v>4</v>
      </c>
      <c r="I1535" s="13">
        <v>0</v>
      </c>
      <c r="J1535" s="13">
        <v>0</v>
      </c>
      <c r="K1535" s="10">
        <v>4</v>
      </c>
      <c r="L1535" s="2">
        <v>1275.6672000000001</v>
      </c>
      <c r="M1535" s="1">
        <v>46098.375694444447</v>
      </c>
      <c r="N1535" t="s">
        <v>1229</v>
      </c>
    </row>
    <row r="1536" spans="1:14" x14ac:dyDescent="0.25">
      <c r="A1536" s="9" t="s">
        <v>5211</v>
      </c>
      <c r="B1536" s="10">
        <v>636</v>
      </c>
      <c r="C1536" s="10" t="s">
        <v>323</v>
      </c>
      <c r="D1536" t="s">
        <v>1429</v>
      </c>
      <c r="E1536" t="s">
        <v>1430</v>
      </c>
      <c r="F1536" s="10" t="s">
        <v>29</v>
      </c>
      <c r="G1536" s="2">
        <v>596.28150000000005</v>
      </c>
      <c r="H1536" s="13">
        <v>4</v>
      </c>
      <c r="I1536" s="13">
        <v>0</v>
      </c>
      <c r="J1536" s="13">
        <v>0</v>
      </c>
      <c r="K1536" s="10">
        <v>4</v>
      </c>
      <c r="L1536" s="2">
        <v>2385.1260000000002</v>
      </c>
      <c r="M1536" s="1">
        <v>46098.375694444447</v>
      </c>
      <c r="N1536" t="s">
        <v>1229</v>
      </c>
    </row>
    <row r="1537" spans="1:14" x14ac:dyDescent="0.25">
      <c r="A1537" s="9" t="s">
        <v>5211</v>
      </c>
      <c r="B1537" s="10">
        <v>714</v>
      </c>
      <c r="C1537" s="10" t="s">
        <v>12</v>
      </c>
      <c r="D1537" t="s">
        <v>1842</v>
      </c>
      <c r="E1537" t="s">
        <v>1843</v>
      </c>
      <c r="F1537" s="10" t="s">
        <v>29</v>
      </c>
      <c r="G1537" s="2">
        <v>76.921099999999996</v>
      </c>
      <c r="H1537" s="13">
        <v>4</v>
      </c>
      <c r="I1537" s="13">
        <v>0</v>
      </c>
      <c r="J1537" s="13">
        <v>0</v>
      </c>
      <c r="K1537" s="10">
        <v>4</v>
      </c>
      <c r="L1537" s="2">
        <v>307.68439999999998</v>
      </c>
      <c r="M1537" s="1">
        <v>46098.381249999999</v>
      </c>
      <c r="N1537" t="s">
        <v>885</v>
      </c>
    </row>
    <row r="1538" spans="1:14" x14ac:dyDescent="0.25">
      <c r="A1538" s="9" t="s">
        <v>5211</v>
      </c>
      <c r="B1538" s="10">
        <v>714</v>
      </c>
      <c r="C1538" s="10" t="s">
        <v>143</v>
      </c>
      <c r="D1538" t="s">
        <v>949</v>
      </c>
      <c r="E1538" t="s">
        <v>950</v>
      </c>
      <c r="F1538" s="10" t="s">
        <v>39</v>
      </c>
      <c r="G1538" s="2">
        <v>9.6338000000000008</v>
      </c>
      <c r="H1538" s="13">
        <v>4</v>
      </c>
      <c r="I1538" s="13">
        <v>0</v>
      </c>
      <c r="J1538" s="13">
        <v>0</v>
      </c>
      <c r="K1538" s="10">
        <v>4</v>
      </c>
      <c r="L1538" s="2">
        <v>38.535200000000003</v>
      </c>
      <c r="M1538" s="1">
        <v>46098.570138888892</v>
      </c>
      <c r="N1538" t="s">
        <v>2225</v>
      </c>
    </row>
    <row r="1539" spans="1:14" x14ac:dyDescent="0.25">
      <c r="A1539" s="9" t="s">
        <v>5211</v>
      </c>
      <c r="B1539" s="10">
        <v>636</v>
      </c>
      <c r="C1539" s="10" t="s">
        <v>143</v>
      </c>
      <c r="D1539" t="s">
        <v>886</v>
      </c>
      <c r="E1539" t="s">
        <v>887</v>
      </c>
      <c r="F1539" s="10" t="s">
        <v>29</v>
      </c>
      <c r="G1539" s="2">
        <v>186.78659999999999</v>
      </c>
      <c r="H1539" s="13">
        <v>4</v>
      </c>
      <c r="I1539" s="13">
        <v>0</v>
      </c>
      <c r="J1539" s="13">
        <v>0</v>
      </c>
      <c r="K1539" s="10">
        <v>4</v>
      </c>
      <c r="L1539" s="2">
        <v>747.14639999999997</v>
      </c>
      <c r="M1539" s="1">
        <v>46104.520833333336</v>
      </c>
      <c r="N1539" t="s">
        <v>137</v>
      </c>
    </row>
    <row r="1540" spans="1:14" x14ac:dyDescent="0.25">
      <c r="A1540" s="9" t="s">
        <v>5211</v>
      </c>
      <c r="B1540" s="10">
        <v>636</v>
      </c>
      <c r="C1540" s="10" t="s">
        <v>323</v>
      </c>
      <c r="D1540" t="s">
        <v>1699</v>
      </c>
      <c r="E1540" t="s">
        <v>1700</v>
      </c>
      <c r="F1540" s="10" t="s">
        <v>19</v>
      </c>
      <c r="G1540" s="2">
        <v>526.83389999999997</v>
      </c>
      <c r="H1540" s="13">
        <v>4</v>
      </c>
      <c r="I1540" s="13">
        <v>0</v>
      </c>
      <c r="J1540" s="13">
        <v>0</v>
      </c>
      <c r="K1540" s="10">
        <v>4</v>
      </c>
      <c r="L1540" s="2">
        <v>2107.3355999999999</v>
      </c>
      <c r="M1540" s="1">
        <v>46104.520833333336</v>
      </c>
      <c r="N1540" t="s">
        <v>137</v>
      </c>
    </row>
    <row r="1541" spans="1:14" x14ac:dyDescent="0.25">
      <c r="A1541" s="9" t="s">
        <v>5211</v>
      </c>
      <c r="B1541" s="10">
        <v>718</v>
      </c>
      <c r="C1541" s="10" t="s">
        <v>323</v>
      </c>
      <c r="D1541" t="s">
        <v>3133</v>
      </c>
      <c r="E1541" t="s">
        <v>3134</v>
      </c>
      <c r="F1541" s="10" t="s">
        <v>19</v>
      </c>
      <c r="G1541" s="2">
        <v>354.70249999999999</v>
      </c>
      <c r="H1541" s="13">
        <v>4</v>
      </c>
      <c r="I1541" s="13">
        <v>0</v>
      </c>
      <c r="J1541" s="13">
        <v>0</v>
      </c>
      <c r="K1541" s="10">
        <v>4</v>
      </c>
      <c r="L1541" s="2">
        <v>1418.81</v>
      </c>
      <c r="M1541" s="1">
        <v>46104.570138888892</v>
      </c>
      <c r="N1541" t="s">
        <v>137</v>
      </c>
    </row>
    <row r="1542" spans="1:14" x14ac:dyDescent="0.25">
      <c r="A1542" s="9" t="s">
        <v>5211</v>
      </c>
      <c r="B1542" s="10">
        <v>636</v>
      </c>
      <c r="C1542" s="10" t="s">
        <v>143</v>
      </c>
      <c r="D1542" t="s">
        <v>1157</v>
      </c>
      <c r="E1542" t="s">
        <v>1158</v>
      </c>
      <c r="F1542" s="10" t="s">
        <v>23</v>
      </c>
      <c r="G1542" s="2">
        <v>88.767600000000002</v>
      </c>
      <c r="H1542" s="13">
        <v>4</v>
      </c>
      <c r="I1542" s="13">
        <v>0</v>
      </c>
      <c r="J1542" s="13">
        <v>0</v>
      </c>
      <c r="K1542" s="10">
        <v>4</v>
      </c>
      <c r="L1542" s="2">
        <v>355.07040000000001</v>
      </c>
      <c r="M1542" s="1">
        <v>46106.397222222222</v>
      </c>
      <c r="N1542" t="s">
        <v>903</v>
      </c>
    </row>
    <row r="1543" spans="1:14" x14ac:dyDescent="0.25">
      <c r="A1543" s="9" t="s">
        <v>5211</v>
      </c>
      <c r="B1543" s="10">
        <v>634</v>
      </c>
      <c r="C1543" s="10" t="s">
        <v>323</v>
      </c>
      <c r="D1543" t="s">
        <v>333</v>
      </c>
      <c r="E1543" t="s">
        <v>334</v>
      </c>
      <c r="F1543" s="10" t="s">
        <v>29</v>
      </c>
      <c r="G1543" s="2">
        <v>58.029299999999999</v>
      </c>
      <c r="H1543" s="13">
        <v>4</v>
      </c>
      <c r="I1543" s="13">
        <v>0</v>
      </c>
      <c r="J1543" s="13">
        <v>0</v>
      </c>
      <c r="K1543" s="10">
        <v>4</v>
      </c>
      <c r="L1543" s="2">
        <v>232.1172</v>
      </c>
      <c r="M1543" s="1">
        <v>46106.45</v>
      </c>
      <c r="N1543" t="s">
        <v>268</v>
      </c>
    </row>
    <row r="1544" spans="1:14" x14ac:dyDescent="0.25">
      <c r="A1544" s="9" t="s">
        <v>5211</v>
      </c>
      <c r="B1544" s="10">
        <v>636</v>
      </c>
      <c r="C1544" s="10" t="s">
        <v>323</v>
      </c>
      <c r="D1544" t="s">
        <v>1652</v>
      </c>
      <c r="E1544" t="s">
        <v>1653</v>
      </c>
      <c r="F1544" s="10" t="s">
        <v>29</v>
      </c>
      <c r="G1544" s="2">
        <v>447.22559999999999</v>
      </c>
      <c r="H1544" s="13">
        <v>4</v>
      </c>
      <c r="I1544" s="13">
        <v>0</v>
      </c>
      <c r="J1544" s="13">
        <v>0</v>
      </c>
      <c r="K1544" s="10">
        <v>4</v>
      </c>
      <c r="L1544" s="2">
        <v>1788.9023999999999</v>
      </c>
      <c r="M1544" s="1">
        <v>46107.522222222222</v>
      </c>
      <c r="N1544" t="s">
        <v>178</v>
      </c>
    </row>
    <row r="1545" spans="1:14" x14ac:dyDescent="0.25">
      <c r="A1545" s="9" t="s">
        <v>5211</v>
      </c>
      <c r="B1545" s="10">
        <v>636</v>
      </c>
      <c r="C1545" s="10" t="s">
        <v>323</v>
      </c>
      <c r="D1545" t="s">
        <v>1446</v>
      </c>
      <c r="E1545" t="s">
        <v>1447</v>
      </c>
      <c r="F1545" s="10" t="s">
        <v>19</v>
      </c>
      <c r="G1545" s="2">
        <v>184.76310000000001</v>
      </c>
      <c r="H1545" s="13">
        <v>4</v>
      </c>
      <c r="I1545" s="13">
        <v>0</v>
      </c>
      <c r="J1545" s="13">
        <v>0</v>
      </c>
      <c r="K1545" s="10">
        <v>4</v>
      </c>
      <c r="L1545" s="2">
        <v>739.05240000000003</v>
      </c>
      <c r="M1545" s="1">
        <v>46108.488888888889</v>
      </c>
      <c r="N1545" t="s">
        <v>357</v>
      </c>
    </row>
    <row r="1546" spans="1:14" x14ac:dyDescent="0.25">
      <c r="A1546" s="9" t="s">
        <v>5211</v>
      </c>
      <c r="B1546" s="10">
        <v>714</v>
      </c>
      <c r="C1546" s="10" t="s">
        <v>323</v>
      </c>
      <c r="D1546" t="s">
        <v>3448</v>
      </c>
      <c r="E1546" t="s">
        <v>3449</v>
      </c>
      <c r="F1546" s="10" t="s">
        <v>29</v>
      </c>
      <c r="G1546" s="2">
        <v>74.195899999999995</v>
      </c>
      <c r="H1546" s="13">
        <v>4</v>
      </c>
      <c r="I1546" s="13">
        <v>0</v>
      </c>
      <c r="J1546" s="13">
        <v>0</v>
      </c>
      <c r="K1546" s="10">
        <v>4</v>
      </c>
      <c r="L1546" s="2">
        <v>296.78359999999998</v>
      </c>
      <c r="M1546" s="1">
        <v>46111.46597222222</v>
      </c>
      <c r="N1546" t="s">
        <v>2358</v>
      </c>
    </row>
    <row r="1547" spans="1:14" x14ac:dyDescent="0.25">
      <c r="A1547" s="9" t="s">
        <v>5211</v>
      </c>
      <c r="B1547" s="10">
        <v>714</v>
      </c>
      <c r="C1547" s="10" t="s">
        <v>143</v>
      </c>
      <c r="D1547" t="s">
        <v>2579</v>
      </c>
      <c r="E1547" t="s">
        <v>2580</v>
      </c>
      <c r="F1547" s="10" t="s">
        <v>29</v>
      </c>
      <c r="G1547" s="2">
        <v>174.2979</v>
      </c>
      <c r="H1547" s="13">
        <v>4</v>
      </c>
      <c r="I1547" s="13">
        <v>0</v>
      </c>
      <c r="J1547" s="13">
        <v>0</v>
      </c>
      <c r="K1547" s="10">
        <v>4</v>
      </c>
      <c r="L1547" s="2">
        <v>697.19159999999999</v>
      </c>
      <c r="M1547" s="1">
        <v>46111.479861111111</v>
      </c>
      <c r="N1547" t="s">
        <v>2225</v>
      </c>
    </row>
    <row r="1548" spans="1:14" x14ac:dyDescent="0.25">
      <c r="A1548" s="9" t="s">
        <v>5211</v>
      </c>
      <c r="B1548" s="10">
        <v>714</v>
      </c>
      <c r="C1548" s="10" t="s">
        <v>143</v>
      </c>
      <c r="D1548" t="s">
        <v>4861</v>
      </c>
      <c r="E1548" t="s">
        <v>4862</v>
      </c>
      <c r="F1548" s="10" t="s">
        <v>23</v>
      </c>
      <c r="G1548" s="2">
        <v>125.9395</v>
      </c>
      <c r="H1548" s="13">
        <v>4</v>
      </c>
      <c r="I1548" s="13">
        <v>0</v>
      </c>
      <c r="J1548" s="13">
        <v>0</v>
      </c>
      <c r="K1548" s="10">
        <v>4</v>
      </c>
      <c r="L1548" s="2">
        <v>503.75799999999998</v>
      </c>
      <c r="M1548" s="1">
        <v>46112.315972222219</v>
      </c>
      <c r="N1548" t="s">
        <v>36</v>
      </c>
    </row>
    <row r="1549" spans="1:14" x14ac:dyDescent="0.25">
      <c r="A1549" s="9" t="s">
        <v>5211</v>
      </c>
      <c r="B1549" s="10">
        <v>714</v>
      </c>
      <c r="C1549" s="10" t="s">
        <v>143</v>
      </c>
      <c r="D1549" t="s">
        <v>4867</v>
      </c>
      <c r="E1549" t="s">
        <v>4868</v>
      </c>
      <c r="F1549" s="10" t="s">
        <v>43</v>
      </c>
      <c r="G1549" s="2">
        <v>36.057899999999997</v>
      </c>
      <c r="H1549" s="13">
        <v>4</v>
      </c>
      <c r="I1549" s="13">
        <v>49</v>
      </c>
      <c r="J1549" s="13">
        <v>-49</v>
      </c>
      <c r="K1549" s="10">
        <v>4</v>
      </c>
      <c r="L1549" s="2">
        <v>144.23159999999999</v>
      </c>
      <c r="M1549" s="1">
        <v>46112.315972222219</v>
      </c>
      <c r="N1549" t="s">
        <v>36</v>
      </c>
    </row>
    <row r="1550" spans="1:14" x14ac:dyDescent="0.25">
      <c r="A1550" s="9" t="s">
        <v>5211</v>
      </c>
      <c r="B1550" s="10">
        <v>714</v>
      </c>
      <c r="C1550" s="10" t="s">
        <v>323</v>
      </c>
      <c r="D1550" t="s">
        <v>2842</v>
      </c>
      <c r="E1550" t="s">
        <v>2843</v>
      </c>
      <c r="F1550" s="10" t="s">
        <v>19</v>
      </c>
      <c r="G1550" s="2">
        <v>55.382399999999997</v>
      </c>
      <c r="H1550" s="13">
        <v>4</v>
      </c>
      <c r="I1550" s="13">
        <v>2</v>
      </c>
      <c r="J1550" s="13">
        <v>-2</v>
      </c>
      <c r="K1550" s="10">
        <v>4</v>
      </c>
      <c r="L1550" s="2">
        <v>221.52959999999999</v>
      </c>
      <c r="M1550" s="1">
        <v>46112.315972222219</v>
      </c>
      <c r="N1550" t="s">
        <v>36</v>
      </c>
    </row>
    <row r="1551" spans="1:14" x14ac:dyDescent="0.25">
      <c r="A1551" s="9" t="s">
        <v>5211</v>
      </c>
      <c r="B1551" s="10">
        <v>636</v>
      </c>
      <c r="C1551" s="10" t="s">
        <v>143</v>
      </c>
      <c r="D1551" t="s">
        <v>893</v>
      </c>
      <c r="E1551" t="s">
        <v>894</v>
      </c>
      <c r="F1551" s="10" t="s">
        <v>29</v>
      </c>
      <c r="G1551" s="2">
        <v>45.535299999999999</v>
      </c>
      <c r="H1551" s="13">
        <v>4</v>
      </c>
      <c r="I1551" s="13">
        <v>0</v>
      </c>
      <c r="J1551" s="13">
        <v>0</v>
      </c>
      <c r="K1551" s="10">
        <v>4</v>
      </c>
      <c r="L1551" s="2">
        <v>182.1412</v>
      </c>
      <c r="M1551" s="1">
        <v>46112.343055555553</v>
      </c>
      <c r="N1551" t="s">
        <v>137</v>
      </c>
    </row>
    <row r="1552" spans="1:14" x14ac:dyDescent="0.25">
      <c r="A1552" s="9" t="s">
        <v>5211</v>
      </c>
      <c r="B1552" s="10">
        <v>636</v>
      </c>
      <c r="C1552" s="10" t="s">
        <v>323</v>
      </c>
      <c r="D1552" t="s">
        <v>1525</v>
      </c>
      <c r="E1552" t="s">
        <v>1526</v>
      </c>
      <c r="F1552" s="10" t="s">
        <v>19</v>
      </c>
      <c r="G1552" s="2">
        <v>865.5018</v>
      </c>
      <c r="H1552" s="13">
        <v>4</v>
      </c>
      <c r="I1552" s="13">
        <v>0</v>
      </c>
      <c r="J1552" s="13">
        <v>0</v>
      </c>
      <c r="K1552" s="10">
        <v>4</v>
      </c>
      <c r="L1552" s="2">
        <v>3462.0072</v>
      </c>
      <c r="M1552" s="1">
        <v>46112.343055555553</v>
      </c>
      <c r="N1552" t="s">
        <v>137</v>
      </c>
    </row>
    <row r="1553" spans="1:14" x14ac:dyDescent="0.25">
      <c r="A1553" s="9" t="s">
        <v>5211</v>
      </c>
      <c r="B1553" s="10">
        <v>718</v>
      </c>
      <c r="C1553" s="10" t="s">
        <v>143</v>
      </c>
      <c r="D1553" t="s">
        <v>2711</v>
      </c>
      <c r="E1553" s="6" t="s">
        <v>2712</v>
      </c>
      <c r="F1553" s="11" t="s">
        <v>58</v>
      </c>
      <c r="G1553" s="2">
        <v>120.00490000000001</v>
      </c>
      <c r="H1553" s="13">
        <v>4</v>
      </c>
      <c r="I1553" s="13">
        <v>0</v>
      </c>
      <c r="J1553" s="13">
        <v>0</v>
      </c>
      <c r="K1553" s="10">
        <v>4</v>
      </c>
      <c r="L1553" s="2">
        <v>480.01960000000003</v>
      </c>
      <c r="M1553" s="1">
        <v>46112.350694444445</v>
      </c>
      <c r="N1553" t="s">
        <v>36</v>
      </c>
    </row>
    <row r="1554" spans="1:14" x14ac:dyDescent="0.25">
      <c r="A1554" s="9" t="s">
        <v>5211</v>
      </c>
      <c r="B1554" s="10">
        <v>718</v>
      </c>
      <c r="C1554" s="10" t="s">
        <v>143</v>
      </c>
      <c r="D1554" t="s">
        <v>4861</v>
      </c>
      <c r="E1554" t="s">
        <v>4862</v>
      </c>
      <c r="F1554" s="10" t="s">
        <v>23</v>
      </c>
      <c r="G1554" s="2">
        <v>127.845</v>
      </c>
      <c r="H1554" s="13">
        <v>4</v>
      </c>
      <c r="I1554" s="13">
        <v>0</v>
      </c>
      <c r="J1554" s="13">
        <v>0</v>
      </c>
      <c r="K1554" s="10">
        <v>4</v>
      </c>
      <c r="L1554" s="2">
        <v>511.38</v>
      </c>
      <c r="M1554" s="1">
        <v>46112.350694444445</v>
      </c>
      <c r="N1554" t="s">
        <v>36</v>
      </c>
    </row>
    <row r="1555" spans="1:14" x14ac:dyDescent="0.25">
      <c r="A1555" s="9" t="s">
        <v>5211</v>
      </c>
      <c r="B1555" s="10">
        <v>714</v>
      </c>
      <c r="C1555" s="10" t="s">
        <v>323</v>
      </c>
      <c r="D1555" t="s">
        <v>3190</v>
      </c>
      <c r="E1555" t="s">
        <v>3191</v>
      </c>
      <c r="F1555" s="10" t="s">
        <v>19</v>
      </c>
      <c r="G1555" s="2">
        <v>115</v>
      </c>
      <c r="H1555" s="13">
        <v>4</v>
      </c>
      <c r="I1555" s="13">
        <v>-2</v>
      </c>
      <c r="J1555" s="13">
        <v>2</v>
      </c>
      <c r="K1555" s="10">
        <v>4</v>
      </c>
      <c r="L1555" s="2">
        <v>460</v>
      </c>
      <c r="M1555" s="1">
        <v>46112.67291666667</v>
      </c>
      <c r="N1555" t="s">
        <v>2444</v>
      </c>
    </row>
    <row r="1556" spans="1:14" x14ac:dyDescent="0.25">
      <c r="A1556" s="9" t="s">
        <v>5211</v>
      </c>
      <c r="B1556" s="10">
        <v>714</v>
      </c>
      <c r="C1556" s="10" t="s">
        <v>323</v>
      </c>
      <c r="D1556" t="s">
        <v>3334</v>
      </c>
      <c r="E1556" s="6" t="s">
        <v>3335</v>
      </c>
      <c r="F1556" s="11" t="s">
        <v>58</v>
      </c>
      <c r="G1556" s="2">
        <v>210.18020000000001</v>
      </c>
      <c r="H1556" s="13">
        <v>4</v>
      </c>
      <c r="I1556" s="13">
        <v>0</v>
      </c>
      <c r="J1556" s="13">
        <v>0</v>
      </c>
      <c r="K1556" s="10">
        <v>4</v>
      </c>
      <c r="L1556" s="2">
        <v>840.72080000000005</v>
      </c>
      <c r="M1556" s="1">
        <v>46113.330555555556</v>
      </c>
      <c r="N1556" t="s">
        <v>2379</v>
      </c>
    </row>
    <row r="1557" spans="1:14" x14ac:dyDescent="0.25">
      <c r="A1557" s="9" t="s">
        <v>5211</v>
      </c>
      <c r="B1557" s="10">
        <v>636</v>
      </c>
      <c r="C1557" s="10" t="s">
        <v>323</v>
      </c>
      <c r="D1557" t="s">
        <v>1346</v>
      </c>
      <c r="E1557" t="s">
        <v>1347</v>
      </c>
      <c r="F1557" s="10" t="s">
        <v>29</v>
      </c>
      <c r="G1557" s="2">
        <v>271.4144</v>
      </c>
      <c r="H1557" s="13">
        <v>4</v>
      </c>
      <c r="I1557" s="13">
        <v>0</v>
      </c>
      <c r="J1557" s="13">
        <v>0</v>
      </c>
      <c r="K1557" s="10">
        <v>4</v>
      </c>
      <c r="L1557" s="2">
        <v>1085.6576</v>
      </c>
      <c r="M1557" s="1">
        <v>46114.394444444442</v>
      </c>
      <c r="N1557" t="s">
        <v>486</v>
      </c>
    </row>
    <row r="1558" spans="1:14" x14ac:dyDescent="0.25">
      <c r="A1558" s="9" t="s">
        <v>5211</v>
      </c>
      <c r="B1558" s="10">
        <v>636</v>
      </c>
      <c r="C1558" s="10" t="s">
        <v>143</v>
      </c>
      <c r="D1558" t="s">
        <v>1125</v>
      </c>
      <c r="E1558" t="s">
        <v>1126</v>
      </c>
      <c r="F1558" s="10" t="s">
        <v>29</v>
      </c>
      <c r="G1558" s="2">
        <v>25.4939</v>
      </c>
      <c r="H1558" s="13">
        <v>4</v>
      </c>
      <c r="I1558" s="13">
        <v>0</v>
      </c>
      <c r="J1558" s="13">
        <v>0</v>
      </c>
      <c r="K1558" s="10">
        <v>4</v>
      </c>
      <c r="L1558" s="2">
        <v>101.9756</v>
      </c>
      <c r="M1558" s="1">
        <v>46114.597916666666</v>
      </c>
      <c r="N1558" t="s">
        <v>797</v>
      </c>
    </row>
    <row r="1559" spans="1:14" x14ac:dyDescent="0.25">
      <c r="A1559" s="9" t="s">
        <v>5211</v>
      </c>
      <c r="B1559" s="10">
        <v>636</v>
      </c>
      <c r="C1559" s="10" t="s">
        <v>1749</v>
      </c>
      <c r="D1559" t="s">
        <v>1758</v>
      </c>
      <c r="E1559" t="s">
        <v>1759</v>
      </c>
      <c r="F1559" s="10" t="s">
        <v>29</v>
      </c>
      <c r="G1559" s="2">
        <v>9.9143000000000008</v>
      </c>
      <c r="H1559" s="13">
        <v>4</v>
      </c>
      <c r="I1559" s="13">
        <v>0</v>
      </c>
      <c r="J1559" s="13">
        <v>0</v>
      </c>
      <c r="K1559" s="10">
        <v>4</v>
      </c>
      <c r="L1559" s="2">
        <v>39.657200000000003</v>
      </c>
      <c r="M1559" s="1">
        <v>46114.597916666666</v>
      </c>
      <c r="N1559" t="s">
        <v>797</v>
      </c>
    </row>
    <row r="1560" spans="1:14" x14ac:dyDescent="0.25">
      <c r="A1560" s="9" t="s">
        <v>5211</v>
      </c>
      <c r="B1560" s="10">
        <v>636</v>
      </c>
      <c r="C1560" s="10" t="s">
        <v>1208</v>
      </c>
      <c r="D1560" t="s">
        <v>1213</v>
      </c>
      <c r="E1560" t="s">
        <v>1214</v>
      </c>
      <c r="F1560" s="10" t="s">
        <v>39</v>
      </c>
      <c r="G1560" s="2">
        <v>20.2393</v>
      </c>
      <c r="H1560" s="13">
        <v>4</v>
      </c>
      <c r="I1560" s="13">
        <v>0</v>
      </c>
      <c r="J1560" s="13">
        <v>0</v>
      </c>
      <c r="K1560" s="10">
        <v>4</v>
      </c>
      <c r="L1560" s="2">
        <v>80.9572</v>
      </c>
      <c r="M1560" s="1">
        <v>46114.597916666666</v>
      </c>
      <c r="N1560" t="s">
        <v>797</v>
      </c>
    </row>
    <row r="1561" spans="1:14" x14ac:dyDescent="0.25">
      <c r="A1561" s="9" t="s">
        <v>5211</v>
      </c>
      <c r="B1561" s="10">
        <v>636</v>
      </c>
      <c r="C1561" s="10" t="s">
        <v>323</v>
      </c>
      <c r="D1561" t="s">
        <v>4635</v>
      </c>
      <c r="E1561" t="s">
        <v>4636</v>
      </c>
      <c r="F1561" s="10" t="s">
        <v>19</v>
      </c>
      <c r="G1561" s="2">
        <v>316.85309999999998</v>
      </c>
      <c r="H1561" s="13">
        <v>4</v>
      </c>
      <c r="I1561" s="13">
        <v>0</v>
      </c>
      <c r="J1561" s="13">
        <v>0</v>
      </c>
      <c r="K1561" s="10">
        <v>4</v>
      </c>
      <c r="L1561" s="2">
        <v>1267.4123999999999</v>
      </c>
      <c r="M1561" s="1">
        <v>46115.425694444442</v>
      </c>
      <c r="N1561" t="s">
        <v>1234</v>
      </c>
    </row>
    <row r="1562" spans="1:14" x14ac:dyDescent="0.25">
      <c r="A1562" s="9" t="s">
        <v>5211</v>
      </c>
      <c r="B1562" s="10">
        <v>636</v>
      </c>
      <c r="C1562" s="10" t="s">
        <v>323</v>
      </c>
      <c r="D1562" t="s">
        <v>1232</v>
      </c>
      <c r="E1562" t="s">
        <v>1233</v>
      </c>
      <c r="F1562" s="10" t="s">
        <v>158</v>
      </c>
      <c r="G1562" s="2">
        <v>141.1327</v>
      </c>
      <c r="H1562" s="13">
        <v>4</v>
      </c>
      <c r="I1562" s="13">
        <v>2</v>
      </c>
      <c r="J1562" s="13">
        <v>-2</v>
      </c>
      <c r="K1562" s="10">
        <v>4</v>
      </c>
      <c r="L1562" s="2">
        <v>564.5308</v>
      </c>
      <c r="M1562" s="1">
        <v>46115.425694444442</v>
      </c>
      <c r="N1562" t="s">
        <v>1234</v>
      </c>
    </row>
    <row r="1563" spans="1:14" x14ac:dyDescent="0.25">
      <c r="A1563" s="9" t="s">
        <v>5211</v>
      </c>
      <c r="B1563" s="10">
        <v>714</v>
      </c>
      <c r="C1563" s="10" t="s">
        <v>323</v>
      </c>
      <c r="D1563" t="s">
        <v>3115</v>
      </c>
      <c r="E1563" t="s">
        <v>3116</v>
      </c>
      <c r="F1563" s="10" t="s">
        <v>19</v>
      </c>
      <c r="G1563" s="2">
        <v>246.63810000000001</v>
      </c>
      <c r="H1563" s="13">
        <v>4</v>
      </c>
      <c r="I1563" s="13">
        <v>0</v>
      </c>
      <c r="J1563" s="13">
        <v>0</v>
      </c>
      <c r="K1563" s="10">
        <v>4</v>
      </c>
      <c r="L1563" s="2">
        <v>986.55240000000003</v>
      </c>
      <c r="M1563" s="1">
        <v>46118.304861111108</v>
      </c>
      <c r="N1563" t="s">
        <v>2423</v>
      </c>
    </row>
    <row r="1564" spans="1:14" x14ac:dyDescent="0.25">
      <c r="A1564" s="9" t="s">
        <v>5211</v>
      </c>
      <c r="B1564" s="10">
        <v>714</v>
      </c>
      <c r="C1564" s="10" t="s">
        <v>323</v>
      </c>
      <c r="D1564" t="s">
        <v>3536</v>
      </c>
      <c r="E1564" t="s">
        <v>3537</v>
      </c>
      <c r="F1564" s="10" t="s">
        <v>29</v>
      </c>
      <c r="G1564" s="2">
        <v>142.51740000000001</v>
      </c>
      <c r="H1564" s="13">
        <v>4</v>
      </c>
      <c r="I1564" s="13">
        <v>0</v>
      </c>
      <c r="J1564" s="13">
        <v>0</v>
      </c>
      <c r="K1564" s="10">
        <v>4</v>
      </c>
      <c r="L1564" s="2">
        <v>570.06960000000004</v>
      </c>
      <c r="M1564" s="1">
        <v>46118.304861111108</v>
      </c>
      <c r="N1564" t="s">
        <v>2423</v>
      </c>
    </row>
    <row r="1565" spans="1:14" x14ac:dyDescent="0.25">
      <c r="A1565" s="9" t="s">
        <v>5211</v>
      </c>
      <c r="B1565" s="10">
        <v>714</v>
      </c>
      <c r="C1565" s="10" t="s">
        <v>143</v>
      </c>
      <c r="D1565" t="s">
        <v>2732</v>
      </c>
      <c r="E1565" t="s">
        <v>2733</v>
      </c>
      <c r="F1565" s="10" t="s">
        <v>29</v>
      </c>
      <c r="G1565" s="2">
        <v>122.4543</v>
      </c>
      <c r="H1565" s="13">
        <v>4</v>
      </c>
      <c r="I1565" s="13">
        <v>0</v>
      </c>
      <c r="J1565" s="13">
        <v>0</v>
      </c>
      <c r="K1565" s="10">
        <v>4</v>
      </c>
      <c r="L1565" s="2">
        <v>489.81720000000001</v>
      </c>
      <c r="M1565" s="1">
        <v>46118.304861111108</v>
      </c>
      <c r="N1565" t="s">
        <v>2423</v>
      </c>
    </row>
    <row r="1566" spans="1:14" x14ac:dyDescent="0.25">
      <c r="A1566" s="9" t="s">
        <v>5211</v>
      </c>
      <c r="B1566" s="10">
        <v>714</v>
      </c>
      <c r="C1566" s="10" t="s">
        <v>323</v>
      </c>
      <c r="D1566" t="s">
        <v>3306</v>
      </c>
      <c r="E1566" t="s">
        <v>3307</v>
      </c>
      <c r="F1566" s="10" t="s">
        <v>29</v>
      </c>
      <c r="G1566" s="2">
        <v>153.93260000000001</v>
      </c>
      <c r="H1566" s="13">
        <v>4</v>
      </c>
      <c r="I1566" s="13">
        <v>0</v>
      </c>
      <c r="J1566" s="13">
        <v>0</v>
      </c>
      <c r="K1566" s="10">
        <v>4</v>
      </c>
      <c r="L1566" s="2">
        <v>615.73040000000003</v>
      </c>
      <c r="M1566" s="1">
        <v>46118.304861111108</v>
      </c>
      <c r="N1566" t="s">
        <v>2423</v>
      </c>
    </row>
    <row r="1567" spans="1:14" x14ac:dyDescent="0.25">
      <c r="A1567" s="9" t="s">
        <v>5211</v>
      </c>
      <c r="B1567" s="10">
        <v>714</v>
      </c>
      <c r="C1567" s="10" t="s">
        <v>143</v>
      </c>
      <c r="D1567" t="s">
        <v>4825</v>
      </c>
      <c r="E1567" t="s">
        <v>4826</v>
      </c>
      <c r="F1567" s="10" t="s">
        <v>29</v>
      </c>
      <c r="G1567" s="2">
        <v>14.861499999999999</v>
      </c>
      <c r="H1567" s="13">
        <v>4</v>
      </c>
      <c r="I1567" s="13">
        <v>8</v>
      </c>
      <c r="J1567" s="13">
        <v>-8</v>
      </c>
      <c r="K1567" s="10">
        <v>4</v>
      </c>
      <c r="L1567" s="2">
        <v>59.445999999999998</v>
      </c>
      <c r="M1567" s="1">
        <v>46118.384027777778</v>
      </c>
      <c r="N1567" t="s">
        <v>26</v>
      </c>
    </row>
    <row r="1568" spans="1:14" x14ac:dyDescent="0.25">
      <c r="A1568" s="9" t="s">
        <v>5211</v>
      </c>
      <c r="B1568" s="10">
        <v>718</v>
      </c>
      <c r="C1568" s="10" t="s">
        <v>323</v>
      </c>
      <c r="D1568" t="s">
        <v>5109</v>
      </c>
      <c r="E1568" t="s">
        <v>5110</v>
      </c>
      <c r="F1568" s="10" t="s">
        <v>158</v>
      </c>
      <c r="G1568" s="2">
        <v>131.79300000000001</v>
      </c>
      <c r="H1568" s="13">
        <v>4</v>
      </c>
      <c r="I1568" s="13">
        <v>-2</v>
      </c>
      <c r="J1568" s="13">
        <v>2</v>
      </c>
      <c r="K1568" s="10">
        <v>4</v>
      </c>
      <c r="L1568" s="2">
        <v>527.17200000000003</v>
      </c>
      <c r="M1568" s="1">
        <v>46118.48333333333</v>
      </c>
      <c r="N1568" t="s">
        <v>354</v>
      </c>
    </row>
    <row r="1569" spans="1:14" x14ac:dyDescent="0.25">
      <c r="A1569" s="9" t="s">
        <v>5211</v>
      </c>
      <c r="B1569" s="10">
        <v>718</v>
      </c>
      <c r="C1569" s="10" t="s">
        <v>323</v>
      </c>
      <c r="D1569" t="s">
        <v>2961</v>
      </c>
      <c r="E1569" t="s">
        <v>2962</v>
      </c>
      <c r="F1569" s="10" t="s">
        <v>158</v>
      </c>
      <c r="G1569" s="2">
        <v>348.51979999999998</v>
      </c>
      <c r="H1569" s="13">
        <v>4</v>
      </c>
      <c r="I1569" s="13">
        <v>0</v>
      </c>
      <c r="J1569" s="13">
        <v>0</v>
      </c>
      <c r="K1569" s="10">
        <v>4</v>
      </c>
      <c r="L1569" s="2">
        <v>1394.0791999999999</v>
      </c>
      <c r="M1569" s="1">
        <v>46118.605555555558</v>
      </c>
      <c r="N1569" t="s">
        <v>2379</v>
      </c>
    </row>
    <row r="1570" spans="1:14" x14ac:dyDescent="0.25">
      <c r="A1570" s="9" t="s">
        <v>5211</v>
      </c>
      <c r="B1570" s="10">
        <v>714</v>
      </c>
      <c r="C1570" s="10" t="s">
        <v>143</v>
      </c>
      <c r="D1570" t="s">
        <v>2505</v>
      </c>
      <c r="E1570" t="s">
        <v>2506</v>
      </c>
      <c r="F1570" s="10" t="s">
        <v>23</v>
      </c>
      <c r="G1570" s="2">
        <v>65.3934</v>
      </c>
      <c r="H1570" s="13">
        <v>4</v>
      </c>
      <c r="I1570" s="13">
        <v>-2</v>
      </c>
      <c r="J1570" s="13">
        <v>2</v>
      </c>
      <c r="K1570" s="10">
        <v>4</v>
      </c>
      <c r="L1570" s="2">
        <v>261.5736</v>
      </c>
      <c r="M1570" s="1">
        <v>46119.573611111111</v>
      </c>
      <c r="N1570" t="s">
        <v>137</v>
      </c>
    </row>
    <row r="1571" spans="1:14" x14ac:dyDescent="0.25">
      <c r="A1571" s="9" t="s">
        <v>5211</v>
      </c>
      <c r="B1571" s="10">
        <v>636</v>
      </c>
      <c r="C1571" s="10" t="s">
        <v>143</v>
      </c>
      <c r="D1571" t="s">
        <v>1017</v>
      </c>
      <c r="E1571" t="s">
        <v>1018</v>
      </c>
      <c r="F1571" s="10" t="s">
        <v>23</v>
      </c>
      <c r="G1571" s="2">
        <v>75.621899999999997</v>
      </c>
      <c r="H1571" s="13">
        <v>4</v>
      </c>
      <c r="I1571" s="13">
        <v>0</v>
      </c>
      <c r="J1571" s="13">
        <v>0</v>
      </c>
      <c r="K1571" s="10">
        <v>4</v>
      </c>
      <c r="L1571" s="2">
        <v>302.48759999999999</v>
      </c>
      <c r="M1571" s="1">
        <v>46119.593055555553</v>
      </c>
      <c r="N1571" t="s">
        <v>236</v>
      </c>
    </row>
    <row r="1572" spans="1:14" x14ac:dyDescent="0.25">
      <c r="A1572" s="9" t="s">
        <v>5211</v>
      </c>
      <c r="B1572" s="10">
        <v>634</v>
      </c>
      <c r="C1572" s="10" t="s">
        <v>143</v>
      </c>
      <c r="D1572" t="s">
        <v>1144</v>
      </c>
      <c r="E1572" t="s">
        <v>1145</v>
      </c>
      <c r="F1572" s="10" t="s">
        <v>158</v>
      </c>
      <c r="G1572" s="2">
        <v>124.2625</v>
      </c>
      <c r="H1572" s="13">
        <v>4</v>
      </c>
      <c r="I1572" s="13">
        <v>4</v>
      </c>
      <c r="J1572" s="13">
        <v>-4</v>
      </c>
      <c r="K1572" s="10">
        <v>4</v>
      </c>
      <c r="L1572" s="2">
        <v>497.05</v>
      </c>
      <c r="M1572" s="1">
        <v>46119.597222222219</v>
      </c>
      <c r="N1572" t="s">
        <v>236</v>
      </c>
    </row>
    <row r="1573" spans="1:14" x14ac:dyDescent="0.25">
      <c r="A1573" s="9" t="s">
        <v>5211</v>
      </c>
      <c r="B1573" s="10">
        <v>636</v>
      </c>
      <c r="C1573" s="10" t="s">
        <v>323</v>
      </c>
      <c r="D1573" t="s">
        <v>4615</v>
      </c>
      <c r="E1573" t="s">
        <v>4616</v>
      </c>
      <c r="F1573" s="10" t="s">
        <v>19</v>
      </c>
      <c r="G1573" s="2">
        <v>176.80459999999999</v>
      </c>
      <c r="H1573" s="13">
        <v>4</v>
      </c>
      <c r="I1573" s="13">
        <v>9</v>
      </c>
      <c r="J1573" s="13">
        <v>-9</v>
      </c>
      <c r="K1573" s="10">
        <v>4</v>
      </c>
      <c r="L1573" s="2">
        <v>707.21839999999997</v>
      </c>
      <c r="M1573" s="1">
        <v>46120.310416666667</v>
      </c>
      <c r="N1573" t="s">
        <v>137</v>
      </c>
    </row>
    <row r="1574" spans="1:14" x14ac:dyDescent="0.25">
      <c r="A1574" s="9" t="s">
        <v>5211</v>
      </c>
      <c r="B1574" s="10">
        <v>636</v>
      </c>
      <c r="C1574" s="10" t="s">
        <v>323</v>
      </c>
      <c r="D1574" t="s">
        <v>1531</v>
      </c>
      <c r="E1574" t="s">
        <v>1532</v>
      </c>
      <c r="F1574" s="10" t="s">
        <v>29</v>
      </c>
      <c r="G1574" s="2">
        <v>234.006</v>
      </c>
      <c r="H1574" s="13">
        <v>4</v>
      </c>
      <c r="I1574" s="13">
        <v>0</v>
      </c>
      <c r="J1574" s="13">
        <v>0</v>
      </c>
      <c r="K1574" s="10">
        <v>4</v>
      </c>
      <c r="L1574" s="2">
        <v>936.024</v>
      </c>
      <c r="M1574" s="1">
        <v>46120.310416666667</v>
      </c>
      <c r="N1574" t="s">
        <v>137</v>
      </c>
    </row>
    <row r="1575" spans="1:14" x14ac:dyDescent="0.25">
      <c r="A1575" s="9" t="s">
        <v>5211</v>
      </c>
      <c r="B1575" s="10">
        <v>636</v>
      </c>
      <c r="C1575" s="10" t="s">
        <v>323</v>
      </c>
      <c r="D1575" t="s">
        <v>487</v>
      </c>
      <c r="E1575" t="s">
        <v>488</v>
      </c>
      <c r="F1575" s="10" t="s">
        <v>29</v>
      </c>
      <c r="G1575" s="2">
        <v>176.9811</v>
      </c>
      <c r="H1575" s="13">
        <v>4</v>
      </c>
      <c r="I1575" s="13">
        <v>0</v>
      </c>
      <c r="J1575" s="13">
        <v>0</v>
      </c>
      <c r="K1575" s="10">
        <v>4</v>
      </c>
      <c r="L1575" s="2">
        <v>707.92439999999999</v>
      </c>
      <c r="M1575" s="1">
        <v>46120.484027777777</v>
      </c>
      <c r="N1575" t="s">
        <v>354</v>
      </c>
    </row>
    <row r="1576" spans="1:14" x14ac:dyDescent="0.25">
      <c r="A1576" s="9" t="s">
        <v>5211</v>
      </c>
      <c r="B1576" s="10">
        <v>634</v>
      </c>
      <c r="C1576" s="10" t="s">
        <v>143</v>
      </c>
      <c r="D1576" t="s">
        <v>321</v>
      </c>
      <c r="E1576" t="s">
        <v>322</v>
      </c>
      <c r="F1576" s="10" t="s">
        <v>19</v>
      </c>
      <c r="G1576" s="2">
        <v>37.851900000000001</v>
      </c>
      <c r="H1576" s="13">
        <v>4</v>
      </c>
      <c r="I1576" s="13">
        <v>0</v>
      </c>
      <c r="J1576" s="13">
        <v>0</v>
      </c>
      <c r="K1576" s="10">
        <v>4</v>
      </c>
      <c r="L1576" s="2">
        <v>151.4076</v>
      </c>
      <c r="M1576" s="1">
        <v>46120.659722222219</v>
      </c>
      <c r="N1576" t="s">
        <v>30</v>
      </c>
    </row>
    <row r="1577" spans="1:14" x14ac:dyDescent="0.25">
      <c r="A1577" s="9" t="s">
        <v>5211</v>
      </c>
      <c r="B1577" s="10">
        <v>636</v>
      </c>
      <c r="C1577" s="10" t="s">
        <v>323</v>
      </c>
      <c r="D1577" t="s">
        <v>1326</v>
      </c>
      <c r="E1577" t="s">
        <v>1327</v>
      </c>
      <c r="F1577" s="10" t="s">
        <v>29</v>
      </c>
      <c r="G1577" s="2">
        <v>284.04520000000002</v>
      </c>
      <c r="H1577" s="13">
        <v>4</v>
      </c>
      <c r="I1577" s="13">
        <v>0</v>
      </c>
      <c r="J1577" s="13">
        <v>0</v>
      </c>
      <c r="K1577" s="10">
        <v>4</v>
      </c>
      <c r="L1577" s="2">
        <v>1136.1808000000001</v>
      </c>
      <c r="M1577" s="1">
        <v>46121.45</v>
      </c>
      <c r="N1577" t="s">
        <v>151</v>
      </c>
    </row>
    <row r="1578" spans="1:14" x14ac:dyDescent="0.25">
      <c r="A1578" s="9" t="s">
        <v>5211</v>
      </c>
      <c r="B1578" s="10">
        <v>634</v>
      </c>
      <c r="C1578" s="10" t="s">
        <v>323</v>
      </c>
      <c r="D1578" t="s">
        <v>4288</v>
      </c>
      <c r="E1578" t="s">
        <v>4289</v>
      </c>
      <c r="F1578" s="10" t="s">
        <v>23</v>
      </c>
      <c r="G1578" s="2">
        <v>280.69580000000002</v>
      </c>
      <c r="H1578" s="13">
        <v>4</v>
      </c>
      <c r="I1578" s="13">
        <v>3</v>
      </c>
      <c r="J1578" s="13">
        <v>-3</v>
      </c>
      <c r="K1578" s="10">
        <v>4</v>
      </c>
      <c r="L1578" s="2">
        <v>1122.7832000000001</v>
      </c>
      <c r="M1578" s="1">
        <v>46121.589583333334</v>
      </c>
      <c r="N1578" t="s">
        <v>159</v>
      </c>
    </row>
    <row r="1579" spans="1:14" x14ac:dyDescent="0.25">
      <c r="A1579" s="9" t="s">
        <v>5211</v>
      </c>
      <c r="B1579" s="10">
        <v>636</v>
      </c>
      <c r="C1579" s="10" t="s">
        <v>126</v>
      </c>
      <c r="D1579" t="s">
        <v>3701</v>
      </c>
      <c r="E1579" t="s">
        <v>3702</v>
      </c>
      <c r="F1579" s="10" t="s">
        <v>112</v>
      </c>
      <c r="G1579" s="2">
        <v>6.2244000000000002</v>
      </c>
      <c r="H1579" s="13">
        <v>4</v>
      </c>
      <c r="I1579" s="13">
        <v>-5</v>
      </c>
      <c r="J1579" s="13">
        <v>5</v>
      </c>
      <c r="K1579" s="10">
        <v>4</v>
      </c>
      <c r="L1579" s="2">
        <v>24.897600000000001</v>
      </c>
      <c r="M1579" s="1">
        <v>46122.438194444447</v>
      </c>
      <c r="N1579" t="s">
        <v>16</v>
      </c>
    </row>
    <row r="1580" spans="1:14" x14ac:dyDescent="0.25">
      <c r="A1580" s="9" t="s">
        <v>5211</v>
      </c>
      <c r="B1580" s="10">
        <v>636</v>
      </c>
      <c r="C1580" s="10" t="s">
        <v>143</v>
      </c>
      <c r="D1580" t="s">
        <v>1031</v>
      </c>
      <c r="E1580" t="s">
        <v>1032</v>
      </c>
      <c r="F1580" s="10" t="s">
        <v>29</v>
      </c>
      <c r="G1580" s="2">
        <v>19.514700000000001</v>
      </c>
      <c r="H1580" s="13">
        <v>4</v>
      </c>
      <c r="I1580" s="13">
        <v>-1</v>
      </c>
      <c r="J1580" s="13">
        <v>1</v>
      </c>
      <c r="K1580" s="10">
        <v>4</v>
      </c>
      <c r="L1580" s="2">
        <v>78.058800000000005</v>
      </c>
      <c r="M1580" s="1">
        <v>46122.48333333333</v>
      </c>
      <c r="N1580" t="s">
        <v>40</v>
      </c>
    </row>
    <row r="1581" spans="1:14" x14ac:dyDescent="0.25">
      <c r="A1581" s="9" t="s">
        <v>5211</v>
      </c>
      <c r="B1581" s="10">
        <v>636</v>
      </c>
      <c r="C1581" s="10" t="s">
        <v>143</v>
      </c>
      <c r="D1581" t="s">
        <v>1163</v>
      </c>
      <c r="E1581" t="s">
        <v>1164</v>
      </c>
      <c r="F1581" s="10" t="s">
        <v>29</v>
      </c>
      <c r="G1581" s="2">
        <v>11.3161</v>
      </c>
      <c r="H1581" s="13">
        <v>4</v>
      </c>
      <c r="I1581" s="13">
        <v>0</v>
      </c>
      <c r="J1581" s="13">
        <v>0</v>
      </c>
      <c r="K1581" s="10">
        <v>4</v>
      </c>
      <c r="L1581" s="2">
        <v>45.264400000000002</v>
      </c>
      <c r="M1581" s="1">
        <v>46122.48333333333</v>
      </c>
      <c r="N1581" t="s">
        <v>40</v>
      </c>
    </row>
    <row r="1582" spans="1:14" x14ac:dyDescent="0.25">
      <c r="A1582" s="9" t="s">
        <v>5211</v>
      </c>
      <c r="B1582" s="10">
        <v>634</v>
      </c>
      <c r="C1582" s="10" t="s">
        <v>323</v>
      </c>
      <c r="D1582" t="s">
        <v>4365</v>
      </c>
      <c r="E1582" t="s">
        <v>4366</v>
      </c>
      <c r="F1582" s="10" t="s">
        <v>29</v>
      </c>
      <c r="G1582" s="2">
        <v>225.6071</v>
      </c>
      <c r="H1582" s="13">
        <v>4</v>
      </c>
      <c r="I1582" s="13">
        <v>15</v>
      </c>
      <c r="J1582" s="13">
        <v>-15</v>
      </c>
      <c r="K1582" s="10">
        <v>4</v>
      </c>
      <c r="L1582" s="2">
        <v>902.42840000000001</v>
      </c>
      <c r="M1582" s="1">
        <v>46122.515277777777</v>
      </c>
      <c r="N1582" t="s">
        <v>354</v>
      </c>
    </row>
    <row r="1583" spans="1:14" x14ac:dyDescent="0.25">
      <c r="A1583" s="9" t="s">
        <v>5211</v>
      </c>
      <c r="B1583" s="10">
        <v>714</v>
      </c>
      <c r="C1583" s="10" t="s">
        <v>323</v>
      </c>
      <c r="D1583" t="s">
        <v>4970</v>
      </c>
      <c r="E1583" t="s">
        <v>4971</v>
      </c>
      <c r="F1583" s="10" t="s">
        <v>158</v>
      </c>
      <c r="G1583" s="2">
        <v>156.262</v>
      </c>
      <c r="H1583" s="13">
        <v>4</v>
      </c>
      <c r="I1583" s="13">
        <v>6</v>
      </c>
      <c r="J1583" s="13">
        <v>-6</v>
      </c>
      <c r="K1583" s="10">
        <v>4</v>
      </c>
      <c r="L1583" s="2">
        <v>625.048</v>
      </c>
      <c r="M1583" s="1">
        <v>46122.533333333333</v>
      </c>
      <c r="N1583" t="s">
        <v>354</v>
      </c>
    </row>
    <row r="1584" spans="1:14" x14ac:dyDescent="0.25">
      <c r="A1584" s="9" t="s">
        <v>5211</v>
      </c>
      <c r="B1584" s="10">
        <v>636</v>
      </c>
      <c r="C1584" s="10" t="s">
        <v>323</v>
      </c>
      <c r="D1584" t="s">
        <v>1544</v>
      </c>
      <c r="E1584" t="s">
        <v>1545</v>
      </c>
      <c r="F1584" s="10" t="s">
        <v>29</v>
      </c>
      <c r="G1584" s="2">
        <v>197.61410000000001</v>
      </c>
      <c r="H1584" s="13">
        <v>4</v>
      </c>
      <c r="I1584" s="13">
        <v>0</v>
      </c>
      <c r="J1584" s="13">
        <v>0</v>
      </c>
      <c r="K1584" s="10">
        <v>4</v>
      </c>
      <c r="L1584" s="2">
        <v>790.45640000000003</v>
      </c>
      <c r="M1584" s="1">
        <v>46125.407638888886</v>
      </c>
      <c r="N1584" t="s">
        <v>295</v>
      </c>
    </row>
    <row r="1585" spans="1:14" x14ac:dyDescent="0.25">
      <c r="A1585" s="9" t="s">
        <v>5211</v>
      </c>
      <c r="B1585" s="10">
        <v>636</v>
      </c>
      <c r="C1585" s="10" t="s">
        <v>323</v>
      </c>
      <c r="D1585" t="s">
        <v>326</v>
      </c>
      <c r="E1585" t="s">
        <v>327</v>
      </c>
      <c r="F1585" s="10" t="s">
        <v>29</v>
      </c>
      <c r="G1585" s="2">
        <v>145.24629999999999</v>
      </c>
      <c r="H1585" s="13">
        <v>4</v>
      </c>
      <c r="I1585" s="13">
        <v>0</v>
      </c>
      <c r="J1585" s="13">
        <v>0</v>
      </c>
      <c r="K1585" s="10">
        <v>4</v>
      </c>
      <c r="L1585" s="2">
        <v>580.98519999999996</v>
      </c>
      <c r="M1585" s="1">
        <v>46125.407638888886</v>
      </c>
      <c r="N1585" t="s">
        <v>295</v>
      </c>
    </row>
    <row r="1586" spans="1:14" x14ac:dyDescent="0.25">
      <c r="A1586" s="9" t="s">
        <v>5211</v>
      </c>
      <c r="B1586" s="10">
        <v>636</v>
      </c>
      <c r="C1586" s="10" t="s">
        <v>323</v>
      </c>
      <c r="D1586" t="s">
        <v>2888</v>
      </c>
      <c r="E1586" s="6" t="s">
        <v>2889</v>
      </c>
      <c r="F1586" s="11" t="s">
        <v>58</v>
      </c>
      <c r="G1586" s="2">
        <v>186.0753</v>
      </c>
      <c r="H1586" s="13">
        <v>4</v>
      </c>
      <c r="I1586" s="13">
        <v>2</v>
      </c>
      <c r="J1586" s="13">
        <v>-2</v>
      </c>
      <c r="K1586" s="10">
        <v>4</v>
      </c>
      <c r="L1586" s="2">
        <v>744.30119999999999</v>
      </c>
      <c r="M1586" s="1">
        <v>46125.407638888886</v>
      </c>
      <c r="N1586" t="s">
        <v>295</v>
      </c>
    </row>
    <row r="1587" spans="1:14" x14ac:dyDescent="0.25">
      <c r="A1587" s="9" t="s">
        <v>5211</v>
      </c>
      <c r="B1587" s="10">
        <v>636</v>
      </c>
      <c r="C1587" s="10" t="s">
        <v>323</v>
      </c>
      <c r="D1587" t="s">
        <v>1320</v>
      </c>
      <c r="E1587" t="s">
        <v>1321</v>
      </c>
      <c r="F1587" s="10" t="s">
        <v>19</v>
      </c>
      <c r="G1587" s="2">
        <v>191.25</v>
      </c>
      <c r="H1587" s="13">
        <v>4</v>
      </c>
      <c r="I1587" s="13">
        <v>0</v>
      </c>
      <c r="J1587" s="13">
        <v>0</v>
      </c>
      <c r="K1587" s="10">
        <v>4</v>
      </c>
      <c r="L1587" s="2">
        <v>765</v>
      </c>
      <c r="M1587" s="1">
        <v>46126.456250000003</v>
      </c>
      <c r="N1587" t="s">
        <v>354</v>
      </c>
    </row>
    <row r="1588" spans="1:14" x14ac:dyDescent="0.25">
      <c r="A1588" s="9" t="s">
        <v>5211</v>
      </c>
      <c r="B1588" s="10">
        <v>714</v>
      </c>
      <c r="C1588" s="10" t="s">
        <v>143</v>
      </c>
      <c r="D1588" t="s">
        <v>2245</v>
      </c>
      <c r="E1588" t="s">
        <v>2246</v>
      </c>
      <c r="F1588" s="10" t="s">
        <v>29</v>
      </c>
      <c r="G1588" s="2">
        <v>20.643999999999998</v>
      </c>
      <c r="H1588" s="13">
        <v>4</v>
      </c>
      <c r="I1588" s="13">
        <v>0</v>
      </c>
      <c r="J1588" s="13">
        <v>0</v>
      </c>
      <c r="K1588" s="10">
        <v>4</v>
      </c>
      <c r="L1588" s="2">
        <v>82.575999999999993</v>
      </c>
      <c r="M1588" s="1">
        <v>46126.649305555555</v>
      </c>
      <c r="N1588" t="s">
        <v>67</v>
      </c>
    </row>
    <row r="1589" spans="1:14" x14ac:dyDescent="0.25">
      <c r="A1589" s="9" t="s">
        <v>5211</v>
      </c>
      <c r="B1589" s="10">
        <v>714</v>
      </c>
      <c r="C1589" s="10" t="s">
        <v>143</v>
      </c>
      <c r="D1589" t="s">
        <v>2247</v>
      </c>
      <c r="E1589" t="s">
        <v>2248</v>
      </c>
      <c r="F1589" s="10" t="s">
        <v>29</v>
      </c>
      <c r="G1589" s="2">
        <v>40.197299999999998</v>
      </c>
      <c r="H1589" s="13">
        <v>4</v>
      </c>
      <c r="I1589" s="13">
        <v>0</v>
      </c>
      <c r="J1589" s="13">
        <v>0</v>
      </c>
      <c r="K1589" s="10">
        <v>4</v>
      </c>
      <c r="L1589" s="2">
        <v>160.78919999999999</v>
      </c>
      <c r="M1589" s="1">
        <v>46126.649305555555</v>
      </c>
      <c r="N1589" t="s">
        <v>67</v>
      </c>
    </row>
    <row r="1590" spans="1:14" x14ac:dyDescent="0.25">
      <c r="A1590" s="9" t="s">
        <v>5211</v>
      </c>
      <c r="B1590" s="10">
        <v>714</v>
      </c>
      <c r="C1590" s="10" t="s">
        <v>323</v>
      </c>
      <c r="D1590" t="s">
        <v>3464</v>
      </c>
      <c r="E1590" t="s">
        <v>3465</v>
      </c>
      <c r="F1590" s="10" t="s">
        <v>29</v>
      </c>
      <c r="G1590" s="2">
        <v>456.43329999999997</v>
      </c>
      <c r="H1590" s="13">
        <v>4</v>
      </c>
      <c r="I1590" s="13">
        <v>0</v>
      </c>
      <c r="J1590" s="13">
        <v>0</v>
      </c>
      <c r="K1590" s="10">
        <v>4</v>
      </c>
      <c r="L1590" s="2">
        <v>1825.7331999999999</v>
      </c>
      <c r="M1590" s="1">
        <v>46126.711805555555</v>
      </c>
      <c r="N1590" t="s">
        <v>178</v>
      </c>
    </row>
    <row r="1591" spans="1:14" x14ac:dyDescent="0.25">
      <c r="A1591" s="9" t="s">
        <v>5211</v>
      </c>
      <c r="B1591" s="10">
        <v>714</v>
      </c>
      <c r="C1591" s="10" t="s">
        <v>143</v>
      </c>
      <c r="D1591" t="s">
        <v>2483</v>
      </c>
      <c r="E1591" t="s">
        <v>2484</v>
      </c>
      <c r="F1591" s="10" t="s">
        <v>19</v>
      </c>
      <c r="G1591" s="2">
        <v>354.90469999999999</v>
      </c>
      <c r="H1591" s="13">
        <v>4</v>
      </c>
      <c r="I1591" s="13">
        <v>0</v>
      </c>
      <c r="J1591" s="13">
        <v>0</v>
      </c>
      <c r="K1591" s="10">
        <v>4</v>
      </c>
      <c r="L1591" s="2">
        <v>1419.6188</v>
      </c>
      <c r="M1591" s="1">
        <v>46126.711805555555</v>
      </c>
      <c r="N1591" t="s">
        <v>178</v>
      </c>
    </row>
    <row r="1592" spans="1:14" x14ac:dyDescent="0.25">
      <c r="A1592" s="9" t="s">
        <v>5211</v>
      </c>
      <c r="B1592" s="10">
        <v>636</v>
      </c>
      <c r="C1592" s="10" t="s">
        <v>323</v>
      </c>
      <c r="D1592" t="s">
        <v>4587</v>
      </c>
      <c r="E1592" t="s">
        <v>4588</v>
      </c>
      <c r="F1592" s="10" t="s">
        <v>43</v>
      </c>
      <c r="G1592" s="2">
        <v>221.40039999999999</v>
      </c>
      <c r="H1592" s="13">
        <v>4</v>
      </c>
      <c r="I1592" s="13">
        <v>13</v>
      </c>
      <c r="J1592" s="13">
        <v>-13</v>
      </c>
      <c r="K1592" s="10">
        <v>4</v>
      </c>
      <c r="L1592" s="2">
        <v>885.60159999999996</v>
      </c>
      <c r="M1592" s="1">
        <v>46127.309027777781</v>
      </c>
      <c r="N1592" t="s">
        <v>1224</v>
      </c>
    </row>
    <row r="1593" spans="1:14" x14ac:dyDescent="0.25">
      <c r="A1593" s="9" t="s">
        <v>5211</v>
      </c>
      <c r="B1593" s="10">
        <v>714</v>
      </c>
      <c r="C1593" s="10" t="s">
        <v>323</v>
      </c>
      <c r="D1593" t="s">
        <v>3468</v>
      </c>
      <c r="E1593" t="s">
        <v>3469</v>
      </c>
      <c r="F1593" s="10" t="s">
        <v>19</v>
      </c>
      <c r="G1593" s="2">
        <v>208.07149999999999</v>
      </c>
      <c r="H1593" s="13">
        <v>4</v>
      </c>
      <c r="I1593" s="13">
        <v>0</v>
      </c>
      <c r="J1593" s="13">
        <v>0</v>
      </c>
      <c r="K1593" s="10">
        <v>4</v>
      </c>
      <c r="L1593" s="2">
        <v>832.28599999999994</v>
      </c>
      <c r="M1593" s="1">
        <v>46127.478472222225</v>
      </c>
      <c r="N1593" t="s">
        <v>1224</v>
      </c>
    </row>
    <row r="1594" spans="1:14" x14ac:dyDescent="0.25">
      <c r="A1594" s="9" t="s">
        <v>5211</v>
      </c>
      <c r="B1594" s="10">
        <v>714</v>
      </c>
      <c r="C1594" s="10" t="s">
        <v>126</v>
      </c>
      <c r="D1594" t="s">
        <v>2203</v>
      </c>
      <c r="E1594" t="s">
        <v>2204</v>
      </c>
      <c r="F1594" s="10" t="s">
        <v>29</v>
      </c>
      <c r="G1594" s="2">
        <v>27.753499999999999</v>
      </c>
      <c r="H1594" s="13">
        <v>4</v>
      </c>
      <c r="I1594" s="13">
        <v>0</v>
      </c>
      <c r="J1594" s="13">
        <v>0</v>
      </c>
      <c r="K1594" s="10">
        <v>4</v>
      </c>
      <c r="L1594" s="2">
        <v>111.014</v>
      </c>
      <c r="M1594" s="1">
        <v>46128.664583333331</v>
      </c>
      <c r="N1594" t="s">
        <v>140</v>
      </c>
    </row>
    <row r="1595" spans="1:14" x14ac:dyDescent="0.25">
      <c r="A1595" s="9" t="s">
        <v>5211</v>
      </c>
      <c r="B1595" s="10">
        <v>714</v>
      </c>
      <c r="C1595" s="10" t="s">
        <v>143</v>
      </c>
      <c r="D1595" t="s">
        <v>1086</v>
      </c>
      <c r="E1595" t="s">
        <v>1087</v>
      </c>
      <c r="F1595" s="10" t="s">
        <v>19</v>
      </c>
      <c r="G1595" s="2">
        <v>75.338200000000001</v>
      </c>
      <c r="H1595" s="13">
        <v>4</v>
      </c>
      <c r="I1595" s="13">
        <v>0</v>
      </c>
      <c r="J1595" s="13">
        <v>0</v>
      </c>
      <c r="K1595" s="10">
        <v>4</v>
      </c>
      <c r="L1595" s="2">
        <v>301.3528</v>
      </c>
      <c r="M1595" s="1">
        <v>46128.709722222222</v>
      </c>
      <c r="N1595" t="s">
        <v>195</v>
      </c>
    </row>
    <row r="1596" spans="1:14" x14ac:dyDescent="0.25">
      <c r="A1596" s="9" t="s">
        <v>5211</v>
      </c>
      <c r="B1596" s="10">
        <v>714</v>
      </c>
      <c r="C1596" s="10" t="s">
        <v>323</v>
      </c>
      <c r="D1596" t="s">
        <v>4947</v>
      </c>
      <c r="E1596" t="s">
        <v>4948</v>
      </c>
      <c r="F1596" s="10" t="s">
        <v>158</v>
      </c>
      <c r="G1596" s="2">
        <v>110.35420000000001</v>
      </c>
      <c r="H1596" s="13">
        <v>4</v>
      </c>
      <c r="I1596" s="13">
        <v>12</v>
      </c>
      <c r="J1596" s="13">
        <v>-12</v>
      </c>
      <c r="K1596" s="10">
        <v>4</v>
      </c>
      <c r="L1596" s="2">
        <v>441.41680000000002</v>
      </c>
      <c r="M1596" s="1">
        <v>46129.377083333333</v>
      </c>
      <c r="N1596" t="s">
        <v>30</v>
      </c>
    </row>
    <row r="1597" spans="1:14" x14ac:dyDescent="0.25">
      <c r="A1597" s="9" t="s">
        <v>5211</v>
      </c>
      <c r="B1597" s="10">
        <v>636</v>
      </c>
      <c r="C1597" s="10" t="s">
        <v>323</v>
      </c>
      <c r="D1597" t="s">
        <v>1448</v>
      </c>
      <c r="E1597" t="s">
        <v>1449</v>
      </c>
      <c r="F1597" s="10" t="s">
        <v>29</v>
      </c>
      <c r="G1597" s="2">
        <v>355.26369999999997</v>
      </c>
      <c r="H1597" s="13">
        <v>4</v>
      </c>
      <c r="I1597" s="13">
        <v>0</v>
      </c>
      <c r="J1597" s="13">
        <v>0</v>
      </c>
      <c r="K1597" s="10">
        <v>4</v>
      </c>
      <c r="L1597" s="2">
        <v>1421.0547999999999</v>
      </c>
      <c r="M1597" s="1">
        <v>46132.304166666669</v>
      </c>
      <c r="N1597" t="s">
        <v>178</v>
      </c>
    </row>
    <row r="1598" spans="1:14" x14ac:dyDescent="0.25">
      <c r="A1598" s="9" t="s">
        <v>5211</v>
      </c>
      <c r="B1598" s="10">
        <v>636</v>
      </c>
      <c r="C1598" s="10" t="s">
        <v>323</v>
      </c>
      <c r="D1598" t="s">
        <v>1715</v>
      </c>
      <c r="E1598" t="s">
        <v>1716</v>
      </c>
      <c r="F1598" s="10" t="s">
        <v>29</v>
      </c>
      <c r="G1598" s="2">
        <v>297.02370000000002</v>
      </c>
      <c r="H1598" s="13">
        <v>4</v>
      </c>
      <c r="I1598" s="13">
        <v>0</v>
      </c>
      <c r="J1598" s="13">
        <v>0</v>
      </c>
      <c r="K1598" s="10">
        <v>4</v>
      </c>
      <c r="L1598" s="2">
        <v>1188.0948000000001</v>
      </c>
      <c r="M1598" s="1">
        <v>46132.304166666669</v>
      </c>
      <c r="N1598" t="s">
        <v>178</v>
      </c>
    </row>
    <row r="1599" spans="1:14" x14ac:dyDescent="0.25">
      <c r="A1599" s="9" t="s">
        <v>5211</v>
      </c>
      <c r="B1599" s="10">
        <v>636</v>
      </c>
      <c r="C1599" s="10" t="s">
        <v>143</v>
      </c>
      <c r="D1599" t="s">
        <v>964</v>
      </c>
      <c r="E1599" t="s">
        <v>965</v>
      </c>
      <c r="F1599" s="10" t="s">
        <v>29</v>
      </c>
      <c r="G1599" s="2">
        <v>320.31970000000001</v>
      </c>
      <c r="H1599" s="13">
        <v>4</v>
      </c>
      <c r="I1599" s="13">
        <v>0</v>
      </c>
      <c r="J1599" s="13">
        <v>0</v>
      </c>
      <c r="K1599" s="10">
        <v>4</v>
      </c>
      <c r="L1599" s="2">
        <v>1281.2788</v>
      </c>
      <c r="M1599" s="1">
        <v>46132.304166666669</v>
      </c>
      <c r="N1599" t="s">
        <v>178</v>
      </c>
    </row>
    <row r="1600" spans="1:14" x14ac:dyDescent="0.25">
      <c r="A1600" s="9" t="s">
        <v>5211</v>
      </c>
      <c r="B1600" s="10">
        <v>636</v>
      </c>
      <c r="C1600" s="10" t="s">
        <v>143</v>
      </c>
      <c r="D1600" t="s">
        <v>4549</v>
      </c>
      <c r="E1600" t="s">
        <v>4550</v>
      </c>
      <c r="F1600" s="10" t="s">
        <v>39</v>
      </c>
      <c r="G1600" s="2">
        <v>20.678599999999999</v>
      </c>
      <c r="H1600" s="13">
        <v>4</v>
      </c>
      <c r="I1600" s="13">
        <v>43</v>
      </c>
      <c r="J1600" s="13">
        <v>-43</v>
      </c>
      <c r="K1600" s="10">
        <v>4</v>
      </c>
      <c r="L1600" s="2">
        <v>82.714399999999998</v>
      </c>
      <c r="M1600" s="1">
        <v>46132.306944444441</v>
      </c>
      <c r="N1600" t="s">
        <v>30</v>
      </c>
    </row>
    <row r="1601" spans="1:14" x14ac:dyDescent="0.25">
      <c r="A1601" s="9" t="s">
        <v>5211</v>
      </c>
      <c r="B1601" s="10">
        <v>636</v>
      </c>
      <c r="C1601" s="10" t="s">
        <v>143</v>
      </c>
      <c r="D1601" t="s">
        <v>3784</v>
      </c>
      <c r="E1601" t="s">
        <v>3785</v>
      </c>
      <c r="F1601" s="10" t="s">
        <v>23</v>
      </c>
      <c r="G1601" s="2">
        <v>26.390799999999999</v>
      </c>
      <c r="H1601" s="13">
        <v>4</v>
      </c>
      <c r="I1601" s="13">
        <v>1</v>
      </c>
      <c r="J1601" s="13">
        <v>-1</v>
      </c>
      <c r="K1601" s="10">
        <v>4</v>
      </c>
      <c r="L1601" s="2">
        <v>105.56319999999999</v>
      </c>
      <c r="M1601" s="1">
        <v>46132.500694444447</v>
      </c>
      <c r="N1601" t="s">
        <v>878</v>
      </c>
    </row>
    <row r="1602" spans="1:14" x14ac:dyDescent="0.25">
      <c r="A1602" s="9" t="s">
        <v>5211</v>
      </c>
      <c r="B1602" s="10">
        <v>634</v>
      </c>
      <c r="C1602" s="10" t="s">
        <v>323</v>
      </c>
      <c r="D1602" t="s">
        <v>453</v>
      </c>
      <c r="E1602" t="s">
        <v>454</v>
      </c>
      <c r="F1602" s="10" t="s">
        <v>455</v>
      </c>
      <c r="G1602" s="2">
        <v>331.53379999999999</v>
      </c>
      <c r="H1602" s="13">
        <v>4</v>
      </c>
      <c r="I1602" s="13">
        <v>-2</v>
      </c>
      <c r="J1602" s="13">
        <v>2</v>
      </c>
      <c r="K1602" s="10">
        <v>4</v>
      </c>
      <c r="L1602" s="2">
        <v>1326.1351999999999</v>
      </c>
      <c r="M1602" s="1">
        <v>46132.624305555553</v>
      </c>
      <c r="N1602" t="s">
        <v>357</v>
      </c>
    </row>
    <row r="1603" spans="1:14" x14ac:dyDescent="0.25">
      <c r="A1603" s="9" t="s">
        <v>5211</v>
      </c>
      <c r="B1603" s="10">
        <v>634</v>
      </c>
      <c r="C1603" s="10" t="s">
        <v>323</v>
      </c>
      <c r="D1603" t="s">
        <v>4355</v>
      </c>
      <c r="E1603" t="s">
        <v>4356</v>
      </c>
      <c r="F1603" s="10" t="s">
        <v>43</v>
      </c>
      <c r="G1603" s="2">
        <v>144.74279999999999</v>
      </c>
      <c r="H1603" s="13">
        <v>4</v>
      </c>
      <c r="I1603" s="13">
        <v>46</v>
      </c>
      <c r="J1603" s="13">
        <v>-46</v>
      </c>
      <c r="K1603" s="10">
        <v>4</v>
      </c>
      <c r="L1603" s="2">
        <v>578.97119999999995</v>
      </c>
      <c r="M1603" s="1">
        <v>46132.625</v>
      </c>
      <c r="N1603" t="s">
        <v>1271</v>
      </c>
    </row>
    <row r="1604" spans="1:14" x14ac:dyDescent="0.25">
      <c r="A1604" s="9" t="s">
        <v>5211</v>
      </c>
      <c r="B1604" s="10">
        <v>714</v>
      </c>
      <c r="C1604" s="10" t="s">
        <v>143</v>
      </c>
      <c r="D1604" t="s">
        <v>4150</v>
      </c>
      <c r="E1604" t="s">
        <v>4151</v>
      </c>
      <c r="F1604" s="10" t="s">
        <v>455</v>
      </c>
      <c r="G1604" s="2">
        <v>138.2955</v>
      </c>
      <c r="H1604" s="13">
        <v>4</v>
      </c>
      <c r="I1604" s="13">
        <v>0</v>
      </c>
      <c r="J1604" s="13">
        <v>0</v>
      </c>
      <c r="K1604" s="10">
        <v>4</v>
      </c>
      <c r="L1604" s="2">
        <v>553.18200000000002</v>
      </c>
      <c r="M1604" s="1">
        <v>46133.435416666667</v>
      </c>
      <c r="N1604" t="s">
        <v>195</v>
      </c>
    </row>
    <row r="1605" spans="1:14" x14ac:dyDescent="0.25">
      <c r="A1605" s="9" t="s">
        <v>5211</v>
      </c>
      <c r="B1605" s="10">
        <v>718</v>
      </c>
      <c r="C1605" s="10" t="s">
        <v>323</v>
      </c>
      <c r="D1605" t="s">
        <v>2903</v>
      </c>
      <c r="E1605" t="s">
        <v>2904</v>
      </c>
      <c r="F1605" s="10" t="s">
        <v>29</v>
      </c>
      <c r="G1605" s="2">
        <v>249.04409999999999</v>
      </c>
      <c r="H1605" s="13">
        <v>4</v>
      </c>
      <c r="I1605" s="13">
        <v>1</v>
      </c>
      <c r="J1605" s="13">
        <v>-1</v>
      </c>
      <c r="K1605" s="10">
        <v>4</v>
      </c>
      <c r="L1605" s="2">
        <v>996.17639999999994</v>
      </c>
      <c r="M1605" s="1">
        <v>46134.417361111111</v>
      </c>
      <c r="N1605" t="s">
        <v>3024</v>
      </c>
    </row>
    <row r="1606" spans="1:14" x14ac:dyDescent="0.25">
      <c r="A1606" s="9" t="s">
        <v>5211</v>
      </c>
      <c r="B1606" s="10">
        <v>714</v>
      </c>
      <c r="C1606" s="10" t="s">
        <v>323</v>
      </c>
      <c r="D1606" t="s">
        <v>3340</v>
      </c>
      <c r="E1606" t="s">
        <v>3341</v>
      </c>
      <c r="F1606" s="10" t="s">
        <v>19</v>
      </c>
      <c r="G1606" s="2">
        <v>692.87429999999995</v>
      </c>
      <c r="H1606" s="13">
        <v>4</v>
      </c>
      <c r="I1606" s="13">
        <v>0</v>
      </c>
      <c r="J1606" s="13">
        <v>0</v>
      </c>
      <c r="K1606" s="10">
        <v>4</v>
      </c>
      <c r="L1606" s="2">
        <v>2771.4971999999998</v>
      </c>
      <c r="M1606" s="1">
        <v>46134.488194444442</v>
      </c>
      <c r="N1606" t="s">
        <v>3342</v>
      </c>
    </row>
    <row r="1607" spans="1:14" x14ac:dyDescent="0.25">
      <c r="A1607" s="9" t="s">
        <v>5211</v>
      </c>
      <c r="B1607" s="10">
        <v>714</v>
      </c>
      <c r="C1607" s="10" t="s">
        <v>323</v>
      </c>
      <c r="D1607" t="s">
        <v>3326</v>
      </c>
      <c r="E1607" t="s">
        <v>3327</v>
      </c>
      <c r="F1607" s="10" t="s">
        <v>23</v>
      </c>
      <c r="G1607" s="2">
        <v>227.91900000000001</v>
      </c>
      <c r="H1607" s="13">
        <v>4</v>
      </c>
      <c r="I1607" s="13">
        <v>0</v>
      </c>
      <c r="J1607" s="13">
        <v>0</v>
      </c>
      <c r="K1607" s="10">
        <v>4</v>
      </c>
      <c r="L1607" s="2">
        <v>911.67600000000004</v>
      </c>
      <c r="M1607" s="1">
        <v>46135.615277777775</v>
      </c>
      <c r="N1607" t="s">
        <v>903</v>
      </c>
    </row>
    <row r="1608" spans="1:14" x14ac:dyDescent="0.25">
      <c r="A1608" s="9" t="s">
        <v>5211</v>
      </c>
      <c r="B1608" s="10">
        <v>714</v>
      </c>
      <c r="C1608" s="10" t="s">
        <v>143</v>
      </c>
      <c r="D1608" t="s">
        <v>2764</v>
      </c>
      <c r="E1608" t="s">
        <v>2765</v>
      </c>
      <c r="F1608" s="10" t="s">
        <v>29</v>
      </c>
      <c r="G1608" s="2">
        <v>14.7606</v>
      </c>
      <c r="H1608" s="13">
        <v>4</v>
      </c>
      <c r="I1608" s="13">
        <v>0</v>
      </c>
      <c r="J1608" s="13">
        <v>0</v>
      </c>
      <c r="K1608" s="10">
        <v>4</v>
      </c>
      <c r="L1608" s="2">
        <v>59.042400000000001</v>
      </c>
      <c r="M1608" s="1">
        <v>46136.467361111114</v>
      </c>
      <c r="N1608" t="s">
        <v>40</v>
      </c>
    </row>
    <row r="1609" spans="1:14" x14ac:dyDescent="0.25">
      <c r="A1609" s="9" t="s">
        <v>5211</v>
      </c>
      <c r="B1609" s="10">
        <v>718</v>
      </c>
      <c r="C1609" s="10" t="s">
        <v>323</v>
      </c>
      <c r="D1609" t="s">
        <v>3466</v>
      </c>
      <c r="E1609" t="s">
        <v>3467</v>
      </c>
      <c r="F1609" s="10" t="s">
        <v>29</v>
      </c>
      <c r="G1609" s="2">
        <v>129.2499</v>
      </c>
      <c r="H1609" s="13">
        <v>4</v>
      </c>
      <c r="I1609" s="13">
        <v>0</v>
      </c>
      <c r="J1609" s="13">
        <v>0</v>
      </c>
      <c r="K1609" s="10">
        <v>4</v>
      </c>
      <c r="L1609" s="2">
        <v>516.99959999999999</v>
      </c>
      <c r="M1609" s="1">
        <v>46139.576388888891</v>
      </c>
      <c r="N1609" t="s">
        <v>885</v>
      </c>
    </row>
    <row r="1610" spans="1:14" x14ac:dyDescent="0.25">
      <c r="A1610" s="9" t="s">
        <v>5211</v>
      </c>
      <c r="B1610" s="10">
        <v>714</v>
      </c>
      <c r="C1610" s="10" t="s">
        <v>143</v>
      </c>
      <c r="D1610" t="s">
        <v>2215</v>
      </c>
      <c r="E1610" t="s">
        <v>2216</v>
      </c>
      <c r="F1610" s="10" t="s">
        <v>29</v>
      </c>
      <c r="G1610" s="2">
        <v>47.6</v>
      </c>
      <c r="H1610" s="13">
        <v>4</v>
      </c>
      <c r="I1610" s="13">
        <v>0</v>
      </c>
      <c r="J1610" s="13">
        <v>0</v>
      </c>
      <c r="K1610" s="10">
        <v>4</v>
      </c>
      <c r="L1610" s="2">
        <v>190.4</v>
      </c>
      <c r="M1610" s="1">
        <v>46139.672222222223</v>
      </c>
      <c r="N1610" t="s">
        <v>1535</v>
      </c>
    </row>
    <row r="1611" spans="1:14" x14ac:dyDescent="0.25">
      <c r="A1611" s="9" t="s">
        <v>5211</v>
      </c>
      <c r="B1611" s="10">
        <v>636</v>
      </c>
      <c r="C1611" s="10" t="s">
        <v>323</v>
      </c>
      <c r="D1611" t="s">
        <v>1529</v>
      </c>
      <c r="E1611" t="s">
        <v>1530</v>
      </c>
      <c r="F1611" s="10" t="s">
        <v>29</v>
      </c>
      <c r="G1611" s="2">
        <v>177.76580000000001</v>
      </c>
      <c r="H1611" s="13">
        <v>4</v>
      </c>
      <c r="I1611" s="13">
        <v>0</v>
      </c>
      <c r="J1611" s="13">
        <v>0</v>
      </c>
      <c r="K1611" s="10">
        <v>4</v>
      </c>
      <c r="L1611" s="2">
        <v>711.06320000000005</v>
      </c>
      <c r="M1611" s="1">
        <v>46140.295138888891</v>
      </c>
      <c r="N1611" t="s">
        <v>137</v>
      </c>
    </row>
    <row r="1612" spans="1:14" x14ac:dyDescent="0.25">
      <c r="A1612" s="9" t="s">
        <v>5211</v>
      </c>
      <c r="B1612" s="10">
        <v>636</v>
      </c>
      <c r="C1612" s="10" t="s">
        <v>323</v>
      </c>
      <c r="D1612" t="s">
        <v>1300</v>
      </c>
      <c r="E1612" t="s">
        <v>1301</v>
      </c>
      <c r="F1612" s="10" t="s">
        <v>29</v>
      </c>
      <c r="G1612" s="2">
        <v>445.66750000000002</v>
      </c>
      <c r="H1612" s="13">
        <v>4</v>
      </c>
      <c r="I1612" s="13">
        <v>0</v>
      </c>
      <c r="J1612" s="13">
        <v>0</v>
      </c>
      <c r="K1612" s="10">
        <v>4</v>
      </c>
      <c r="L1612" s="2">
        <v>1782.67</v>
      </c>
      <c r="M1612" s="1">
        <v>46140.29583333333</v>
      </c>
      <c r="N1612" t="s">
        <v>501</v>
      </c>
    </row>
    <row r="1613" spans="1:14" x14ac:dyDescent="0.25">
      <c r="A1613" s="9" t="s">
        <v>5211</v>
      </c>
      <c r="B1613" s="10">
        <v>636</v>
      </c>
      <c r="C1613" s="10" t="s">
        <v>323</v>
      </c>
      <c r="D1613" t="s">
        <v>1306</v>
      </c>
      <c r="E1613" t="s">
        <v>1307</v>
      </c>
      <c r="F1613" s="10" t="s">
        <v>35</v>
      </c>
      <c r="G1613" s="2">
        <v>258.27949999999998</v>
      </c>
      <c r="H1613" s="13">
        <v>4</v>
      </c>
      <c r="I1613" s="13">
        <v>1</v>
      </c>
      <c r="J1613" s="13">
        <v>-1</v>
      </c>
      <c r="K1613" s="10">
        <v>4</v>
      </c>
      <c r="L1613" s="2">
        <v>1033.1179999999999</v>
      </c>
      <c r="M1613" s="1">
        <v>46140.29583333333</v>
      </c>
      <c r="N1613" t="s">
        <v>501</v>
      </c>
    </row>
    <row r="1614" spans="1:14" x14ac:dyDescent="0.25">
      <c r="A1614" s="9" t="s">
        <v>5211</v>
      </c>
      <c r="B1614" s="10">
        <v>636</v>
      </c>
      <c r="C1614" s="10" t="s">
        <v>143</v>
      </c>
      <c r="D1614" t="s">
        <v>910</v>
      </c>
      <c r="E1614" t="s">
        <v>911</v>
      </c>
      <c r="F1614" s="10" t="s">
        <v>29</v>
      </c>
      <c r="G1614" s="2">
        <v>64.883899999999997</v>
      </c>
      <c r="H1614" s="13">
        <v>4</v>
      </c>
      <c r="I1614" s="13">
        <v>0</v>
      </c>
      <c r="J1614" s="13">
        <v>0</v>
      </c>
      <c r="K1614" s="10">
        <v>4</v>
      </c>
      <c r="L1614" s="2">
        <v>259.53559999999999</v>
      </c>
      <c r="M1614" s="1">
        <v>46140.29583333333</v>
      </c>
      <c r="N1614" t="s">
        <v>501</v>
      </c>
    </row>
    <row r="1615" spans="1:14" x14ac:dyDescent="0.25">
      <c r="A1615" s="9" t="s">
        <v>5211</v>
      </c>
      <c r="B1615" s="10">
        <v>636</v>
      </c>
      <c r="C1615" s="10" t="s">
        <v>323</v>
      </c>
      <c r="D1615" t="s">
        <v>1486</v>
      </c>
      <c r="E1615" t="s">
        <v>1487</v>
      </c>
      <c r="F1615" s="10" t="s">
        <v>29</v>
      </c>
      <c r="G1615" s="2">
        <v>142.8758</v>
      </c>
      <c r="H1615" s="13">
        <v>4</v>
      </c>
      <c r="I1615" s="13">
        <v>0</v>
      </c>
      <c r="J1615" s="13">
        <v>0</v>
      </c>
      <c r="K1615" s="10">
        <v>4</v>
      </c>
      <c r="L1615" s="2">
        <v>571.50319999999999</v>
      </c>
      <c r="M1615" s="1">
        <v>46140.29583333333</v>
      </c>
      <c r="N1615" t="s">
        <v>501</v>
      </c>
    </row>
    <row r="1616" spans="1:14" x14ac:dyDescent="0.25">
      <c r="A1616" s="9" t="s">
        <v>5211</v>
      </c>
      <c r="B1616" s="10">
        <v>636</v>
      </c>
      <c r="C1616" s="10" t="s">
        <v>323</v>
      </c>
      <c r="D1616" t="s">
        <v>1686</v>
      </c>
      <c r="E1616" t="s">
        <v>1687</v>
      </c>
      <c r="F1616" s="10" t="s">
        <v>29</v>
      </c>
      <c r="G1616" s="2">
        <v>294.92700000000002</v>
      </c>
      <c r="H1616" s="13">
        <v>4</v>
      </c>
      <c r="I1616" s="13">
        <v>0</v>
      </c>
      <c r="J1616" s="13">
        <v>0</v>
      </c>
      <c r="K1616" s="10">
        <v>4</v>
      </c>
      <c r="L1616" s="2">
        <v>1179.7080000000001</v>
      </c>
      <c r="M1616" s="1">
        <v>46140.29583333333</v>
      </c>
      <c r="N1616" t="s">
        <v>501</v>
      </c>
    </row>
    <row r="1617" spans="1:14" x14ac:dyDescent="0.25">
      <c r="A1617" s="9" t="s">
        <v>5211</v>
      </c>
      <c r="B1617" s="10">
        <v>636</v>
      </c>
      <c r="C1617" s="10" t="s">
        <v>323</v>
      </c>
      <c r="D1617" t="s">
        <v>1482</v>
      </c>
      <c r="E1617" t="s">
        <v>1483</v>
      </c>
      <c r="F1617" s="10" t="s">
        <v>29</v>
      </c>
      <c r="G1617" s="2">
        <v>167.7807</v>
      </c>
      <c r="H1617" s="13">
        <v>4</v>
      </c>
      <c r="I1617" s="13">
        <v>0</v>
      </c>
      <c r="J1617" s="13">
        <v>0</v>
      </c>
      <c r="K1617" s="10">
        <v>4</v>
      </c>
      <c r="L1617" s="2">
        <v>671.12279999999998</v>
      </c>
      <c r="M1617" s="1">
        <v>46140.29583333333</v>
      </c>
      <c r="N1617" t="s">
        <v>501</v>
      </c>
    </row>
    <row r="1618" spans="1:14" x14ac:dyDescent="0.25">
      <c r="A1618" s="9" t="s">
        <v>5211</v>
      </c>
      <c r="B1618" s="10">
        <v>636</v>
      </c>
      <c r="C1618" s="10" t="s">
        <v>323</v>
      </c>
      <c r="D1618" t="s">
        <v>1267</v>
      </c>
      <c r="E1618" t="s">
        <v>1268</v>
      </c>
      <c r="F1618" s="10" t="s">
        <v>29</v>
      </c>
      <c r="G1618" s="2">
        <v>132.3895</v>
      </c>
      <c r="H1618" s="13">
        <v>4</v>
      </c>
      <c r="I1618" s="13">
        <v>0</v>
      </c>
      <c r="J1618" s="13">
        <v>0</v>
      </c>
      <c r="K1618" s="10">
        <v>4</v>
      </c>
      <c r="L1618" s="2">
        <v>529.55799999999999</v>
      </c>
      <c r="M1618" s="1">
        <v>46140.29583333333</v>
      </c>
      <c r="N1618" t="s">
        <v>501</v>
      </c>
    </row>
    <row r="1619" spans="1:14" x14ac:dyDescent="0.25">
      <c r="A1619" s="9" t="s">
        <v>5211</v>
      </c>
      <c r="B1619" s="10">
        <v>636</v>
      </c>
      <c r="C1619" s="10" t="s">
        <v>323</v>
      </c>
      <c r="D1619" t="s">
        <v>1444</v>
      </c>
      <c r="E1619" t="s">
        <v>1445</v>
      </c>
      <c r="F1619" s="10" t="s">
        <v>29</v>
      </c>
      <c r="G1619" s="2">
        <v>314.58879999999999</v>
      </c>
      <c r="H1619" s="13">
        <v>4</v>
      </c>
      <c r="I1619" s="13">
        <v>0</v>
      </c>
      <c r="J1619" s="13">
        <v>0</v>
      </c>
      <c r="K1619" s="10">
        <v>4</v>
      </c>
      <c r="L1619" s="2">
        <v>1258.3552</v>
      </c>
      <c r="M1619" s="1">
        <v>46140.29583333333</v>
      </c>
      <c r="N1619" t="s">
        <v>501</v>
      </c>
    </row>
    <row r="1620" spans="1:14" x14ac:dyDescent="0.25">
      <c r="A1620" s="9" t="s">
        <v>5211</v>
      </c>
      <c r="B1620" s="10">
        <v>636</v>
      </c>
      <c r="C1620" s="10" t="s">
        <v>70</v>
      </c>
      <c r="D1620" t="s">
        <v>4022</v>
      </c>
      <c r="E1620" t="s">
        <v>4023</v>
      </c>
      <c r="F1620" s="10" t="s">
        <v>39</v>
      </c>
      <c r="G1620" s="2">
        <v>6.8293999999999997</v>
      </c>
      <c r="H1620" s="13">
        <v>4</v>
      </c>
      <c r="I1620" s="13">
        <v>-10</v>
      </c>
      <c r="J1620" s="13">
        <v>10</v>
      </c>
      <c r="K1620" s="10">
        <v>4</v>
      </c>
      <c r="L1620" s="2">
        <v>27.317599999999999</v>
      </c>
      <c r="M1620" s="1">
        <v>46140.380555555559</v>
      </c>
      <c r="N1620" t="s">
        <v>16</v>
      </c>
    </row>
    <row r="1621" spans="1:14" x14ac:dyDescent="0.25">
      <c r="A1621" s="9" t="s">
        <v>5211</v>
      </c>
      <c r="B1621" s="10">
        <v>636</v>
      </c>
      <c r="C1621" s="10" t="s">
        <v>143</v>
      </c>
      <c r="D1621" t="s">
        <v>930</v>
      </c>
      <c r="E1621" t="s">
        <v>931</v>
      </c>
      <c r="F1621" s="10" t="s">
        <v>29</v>
      </c>
      <c r="G1621" s="2">
        <v>121.6129</v>
      </c>
      <c r="H1621" s="13">
        <v>4</v>
      </c>
      <c r="I1621" s="13">
        <v>0</v>
      </c>
      <c r="J1621" s="13">
        <v>0</v>
      </c>
      <c r="K1621" s="10">
        <v>4</v>
      </c>
      <c r="L1621" s="2">
        <v>486.45159999999998</v>
      </c>
      <c r="M1621" s="1">
        <v>46140.540972222225</v>
      </c>
      <c r="N1621" t="s">
        <v>885</v>
      </c>
    </row>
    <row r="1622" spans="1:14" x14ac:dyDescent="0.25">
      <c r="A1622" s="9" t="s">
        <v>5211</v>
      </c>
      <c r="B1622" s="10">
        <v>718</v>
      </c>
      <c r="C1622" s="10" t="s">
        <v>323</v>
      </c>
      <c r="D1622" t="s">
        <v>453</v>
      </c>
      <c r="E1622" t="s">
        <v>454</v>
      </c>
      <c r="F1622" s="10" t="s">
        <v>19</v>
      </c>
      <c r="G1622" s="2">
        <v>229.86060000000001</v>
      </c>
      <c r="H1622" s="13">
        <v>4</v>
      </c>
      <c r="I1622" s="13">
        <v>-2</v>
      </c>
      <c r="J1622" s="13">
        <v>2</v>
      </c>
      <c r="K1622" s="10">
        <v>4</v>
      </c>
      <c r="L1622" s="2">
        <v>919.44240000000002</v>
      </c>
      <c r="M1622" s="1">
        <v>46141.397916666669</v>
      </c>
      <c r="N1622" t="s">
        <v>1500</v>
      </c>
    </row>
    <row r="1623" spans="1:14" x14ac:dyDescent="0.25">
      <c r="A1623" s="9" t="s">
        <v>5211</v>
      </c>
      <c r="B1623" s="10">
        <v>714</v>
      </c>
      <c r="C1623" s="10" t="s">
        <v>323</v>
      </c>
      <c r="D1623" t="s">
        <v>4369</v>
      </c>
      <c r="E1623" t="s">
        <v>4370</v>
      </c>
      <c r="F1623" s="10" t="s">
        <v>158</v>
      </c>
      <c r="G1623" s="2">
        <v>238.97659999999999</v>
      </c>
      <c r="H1623" s="13">
        <v>4</v>
      </c>
      <c r="I1623" s="13">
        <v>16</v>
      </c>
      <c r="J1623" s="13">
        <v>-16</v>
      </c>
      <c r="K1623" s="10">
        <v>4</v>
      </c>
      <c r="L1623" s="2">
        <v>955.90639999999996</v>
      </c>
      <c r="M1623" s="1">
        <v>46141.705555555556</v>
      </c>
      <c r="N1623" t="s">
        <v>1224</v>
      </c>
    </row>
    <row r="1624" spans="1:14" x14ac:dyDescent="0.25">
      <c r="A1624" s="9" t="s">
        <v>5211</v>
      </c>
      <c r="B1624" s="10">
        <v>636</v>
      </c>
      <c r="C1624" s="10" t="s">
        <v>323</v>
      </c>
      <c r="D1624" t="s">
        <v>442</v>
      </c>
      <c r="E1624" t="s">
        <v>443</v>
      </c>
      <c r="F1624" s="10" t="s">
        <v>19</v>
      </c>
      <c r="G1624" s="2">
        <v>655.44460000000004</v>
      </c>
      <c r="H1624" s="13">
        <v>4</v>
      </c>
      <c r="I1624" s="13">
        <v>0</v>
      </c>
      <c r="J1624" s="13">
        <v>0</v>
      </c>
      <c r="K1624" s="10">
        <v>4</v>
      </c>
      <c r="L1624" s="2">
        <v>2621.7784000000001</v>
      </c>
      <c r="M1624" s="1">
        <v>46142.59375</v>
      </c>
      <c r="N1624" t="s">
        <v>444</v>
      </c>
    </row>
    <row r="1625" spans="1:14" x14ac:dyDescent="0.25">
      <c r="A1625" s="9" t="s">
        <v>5211</v>
      </c>
      <c r="B1625" s="10">
        <v>636</v>
      </c>
      <c r="C1625" s="10" t="s">
        <v>323</v>
      </c>
      <c r="D1625" t="s">
        <v>1632</v>
      </c>
      <c r="E1625" t="s">
        <v>1633</v>
      </c>
      <c r="F1625" s="10" t="s">
        <v>29</v>
      </c>
      <c r="G1625" s="2">
        <v>370.92720000000003</v>
      </c>
      <c r="H1625" s="13">
        <v>4</v>
      </c>
      <c r="I1625" s="13">
        <v>0</v>
      </c>
      <c r="J1625" s="13">
        <v>0</v>
      </c>
      <c r="K1625" s="10">
        <v>4</v>
      </c>
      <c r="L1625" s="2">
        <v>1483.7088000000001</v>
      </c>
      <c r="M1625" s="1">
        <v>46142.609027777777</v>
      </c>
      <c r="N1625" t="s">
        <v>137</v>
      </c>
    </row>
    <row r="1626" spans="1:14" x14ac:dyDescent="0.25">
      <c r="A1626" s="9" t="s">
        <v>5211</v>
      </c>
      <c r="B1626" s="10">
        <v>714</v>
      </c>
      <c r="C1626" s="10" t="s">
        <v>12</v>
      </c>
      <c r="D1626" t="s">
        <v>1892</v>
      </c>
      <c r="E1626" t="s">
        <v>1893</v>
      </c>
      <c r="F1626" s="10" t="s">
        <v>29</v>
      </c>
      <c r="G1626" s="2">
        <v>13.0944</v>
      </c>
      <c r="H1626" s="13">
        <v>4</v>
      </c>
      <c r="I1626" s="13">
        <v>0</v>
      </c>
      <c r="J1626" s="13">
        <v>0</v>
      </c>
      <c r="K1626" s="10">
        <v>4</v>
      </c>
      <c r="L1626" s="2">
        <v>52.377600000000001</v>
      </c>
      <c r="M1626" s="1">
        <v>46143.318749999999</v>
      </c>
      <c r="N1626" t="s">
        <v>36</v>
      </c>
    </row>
    <row r="1627" spans="1:14" x14ac:dyDescent="0.25">
      <c r="A1627" s="9" t="s">
        <v>5211</v>
      </c>
      <c r="B1627" s="10">
        <v>714</v>
      </c>
      <c r="C1627" s="10" t="s">
        <v>12</v>
      </c>
      <c r="D1627" t="s">
        <v>1890</v>
      </c>
      <c r="E1627" t="s">
        <v>1891</v>
      </c>
      <c r="F1627" s="10" t="s">
        <v>39</v>
      </c>
      <c r="G1627" s="2">
        <v>45.209099999999999</v>
      </c>
      <c r="H1627" s="13">
        <v>4</v>
      </c>
      <c r="I1627" s="13">
        <v>0</v>
      </c>
      <c r="J1627" s="13">
        <v>0</v>
      </c>
      <c r="K1627" s="10">
        <v>4</v>
      </c>
      <c r="L1627" s="2">
        <v>180.8364</v>
      </c>
      <c r="M1627" s="1">
        <v>46143.318749999999</v>
      </c>
      <c r="N1627" t="s">
        <v>36</v>
      </c>
    </row>
    <row r="1628" spans="1:14" x14ac:dyDescent="0.25">
      <c r="A1628" s="9" t="s">
        <v>5211</v>
      </c>
      <c r="B1628" s="10">
        <v>714</v>
      </c>
      <c r="C1628" s="10" t="s">
        <v>143</v>
      </c>
      <c r="D1628" t="s">
        <v>2651</v>
      </c>
      <c r="E1628" t="s">
        <v>2652</v>
      </c>
      <c r="F1628" s="10" t="s">
        <v>19</v>
      </c>
      <c r="G1628" s="2">
        <v>117.0159</v>
      </c>
      <c r="H1628" s="13">
        <v>4</v>
      </c>
      <c r="I1628" s="13">
        <v>0</v>
      </c>
      <c r="J1628" s="13">
        <v>0</v>
      </c>
      <c r="K1628" s="10">
        <v>4</v>
      </c>
      <c r="L1628" s="2">
        <v>468.06360000000001</v>
      </c>
      <c r="M1628" s="1">
        <v>46143.319444444445</v>
      </c>
      <c r="N1628" t="s">
        <v>67</v>
      </c>
    </row>
    <row r="1629" spans="1:14" x14ac:dyDescent="0.25">
      <c r="A1629" s="9" t="s">
        <v>5211</v>
      </c>
      <c r="B1629" s="10">
        <v>714</v>
      </c>
      <c r="C1629" s="10" t="s">
        <v>323</v>
      </c>
      <c r="D1629" t="s">
        <v>3480</v>
      </c>
      <c r="E1629" t="s">
        <v>3481</v>
      </c>
      <c r="F1629" s="10" t="s">
        <v>29</v>
      </c>
      <c r="G1629" s="2">
        <v>208.4571</v>
      </c>
      <c r="H1629" s="13">
        <v>4</v>
      </c>
      <c r="I1629" s="13">
        <v>0</v>
      </c>
      <c r="J1629" s="13">
        <v>0</v>
      </c>
      <c r="K1629" s="10">
        <v>4</v>
      </c>
      <c r="L1629" s="2">
        <v>833.82839999999999</v>
      </c>
      <c r="M1629" s="1">
        <v>46143.319444444445</v>
      </c>
      <c r="N1629" t="s">
        <v>67</v>
      </c>
    </row>
    <row r="1630" spans="1:14" x14ac:dyDescent="0.25">
      <c r="A1630" s="9" t="s">
        <v>5211</v>
      </c>
      <c r="B1630" s="10">
        <v>634</v>
      </c>
      <c r="C1630" s="10" t="s">
        <v>143</v>
      </c>
      <c r="D1630" t="s">
        <v>283</v>
      </c>
      <c r="E1630" t="s">
        <v>284</v>
      </c>
      <c r="F1630" s="10" t="s">
        <v>112</v>
      </c>
      <c r="G1630" s="2">
        <v>35.908799999999999</v>
      </c>
      <c r="H1630" s="13">
        <v>4</v>
      </c>
      <c r="I1630" s="13">
        <v>0</v>
      </c>
      <c r="J1630" s="13">
        <v>0</v>
      </c>
      <c r="K1630" s="10">
        <v>4</v>
      </c>
      <c r="L1630" s="2">
        <v>143.6352</v>
      </c>
      <c r="M1630" s="1">
        <v>46143.454861111109</v>
      </c>
      <c r="N1630" t="s">
        <v>40</v>
      </c>
    </row>
    <row r="1631" spans="1:14" x14ac:dyDescent="0.25">
      <c r="A1631" s="9" t="s">
        <v>5211</v>
      </c>
      <c r="B1631" s="10">
        <v>718</v>
      </c>
      <c r="C1631" s="10" t="s">
        <v>323</v>
      </c>
      <c r="D1631" t="s">
        <v>1612</v>
      </c>
      <c r="E1631" t="s">
        <v>1613</v>
      </c>
      <c r="F1631" s="10" t="s">
        <v>29</v>
      </c>
      <c r="G1631" s="2">
        <v>111.0793</v>
      </c>
      <c r="H1631" s="13">
        <v>4</v>
      </c>
      <c r="I1631" s="13">
        <v>0</v>
      </c>
      <c r="J1631" s="13">
        <v>0</v>
      </c>
      <c r="K1631" s="10">
        <v>4</v>
      </c>
      <c r="L1631" s="2">
        <v>444.31720000000001</v>
      </c>
      <c r="M1631" s="1">
        <v>46143.611805555556</v>
      </c>
      <c r="N1631" t="s">
        <v>354</v>
      </c>
    </row>
    <row r="1632" spans="1:14" x14ac:dyDescent="0.25">
      <c r="A1632" s="9" t="s">
        <v>5211</v>
      </c>
      <c r="B1632" s="10">
        <v>714</v>
      </c>
      <c r="C1632" s="10" t="s">
        <v>323</v>
      </c>
      <c r="D1632" t="s">
        <v>1538</v>
      </c>
      <c r="E1632" t="s">
        <v>1539</v>
      </c>
      <c r="F1632" s="10" t="s">
        <v>455</v>
      </c>
      <c r="G1632" s="2">
        <v>234.1652</v>
      </c>
      <c r="H1632" s="13">
        <v>4</v>
      </c>
      <c r="I1632" s="13">
        <v>0</v>
      </c>
      <c r="J1632" s="13">
        <v>0</v>
      </c>
      <c r="K1632" s="10">
        <v>4</v>
      </c>
      <c r="L1632" s="2">
        <v>936.66079999999999</v>
      </c>
      <c r="M1632" s="1">
        <v>46144.581944444442</v>
      </c>
      <c r="N1632" t="s">
        <v>2379</v>
      </c>
    </row>
    <row r="1633" spans="1:14" x14ac:dyDescent="0.25">
      <c r="A1633" s="9" t="s">
        <v>5211</v>
      </c>
      <c r="B1633" s="10">
        <v>636</v>
      </c>
      <c r="C1633" s="10" t="s">
        <v>143</v>
      </c>
      <c r="D1633" t="s">
        <v>1198</v>
      </c>
      <c r="E1633" t="s">
        <v>1199</v>
      </c>
      <c r="F1633" s="10" t="s">
        <v>39</v>
      </c>
      <c r="G1633" s="2">
        <v>52.647500000000001</v>
      </c>
      <c r="H1633" s="13">
        <v>4</v>
      </c>
      <c r="I1633" s="13">
        <v>0</v>
      </c>
      <c r="J1633" s="13">
        <v>0</v>
      </c>
      <c r="K1633" s="10">
        <v>4</v>
      </c>
      <c r="L1633" s="2">
        <v>210.59</v>
      </c>
      <c r="M1633" s="1">
        <v>46146.459722222222</v>
      </c>
      <c r="N1633" t="s">
        <v>67</v>
      </c>
    </row>
    <row r="1634" spans="1:14" x14ac:dyDescent="0.25">
      <c r="A1634" s="9" t="s">
        <v>5211</v>
      </c>
      <c r="B1634" s="10">
        <v>634</v>
      </c>
      <c r="C1634" s="10" t="s">
        <v>323</v>
      </c>
      <c r="D1634" t="s">
        <v>442</v>
      </c>
      <c r="E1634" t="s">
        <v>443</v>
      </c>
      <c r="F1634" s="10" t="s">
        <v>19</v>
      </c>
      <c r="G1634" s="2">
        <v>669.57399999999996</v>
      </c>
      <c r="H1634" s="13">
        <v>4</v>
      </c>
      <c r="I1634" s="13">
        <v>0</v>
      </c>
      <c r="J1634" s="13">
        <v>0</v>
      </c>
      <c r="K1634" s="10">
        <v>4</v>
      </c>
      <c r="L1634" s="2">
        <v>2678.2959999999998</v>
      </c>
      <c r="M1634" s="1">
        <v>46147.415277777778</v>
      </c>
      <c r="N1634" t="s">
        <v>444</v>
      </c>
    </row>
    <row r="1635" spans="1:14" x14ac:dyDescent="0.25">
      <c r="A1635" s="9" t="s">
        <v>5211</v>
      </c>
      <c r="B1635" s="10">
        <v>714</v>
      </c>
      <c r="C1635" s="10" t="s">
        <v>323</v>
      </c>
      <c r="D1635" t="s">
        <v>3364</v>
      </c>
      <c r="E1635" t="s">
        <v>3365</v>
      </c>
      <c r="F1635" s="10" t="s">
        <v>19</v>
      </c>
      <c r="G1635" s="2">
        <v>239.161</v>
      </c>
      <c r="H1635" s="13">
        <v>4</v>
      </c>
      <c r="I1635" s="13">
        <v>0</v>
      </c>
      <c r="J1635" s="13">
        <v>0</v>
      </c>
      <c r="K1635" s="10">
        <v>4</v>
      </c>
      <c r="L1635" s="2">
        <v>956.64400000000001</v>
      </c>
      <c r="M1635" s="1">
        <v>46147.435416666667</v>
      </c>
      <c r="N1635" t="s">
        <v>501</v>
      </c>
    </row>
    <row r="1636" spans="1:14" x14ac:dyDescent="0.25">
      <c r="A1636" s="9" t="s">
        <v>5211</v>
      </c>
      <c r="B1636" s="10">
        <v>714</v>
      </c>
      <c r="C1636" s="10" t="s">
        <v>323</v>
      </c>
      <c r="D1636" t="s">
        <v>3488</v>
      </c>
      <c r="E1636" t="s">
        <v>3489</v>
      </c>
      <c r="F1636" s="10" t="s">
        <v>23</v>
      </c>
      <c r="G1636" s="2">
        <v>176.5779</v>
      </c>
      <c r="H1636" s="13">
        <v>4</v>
      </c>
      <c r="I1636" s="13">
        <v>0</v>
      </c>
      <c r="J1636" s="13">
        <v>0</v>
      </c>
      <c r="K1636" s="10">
        <v>4</v>
      </c>
      <c r="L1636" s="2">
        <v>706.3116</v>
      </c>
      <c r="M1636" s="1">
        <v>46147.525694444441</v>
      </c>
      <c r="N1636" t="s">
        <v>1535</v>
      </c>
    </row>
    <row r="1637" spans="1:14" x14ac:dyDescent="0.25">
      <c r="A1637" s="9" t="s">
        <v>5211</v>
      </c>
      <c r="B1637" s="10">
        <v>714</v>
      </c>
      <c r="C1637" s="10" t="s">
        <v>323</v>
      </c>
      <c r="D1637" t="s">
        <v>3196</v>
      </c>
      <c r="E1637" t="s">
        <v>3197</v>
      </c>
      <c r="F1637" s="10" t="s">
        <v>19</v>
      </c>
      <c r="G1637" s="2">
        <v>565.70719999999994</v>
      </c>
      <c r="H1637" s="13">
        <v>4</v>
      </c>
      <c r="I1637" s="13">
        <v>0</v>
      </c>
      <c r="J1637" s="13">
        <v>0</v>
      </c>
      <c r="K1637" s="10">
        <v>4</v>
      </c>
      <c r="L1637" s="2">
        <v>2262.8287999999998</v>
      </c>
      <c r="M1637" s="1">
        <v>46148.463888888888</v>
      </c>
      <c r="N1637" t="s">
        <v>137</v>
      </c>
    </row>
    <row r="1638" spans="1:14" x14ac:dyDescent="0.25">
      <c r="A1638" s="9" t="s">
        <v>5211</v>
      </c>
      <c r="B1638" s="10">
        <v>714</v>
      </c>
      <c r="C1638" s="10" t="s">
        <v>323</v>
      </c>
      <c r="D1638" t="s">
        <v>3127</v>
      </c>
      <c r="E1638" t="s">
        <v>3128</v>
      </c>
      <c r="F1638" s="10" t="s">
        <v>23</v>
      </c>
      <c r="G1638" s="2">
        <v>155.31630000000001</v>
      </c>
      <c r="H1638" s="13">
        <v>4</v>
      </c>
      <c r="I1638" s="13">
        <v>0</v>
      </c>
      <c r="J1638" s="13">
        <v>0</v>
      </c>
      <c r="K1638" s="10">
        <v>4</v>
      </c>
      <c r="L1638" s="2">
        <v>621.26520000000005</v>
      </c>
      <c r="M1638" s="1">
        <v>46149.429861111108</v>
      </c>
      <c r="N1638" t="s">
        <v>1062</v>
      </c>
    </row>
    <row r="1639" spans="1:14" x14ac:dyDescent="0.25">
      <c r="A1639" s="9" t="s">
        <v>5211</v>
      </c>
      <c r="B1639" s="10">
        <v>714</v>
      </c>
      <c r="C1639" s="10" t="s">
        <v>12</v>
      </c>
      <c r="D1639" t="s">
        <v>4383</v>
      </c>
      <c r="E1639" t="s">
        <v>4384</v>
      </c>
      <c r="F1639" s="10" t="s">
        <v>29</v>
      </c>
      <c r="G1639" s="2">
        <v>8.5</v>
      </c>
      <c r="H1639" s="13">
        <v>4</v>
      </c>
      <c r="I1639" s="13">
        <v>92</v>
      </c>
      <c r="J1639" s="13">
        <v>-92</v>
      </c>
      <c r="K1639" s="10">
        <v>4</v>
      </c>
      <c r="L1639" s="2">
        <v>34</v>
      </c>
      <c r="M1639" s="1">
        <v>46150.495138888888</v>
      </c>
      <c r="N1639" t="s">
        <v>522</v>
      </c>
    </row>
    <row r="1640" spans="1:14" x14ac:dyDescent="0.25">
      <c r="A1640" s="9" t="s">
        <v>5211</v>
      </c>
      <c r="B1640" s="10">
        <v>634</v>
      </c>
      <c r="C1640" s="10" t="s">
        <v>70</v>
      </c>
      <c r="D1640" t="s">
        <v>644</v>
      </c>
      <c r="E1640" t="s">
        <v>645</v>
      </c>
      <c r="F1640" s="10" t="s">
        <v>39</v>
      </c>
      <c r="G1640" s="2">
        <v>6.0419</v>
      </c>
      <c r="H1640" s="13">
        <v>4</v>
      </c>
      <c r="I1640" s="13">
        <v>9</v>
      </c>
      <c r="J1640" s="13">
        <v>-9</v>
      </c>
      <c r="K1640" s="10">
        <v>4</v>
      </c>
      <c r="L1640" s="2">
        <v>24.1676</v>
      </c>
      <c r="M1640" s="1">
        <v>46150.566666666666</v>
      </c>
      <c r="N1640" t="s">
        <v>40</v>
      </c>
    </row>
    <row r="1641" spans="1:14" x14ac:dyDescent="0.25">
      <c r="A1641" s="9" t="s">
        <v>5211</v>
      </c>
      <c r="B1641" s="10">
        <v>636</v>
      </c>
      <c r="C1641" s="10" t="s">
        <v>143</v>
      </c>
      <c r="D1641" t="s">
        <v>1175</v>
      </c>
      <c r="E1641" t="s">
        <v>1176</v>
      </c>
      <c r="F1641" s="10" t="s">
        <v>29</v>
      </c>
      <c r="G1641" s="2">
        <v>29.940799999999999</v>
      </c>
      <c r="H1641" s="13">
        <v>4</v>
      </c>
      <c r="I1641" s="13">
        <v>2</v>
      </c>
      <c r="J1641" s="13">
        <v>-2</v>
      </c>
      <c r="K1641" s="10">
        <v>4</v>
      </c>
      <c r="L1641" s="2">
        <v>119.7632</v>
      </c>
      <c r="M1641" s="1">
        <v>46150.597222222219</v>
      </c>
      <c r="N1641" t="s">
        <v>40</v>
      </c>
    </row>
    <row r="1642" spans="1:14" x14ac:dyDescent="0.25">
      <c r="A1642" s="9" t="s">
        <v>5211</v>
      </c>
      <c r="B1642" s="10">
        <v>718</v>
      </c>
      <c r="C1642" s="10" t="s">
        <v>143</v>
      </c>
      <c r="D1642" t="s">
        <v>1056</v>
      </c>
      <c r="E1642" t="s">
        <v>1057</v>
      </c>
      <c r="F1642" s="10" t="s">
        <v>23</v>
      </c>
      <c r="G1642" s="2">
        <v>40.682699999999997</v>
      </c>
      <c r="H1642" s="13">
        <v>4</v>
      </c>
      <c r="I1642" s="13">
        <v>-23</v>
      </c>
      <c r="J1642" s="13">
        <v>23</v>
      </c>
      <c r="K1642" s="10">
        <v>4</v>
      </c>
      <c r="L1642" s="2">
        <v>162.73079999999999</v>
      </c>
      <c r="M1642" s="1">
        <v>46150.7</v>
      </c>
      <c r="N1642" t="s">
        <v>175</v>
      </c>
    </row>
    <row r="1643" spans="1:14" x14ac:dyDescent="0.25">
      <c r="A1643" s="9" t="s">
        <v>5211</v>
      </c>
      <c r="B1643" s="10">
        <v>714</v>
      </c>
      <c r="C1643" s="10" t="s">
        <v>143</v>
      </c>
      <c r="D1643" t="s">
        <v>2577</v>
      </c>
      <c r="E1643" t="s">
        <v>2578</v>
      </c>
      <c r="F1643" s="10" t="s">
        <v>29</v>
      </c>
      <c r="G1643" s="2">
        <v>92.414500000000004</v>
      </c>
      <c r="H1643" s="13">
        <v>4</v>
      </c>
      <c r="I1643" s="13">
        <v>0</v>
      </c>
      <c r="J1643" s="13">
        <v>0</v>
      </c>
      <c r="K1643" s="10">
        <v>4</v>
      </c>
      <c r="L1643" s="2">
        <v>369.65800000000002</v>
      </c>
      <c r="M1643" s="1">
        <v>46154.438194444447</v>
      </c>
      <c r="N1643" t="s">
        <v>1535</v>
      </c>
    </row>
    <row r="1644" spans="1:14" x14ac:dyDescent="0.25">
      <c r="A1644" s="9" t="s">
        <v>5211</v>
      </c>
      <c r="B1644" s="10">
        <v>714</v>
      </c>
      <c r="C1644" s="10" t="s">
        <v>143</v>
      </c>
      <c r="D1644" t="s">
        <v>2626</v>
      </c>
      <c r="E1644" t="s">
        <v>2627</v>
      </c>
      <c r="F1644" s="10" t="s">
        <v>23</v>
      </c>
      <c r="G1644" s="2">
        <v>106.8674</v>
      </c>
      <c r="H1644" s="13">
        <v>4</v>
      </c>
      <c r="I1644" s="13">
        <v>0</v>
      </c>
      <c r="J1644" s="13">
        <v>0</v>
      </c>
      <c r="K1644" s="10">
        <v>4</v>
      </c>
      <c r="L1644" s="2">
        <v>427.46960000000001</v>
      </c>
      <c r="M1644" s="1">
        <v>46154.438194444447</v>
      </c>
      <c r="N1644" t="s">
        <v>1535</v>
      </c>
    </row>
    <row r="1645" spans="1:14" x14ac:dyDescent="0.25">
      <c r="A1645" s="9" t="s">
        <v>5211</v>
      </c>
      <c r="B1645" s="10">
        <v>714</v>
      </c>
      <c r="C1645" s="10" t="s">
        <v>323</v>
      </c>
      <c r="D1645" t="s">
        <v>3427</v>
      </c>
      <c r="E1645" t="s">
        <v>3428</v>
      </c>
      <c r="F1645" s="10" t="s">
        <v>23</v>
      </c>
      <c r="G1645" s="2">
        <v>187.0035</v>
      </c>
      <c r="H1645" s="13">
        <v>4</v>
      </c>
      <c r="I1645" s="13">
        <v>-3</v>
      </c>
      <c r="J1645" s="13">
        <v>3</v>
      </c>
      <c r="K1645" s="10">
        <v>4</v>
      </c>
      <c r="L1645" s="2">
        <v>748.01400000000001</v>
      </c>
      <c r="M1645" s="1">
        <v>46154.438194444447</v>
      </c>
      <c r="N1645" t="s">
        <v>1535</v>
      </c>
    </row>
    <row r="1646" spans="1:14" x14ac:dyDescent="0.25">
      <c r="A1646" s="9" t="s">
        <v>5211</v>
      </c>
      <c r="B1646" s="10">
        <v>714</v>
      </c>
      <c r="C1646" s="10" t="s">
        <v>143</v>
      </c>
      <c r="D1646" t="s">
        <v>2600</v>
      </c>
      <c r="E1646" t="s">
        <v>2601</v>
      </c>
      <c r="F1646" s="10" t="s">
        <v>29</v>
      </c>
      <c r="G1646" s="2">
        <v>196.90860000000001</v>
      </c>
      <c r="H1646" s="13">
        <v>4</v>
      </c>
      <c r="I1646" s="13">
        <v>0</v>
      </c>
      <c r="J1646" s="13">
        <v>0</v>
      </c>
      <c r="K1646" s="10">
        <v>4</v>
      </c>
      <c r="L1646" s="2">
        <v>787.63440000000003</v>
      </c>
      <c r="M1646" s="1">
        <v>46154.454861111109</v>
      </c>
      <c r="N1646" t="s">
        <v>137</v>
      </c>
    </row>
    <row r="1647" spans="1:14" x14ac:dyDescent="0.25">
      <c r="A1647" s="9" t="s">
        <v>5211</v>
      </c>
      <c r="B1647" s="10">
        <v>714</v>
      </c>
      <c r="C1647" s="10" t="s">
        <v>143</v>
      </c>
      <c r="D1647" t="s">
        <v>4803</v>
      </c>
      <c r="E1647" t="s">
        <v>4804</v>
      </c>
      <c r="F1647" s="10" t="s">
        <v>158</v>
      </c>
      <c r="G1647" s="2">
        <v>156.83949999999999</v>
      </c>
      <c r="H1647" s="13">
        <v>4</v>
      </c>
      <c r="I1647" s="13">
        <v>5</v>
      </c>
      <c r="J1647" s="13">
        <v>-5</v>
      </c>
      <c r="K1647" s="10">
        <v>4</v>
      </c>
      <c r="L1647" s="2">
        <v>627.35799999999995</v>
      </c>
      <c r="M1647" s="1">
        <v>46154.454861111109</v>
      </c>
      <c r="N1647" t="s">
        <v>137</v>
      </c>
    </row>
    <row r="1648" spans="1:14" x14ac:dyDescent="0.25">
      <c r="A1648" s="9" t="s">
        <v>5211</v>
      </c>
      <c r="B1648" s="10">
        <v>634</v>
      </c>
      <c r="C1648" s="10" t="s">
        <v>143</v>
      </c>
      <c r="D1648" t="s">
        <v>4110</v>
      </c>
      <c r="E1648" t="s">
        <v>4111</v>
      </c>
      <c r="F1648" s="10" t="s">
        <v>19</v>
      </c>
      <c r="G1648" s="2">
        <v>180.08090000000001</v>
      </c>
      <c r="H1648" s="13">
        <v>4</v>
      </c>
      <c r="I1648" s="13">
        <v>23</v>
      </c>
      <c r="J1648" s="13">
        <v>-23</v>
      </c>
      <c r="K1648" s="10">
        <v>4</v>
      </c>
      <c r="L1648" s="2">
        <v>720.32360000000006</v>
      </c>
      <c r="M1648" s="1">
        <v>46154.572222222225</v>
      </c>
      <c r="N1648" t="s">
        <v>137</v>
      </c>
    </row>
    <row r="1649" spans="1:14" x14ac:dyDescent="0.25">
      <c r="A1649" s="9" t="s">
        <v>5211</v>
      </c>
      <c r="B1649" s="10">
        <v>714</v>
      </c>
      <c r="C1649" s="10" t="s">
        <v>143</v>
      </c>
      <c r="D1649" t="s">
        <v>1198</v>
      </c>
      <c r="E1649" t="s">
        <v>1199</v>
      </c>
      <c r="F1649" s="10" t="s">
        <v>29</v>
      </c>
      <c r="G1649" s="2">
        <v>48.232500000000002</v>
      </c>
      <c r="H1649" s="13">
        <v>4</v>
      </c>
      <c r="I1649" s="13">
        <v>0</v>
      </c>
      <c r="J1649" s="13">
        <v>0</v>
      </c>
      <c r="K1649" s="10">
        <v>4</v>
      </c>
      <c r="L1649" s="2">
        <v>192.93</v>
      </c>
      <c r="M1649" s="1">
        <v>46157.474999999999</v>
      </c>
      <c r="N1649" t="s">
        <v>67</v>
      </c>
    </row>
    <row r="1650" spans="1:14" x14ac:dyDescent="0.25">
      <c r="A1650" s="9" t="s">
        <v>5211</v>
      </c>
      <c r="B1650" s="10">
        <v>636</v>
      </c>
      <c r="C1650" s="10" t="s">
        <v>323</v>
      </c>
      <c r="D1650" t="s">
        <v>1628</v>
      </c>
      <c r="E1650" t="s">
        <v>1629</v>
      </c>
      <c r="F1650" s="10" t="s">
        <v>29</v>
      </c>
      <c r="G1650" s="2">
        <v>153.3578</v>
      </c>
      <c r="H1650" s="13">
        <v>4</v>
      </c>
      <c r="I1650" s="13">
        <v>0</v>
      </c>
      <c r="J1650" s="13">
        <v>0</v>
      </c>
      <c r="K1650" s="10">
        <v>4</v>
      </c>
      <c r="L1650" s="2">
        <v>613.43119999999999</v>
      </c>
      <c r="M1650" s="1">
        <v>46157.602083333331</v>
      </c>
      <c r="N1650" t="s">
        <v>1224</v>
      </c>
    </row>
    <row r="1651" spans="1:14" x14ac:dyDescent="0.25">
      <c r="A1651" s="9" t="s">
        <v>5211</v>
      </c>
      <c r="B1651" s="10">
        <v>714</v>
      </c>
      <c r="C1651" s="10" t="s">
        <v>323</v>
      </c>
      <c r="D1651" t="s">
        <v>3405</v>
      </c>
      <c r="E1651" t="s">
        <v>3406</v>
      </c>
      <c r="F1651" s="10" t="s">
        <v>29</v>
      </c>
      <c r="G1651" s="2">
        <v>301.0403</v>
      </c>
      <c r="H1651" s="13">
        <v>4</v>
      </c>
      <c r="I1651" s="13">
        <v>0</v>
      </c>
      <c r="J1651" s="13">
        <v>0</v>
      </c>
      <c r="K1651" s="10">
        <v>4</v>
      </c>
      <c r="L1651" s="2">
        <v>1204.1612</v>
      </c>
      <c r="M1651" s="1">
        <v>46157.633333333331</v>
      </c>
      <c r="N1651" t="s">
        <v>159</v>
      </c>
    </row>
    <row r="1652" spans="1:14" x14ac:dyDescent="0.25">
      <c r="A1652" s="9" t="s">
        <v>5211</v>
      </c>
      <c r="B1652" s="10">
        <v>714</v>
      </c>
      <c r="C1652" s="10" t="s">
        <v>858</v>
      </c>
      <c r="D1652" t="s">
        <v>859</v>
      </c>
      <c r="E1652" t="s">
        <v>860</v>
      </c>
      <c r="F1652" s="10" t="s">
        <v>29</v>
      </c>
      <c r="G1652" s="2">
        <v>0</v>
      </c>
      <c r="H1652" s="13">
        <v>4</v>
      </c>
      <c r="I1652" s="13">
        <v>0</v>
      </c>
      <c r="J1652" s="13">
        <v>0</v>
      </c>
      <c r="K1652" s="10">
        <v>4</v>
      </c>
      <c r="L1652" s="2">
        <v>0</v>
      </c>
      <c r="M1652" s="1">
        <v>46162.604861111111</v>
      </c>
      <c r="N1652" t="s">
        <v>1825</v>
      </c>
    </row>
    <row r="1653" spans="1:14" x14ac:dyDescent="0.25">
      <c r="A1653" s="9" t="s">
        <v>5211</v>
      </c>
      <c r="B1653" s="10">
        <v>714</v>
      </c>
      <c r="C1653" s="10" t="s">
        <v>143</v>
      </c>
      <c r="D1653" t="s">
        <v>4769</v>
      </c>
      <c r="E1653" t="s">
        <v>4770</v>
      </c>
      <c r="F1653" s="10" t="s">
        <v>23</v>
      </c>
      <c r="G1653" s="2">
        <v>31.358899999999998</v>
      </c>
      <c r="H1653" s="13">
        <v>4</v>
      </c>
      <c r="I1653" s="13">
        <v>8</v>
      </c>
      <c r="J1653" s="13">
        <v>-8</v>
      </c>
      <c r="K1653" s="10">
        <v>4</v>
      </c>
      <c r="L1653" s="2">
        <v>125.43559999999999</v>
      </c>
      <c r="M1653" s="1">
        <v>46163.347222222219</v>
      </c>
      <c r="N1653" t="s">
        <v>30</v>
      </c>
    </row>
    <row r="1654" spans="1:14" x14ac:dyDescent="0.25">
      <c r="A1654" s="9" t="s">
        <v>5211</v>
      </c>
      <c r="B1654" s="10">
        <v>636</v>
      </c>
      <c r="C1654" s="10" t="s">
        <v>143</v>
      </c>
      <c r="D1654" t="s">
        <v>206</v>
      </c>
      <c r="E1654" t="s">
        <v>207</v>
      </c>
      <c r="F1654" s="10" t="s">
        <v>23</v>
      </c>
      <c r="G1654" s="2">
        <v>98.947400000000002</v>
      </c>
      <c r="H1654" s="13">
        <v>4</v>
      </c>
      <c r="I1654" s="13">
        <v>0</v>
      </c>
      <c r="J1654" s="13">
        <v>0</v>
      </c>
      <c r="K1654" s="10">
        <v>4</v>
      </c>
      <c r="L1654" s="2">
        <v>395.78960000000001</v>
      </c>
      <c r="M1654" s="1">
        <v>46164.288194444445</v>
      </c>
      <c r="N1654" t="s">
        <v>170</v>
      </c>
    </row>
    <row r="1655" spans="1:14" x14ac:dyDescent="0.25">
      <c r="A1655" s="9" t="s">
        <v>5211</v>
      </c>
      <c r="B1655" s="10">
        <v>636</v>
      </c>
      <c r="C1655" s="10" t="s">
        <v>143</v>
      </c>
      <c r="D1655" t="s">
        <v>1063</v>
      </c>
      <c r="E1655" t="s">
        <v>1064</v>
      </c>
      <c r="F1655" s="10" t="s">
        <v>19</v>
      </c>
      <c r="G1655" s="2">
        <v>999.19439999999997</v>
      </c>
      <c r="H1655" s="13">
        <v>4</v>
      </c>
      <c r="I1655" s="13">
        <v>0</v>
      </c>
      <c r="J1655" s="13">
        <v>0</v>
      </c>
      <c r="K1655" s="10">
        <v>4</v>
      </c>
      <c r="L1655" s="2">
        <v>3996.7775999999999</v>
      </c>
      <c r="M1655" s="1">
        <v>46164.324305555558</v>
      </c>
      <c r="N1655" t="s">
        <v>963</v>
      </c>
    </row>
    <row r="1656" spans="1:14" x14ac:dyDescent="0.25">
      <c r="A1656" s="9" t="s">
        <v>5211</v>
      </c>
      <c r="B1656" s="10">
        <v>636</v>
      </c>
      <c r="C1656" s="10" t="s">
        <v>70</v>
      </c>
      <c r="D1656" t="s">
        <v>4427</v>
      </c>
      <c r="E1656" t="s">
        <v>4428</v>
      </c>
      <c r="F1656" s="10" t="s">
        <v>112</v>
      </c>
      <c r="G1656" s="2">
        <v>3.0449999999999999</v>
      </c>
      <c r="H1656" s="13">
        <v>4</v>
      </c>
      <c r="I1656" s="13">
        <v>-72</v>
      </c>
      <c r="J1656" s="13">
        <v>72</v>
      </c>
      <c r="K1656" s="10">
        <v>4</v>
      </c>
      <c r="L1656" s="2">
        <v>12.18</v>
      </c>
      <c r="M1656" s="1">
        <v>46164.612500000003</v>
      </c>
      <c r="N1656" t="s">
        <v>99</v>
      </c>
    </row>
    <row r="1657" spans="1:14" x14ac:dyDescent="0.25">
      <c r="A1657" s="9" t="s">
        <v>5211</v>
      </c>
      <c r="B1657" s="10">
        <v>634</v>
      </c>
      <c r="C1657" s="10" t="s">
        <v>323</v>
      </c>
      <c r="D1657" t="s">
        <v>460</v>
      </c>
      <c r="E1657" t="s">
        <v>461</v>
      </c>
      <c r="F1657" s="10" t="s">
        <v>23</v>
      </c>
      <c r="G1657" s="2">
        <v>142.30000000000001</v>
      </c>
      <c r="H1657" s="13">
        <v>4</v>
      </c>
      <c r="I1657" s="13">
        <v>0</v>
      </c>
      <c r="J1657" s="13">
        <v>0</v>
      </c>
      <c r="K1657" s="10">
        <v>4</v>
      </c>
      <c r="L1657" s="2">
        <v>569.20000000000005</v>
      </c>
      <c r="M1657" s="1">
        <v>46169.459027777775</v>
      </c>
      <c r="N1657" t="s">
        <v>151</v>
      </c>
    </row>
    <row r="1658" spans="1:14" x14ac:dyDescent="0.25">
      <c r="A1658" s="9" t="s">
        <v>5211</v>
      </c>
      <c r="B1658" s="10">
        <v>636</v>
      </c>
      <c r="C1658" s="10" t="s">
        <v>143</v>
      </c>
      <c r="D1658" t="s">
        <v>1106</v>
      </c>
      <c r="E1658" t="s">
        <v>1107</v>
      </c>
      <c r="F1658" s="10" t="s">
        <v>19</v>
      </c>
      <c r="G1658" s="2">
        <v>179.43539999999999</v>
      </c>
      <c r="H1658" s="13">
        <v>4</v>
      </c>
      <c r="I1658" s="13">
        <v>-1</v>
      </c>
      <c r="J1658" s="13">
        <v>1</v>
      </c>
      <c r="K1658" s="10">
        <v>4</v>
      </c>
      <c r="L1658" s="2">
        <v>717.74159999999995</v>
      </c>
      <c r="M1658" s="1">
        <v>46170.59097222222</v>
      </c>
      <c r="N1658" t="s">
        <v>137</v>
      </c>
    </row>
    <row r="1659" spans="1:14" x14ac:dyDescent="0.25">
      <c r="A1659" s="9" t="s">
        <v>5211</v>
      </c>
      <c r="B1659" s="10">
        <v>714</v>
      </c>
      <c r="C1659" s="10" t="s">
        <v>323</v>
      </c>
      <c r="D1659" t="s">
        <v>3332</v>
      </c>
      <c r="E1659" t="s">
        <v>3333</v>
      </c>
      <c r="F1659" s="10" t="s">
        <v>29</v>
      </c>
      <c r="G1659" s="2">
        <v>108.0942</v>
      </c>
      <c r="H1659" s="13">
        <v>4</v>
      </c>
      <c r="I1659" s="13">
        <v>0</v>
      </c>
      <c r="J1659" s="13">
        <v>0</v>
      </c>
      <c r="K1659" s="10">
        <v>4</v>
      </c>
      <c r="L1659" s="2">
        <v>432.3768</v>
      </c>
      <c r="M1659" s="1">
        <v>46171.327777777777</v>
      </c>
      <c r="N1659" t="s">
        <v>1841</v>
      </c>
    </row>
    <row r="1660" spans="1:14" x14ac:dyDescent="0.25">
      <c r="A1660" s="9" t="s">
        <v>5211</v>
      </c>
      <c r="B1660" s="10">
        <v>718</v>
      </c>
      <c r="C1660" s="10" t="s">
        <v>323</v>
      </c>
      <c r="D1660" t="s">
        <v>1729</v>
      </c>
      <c r="E1660" t="s">
        <v>1730</v>
      </c>
      <c r="F1660" s="10" t="s">
        <v>29</v>
      </c>
      <c r="G1660" s="2">
        <v>331.67360000000002</v>
      </c>
      <c r="H1660" s="13">
        <v>4</v>
      </c>
      <c r="I1660" s="13">
        <v>4</v>
      </c>
      <c r="J1660" s="13">
        <v>-4</v>
      </c>
      <c r="K1660" s="10">
        <v>4</v>
      </c>
      <c r="L1660" s="2">
        <v>1326.6944000000001</v>
      </c>
      <c r="M1660" s="1">
        <v>46172.410416666666</v>
      </c>
      <c r="N1660" t="s">
        <v>2358</v>
      </c>
    </row>
    <row r="1661" spans="1:14" x14ac:dyDescent="0.25">
      <c r="A1661" s="9" t="s">
        <v>5211</v>
      </c>
      <c r="B1661" s="10">
        <v>714</v>
      </c>
      <c r="C1661" s="10" t="s">
        <v>143</v>
      </c>
      <c r="D1661" t="s">
        <v>2569</v>
      </c>
      <c r="E1661" t="s">
        <v>2570</v>
      </c>
      <c r="F1661" s="10" t="s">
        <v>23</v>
      </c>
      <c r="G1661" s="2">
        <v>54.036799999999999</v>
      </c>
      <c r="H1661" s="13">
        <v>4</v>
      </c>
      <c r="I1661" s="13">
        <v>0</v>
      </c>
      <c r="J1661" s="13">
        <v>0</v>
      </c>
      <c r="K1661" s="10">
        <v>4</v>
      </c>
      <c r="L1661" s="2">
        <v>216.1472</v>
      </c>
      <c r="M1661" s="1">
        <v>46174.37777777778</v>
      </c>
      <c r="N1661" t="s">
        <v>310</v>
      </c>
    </row>
    <row r="1662" spans="1:14" x14ac:dyDescent="0.25">
      <c r="A1662" s="9" t="s">
        <v>5211</v>
      </c>
      <c r="B1662" s="10">
        <v>636</v>
      </c>
      <c r="C1662" s="10" t="s">
        <v>70</v>
      </c>
      <c r="D1662" t="s">
        <v>808</v>
      </c>
      <c r="E1662" t="s">
        <v>809</v>
      </c>
      <c r="F1662" s="10" t="s">
        <v>39</v>
      </c>
      <c r="G1662" s="2">
        <v>5.5449000000000002</v>
      </c>
      <c r="H1662" s="13">
        <v>4</v>
      </c>
      <c r="I1662" s="13">
        <v>0</v>
      </c>
      <c r="J1662" s="13">
        <v>0</v>
      </c>
      <c r="K1662" s="10">
        <v>4</v>
      </c>
      <c r="L1662" s="2">
        <v>22.179600000000001</v>
      </c>
      <c r="M1662" s="1">
        <v>46177.399305555555</v>
      </c>
      <c r="N1662" t="s">
        <v>16</v>
      </c>
    </row>
    <row r="1663" spans="1:14" x14ac:dyDescent="0.25">
      <c r="A1663" s="9" t="s">
        <v>5211</v>
      </c>
      <c r="B1663" s="10">
        <v>714</v>
      </c>
      <c r="C1663" s="10" t="s">
        <v>143</v>
      </c>
      <c r="D1663" t="s">
        <v>1074</v>
      </c>
      <c r="E1663" t="s">
        <v>1075</v>
      </c>
      <c r="F1663" s="10" t="s">
        <v>39</v>
      </c>
      <c r="G1663" s="2">
        <v>17.6526</v>
      </c>
      <c r="H1663" s="13">
        <v>4</v>
      </c>
      <c r="I1663" s="13">
        <v>0</v>
      </c>
      <c r="J1663" s="13">
        <v>0</v>
      </c>
      <c r="K1663" s="10">
        <v>4</v>
      </c>
      <c r="L1663" s="2">
        <v>70.610399999999998</v>
      </c>
      <c r="M1663" s="1">
        <v>46177.484722222223</v>
      </c>
      <c r="N1663" t="s">
        <v>878</v>
      </c>
    </row>
    <row r="1664" spans="1:14" x14ac:dyDescent="0.25">
      <c r="A1664" s="9" t="s">
        <v>5211</v>
      </c>
      <c r="B1664" s="10">
        <v>636</v>
      </c>
      <c r="C1664" s="10" t="s">
        <v>70</v>
      </c>
      <c r="D1664" t="s">
        <v>567</v>
      </c>
      <c r="E1664" t="s">
        <v>568</v>
      </c>
      <c r="F1664" s="10" t="s">
        <v>39</v>
      </c>
      <c r="G1664" s="2">
        <v>8.7299000000000007</v>
      </c>
      <c r="H1664" s="13">
        <v>4</v>
      </c>
      <c r="I1664" s="13">
        <v>0</v>
      </c>
      <c r="J1664" s="13">
        <v>0</v>
      </c>
      <c r="K1664" s="10">
        <v>4</v>
      </c>
      <c r="L1664" s="2">
        <v>34.919600000000003</v>
      </c>
      <c r="M1664" s="1">
        <v>46178.285416666666</v>
      </c>
      <c r="N1664" t="s">
        <v>522</v>
      </c>
    </row>
    <row r="1665" spans="1:14" x14ac:dyDescent="0.25">
      <c r="A1665" s="9" t="s">
        <v>5211</v>
      </c>
      <c r="B1665" s="10">
        <v>714</v>
      </c>
      <c r="C1665" s="10" t="s">
        <v>143</v>
      </c>
      <c r="D1665" t="s">
        <v>4192</v>
      </c>
      <c r="E1665" t="s">
        <v>4193</v>
      </c>
      <c r="F1665" s="10" t="s">
        <v>23</v>
      </c>
      <c r="G1665" s="2">
        <v>16.702500000000001</v>
      </c>
      <c r="H1665" s="13">
        <v>4</v>
      </c>
      <c r="I1665" s="13">
        <v>40</v>
      </c>
      <c r="J1665" s="13">
        <v>-40</v>
      </c>
      <c r="K1665" s="10">
        <v>4</v>
      </c>
      <c r="L1665" s="2">
        <v>66.81</v>
      </c>
      <c r="M1665" s="1">
        <v>46178.38958333333</v>
      </c>
      <c r="N1665" t="s">
        <v>195</v>
      </c>
    </row>
    <row r="1666" spans="1:14" x14ac:dyDescent="0.25">
      <c r="A1666" s="9" t="s">
        <v>5211</v>
      </c>
      <c r="B1666" s="10">
        <v>714</v>
      </c>
      <c r="C1666" s="10" t="s">
        <v>143</v>
      </c>
      <c r="D1666" t="s">
        <v>2272</v>
      </c>
      <c r="E1666" t="s">
        <v>2273</v>
      </c>
      <c r="F1666" s="10" t="s">
        <v>19</v>
      </c>
      <c r="G1666" s="2">
        <v>34.319800000000001</v>
      </c>
      <c r="H1666" s="13">
        <v>4</v>
      </c>
      <c r="I1666" s="13">
        <v>0</v>
      </c>
      <c r="J1666" s="13">
        <v>0</v>
      </c>
      <c r="K1666" s="10">
        <v>4</v>
      </c>
      <c r="L1666" s="2">
        <v>137.2792</v>
      </c>
      <c r="M1666" s="1">
        <v>46178.441666666666</v>
      </c>
      <c r="N1666" t="s">
        <v>216</v>
      </c>
    </row>
    <row r="1667" spans="1:14" x14ac:dyDescent="0.25">
      <c r="A1667" s="9" t="s">
        <v>5211</v>
      </c>
      <c r="B1667" s="10">
        <v>636</v>
      </c>
      <c r="C1667" s="10" t="s">
        <v>323</v>
      </c>
      <c r="D1667" t="s">
        <v>1660</v>
      </c>
      <c r="E1667" t="s">
        <v>1661</v>
      </c>
      <c r="F1667" s="10" t="s">
        <v>39</v>
      </c>
      <c r="G1667" s="2">
        <v>25.2822</v>
      </c>
      <c r="H1667" s="13">
        <v>4</v>
      </c>
      <c r="I1667" s="13">
        <v>-2</v>
      </c>
      <c r="J1667" s="13">
        <v>2</v>
      </c>
      <c r="K1667" s="10">
        <v>4</v>
      </c>
      <c r="L1667" s="2">
        <v>101.1288</v>
      </c>
      <c r="M1667" s="1">
        <v>46181.511111111111</v>
      </c>
      <c r="N1667" t="s">
        <v>599</v>
      </c>
    </row>
    <row r="1668" spans="1:14" x14ac:dyDescent="0.25">
      <c r="A1668" s="9" t="s">
        <v>5211</v>
      </c>
      <c r="B1668" s="10">
        <v>634</v>
      </c>
      <c r="C1668" s="10" t="s">
        <v>143</v>
      </c>
      <c r="D1668" t="s">
        <v>4166</v>
      </c>
      <c r="E1668" t="s">
        <v>4167</v>
      </c>
      <c r="F1668" s="10" t="s">
        <v>23</v>
      </c>
      <c r="G1668" s="2">
        <v>21.027000000000001</v>
      </c>
      <c r="H1668" s="13">
        <v>4</v>
      </c>
      <c r="I1668" s="13">
        <v>25</v>
      </c>
      <c r="J1668" s="13">
        <v>-25</v>
      </c>
      <c r="K1668" s="10">
        <v>4</v>
      </c>
      <c r="L1668" s="2">
        <v>84.108000000000004</v>
      </c>
      <c r="M1668" s="1">
        <v>46184.3</v>
      </c>
      <c r="N1668" t="s">
        <v>64</v>
      </c>
    </row>
    <row r="1669" spans="1:14" x14ac:dyDescent="0.25">
      <c r="A1669" s="9" t="s">
        <v>5211</v>
      </c>
      <c r="B1669" s="10">
        <v>636</v>
      </c>
      <c r="C1669" s="10" t="s">
        <v>70</v>
      </c>
      <c r="D1669" t="s">
        <v>749</v>
      </c>
      <c r="E1669" t="s">
        <v>750</v>
      </c>
      <c r="F1669" s="10" t="s">
        <v>39</v>
      </c>
      <c r="G1669" s="2">
        <v>5.8784999999999998</v>
      </c>
      <c r="H1669" s="13">
        <v>4</v>
      </c>
      <c r="I1669" s="13">
        <v>0</v>
      </c>
      <c r="J1669" s="13">
        <v>0</v>
      </c>
      <c r="K1669" s="10">
        <v>4</v>
      </c>
      <c r="L1669" s="2">
        <v>23.513999999999999</v>
      </c>
      <c r="M1669" s="1">
        <v>46184.540277777778</v>
      </c>
      <c r="N1669" t="s">
        <v>16</v>
      </c>
    </row>
    <row r="1670" spans="1:14" x14ac:dyDescent="0.25">
      <c r="A1670" s="9" t="s">
        <v>5211</v>
      </c>
      <c r="B1670" s="10">
        <v>718</v>
      </c>
      <c r="C1670" s="10" t="s">
        <v>143</v>
      </c>
      <c r="D1670" t="s">
        <v>230</v>
      </c>
      <c r="E1670" t="s">
        <v>231</v>
      </c>
      <c r="F1670" s="10" t="s">
        <v>39</v>
      </c>
      <c r="G1670" s="2">
        <v>14.297700000000001</v>
      </c>
      <c r="H1670" s="13">
        <v>4</v>
      </c>
      <c r="I1670" s="13">
        <v>0</v>
      </c>
      <c r="J1670" s="13">
        <v>0</v>
      </c>
      <c r="K1670" s="10">
        <v>4</v>
      </c>
      <c r="L1670" s="2">
        <v>57.190800000000003</v>
      </c>
      <c r="M1670" s="1">
        <v>46185.38958333333</v>
      </c>
      <c r="N1670" t="s">
        <v>140</v>
      </c>
    </row>
    <row r="1671" spans="1:14" x14ac:dyDescent="0.25">
      <c r="A1671" s="9" t="s">
        <v>5211</v>
      </c>
      <c r="B1671" s="10">
        <v>636</v>
      </c>
      <c r="C1671" s="10" t="s">
        <v>143</v>
      </c>
      <c r="D1671" t="s">
        <v>2314</v>
      </c>
      <c r="E1671" t="s">
        <v>2315</v>
      </c>
      <c r="F1671" s="10" t="s">
        <v>43</v>
      </c>
      <c r="G1671" s="2">
        <v>35.839199999999998</v>
      </c>
      <c r="H1671" s="13">
        <v>4</v>
      </c>
      <c r="I1671" s="13">
        <v>5</v>
      </c>
      <c r="J1671" s="13">
        <v>-5</v>
      </c>
      <c r="K1671" s="10">
        <v>4</v>
      </c>
      <c r="L1671" s="2">
        <v>143.35679999999999</v>
      </c>
      <c r="M1671" s="1">
        <v>46185.396527777775</v>
      </c>
      <c r="N1671" t="s">
        <v>26</v>
      </c>
    </row>
    <row r="1672" spans="1:14" x14ac:dyDescent="0.25">
      <c r="A1672" s="9" t="s">
        <v>5211</v>
      </c>
      <c r="B1672" s="10">
        <v>718</v>
      </c>
      <c r="C1672" s="10" t="s">
        <v>70</v>
      </c>
      <c r="D1672" t="s">
        <v>4050</v>
      </c>
      <c r="E1672" t="s">
        <v>4051</v>
      </c>
      <c r="F1672" s="10" t="s">
        <v>112</v>
      </c>
      <c r="G1672" s="2">
        <v>5.3407</v>
      </c>
      <c r="H1672" s="13">
        <v>4</v>
      </c>
      <c r="I1672" s="13">
        <v>68</v>
      </c>
      <c r="J1672" s="13">
        <v>-68</v>
      </c>
      <c r="K1672" s="10">
        <v>4</v>
      </c>
      <c r="L1672" s="2">
        <v>21.3628</v>
      </c>
      <c r="M1672" s="1">
        <v>46185.552777777775</v>
      </c>
      <c r="N1672" t="s">
        <v>26</v>
      </c>
    </row>
    <row r="1673" spans="1:14" x14ac:dyDescent="0.25">
      <c r="A1673" s="9" t="s">
        <v>5211</v>
      </c>
      <c r="B1673" s="10">
        <v>714</v>
      </c>
      <c r="C1673" s="10" t="s">
        <v>143</v>
      </c>
      <c r="D1673" t="s">
        <v>2430</v>
      </c>
      <c r="E1673" t="s">
        <v>2431</v>
      </c>
      <c r="F1673" s="10" t="s">
        <v>23</v>
      </c>
      <c r="G1673" s="2">
        <v>20.8325</v>
      </c>
      <c r="H1673" s="13">
        <v>4</v>
      </c>
      <c r="I1673" s="13">
        <v>-4</v>
      </c>
      <c r="J1673" s="13">
        <v>4</v>
      </c>
      <c r="K1673" s="10">
        <v>4</v>
      </c>
      <c r="L1673" s="2">
        <v>83.33</v>
      </c>
      <c r="M1673" s="1">
        <v>46188.35</v>
      </c>
      <c r="N1673" t="s">
        <v>26</v>
      </c>
    </row>
    <row r="1674" spans="1:14" x14ac:dyDescent="0.25">
      <c r="A1674" s="9" t="s">
        <v>5211</v>
      </c>
      <c r="B1674" s="10">
        <v>718</v>
      </c>
      <c r="C1674" s="10" t="s">
        <v>323</v>
      </c>
      <c r="D1674" t="s">
        <v>3863</v>
      </c>
      <c r="E1674" t="s">
        <v>3864</v>
      </c>
      <c r="F1674" s="10" t="s">
        <v>29</v>
      </c>
      <c r="G1674" s="2">
        <v>42.147799999999997</v>
      </c>
      <c r="H1674" s="13">
        <v>4</v>
      </c>
      <c r="I1674" s="13">
        <v>-12</v>
      </c>
      <c r="J1674" s="13">
        <v>12</v>
      </c>
      <c r="K1674" s="10">
        <v>4</v>
      </c>
      <c r="L1674" s="2">
        <v>168.59119999999999</v>
      </c>
      <c r="M1674" s="1">
        <v>46189.361805555556</v>
      </c>
      <c r="N1674" t="s">
        <v>1825</v>
      </c>
    </row>
    <row r="1675" spans="1:14" x14ac:dyDescent="0.25">
      <c r="A1675" s="9" t="s">
        <v>5211</v>
      </c>
      <c r="B1675" s="10">
        <v>636</v>
      </c>
      <c r="C1675" s="10" t="s">
        <v>143</v>
      </c>
      <c r="D1675" t="s">
        <v>901</v>
      </c>
      <c r="E1675" t="s">
        <v>902</v>
      </c>
      <c r="F1675" s="10" t="s">
        <v>158</v>
      </c>
      <c r="G1675" s="2">
        <v>74.234200000000001</v>
      </c>
      <c r="H1675" s="13">
        <v>4</v>
      </c>
      <c r="I1675" s="13">
        <v>0</v>
      </c>
      <c r="J1675" s="13">
        <v>0</v>
      </c>
      <c r="K1675" s="10">
        <v>4</v>
      </c>
      <c r="L1675" s="2">
        <v>296.93680000000001</v>
      </c>
      <c r="M1675" s="1">
        <v>46191.365277777775</v>
      </c>
      <c r="N1675" t="s">
        <v>903</v>
      </c>
    </row>
    <row r="1676" spans="1:14" x14ac:dyDescent="0.25">
      <c r="A1676" s="9" t="s">
        <v>5211</v>
      </c>
      <c r="B1676" s="10">
        <v>636</v>
      </c>
      <c r="C1676" s="10" t="s">
        <v>12</v>
      </c>
      <c r="D1676" t="s">
        <v>548</v>
      </c>
      <c r="E1676" t="s">
        <v>549</v>
      </c>
      <c r="F1676" s="10" t="s">
        <v>29</v>
      </c>
      <c r="G1676" s="2">
        <v>13.8108</v>
      </c>
      <c r="H1676" s="13">
        <v>4</v>
      </c>
      <c r="I1676" s="13">
        <v>0</v>
      </c>
      <c r="J1676" s="13">
        <v>0</v>
      </c>
      <c r="K1676" s="10">
        <v>4</v>
      </c>
      <c r="L1676" s="2">
        <v>55.243200000000002</v>
      </c>
      <c r="M1676" s="1">
        <v>46191.495833333334</v>
      </c>
      <c r="N1676" t="s">
        <v>522</v>
      </c>
    </row>
    <row r="1677" spans="1:14" x14ac:dyDescent="0.25">
      <c r="A1677" s="9" t="s">
        <v>5211</v>
      </c>
      <c r="B1677" s="10">
        <v>714</v>
      </c>
      <c r="C1677" s="10" t="s">
        <v>143</v>
      </c>
      <c r="D1677" t="s">
        <v>4823</v>
      </c>
      <c r="E1677" t="s">
        <v>4824</v>
      </c>
      <c r="F1677" s="10" t="s">
        <v>43</v>
      </c>
      <c r="G1677" s="2">
        <v>72.481499999999997</v>
      </c>
      <c r="H1677" s="13">
        <v>4</v>
      </c>
      <c r="I1677" s="13">
        <v>6</v>
      </c>
      <c r="J1677" s="13">
        <v>-6</v>
      </c>
      <c r="K1677" s="10">
        <v>4</v>
      </c>
      <c r="L1677" s="2">
        <v>289.92599999999999</v>
      </c>
      <c r="M1677" s="1">
        <v>46196.347916666666</v>
      </c>
      <c r="N1677" t="s">
        <v>36</v>
      </c>
    </row>
    <row r="1678" spans="1:14" x14ac:dyDescent="0.25">
      <c r="A1678" s="9" t="s">
        <v>5211</v>
      </c>
      <c r="B1678" s="10">
        <v>636</v>
      </c>
      <c r="C1678" s="10" t="s">
        <v>70</v>
      </c>
      <c r="D1678" t="s">
        <v>714</v>
      </c>
      <c r="E1678" t="s">
        <v>715</v>
      </c>
      <c r="F1678" s="10" t="s">
        <v>39</v>
      </c>
      <c r="G1678" s="2">
        <v>9.1515000000000004</v>
      </c>
      <c r="H1678" s="13">
        <v>4</v>
      </c>
      <c r="I1678" s="13">
        <v>0</v>
      </c>
      <c r="J1678" s="13">
        <v>0</v>
      </c>
      <c r="K1678" s="10">
        <v>4</v>
      </c>
      <c r="L1678" s="2">
        <v>36.606000000000002</v>
      </c>
      <c r="M1678" s="1">
        <v>46196.405555555553</v>
      </c>
      <c r="N1678" t="s">
        <v>16</v>
      </c>
    </row>
    <row r="1679" spans="1:14" x14ac:dyDescent="0.25">
      <c r="A1679" s="9" t="s">
        <v>5211</v>
      </c>
      <c r="B1679" s="10">
        <v>714</v>
      </c>
      <c r="C1679" s="10" t="s">
        <v>143</v>
      </c>
      <c r="D1679" t="s">
        <v>2260</v>
      </c>
      <c r="E1679" t="s">
        <v>2261</v>
      </c>
      <c r="F1679" s="10" t="s">
        <v>29</v>
      </c>
      <c r="G1679" s="2">
        <v>75.832800000000006</v>
      </c>
      <c r="H1679" s="13">
        <v>4</v>
      </c>
      <c r="I1679" s="13">
        <v>0</v>
      </c>
      <c r="J1679" s="13">
        <v>0</v>
      </c>
      <c r="K1679" s="10">
        <v>4</v>
      </c>
      <c r="L1679" s="2">
        <v>303.33120000000002</v>
      </c>
      <c r="M1679" s="1">
        <v>46198.373611111114</v>
      </c>
      <c r="N1679" t="s">
        <v>67</v>
      </c>
    </row>
    <row r="1680" spans="1:14" x14ac:dyDescent="0.25">
      <c r="A1680" s="9" t="s">
        <v>5211</v>
      </c>
      <c r="B1680" s="10">
        <v>714</v>
      </c>
      <c r="C1680" s="10" t="s">
        <v>1208</v>
      </c>
      <c r="D1680" t="s">
        <v>2808</v>
      </c>
      <c r="E1680" t="s">
        <v>2809</v>
      </c>
      <c r="F1680" s="10" t="s">
        <v>23</v>
      </c>
      <c r="G1680" s="2">
        <v>42.673699999999997</v>
      </c>
      <c r="H1680" s="13">
        <v>4</v>
      </c>
      <c r="I1680" s="13">
        <v>0</v>
      </c>
      <c r="J1680" s="13">
        <v>0</v>
      </c>
      <c r="K1680" s="10">
        <v>4</v>
      </c>
      <c r="L1680" s="2">
        <v>170.69479999999999</v>
      </c>
      <c r="M1680" s="1">
        <v>46198.373611111114</v>
      </c>
      <c r="N1680" t="s">
        <v>67</v>
      </c>
    </row>
    <row r="1681" spans="1:14" x14ac:dyDescent="0.25">
      <c r="A1681" s="9" t="s">
        <v>5211</v>
      </c>
      <c r="B1681" s="10">
        <v>714</v>
      </c>
      <c r="C1681" s="10" t="s">
        <v>12</v>
      </c>
      <c r="D1681" t="s">
        <v>4389</v>
      </c>
      <c r="E1681" t="s">
        <v>4390</v>
      </c>
      <c r="F1681" s="10" t="s">
        <v>39</v>
      </c>
      <c r="G1681" s="2">
        <v>10.9887</v>
      </c>
      <c r="H1681" s="13">
        <v>4</v>
      </c>
      <c r="I1681" s="13">
        <v>-3</v>
      </c>
      <c r="J1681" s="13">
        <v>3</v>
      </c>
      <c r="K1681" s="10">
        <v>4</v>
      </c>
      <c r="L1681" s="2">
        <v>43.954799999999999</v>
      </c>
      <c r="M1681" s="1">
        <v>46198.40902777778</v>
      </c>
      <c r="N1681" t="s">
        <v>573</v>
      </c>
    </row>
    <row r="1682" spans="1:14" x14ac:dyDescent="0.25">
      <c r="A1682" s="9" t="s">
        <v>5211</v>
      </c>
      <c r="B1682" s="10">
        <v>718</v>
      </c>
      <c r="C1682" s="10" t="s">
        <v>143</v>
      </c>
      <c r="D1682" t="s">
        <v>4539</v>
      </c>
      <c r="E1682" t="s">
        <v>4540</v>
      </c>
      <c r="F1682" s="10" t="s">
        <v>23</v>
      </c>
      <c r="G1682" s="2">
        <v>27.3401</v>
      </c>
      <c r="H1682" s="13">
        <v>4</v>
      </c>
      <c r="I1682" s="13">
        <v>11</v>
      </c>
      <c r="J1682" s="13">
        <v>-11</v>
      </c>
      <c r="K1682" s="10">
        <v>4</v>
      </c>
      <c r="L1682" s="2">
        <v>109.3604</v>
      </c>
      <c r="M1682" s="1">
        <v>46198.580555555556</v>
      </c>
      <c r="N1682" t="s">
        <v>162</v>
      </c>
    </row>
    <row r="1683" spans="1:14" x14ac:dyDescent="0.25">
      <c r="A1683" s="9" t="s">
        <v>5211</v>
      </c>
      <c r="B1683" s="10">
        <v>634</v>
      </c>
      <c r="C1683" s="10" t="s">
        <v>70</v>
      </c>
      <c r="D1683" t="s">
        <v>84</v>
      </c>
      <c r="E1683" t="s">
        <v>85</v>
      </c>
      <c r="F1683" s="10" t="s">
        <v>29</v>
      </c>
      <c r="G1683" s="2">
        <v>9.1717999999999993</v>
      </c>
      <c r="H1683" s="13">
        <v>4</v>
      </c>
      <c r="I1683" s="13">
        <v>0</v>
      </c>
      <c r="J1683" s="13">
        <v>0</v>
      </c>
      <c r="K1683" s="10">
        <v>4</v>
      </c>
      <c r="L1683" s="2">
        <v>36.687199999999997</v>
      </c>
      <c r="M1683" s="1">
        <v>46198.595138888886</v>
      </c>
      <c r="N1683" t="s">
        <v>40</v>
      </c>
    </row>
    <row r="1684" spans="1:14" x14ac:dyDescent="0.25">
      <c r="A1684" s="9" t="s">
        <v>5211</v>
      </c>
      <c r="B1684" s="10">
        <v>718</v>
      </c>
      <c r="C1684" s="10" t="s">
        <v>143</v>
      </c>
      <c r="D1684" t="s">
        <v>5164</v>
      </c>
      <c r="E1684" t="s">
        <v>5165</v>
      </c>
      <c r="F1684" s="10" t="s">
        <v>43</v>
      </c>
      <c r="G1684" s="2">
        <v>161.01050000000001</v>
      </c>
      <c r="H1684" s="13">
        <v>4</v>
      </c>
      <c r="I1684" s="13">
        <v>4</v>
      </c>
      <c r="J1684" s="13">
        <v>-4</v>
      </c>
      <c r="K1684" s="10">
        <v>4</v>
      </c>
      <c r="L1684" s="2">
        <v>644.04200000000003</v>
      </c>
      <c r="M1684" s="1">
        <v>46199.320833333331</v>
      </c>
      <c r="N1684" t="s">
        <v>216</v>
      </c>
    </row>
    <row r="1685" spans="1:14" x14ac:dyDescent="0.25">
      <c r="A1685" s="9" t="s">
        <v>5211</v>
      </c>
      <c r="B1685" s="10">
        <v>714</v>
      </c>
      <c r="C1685" s="10" t="s">
        <v>323</v>
      </c>
      <c r="D1685" t="s">
        <v>1294</v>
      </c>
      <c r="E1685" t="s">
        <v>1295</v>
      </c>
      <c r="F1685" s="10" t="s">
        <v>158</v>
      </c>
      <c r="G1685" s="2">
        <v>181.03620000000001</v>
      </c>
      <c r="H1685" s="13">
        <v>4</v>
      </c>
      <c r="I1685" s="13">
        <v>1</v>
      </c>
      <c r="J1685" s="13">
        <v>-1</v>
      </c>
      <c r="K1685" s="10">
        <v>4</v>
      </c>
      <c r="L1685" s="2">
        <v>724.14480000000003</v>
      </c>
      <c r="M1685" s="1">
        <v>46203.503472222219</v>
      </c>
      <c r="N1685" t="s">
        <v>261</v>
      </c>
    </row>
    <row r="1686" spans="1:14" x14ac:dyDescent="0.25">
      <c r="A1686" s="9" t="s">
        <v>5211</v>
      </c>
      <c r="B1686" s="10">
        <v>714</v>
      </c>
      <c r="C1686" s="10" t="s">
        <v>143</v>
      </c>
      <c r="D1686" t="s">
        <v>4761</v>
      </c>
      <c r="E1686" t="s">
        <v>4762</v>
      </c>
      <c r="F1686" s="10" t="s">
        <v>112</v>
      </c>
      <c r="G1686" s="2">
        <v>9.1173999999999999</v>
      </c>
      <c r="H1686" s="13">
        <v>4</v>
      </c>
      <c r="I1686" s="13">
        <v>0</v>
      </c>
      <c r="J1686" s="13">
        <v>0</v>
      </c>
      <c r="K1686" s="10">
        <v>4</v>
      </c>
      <c r="L1686" s="2">
        <v>36.4696</v>
      </c>
      <c r="M1686" s="1">
        <v>46203.503472222219</v>
      </c>
      <c r="N1686" t="s">
        <v>261</v>
      </c>
    </row>
    <row r="1687" spans="1:14" x14ac:dyDescent="0.25">
      <c r="A1687" s="9" t="s">
        <v>5211</v>
      </c>
      <c r="B1687" s="10">
        <v>718</v>
      </c>
      <c r="C1687" s="10" t="s">
        <v>143</v>
      </c>
      <c r="D1687" t="s">
        <v>3822</v>
      </c>
      <c r="E1687" t="s">
        <v>3823</v>
      </c>
      <c r="F1687" s="10" t="s">
        <v>112</v>
      </c>
      <c r="G1687" s="2">
        <v>79.258499999999998</v>
      </c>
      <c r="H1687" s="13">
        <v>4</v>
      </c>
      <c r="I1687" s="13">
        <v>0</v>
      </c>
      <c r="J1687" s="13">
        <v>0</v>
      </c>
      <c r="K1687" s="10">
        <v>4</v>
      </c>
      <c r="L1687" s="2">
        <v>317.03399999999999</v>
      </c>
      <c r="M1687" s="1">
        <v>46205.533333333333</v>
      </c>
      <c r="N1687" t="s">
        <v>26</v>
      </c>
    </row>
    <row r="1688" spans="1:14" x14ac:dyDescent="0.25">
      <c r="A1688" s="9" t="s">
        <v>5211</v>
      </c>
      <c r="B1688" s="10">
        <v>634</v>
      </c>
      <c r="C1688" s="10" t="s">
        <v>323</v>
      </c>
      <c r="D1688" t="s">
        <v>4373</v>
      </c>
      <c r="E1688" t="s">
        <v>4374</v>
      </c>
      <c r="F1688" s="10" t="s">
        <v>23</v>
      </c>
      <c r="G1688" s="2">
        <v>157.3006</v>
      </c>
      <c r="H1688" s="13">
        <v>4</v>
      </c>
      <c r="I1688" s="13">
        <v>8</v>
      </c>
      <c r="J1688" s="13">
        <v>-8</v>
      </c>
      <c r="K1688" s="10">
        <v>4</v>
      </c>
      <c r="L1688" s="2">
        <v>629.20240000000001</v>
      </c>
      <c r="M1688" s="1">
        <v>46209.655555555553</v>
      </c>
      <c r="N1688" t="s">
        <v>151</v>
      </c>
    </row>
    <row r="1689" spans="1:14" x14ac:dyDescent="0.25">
      <c r="A1689" s="9" t="s">
        <v>5211</v>
      </c>
      <c r="B1689" s="10">
        <v>636</v>
      </c>
      <c r="C1689" s="10" t="s">
        <v>1208</v>
      </c>
      <c r="D1689" t="s">
        <v>1217</v>
      </c>
      <c r="E1689" t="s">
        <v>1218</v>
      </c>
      <c r="F1689" s="10" t="s">
        <v>39</v>
      </c>
      <c r="G1689" s="2">
        <v>2.1762000000000001</v>
      </c>
      <c r="H1689" s="13">
        <v>4</v>
      </c>
      <c r="I1689" s="13">
        <v>0</v>
      </c>
      <c r="J1689" s="13">
        <v>0</v>
      </c>
      <c r="K1689" s="10">
        <v>4</v>
      </c>
      <c r="L1689" s="2">
        <v>8.7048000000000005</v>
      </c>
      <c r="M1689" s="1">
        <v>46212.4375</v>
      </c>
      <c r="N1689" t="s">
        <v>16</v>
      </c>
    </row>
    <row r="1690" spans="1:14" x14ac:dyDescent="0.25">
      <c r="A1690" s="9" t="s">
        <v>5211</v>
      </c>
      <c r="B1690" s="10">
        <v>636</v>
      </c>
      <c r="C1690" s="10" t="s">
        <v>70</v>
      </c>
      <c r="D1690" t="s">
        <v>638</v>
      </c>
      <c r="E1690" t="s">
        <v>639</v>
      </c>
      <c r="F1690" s="10" t="s">
        <v>29</v>
      </c>
      <c r="G1690" s="2">
        <v>6.3316999999999997</v>
      </c>
      <c r="H1690" s="13">
        <v>4</v>
      </c>
      <c r="I1690" s="13">
        <v>0</v>
      </c>
      <c r="J1690" s="13">
        <v>0</v>
      </c>
      <c r="K1690" s="10">
        <v>4</v>
      </c>
      <c r="L1690" s="2">
        <v>25.326799999999999</v>
      </c>
      <c r="M1690" s="1">
        <v>46212.4375</v>
      </c>
      <c r="N1690" t="s">
        <v>16</v>
      </c>
    </row>
    <row r="1691" spans="1:14" x14ac:dyDescent="0.25">
      <c r="A1691" s="9" t="s">
        <v>5211</v>
      </c>
      <c r="B1691" s="10">
        <v>718</v>
      </c>
      <c r="C1691" s="10" t="s">
        <v>143</v>
      </c>
      <c r="D1691" t="s">
        <v>2221</v>
      </c>
      <c r="E1691" t="s">
        <v>2222</v>
      </c>
      <c r="F1691" s="10" t="s">
        <v>43</v>
      </c>
      <c r="G1691" s="2">
        <v>51.228299999999997</v>
      </c>
      <c r="H1691" s="13">
        <v>4</v>
      </c>
      <c r="I1691" s="13">
        <v>17</v>
      </c>
      <c r="J1691" s="13">
        <v>-17</v>
      </c>
      <c r="K1691" s="10">
        <v>4</v>
      </c>
      <c r="L1691" s="2">
        <v>204.91319999999999</v>
      </c>
      <c r="M1691" s="1">
        <v>46212.607638888891</v>
      </c>
      <c r="N1691" t="s">
        <v>903</v>
      </c>
    </row>
    <row r="1692" spans="1:14" x14ac:dyDescent="0.25">
      <c r="A1692" s="9" t="s">
        <v>5211</v>
      </c>
      <c r="B1692" s="10">
        <v>718</v>
      </c>
      <c r="C1692" s="10" t="s">
        <v>143</v>
      </c>
      <c r="D1692" t="s">
        <v>4479</v>
      </c>
      <c r="E1692" t="s">
        <v>4480</v>
      </c>
      <c r="F1692" s="10" t="s">
        <v>43</v>
      </c>
      <c r="G1692" s="2">
        <v>45.237400000000001</v>
      </c>
      <c r="H1692" s="13">
        <v>4</v>
      </c>
      <c r="I1692" s="13">
        <v>132</v>
      </c>
      <c r="J1692" s="13">
        <v>-132</v>
      </c>
      <c r="K1692" s="10">
        <v>4</v>
      </c>
      <c r="L1692" s="2">
        <v>180.9496</v>
      </c>
      <c r="M1692" s="1">
        <v>46218.515277777777</v>
      </c>
      <c r="N1692" t="s">
        <v>216</v>
      </c>
    </row>
    <row r="1693" spans="1:14" x14ac:dyDescent="0.25">
      <c r="A1693" s="9" t="s">
        <v>5211</v>
      </c>
      <c r="B1693" s="10">
        <v>718</v>
      </c>
      <c r="C1693" s="10" t="s">
        <v>143</v>
      </c>
      <c r="D1693" t="s">
        <v>4895</v>
      </c>
      <c r="E1693" t="s">
        <v>4896</v>
      </c>
      <c r="F1693" s="10" t="s">
        <v>112</v>
      </c>
      <c r="G1693" s="2">
        <v>22.359500000000001</v>
      </c>
      <c r="H1693" s="13">
        <v>4</v>
      </c>
      <c r="I1693" s="13">
        <v>5</v>
      </c>
      <c r="J1693" s="13">
        <v>-5</v>
      </c>
      <c r="K1693" s="10">
        <v>4</v>
      </c>
      <c r="L1693" s="2">
        <v>89.438000000000002</v>
      </c>
      <c r="M1693" s="1">
        <v>46219.474305555559</v>
      </c>
      <c r="N1693" t="s">
        <v>195</v>
      </c>
    </row>
    <row r="1694" spans="1:14" x14ac:dyDescent="0.25">
      <c r="A1694" s="9" t="s">
        <v>5211</v>
      </c>
      <c r="B1694" s="10">
        <v>714</v>
      </c>
      <c r="C1694" s="10" t="s">
        <v>323</v>
      </c>
      <c r="D1694" t="s">
        <v>3053</v>
      </c>
      <c r="E1694" t="s">
        <v>3054</v>
      </c>
      <c r="F1694" s="10" t="s">
        <v>158</v>
      </c>
      <c r="G1694" s="2">
        <v>229.24600000000001</v>
      </c>
      <c r="H1694" s="13">
        <v>4</v>
      </c>
      <c r="I1694" s="13">
        <v>0</v>
      </c>
      <c r="J1694" s="13">
        <v>0</v>
      </c>
      <c r="K1694" s="10">
        <v>4</v>
      </c>
      <c r="L1694" s="2">
        <v>916.98400000000004</v>
      </c>
      <c r="M1694" s="1">
        <v>46224.477083333331</v>
      </c>
      <c r="N1694" t="s">
        <v>36</v>
      </c>
    </row>
    <row r="1695" spans="1:14" x14ac:dyDescent="0.25">
      <c r="A1695" s="9" t="s">
        <v>5211</v>
      </c>
      <c r="B1695" s="10">
        <v>634</v>
      </c>
      <c r="C1695" s="10" t="s">
        <v>126</v>
      </c>
      <c r="D1695" t="s">
        <v>4062</v>
      </c>
      <c r="E1695" t="s">
        <v>4063</v>
      </c>
      <c r="F1695" s="10" t="s">
        <v>112</v>
      </c>
      <c r="G1695" s="2">
        <v>15.250999999999999</v>
      </c>
      <c r="H1695" s="13">
        <v>4</v>
      </c>
      <c r="I1695" s="13">
        <v>3</v>
      </c>
      <c r="J1695" s="13">
        <v>-3</v>
      </c>
      <c r="K1695" s="10">
        <v>4</v>
      </c>
      <c r="L1695" s="2">
        <v>61.003999999999998</v>
      </c>
      <c r="M1695" s="1">
        <v>46224.615972222222</v>
      </c>
      <c r="N1695" t="s">
        <v>140</v>
      </c>
    </row>
    <row r="1696" spans="1:14" x14ac:dyDescent="0.25">
      <c r="A1696" s="9" t="s">
        <v>5211</v>
      </c>
      <c r="B1696" s="10">
        <v>634</v>
      </c>
      <c r="C1696" s="10" t="s">
        <v>126</v>
      </c>
      <c r="D1696" t="s">
        <v>874</v>
      </c>
      <c r="E1696" t="s">
        <v>875</v>
      </c>
      <c r="F1696" s="10" t="s">
        <v>23</v>
      </c>
      <c r="G1696" s="2">
        <v>17.483699999999999</v>
      </c>
      <c r="H1696" s="13">
        <v>4</v>
      </c>
      <c r="I1696" s="13">
        <v>18</v>
      </c>
      <c r="J1696" s="13">
        <v>-18</v>
      </c>
      <c r="K1696" s="10">
        <v>4</v>
      </c>
      <c r="L1696" s="2">
        <v>69.934799999999996</v>
      </c>
      <c r="M1696" s="1">
        <v>46224.615972222222</v>
      </c>
      <c r="N1696" t="s">
        <v>140</v>
      </c>
    </row>
    <row r="1697" spans="1:14" x14ac:dyDescent="0.25">
      <c r="A1697" s="9" t="s">
        <v>5211</v>
      </c>
      <c r="B1697" s="10">
        <v>718</v>
      </c>
      <c r="C1697" s="10" t="s">
        <v>143</v>
      </c>
      <c r="D1697" t="s">
        <v>3820</v>
      </c>
      <c r="E1697" t="s">
        <v>3821</v>
      </c>
      <c r="F1697" s="10" t="s">
        <v>29</v>
      </c>
      <c r="G1697" s="2">
        <v>22.1553</v>
      </c>
      <c r="H1697" s="13">
        <v>4</v>
      </c>
      <c r="I1697" s="13">
        <v>0</v>
      </c>
      <c r="J1697" s="13">
        <v>0</v>
      </c>
      <c r="K1697" s="10">
        <v>4</v>
      </c>
      <c r="L1697" s="2">
        <v>88.621200000000002</v>
      </c>
      <c r="M1697" s="1">
        <v>46225.595138888886</v>
      </c>
      <c r="N1697" t="s">
        <v>40</v>
      </c>
    </row>
    <row r="1698" spans="1:14" x14ac:dyDescent="0.25">
      <c r="A1698" s="9" t="s">
        <v>5211</v>
      </c>
      <c r="B1698" s="10">
        <v>718</v>
      </c>
      <c r="C1698" s="10" t="s">
        <v>70</v>
      </c>
      <c r="D1698" t="s">
        <v>4439</v>
      </c>
      <c r="E1698" t="s">
        <v>4440</v>
      </c>
      <c r="F1698" s="10" t="s">
        <v>112</v>
      </c>
      <c r="G1698" s="2">
        <v>7.4724000000000004</v>
      </c>
      <c r="H1698" s="13">
        <v>4</v>
      </c>
      <c r="I1698" s="13">
        <v>17</v>
      </c>
      <c r="J1698" s="13">
        <v>-17</v>
      </c>
      <c r="K1698" s="10">
        <v>4</v>
      </c>
      <c r="L1698" s="2">
        <v>29.889600000000002</v>
      </c>
      <c r="M1698" s="1">
        <v>46232.446527777778</v>
      </c>
      <c r="N1698" t="s">
        <v>40</v>
      </c>
    </row>
    <row r="1699" spans="1:14" x14ac:dyDescent="0.25">
      <c r="A1699" s="9" t="s">
        <v>5211</v>
      </c>
      <c r="B1699" s="10">
        <v>718</v>
      </c>
      <c r="C1699" s="10" t="s">
        <v>70</v>
      </c>
      <c r="D1699" t="s">
        <v>1997</v>
      </c>
      <c r="E1699" t="s">
        <v>1998</v>
      </c>
      <c r="F1699" s="10" t="s">
        <v>39</v>
      </c>
      <c r="G1699" s="2">
        <v>9.5739000000000001</v>
      </c>
      <c r="H1699" s="13">
        <v>4</v>
      </c>
      <c r="I1699" s="13">
        <v>0</v>
      </c>
      <c r="J1699" s="13">
        <v>0</v>
      </c>
      <c r="K1699" s="10">
        <v>4</v>
      </c>
      <c r="L1699" s="2">
        <v>38.2956</v>
      </c>
      <c r="M1699" s="1">
        <v>46232.6</v>
      </c>
      <c r="N1699" t="s">
        <v>573</v>
      </c>
    </row>
    <row r="1700" spans="1:14" x14ac:dyDescent="0.25">
      <c r="A1700" s="9" t="s">
        <v>5211</v>
      </c>
      <c r="B1700" s="10">
        <v>718</v>
      </c>
      <c r="C1700" s="10" t="s">
        <v>70</v>
      </c>
      <c r="D1700" t="s">
        <v>3695</v>
      </c>
      <c r="E1700" t="s">
        <v>3696</v>
      </c>
      <c r="F1700" s="10" t="s">
        <v>39</v>
      </c>
      <c r="G1700" s="2">
        <v>10.017099999999999</v>
      </c>
      <c r="H1700" s="13">
        <v>4</v>
      </c>
      <c r="I1700" s="13">
        <v>0</v>
      </c>
      <c r="J1700" s="13">
        <v>0</v>
      </c>
      <c r="K1700" s="10">
        <v>4</v>
      </c>
      <c r="L1700" s="2">
        <v>40.068399999999997</v>
      </c>
      <c r="M1700" s="1">
        <v>46232.6</v>
      </c>
      <c r="N1700" t="s">
        <v>573</v>
      </c>
    </row>
    <row r="1701" spans="1:14" x14ac:dyDescent="0.25">
      <c r="A1701" s="9" t="s">
        <v>5211</v>
      </c>
      <c r="B1701" s="10">
        <v>718</v>
      </c>
      <c r="C1701" s="10" t="s">
        <v>70</v>
      </c>
      <c r="D1701" t="s">
        <v>3629</v>
      </c>
      <c r="E1701" t="s">
        <v>3630</v>
      </c>
      <c r="F1701" s="10" t="s">
        <v>81</v>
      </c>
      <c r="G1701" s="2">
        <v>13.375500000000001</v>
      </c>
      <c r="H1701" s="13">
        <v>4</v>
      </c>
      <c r="I1701" s="13">
        <v>0</v>
      </c>
      <c r="J1701" s="13">
        <v>0</v>
      </c>
      <c r="K1701" s="10">
        <v>4</v>
      </c>
      <c r="L1701" s="2">
        <v>53.502000000000002</v>
      </c>
      <c r="M1701" s="1">
        <v>46232.6</v>
      </c>
      <c r="N1701" t="s">
        <v>573</v>
      </c>
    </row>
    <row r="1702" spans="1:14" x14ac:dyDescent="0.25">
      <c r="A1702" s="9" t="s">
        <v>5211</v>
      </c>
      <c r="B1702" s="10">
        <v>718</v>
      </c>
      <c r="C1702" s="10" t="s">
        <v>323</v>
      </c>
      <c r="D1702" t="s">
        <v>4621</v>
      </c>
      <c r="E1702" t="s">
        <v>4622</v>
      </c>
      <c r="F1702" s="10" t="s">
        <v>43</v>
      </c>
      <c r="G1702" s="2">
        <v>55.9026</v>
      </c>
      <c r="H1702" s="13">
        <v>4</v>
      </c>
      <c r="I1702" s="13">
        <v>116</v>
      </c>
      <c r="J1702" s="13">
        <v>-116</v>
      </c>
      <c r="K1702" s="10">
        <v>4</v>
      </c>
      <c r="L1702" s="2">
        <v>223.6104</v>
      </c>
      <c r="M1702" s="1">
        <v>46233.625694444447</v>
      </c>
      <c r="N1702" t="s">
        <v>366</v>
      </c>
    </row>
    <row r="1703" spans="1:14" x14ac:dyDescent="0.25">
      <c r="A1703" s="9" t="s">
        <v>5211</v>
      </c>
      <c r="B1703" s="10">
        <v>718</v>
      </c>
      <c r="C1703" s="10" t="s">
        <v>126</v>
      </c>
      <c r="D1703" t="s">
        <v>131</v>
      </c>
      <c r="E1703" t="s">
        <v>132</v>
      </c>
      <c r="F1703" s="10" t="s">
        <v>112</v>
      </c>
      <c r="G1703" s="2">
        <v>7.5960999999999999</v>
      </c>
      <c r="H1703" s="13">
        <v>4</v>
      </c>
      <c r="I1703" s="13">
        <v>0</v>
      </c>
      <c r="J1703" s="13">
        <v>0</v>
      </c>
      <c r="K1703" s="10">
        <v>4</v>
      </c>
      <c r="L1703" s="2">
        <v>30.384399999999999</v>
      </c>
      <c r="M1703" s="1">
        <v>46234.345138888886</v>
      </c>
      <c r="N1703" t="s">
        <v>16</v>
      </c>
    </row>
    <row r="1704" spans="1:14" x14ac:dyDescent="0.25">
      <c r="A1704" s="9" t="s">
        <v>5211</v>
      </c>
      <c r="B1704" s="10">
        <v>714</v>
      </c>
      <c r="C1704" s="10" t="s">
        <v>12</v>
      </c>
      <c r="D1704" t="s">
        <v>1908</v>
      </c>
      <c r="E1704" t="s">
        <v>1909</v>
      </c>
      <c r="F1704" s="10" t="s">
        <v>23</v>
      </c>
      <c r="G1704" s="2">
        <v>7.8270999999999997</v>
      </c>
      <c r="H1704" s="13">
        <v>4</v>
      </c>
      <c r="I1704" s="13">
        <v>-12</v>
      </c>
      <c r="J1704" s="13">
        <v>12</v>
      </c>
      <c r="K1704" s="10">
        <v>4</v>
      </c>
      <c r="L1704" s="2">
        <v>31.308399999999999</v>
      </c>
      <c r="M1704" s="1">
        <v>46239.576388888891</v>
      </c>
      <c r="N1704" t="s">
        <v>573</v>
      </c>
    </row>
    <row r="1705" spans="1:14" x14ac:dyDescent="0.25">
      <c r="A1705" s="9" t="s">
        <v>5211</v>
      </c>
      <c r="B1705" s="10">
        <v>714</v>
      </c>
      <c r="C1705" s="10" t="s">
        <v>143</v>
      </c>
      <c r="D1705" t="s">
        <v>2320</v>
      </c>
      <c r="E1705" t="s">
        <v>2321</v>
      </c>
      <c r="F1705" s="10" t="s">
        <v>29</v>
      </c>
      <c r="G1705" s="2">
        <v>19.355499999999999</v>
      </c>
      <c r="H1705" s="13">
        <v>4</v>
      </c>
      <c r="I1705" s="13">
        <v>0</v>
      </c>
      <c r="J1705" s="13">
        <v>0</v>
      </c>
      <c r="K1705" s="10">
        <v>4</v>
      </c>
      <c r="L1705" s="2">
        <v>77.421999999999997</v>
      </c>
      <c r="M1705" s="1">
        <v>46239.576388888891</v>
      </c>
      <c r="N1705" t="s">
        <v>573</v>
      </c>
    </row>
    <row r="1706" spans="1:14" x14ac:dyDescent="0.25">
      <c r="A1706" s="9" t="s">
        <v>5211</v>
      </c>
      <c r="B1706" s="10">
        <v>636</v>
      </c>
      <c r="C1706" s="10" t="s">
        <v>323</v>
      </c>
      <c r="D1706" t="s">
        <v>1538</v>
      </c>
      <c r="E1706" t="s">
        <v>1539</v>
      </c>
      <c r="F1706" s="10" t="s">
        <v>19</v>
      </c>
      <c r="G1706" s="2">
        <v>281.69830000000002</v>
      </c>
      <c r="H1706" s="13">
        <v>4</v>
      </c>
      <c r="I1706" s="13">
        <v>0</v>
      </c>
      <c r="J1706" s="13">
        <v>0</v>
      </c>
      <c r="K1706" s="10">
        <v>4</v>
      </c>
      <c r="L1706" s="2">
        <v>1126.7932000000001</v>
      </c>
      <c r="M1706" s="1">
        <v>46240.484027777777</v>
      </c>
      <c r="N1706" t="s">
        <v>151</v>
      </c>
    </row>
    <row r="1707" spans="1:14" x14ac:dyDescent="0.25">
      <c r="A1707" s="9" t="s">
        <v>5211</v>
      </c>
      <c r="B1707" s="10">
        <v>636</v>
      </c>
      <c r="C1707" s="10" t="s">
        <v>143</v>
      </c>
      <c r="D1707" t="s">
        <v>4545</v>
      </c>
      <c r="E1707" t="s">
        <v>4546</v>
      </c>
      <c r="F1707" s="10" t="s">
        <v>39</v>
      </c>
      <c r="G1707" s="2">
        <v>30.545000000000002</v>
      </c>
      <c r="H1707" s="13">
        <v>4</v>
      </c>
      <c r="I1707" s="13">
        <v>1</v>
      </c>
      <c r="J1707" s="13">
        <v>-1</v>
      </c>
      <c r="K1707" s="10">
        <v>4</v>
      </c>
      <c r="L1707" s="2">
        <v>122.18</v>
      </c>
      <c r="M1707" s="1">
        <v>46241.342361111114</v>
      </c>
      <c r="N1707" t="s">
        <v>830</v>
      </c>
    </row>
    <row r="1708" spans="1:14" x14ac:dyDescent="0.25">
      <c r="A1708" s="9" t="s">
        <v>5211</v>
      </c>
      <c r="B1708" s="10">
        <v>714</v>
      </c>
      <c r="C1708" s="10" t="s">
        <v>143</v>
      </c>
      <c r="D1708" t="s">
        <v>2264</v>
      </c>
      <c r="E1708" t="s">
        <v>2265</v>
      </c>
      <c r="F1708" s="10" t="s">
        <v>29</v>
      </c>
      <c r="G1708" s="2">
        <v>98.150300000000001</v>
      </c>
      <c r="H1708" s="13">
        <v>4</v>
      </c>
      <c r="I1708" s="13">
        <v>0</v>
      </c>
      <c r="J1708" s="13">
        <v>0</v>
      </c>
      <c r="K1708" s="10">
        <v>4</v>
      </c>
      <c r="L1708" s="2">
        <v>392.60120000000001</v>
      </c>
      <c r="M1708" s="1">
        <v>46241.401388888888</v>
      </c>
      <c r="N1708" t="s">
        <v>175</v>
      </c>
    </row>
    <row r="1709" spans="1:14" x14ac:dyDescent="0.25">
      <c r="A1709" s="9" t="s">
        <v>5211</v>
      </c>
      <c r="B1709" s="10">
        <v>636</v>
      </c>
      <c r="C1709" s="10" t="s">
        <v>1749</v>
      </c>
      <c r="D1709" t="s">
        <v>4675</v>
      </c>
      <c r="E1709" t="s">
        <v>4676</v>
      </c>
      <c r="F1709" s="10" t="s">
        <v>112</v>
      </c>
      <c r="G1709" s="2">
        <v>13.3255</v>
      </c>
      <c r="H1709" s="13">
        <v>4</v>
      </c>
      <c r="I1709" s="13">
        <v>6</v>
      </c>
      <c r="J1709" s="13">
        <v>-6</v>
      </c>
      <c r="K1709" s="10">
        <v>4</v>
      </c>
      <c r="L1709" s="2">
        <v>53.302</v>
      </c>
      <c r="M1709" s="1">
        <v>46242.431944444441</v>
      </c>
      <c r="N1709" t="s">
        <v>652</v>
      </c>
    </row>
    <row r="1710" spans="1:14" x14ac:dyDescent="0.25">
      <c r="A1710" s="9" t="s">
        <v>5211</v>
      </c>
      <c r="B1710" s="10">
        <v>714</v>
      </c>
      <c r="C1710" s="10" t="s">
        <v>143</v>
      </c>
      <c r="D1710" t="s">
        <v>4519</v>
      </c>
      <c r="E1710" t="s">
        <v>4520</v>
      </c>
      <c r="F1710" s="10" t="s">
        <v>23</v>
      </c>
      <c r="G1710" s="2">
        <v>14.6417</v>
      </c>
      <c r="H1710" s="13">
        <v>4</v>
      </c>
      <c r="I1710" s="13">
        <v>11</v>
      </c>
      <c r="J1710" s="13">
        <v>-11</v>
      </c>
      <c r="K1710" s="10">
        <v>4</v>
      </c>
      <c r="L1710" s="2">
        <v>58.566800000000001</v>
      </c>
      <c r="M1710" s="1">
        <v>46246.447916666664</v>
      </c>
      <c r="N1710" t="s">
        <v>40</v>
      </c>
    </row>
    <row r="1711" spans="1:14" x14ac:dyDescent="0.25">
      <c r="A1711" s="9" t="s">
        <v>5211</v>
      </c>
      <c r="B1711" s="10">
        <v>714</v>
      </c>
      <c r="C1711" s="10" t="s">
        <v>143</v>
      </c>
      <c r="D1711" t="s">
        <v>4208</v>
      </c>
      <c r="E1711" t="s">
        <v>4209</v>
      </c>
      <c r="F1711" s="10" t="s">
        <v>43</v>
      </c>
      <c r="G1711" s="2">
        <v>31.177499999999998</v>
      </c>
      <c r="H1711" s="13">
        <v>4</v>
      </c>
      <c r="I1711" s="13">
        <v>91</v>
      </c>
      <c r="J1711" s="13">
        <v>-91</v>
      </c>
      <c r="K1711" s="10">
        <v>4</v>
      </c>
      <c r="L1711" s="2">
        <v>124.71</v>
      </c>
      <c r="M1711" s="1">
        <v>46246.447916666664</v>
      </c>
      <c r="N1711" t="s">
        <v>40</v>
      </c>
    </row>
    <row r="1712" spans="1:14" x14ac:dyDescent="0.25">
      <c r="A1712" s="9" t="s">
        <v>5211</v>
      </c>
      <c r="B1712" s="10">
        <v>636</v>
      </c>
      <c r="C1712" s="10" t="s">
        <v>143</v>
      </c>
      <c r="D1712" t="s">
        <v>986</v>
      </c>
      <c r="E1712" t="s">
        <v>987</v>
      </c>
      <c r="F1712" s="10" t="s">
        <v>19</v>
      </c>
      <c r="G1712" s="2">
        <v>12.914099999999999</v>
      </c>
      <c r="H1712" s="13">
        <v>4</v>
      </c>
      <c r="I1712" s="13">
        <v>0</v>
      </c>
      <c r="J1712" s="13">
        <v>0</v>
      </c>
      <c r="K1712" s="10">
        <v>4</v>
      </c>
      <c r="L1712" s="2">
        <v>51.656399999999998</v>
      </c>
      <c r="M1712" s="1">
        <v>46247.30972222222</v>
      </c>
      <c r="N1712" t="s">
        <v>40</v>
      </c>
    </row>
    <row r="1713" spans="1:14" x14ac:dyDescent="0.25">
      <c r="A1713" s="9" t="s">
        <v>5211</v>
      </c>
      <c r="B1713" s="10">
        <v>636</v>
      </c>
      <c r="C1713" s="10" t="s">
        <v>12</v>
      </c>
      <c r="D1713" t="s">
        <v>3995</v>
      </c>
      <c r="E1713" t="s">
        <v>3996</v>
      </c>
      <c r="F1713" s="10" t="s">
        <v>23</v>
      </c>
      <c r="G1713" s="2">
        <v>8.7105999999999995</v>
      </c>
      <c r="H1713" s="13">
        <v>4</v>
      </c>
      <c r="I1713" s="13">
        <v>7</v>
      </c>
      <c r="J1713" s="13">
        <v>-7</v>
      </c>
      <c r="K1713" s="10">
        <v>4</v>
      </c>
      <c r="L1713" s="2">
        <v>34.842399999999998</v>
      </c>
      <c r="M1713" s="1">
        <v>46248.390277777777</v>
      </c>
      <c r="N1713" t="s">
        <v>16</v>
      </c>
    </row>
    <row r="1714" spans="1:14" x14ac:dyDescent="0.25">
      <c r="A1714" s="9" t="s">
        <v>5211</v>
      </c>
      <c r="B1714" s="10">
        <v>634</v>
      </c>
      <c r="C1714" s="10" t="s">
        <v>323</v>
      </c>
      <c r="D1714" t="s">
        <v>478</v>
      </c>
      <c r="E1714" t="s">
        <v>479</v>
      </c>
      <c r="F1714" s="10" t="s">
        <v>158</v>
      </c>
      <c r="G1714" s="2">
        <v>355.30709999999999</v>
      </c>
      <c r="H1714" s="13">
        <v>4</v>
      </c>
      <c r="I1714" s="13">
        <v>0</v>
      </c>
      <c r="J1714" s="13">
        <v>0</v>
      </c>
      <c r="K1714" s="10">
        <v>4</v>
      </c>
      <c r="L1714" s="2">
        <v>1421.2284</v>
      </c>
      <c r="M1714" s="1">
        <v>46248.663888888892</v>
      </c>
      <c r="N1714" t="s">
        <v>151</v>
      </c>
    </row>
    <row r="1715" spans="1:14" x14ac:dyDescent="0.25">
      <c r="A1715" s="9" t="s">
        <v>5211</v>
      </c>
      <c r="B1715" s="10">
        <v>714</v>
      </c>
      <c r="C1715" s="10" t="s">
        <v>323</v>
      </c>
      <c r="D1715" t="s">
        <v>3494</v>
      </c>
      <c r="E1715" t="s">
        <v>3495</v>
      </c>
      <c r="F1715" s="10" t="s">
        <v>29</v>
      </c>
      <c r="G1715" s="2">
        <v>88.88</v>
      </c>
      <c r="H1715" s="13">
        <v>3</v>
      </c>
      <c r="I1715" s="13">
        <v>0</v>
      </c>
      <c r="J1715" s="13">
        <v>0</v>
      </c>
      <c r="K1715" s="10">
        <v>3</v>
      </c>
      <c r="L1715" s="2">
        <v>266.64</v>
      </c>
      <c r="M1715" s="1">
        <v>43739.615972222222</v>
      </c>
      <c r="N1715" t="s">
        <v>1870</v>
      </c>
    </row>
    <row r="1716" spans="1:14" x14ac:dyDescent="0.25">
      <c r="A1716" s="9" t="s">
        <v>5211</v>
      </c>
      <c r="B1716" s="10">
        <v>718</v>
      </c>
      <c r="C1716" s="10" t="s">
        <v>70</v>
      </c>
      <c r="D1716" t="s">
        <v>2127</v>
      </c>
      <c r="E1716" t="s">
        <v>2128</v>
      </c>
      <c r="F1716" s="10" t="s">
        <v>29</v>
      </c>
      <c r="G1716" s="2">
        <v>10.5928</v>
      </c>
      <c r="H1716" s="13">
        <v>3</v>
      </c>
      <c r="I1716" s="13">
        <v>0</v>
      </c>
      <c r="J1716" s="13">
        <v>0</v>
      </c>
      <c r="K1716" s="10">
        <v>3</v>
      </c>
      <c r="L1716" s="2">
        <v>31.778400000000001</v>
      </c>
      <c r="M1716" s="1">
        <v>44076.517361111109</v>
      </c>
      <c r="N1716" t="s">
        <v>26</v>
      </c>
    </row>
    <row r="1717" spans="1:14" x14ac:dyDescent="0.25">
      <c r="A1717" s="9" t="s">
        <v>5211</v>
      </c>
      <c r="B1717" s="10">
        <v>714</v>
      </c>
      <c r="C1717" s="10" t="s">
        <v>143</v>
      </c>
      <c r="D1717" t="s">
        <v>2622</v>
      </c>
      <c r="E1717" t="s">
        <v>2623</v>
      </c>
      <c r="F1717" s="10" t="s">
        <v>29</v>
      </c>
      <c r="G1717" s="2">
        <v>77.855000000000004</v>
      </c>
      <c r="H1717" s="13">
        <v>3</v>
      </c>
      <c r="I1717" s="13">
        <v>0</v>
      </c>
      <c r="J1717" s="13">
        <v>0</v>
      </c>
      <c r="K1717" s="10">
        <v>3</v>
      </c>
      <c r="L1717" s="2">
        <v>233.565</v>
      </c>
      <c r="M1717" s="1">
        <v>44670.691666666666</v>
      </c>
      <c r="N1717" t="s">
        <v>195</v>
      </c>
    </row>
    <row r="1718" spans="1:14" x14ac:dyDescent="0.25">
      <c r="A1718" s="9" t="s">
        <v>5211</v>
      </c>
      <c r="B1718" s="10">
        <v>714</v>
      </c>
      <c r="C1718" s="10" t="s">
        <v>143</v>
      </c>
      <c r="D1718" t="s">
        <v>2551</v>
      </c>
      <c r="E1718" t="s">
        <v>2552</v>
      </c>
      <c r="F1718" s="10" t="s">
        <v>35</v>
      </c>
      <c r="G1718" s="2">
        <v>17.863199999999999</v>
      </c>
      <c r="H1718" s="13">
        <v>3</v>
      </c>
      <c r="I1718" s="13">
        <v>0</v>
      </c>
      <c r="J1718" s="13">
        <v>0</v>
      </c>
      <c r="K1718" s="10">
        <v>3</v>
      </c>
      <c r="L1718" s="2">
        <v>53.589599999999997</v>
      </c>
      <c r="M1718" s="1">
        <v>44687.510416666664</v>
      </c>
      <c r="N1718" t="s">
        <v>573</v>
      </c>
    </row>
    <row r="1719" spans="1:14" x14ac:dyDescent="0.25">
      <c r="A1719" s="9" t="s">
        <v>5211</v>
      </c>
      <c r="B1719" s="10">
        <v>714</v>
      </c>
      <c r="C1719" s="10" t="s">
        <v>143</v>
      </c>
      <c r="D1719" t="s">
        <v>2744</v>
      </c>
      <c r="E1719" t="s">
        <v>2745</v>
      </c>
      <c r="F1719" s="10" t="s">
        <v>29</v>
      </c>
      <c r="G1719" s="2">
        <v>107.9093</v>
      </c>
      <c r="H1719" s="13">
        <v>3</v>
      </c>
      <c r="I1719" s="13">
        <v>0</v>
      </c>
      <c r="J1719" s="13">
        <v>0</v>
      </c>
      <c r="K1719" s="10">
        <v>3</v>
      </c>
      <c r="L1719" s="2">
        <v>323.72789999999998</v>
      </c>
      <c r="M1719" s="1">
        <v>44732.934027777781</v>
      </c>
      <c r="N1719" t="s">
        <v>2271</v>
      </c>
    </row>
    <row r="1720" spans="1:14" x14ac:dyDescent="0.25">
      <c r="A1720" s="9" t="s">
        <v>5211</v>
      </c>
      <c r="B1720" s="10">
        <v>714</v>
      </c>
      <c r="C1720" s="10" t="s">
        <v>323</v>
      </c>
      <c r="D1720" t="s">
        <v>3202</v>
      </c>
      <c r="E1720" s="6" t="s">
        <v>3203</v>
      </c>
      <c r="F1720" s="11" t="s">
        <v>58</v>
      </c>
      <c r="G1720" s="2">
        <v>108.5714</v>
      </c>
      <c r="H1720" s="13">
        <v>3</v>
      </c>
      <c r="I1720" s="13">
        <v>0</v>
      </c>
      <c r="J1720" s="13">
        <v>0</v>
      </c>
      <c r="K1720" s="10">
        <v>3</v>
      </c>
      <c r="L1720" s="2">
        <v>325.71420000000001</v>
      </c>
      <c r="M1720" s="1">
        <v>44984.362500000003</v>
      </c>
      <c r="N1720" t="s">
        <v>354</v>
      </c>
    </row>
    <row r="1721" spans="1:14" x14ac:dyDescent="0.25">
      <c r="A1721" s="9" t="s">
        <v>5211</v>
      </c>
      <c r="B1721" s="10">
        <v>714</v>
      </c>
      <c r="C1721" s="10" t="s">
        <v>323</v>
      </c>
      <c r="D1721" t="s">
        <v>3241</v>
      </c>
      <c r="E1721" s="6" t="s">
        <v>3242</v>
      </c>
      <c r="F1721" s="11" t="s">
        <v>58</v>
      </c>
      <c r="G1721" s="2">
        <v>143.97989999999999</v>
      </c>
      <c r="H1721" s="13">
        <v>3</v>
      </c>
      <c r="I1721" s="13">
        <v>0</v>
      </c>
      <c r="J1721" s="13">
        <v>0</v>
      </c>
      <c r="K1721" s="10">
        <v>3</v>
      </c>
      <c r="L1721" s="2">
        <v>431.93970000000002</v>
      </c>
      <c r="M1721" s="1">
        <v>44984.4375</v>
      </c>
      <c r="N1721" t="s">
        <v>159</v>
      </c>
    </row>
    <row r="1722" spans="1:14" x14ac:dyDescent="0.25">
      <c r="A1722" s="9" t="s">
        <v>5211</v>
      </c>
      <c r="B1722" s="10">
        <v>634</v>
      </c>
      <c r="C1722" s="10" t="s">
        <v>70</v>
      </c>
      <c r="D1722" t="s">
        <v>113</v>
      </c>
      <c r="E1722" s="6" t="s">
        <v>114</v>
      </c>
      <c r="F1722" s="11" t="s">
        <v>58</v>
      </c>
      <c r="G1722" s="2">
        <v>7.0007000000000001</v>
      </c>
      <c r="H1722" s="13">
        <v>3</v>
      </c>
      <c r="I1722" s="13">
        <v>0</v>
      </c>
      <c r="J1722" s="13">
        <v>0</v>
      </c>
      <c r="K1722" s="10">
        <v>3</v>
      </c>
      <c r="L1722" s="2">
        <v>21.002099999999999</v>
      </c>
      <c r="M1722" s="1">
        <v>45057.435416666667</v>
      </c>
      <c r="N1722" t="s">
        <v>40</v>
      </c>
    </row>
    <row r="1723" spans="1:14" x14ac:dyDescent="0.25">
      <c r="A1723" s="9" t="s">
        <v>5211</v>
      </c>
      <c r="B1723" s="10">
        <v>714</v>
      </c>
      <c r="C1723" s="10" t="s">
        <v>323</v>
      </c>
      <c r="D1723" t="s">
        <v>2991</v>
      </c>
      <c r="E1723" t="s">
        <v>2992</v>
      </c>
      <c r="F1723" s="10" t="s">
        <v>29</v>
      </c>
      <c r="G1723" s="2">
        <v>129.3981</v>
      </c>
      <c r="H1723" s="13">
        <v>3</v>
      </c>
      <c r="I1723" s="13">
        <v>0</v>
      </c>
      <c r="J1723" s="13">
        <v>0</v>
      </c>
      <c r="K1723" s="10">
        <v>3</v>
      </c>
      <c r="L1723" s="2">
        <v>388.1943</v>
      </c>
      <c r="M1723" s="1">
        <v>45138.829861111109</v>
      </c>
      <c r="N1723" t="s">
        <v>137</v>
      </c>
    </row>
    <row r="1724" spans="1:14" x14ac:dyDescent="0.25">
      <c r="A1724" s="9" t="s">
        <v>5211</v>
      </c>
      <c r="B1724" s="10">
        <v>714</v>
      </c>
      <c r="C1724" s="10" t="s">
        <v>323</v>
      </c>
      <c r="D1724" t="s">
        <v>3025</v>
      </c>
      <c r="E1724" t="s">
        <v>3026</v>
      </c>
      <c r="F1724" s="10" t="s">
        <v>29</v>
      </c>
      <c r="G1724" s="2">
        <v>172.53639999999999</v>
      </c>
      <c r="H1724" s="13">
        <v>3</v>
      </c>
      <c r="I1724" s="13">
        <v>0</v>
      </c>
      <c r="J1724" s="13">
        <v>0</v>
      </c>
      <c r="K1724" s="10">
        <v>3</v>
      </c>
      <c r="L1724" s="2">
        <v>517.60919999999999</v>
      </c>
      <c r="M1724" s="1">
        <v>45210.54791666667</v>
      </c>
      <c r="N1724" t="s">
        <v>216</v>
      </c>
    </row>
    <row r="1725" spans="1:14" x14ac:dyDescent="0.25">
      <c r="A1725" s="9" t="s">
        <v>5211</v>
      </c>
      <c r="B1725" s="10">
        <v>714</v>
      </c>
      <c r="C1725" s="10" t="s">
        <v>143</v>
      </c>
      <c r="D1725" t="s">
        <v>4763</v>
      </c>
      <c r="E1725" t="s">
        <v>4764</v>
      </c>
      <c r="F1725" s="10" t="s">
        <v>39</v>
      </c>
      <c r="G1725" s="2">
        <v>13.05</v>
      </c>
      <c r="H1725" s="13">
        <v>3</v>
      </c>
      <c r="I1725" s="13">
        <v>14</v>
      </c>
      <c r="J1725" s="13">
        <v>-14</v>
      </c>
      <c r="K1725" s="10">
        <v>3</v>
      </c>
      <c r="L1725" s="2">
        <v>39.15</v>
      </c>
      <c r="M1725" s="1">
        <v>45215.503472222219</v>
      </c>
      <c r="N1725" t="s">
        <v>229</v>
      </c>
    </row>
    <row r="1726" spans="1:14" x14ac:dyDescent="0.25">
      <c r="A1726" s="9" t="s">
        <v>5211</v>
      </c>
      <c r="B1726" s="10">
        <v>634</v>
      </c>
      <c r="C1726" s="10" t="s">
        <v>143</v>
      </c>
      <c r="D1726" t="s">
        <v>4098</v>
      </c>
      <c r="E1726" s="6" t="s">
        <v>4099</v>
      </c>
      <c r="F1726" s="11" t="s">
        <v>58</v>
      </c>
      <c r="G1726" s="2">
        <v>11.617900000000001</v>
      </c>
      <c r="H1726" s="13">
        <v>3</v>
      </c>
      <c r="I1726" s="13">
        <v>11</v>
      </c>
      <c r="J1726" s="13">
        <v>-11</v>
      </c>
      <c r="K1726" s="10">
        <v>3</v>
      </c>
      <c r="L1726" s="2">
        <v>34.853700000000003</v>
      </c>
      <c r="M1726" s="1">
        <v>45338.486805555556</v>
      </c>
      <c r="N1726" t="s">
        <v>1154</v>
      </c>
    </row>
    <row r="1727" spans="1:14" x14ac:dyDescent="0.25">
      <c r="A1727" s="9" t="s">
        <v>5211</v>
      </c>
      <c r="B1727" s="10">
        <v>634</v>
      </c>
      <c r="C1727" s="10" t="s">
        <v>143</v>
      </c>
      <c r="D1727" t="s">
        <v>189</v>
      </c>
      <c r="E1727" s="6" t="s">
        <v>190</v>
      </c>
      <c r="F1727" s="11" t="s">
        <v>58</v>
      </c>
      <c r="G1727" s="2">
        <v>129.73859999999999</v>
      </c>
      <c r="H1727" s="13">
        <v>3</v>
      </c>
      <c r="I1727" s="13">
        <v>0</v>
      </c>
      <c r="J1727" s="13">
        <v>0</v>
      </c>
      <c r="K1727" s="10">
        <v>3</v>
      </c>
      <c r="L1727" s="2">
        <v>389.2158</v>
      </c>
      <c r="M1727" s="1">
        <v>45390.51458333333</v>
      </c>
      <c r="N1727" t="s">
        <v>178</v>
      </c>
    </row>
    <row r="1728" spans="1:14" x14ac:dyDescent="0.25">
      <c r="A1728" s="9" t="s">
        <v>5211</v>
      </c>
      <c r="B1728" s="10">
        <v>634</v>
      </c>
      <c r="C1728" s="10" t="s">
        <v>323</v>
      </c>
      <c r="D1728" t="s">
        <v>350</v>
      </c>
      <c r="E1728" s="6" t="s">
        <v>351</v>
      </c>
      <c r="F1728" s="11" t="s">
        <v>58</v>
      </c>
      <c r="G1728" s="2">
        <v>473.88170000000002</v>
      </c>
      <c r="H1728" s="13">
        <v>3</v>
      </c>
      <c r="I1728" s="13">
        <v>0</v>
      </c>
      <c r="J1728" s="13">
        <v>0</v>
      </c>
      <c r="K1728" s="10">
        <v>3</v>
      </c>
      <c r="L1728" s="2">
        <v>1421.6451</v>
      </c>
      <c r="M1728" s="1">
        <v>45390.51458333333</v>
      </c>
      <c r="N1728" t="s">
        <v>178</v>
      </c>
    </row>
    <row r="1729" spans="1:14" x14ac:dyDescent="0.25">
      <c r="A1729" s="9" t="s">
        <v>5211</v>
      </c>
      <c r="B1729" s="10">
        <v>636</v>
      </c>
      <c r="C1729" s="10" t="s">
        <v>323</v>
      </c>
      <c r="D1729" t="s">
        <v>1460</v>
      </c>
      <c r="E1729" s="6" t="s">
        <v>1461</v>
      </c>
      <c r="F1729" s="11" t="s">
        <v>58</v>
      </c>
      <c r="G1729" s="2">
        <v>11.427</v>
      </c>
      <c r="H1729" s="13">
        <v>3</v>
      </c>
      <c r="I1729" s="13">
        <v>0</v>
      </c>
      <c r="J1729" s="13">
        <v>0</v>
      </c>
      <c r="K1729" s="10">
        <v>3</v>
      </c>
      <c r="L1729" s="2">
        <v>34.280999999999999</v>
      </c>
      <c r="M1729" s="1">
        <v>45392.384722222225</v>
      </c>
      <c r="N1729" t="s">
        <v>797</v>
      </c>
    </row>
    <row r="1730" spans="1:14" x14ac:dyDescent="0.25">
      <c r="A1730" s="9" t="s">
        <v>5211</v>
      </c>
      <c r="B1730" s="10">
        <v>714</v>
      </c>
      <c r="C1730" s="10" t="s">
        <v>323</v>
      </c>
      <c r="D1730" t="s">
        <v>2896</v>
      </c>
      <c r="E1730" t="s">
        <v>2897</v>
      </c>
      <c r="F1730" s="10" t="s">
        <v>29</v>
      </c>
      <c r="G1730" s="2">
        <v>116.25700000000001</v>
      </c>
      <c r="H1730" s="13">
        <v>3</v>
      </c>
      <c r="I1730" s="13">
        <v>0</v>
      </c>
      <c r="J1730" s="13">
        <v>0</v>
      </c>
      <c r="K1730" s="10">
        <v>3</v>
      </c>
      <c r="L1730" s="2">
        <v>348.77100000000002</v>
      </c>
      <c r="M1730" s="1">
        <v>45392.625</v>
      </c>
      <c r="N1730" t="s">
        <v>2898</v>
      </c>
    </row>
    <row r="1731" spans="1:14" x14ac:dyDescent="0.25">
      <c r="A1731" s="9" t="s">
        <v>5211</v>
      </c>
      <c r="B1731" s="10">
        <v>714</v>
      </c>
      <c r="C1731" s="10" t="s">
        <v>323</v>
      </c>
      <c r="D1731" t="s">
        <v>3243</v>
      </c>
      <c r="E1731" t="s">
        <v>3244</v>
      </c>
      <c r="F1731" s="10" t="s">
        <v>29</v>
      </c>
      <c r="G1731" s="2">
        <v>129.26900000000001</v>
      </c>
      <c r="H1731" s="13">
        <v>3</v>
      </c>
      <c r="I1731" s="13">
        <v>0</v>
      </c>
      <c r="J1731" s="13">
        <v>0</v>
      </c>
      <c r="K1731" s="10">
        <v>3</v>
      </c>
      <c r="L1731" s="2">
        <v>387.80700000000002</v>
      </c>
      <c r="M1731" s="1">
        <v>45392.625</v>
      </c>
      <c r="N1731" t="s">
        <v>2898</v>
      </c>
    </row>
    <row r="1732" spans="1:14" x14ac:dyDescent="0.25">
      <c r="A1732" s="9" t="s">
        <v>5211</v>
      </c>
      <c r="B1732" s="10">
        <v>634</v>
      </c>
      <c r="C1732" s="10" t="s">
        <v>143</v>
      </c>
      <c r="D1732" t="s">
        <v>4130</v>
      </c>
      <c r="E1732" s="6" t="s">
        <v>4131</v>
      </c>
      <c r="F1732" s="11" t="s">
        <v>58</v>
      </c>
      <c r="G1732" s="2">
        <v>12.3987</v>
      </c>
      <c r="H1732" s="13">
        <v>3</v>
      </c>
      <c r="I1732" s="13">
        <v>37</v>
      </c>
      <c r="J1732" s="13">
        <v>-37</v>
      </c>
      <c r="K1732" s="10">
        <v>3</v>
      </c>
      <c r="L1732" s="2">
        <v>37.196100000000001</v>
      </c>
      <c r="M1732" s="1">
        <v>45412.45416666667</v>
      </c>
      <c r="N1732" t="s">
        <v>47</v>
      </c>
    </row>
    <row r="1733" spans="1:14" x14ac:dyDescent="0.25">
      <c r="A1733" s="9" t="s">
        <v>5211</v>
      </c>
      <c r="B1733" s="10">
        <v>718</v>
      </c>
      <c r="C1733" s="10" t="s">
        <v>143</v>
      </c>
      <c r="D1733" t="s">
        <v>2563</v>
      </c>
      <c r="E1733" s="6" t="s">
        <v>2564</v>
      </c>
      <c r="F1733" s="11" t="s">
        <v>58</v>
      </c>
      <c r="G1733" s="2">
        <v>37.662799999999997</v>
      </c>
      <c r="H1733" s="13">
        <v>3</v>
      </c>
      <c r="I1733" s="13">
        <v>0</v>
      </c>
      <c r="J1733" s="13">
        <v>0</v>
      </c>
      <c r="K1733" s="10">
        <v>3</v>
      </c>
      <c r="L1733" s="2">
        <v>112.9884</v>
      </c>
      <c r="M1733" s="1">
        <v>45412.588888888888</v>
      </c>
      <c r="N1733" t="s">
        <v>562</v>
      </c>
    </row>
    <row r="1734" spans="1:14" x14ac:dyDescent="0.25">
      <c r="A1734" s="9" t="s">
        <v>5211</v>
      </c>
      <c r="B1734" s="10">
        <v>634</v>
      </c>
      <c r="C1734" s="10" t="s">
        <v>70</v>
      </c>
      <c r="D1734" t="s">
        <v>4034</v>
      </c>
      <c r="E1734" s="6" t="s">
        <v>4035</v>
      </c>
      <c r="F1734" s="11" t="s">
        <v>58</v>
      </c>
      <c r="G1734" s="2">
        <v>6.4317000000000002</v>
      </c>
      <c r="H1734" s="13">
        <v>3</v>
      </c>
      <c r="I1734" s="13">
        <v>231</v>
      </c>
      <c r="J1734" s="13">
        <v>-231</v>
      </c>
      <c r="K1734" s="10">
        <v>3</v>
      </c>
      <c r="L1734" s="2">
        <v>19.295100000000001</v>
      </c>
      <c r="M1734" s="1">
        <v>45420.507638888892</v>
      </c>
      <c r="N1734" t="s">
        <v>16</v>
      </c>
    </row>
    <row r="1735" spans="1:14" x14ac:dyDescent="0.25">
      <c r="A1735" s="9" t="s">
        <v>5211</v>
      </c>
      <c r="B1735" s="10">
        <v>714</v>
      </c>
      <c r="C1735" s="10" t="s">
        <v>323</v>
      </c>
      <c r="D1735" t="s">
        <v>3117</v>
      </c>
      <c r="E1735" t="s">
        <v>3118</v>
      </c>
      <c r="F1735" s="10" t="s">
        <v>29</v>
      </c>
      <c r="G1735" s="2">
        <v>204.97030000000001</v>
      </c>
      <c r="H1735" s="13">
        <v>3</v>
      </c>
      <c r="I1735" s="13">
        <v>0</v>
      </c>
      <c r="J1735" s="13">
        <v>0</v>
      </c>
      <c r="K1735" s="10">
        <v>3</v>
      </c>
      <c r="L1735" s="2">
        <v>614.91089999999997</v>
      </c>
      <c r="M1735" s="1">
        <v>45428.386805555558</v>
      </c>
      <c r="N1735" t="s">
        <v>1535</v>
      </c>
    </row>
    <row r="1736" spans="1:14" x14ac:dyDescent="0.25">
      <c r="A1736" s="9" t="s">
        <v>5211</v>
      </c>
      <c r="B1736" s="10">
        <v>718</v>
      </c>
      <c r="C1736" s="10" t="s">
        <v>70</v>
      </c>
      <c r="D1736" t="s">
        <v>2075</v>
      </c>
      <c r="E1736" t="s">
        <v>2076</v>
      </c>
      <c r="F1736" s="10" t="s">
        <v>29</v>
      </c>
      <c r="G1736" s="2">
        <v>10.0966</v>
      </c>
      <c r="H1736" s="13">
        <v>3</v>
      </c>
      <c r="I1736" s="13">
        <v>0</v>
      </c>
      <c r="J1736" s="13">
        <v>0</v>
      </c>
      <c r="K1736" s="10">
        <v>3</v>
      </c>
      <c r="L1736" s="2">
        <v>30.2898</v>
      </c>
      <c r="M1736" s="1">
        <v>45436.655555555553</v>
      </c>
      <c r="N1736" t="s">
        <v>26</v>
      </c>
    </row>
    <row r="1737" spans="1:14" x14ac:dyDescent="0.25">
      <c r="A1737" s="9" t="s">
        <v>5211</v>
      </c>
      <c r="B1737" s="10">
        <v>634</v>
      </c>
      <c r="C1737" s="10" t="s">
        <v>143</v>
      </c>
      <c r="D1737" t="s">
        <v>227</v>
      </c>
      <c r="E1737" s="6" t="s">
        <v>228</v>
      </c>
      <c r="F1737" s="11" t="s">
        <v>58</v>
      </c>
      <c r="G1737" s="2">
        <v>79.198300000000003</v>
      </c>
      <c r="H1737" s="13">
        <v>3</v>
      </c>
      <c r="I1737" s="13">
        <v>0</v>
      </c>
      <c r="J1737" s="13">
        <v>0</v>
      </c>
      <c r="K1737" s="10">
        <v>3</v>
      </c>
      <c r="L1737" s="2">
        <v>237.5949</v>
      </c>
      <c r="M1737" s="1">
        <v>45455.600694444445</v>
      </c>
      <c r="N1737" t="s">
        <v>229</v>
      </c>
    </row>
    <row r="1738" spans="1:14" x14ac:dyDescent="0.25">
      <c r="A1738" s="9" t="s">
        <v>5211</v>
      </c>
      <c r="B1738" s="10">
        <v>718</v>
      </c>
      <c r="C1738" s="10" t="s">
        <v>323</v>
      </c>
      <c r="D1738" t="s">
        <v>3403</v>
      </c>
      <c r="E1738" s="6" t="s">
        <v>3404</v>
      </c>
      <c r="F1738" s="11" t="s">
        <v>58</v>
      </c>
      <c r="G1738" s="2">
        <v>169.25829999999999</v>
      </c>
      <c r="H1738" s="13">
        <v>3</v>
      </c>
      <c r="I1738" s="13">
        <v>0</v>
      </c>
      <c r="J1738" s="13">
        <v>0</v>
      </c>
      <c r="K1738" s="10">
        <v>3</v>
      </c>
      <c r="L1738" s="2">
        <v>507.7749</v>
      </c>
      <c r="M1738" s="1">
        <v>45505.375</v>
      </c>
      <c r="N1738" t="s">
        <v>360</v>
      </c>
    </row>
    <row r="1739" spans="1:14" x14ac:dyDescent="0.25">
      <c r="A1739" s="9" t="s">
        <v>5211</v>
      </c>
      <c r="B1739" s="10">
        <v>718</v>
      </c>
      <c r="C1739" s="10" t="s">
        <v>1749</v>
      </c>
      <c r="D1739" t="s">
        <v>3978</v>
      </c>
      <c r="E1739" t="s">
        <v>3979</v>
      </c>
      <c r="F1739" s="10" t="s">
        <v>29</v>
      </c>
      <c r="G1739" s="2">
        <v>35.029299999999999</v>
      </c>
      <c r="H1739" s="13">
        <v>3</v>
      </c>
      <c r="I1739" s="13">
        <v>0</v>
      </c>
      <c r="J1739" s="13">
        <v>0</v>
      </c>
      <c r="K1739" s="10">
        <v>3</v>
      </c>
      <c r="L1739" s="2">
        <v>105.0879</v>
      </c>
      <c r="M1739" s="1">
        <v>45517.629166666666</v>
      </c>
      <c r="N1739" t="s">
        <v>36</v>
      </c>
    </row>
    <row r="1740" spans="1:14" x14ac:dyDescent="0.25">
      <c r="A1740" s="9" t="s">
        <v>5211</v>
      </c>
      <c r="B1740" s="10">
        <v>718</v>
      </c>
      <c r="C1740" s="10" t="s">
        <v>143</v>
      </c>
      <c r="D1740" t="s">
        <v>3721</v>
      </c>
      <c r="E1740" s="6" t="s">
        <v>3722</v>
      </c>
      <c r="F1740" s="11" t="s">
        <v>58</v>
      </c>
      <c r="G1740" s="2">
        <v>30.954499999999999</v>
      </c>
      <c r="H1740" s="13">
        <v>3</v>
      </c>
      <c r="I1740" s="13">
        <v>0</v>
      </c>
      <c r="J1740" s="13">
        <v>0</v>
      </c>
      <c r="K1740" s="10">
        <v>3</v>
      </c>
      <c r="L1740" s="2">
        <v>92.863500000000002</v>
      </c>
      <c r="M1740" s="1">
        <v>45561.427083333336</v>
      </c>
      <c r="N1740" t="s">
        <v>195</v>
      </c>
    </row>
    <row r="1741" spans="1:14" x14ac:dyDescent="0.25">
      <c r="A1741" s="9" t="s">
        <v>5211</v>
      </c>
      <c r="B1741" s="10">
        <v>636</v>
      </c>
      <c r="C1741" s="10" t="s">
        <v>323</v>
      </c>
      <c r="D1741" t="s">
        <v>1582</v>
      </c>
      <c r="E1741" s="6" t="s">
        <v>1583</v>
      </c>
      <c r="F1741" s="11" t="s">
        <v>58</v>
      </c>
      <c r="G1741" s="2">
        <v>55.504600000000003</v>
      </c>
      <c r="H1741" s="13">
        <v>3</v>
      </c>
      <c r="I1741" s="13">
        <v>0</v>
      </c>
      <c r="J1741" s="13">
        <v>0</v>
      </c>
      <c r="K1741" s="10">
        <v>3</v>
      </c>
      <c r="L1741" s="2">
        <v>166.5138</v>
      </c>
      <c r="M1741" s="1">
        <v>45575.42291666667</v>
      </c>
      <c r="N1741" t="s">
        <v>40</v>
      </c>
    </row>
    <row r="1742" spans="1:14" x14ac:dyDescent="0.25">
      <c r="A1742" s="9" t="s">
        <v>5211</v>
      </c>
      <c r="B1742" s="10">
        <v>714</v>
      </c>
      <c r="C1742" s="10" t="s">
        <v>323</v>
      </c>
      <c r="D1742" t="s">
        <v>3421</v>
      </c>
      <c r="E1742" t="s">
        <v>3422</v>
      </c>
      <c r="F1742" s="10" t="s">
        <v>19</v>
      </c>
      <c r="G1742" s="2">
        <v>233.0804</v>
      </c>
      <c r="H1742" s="13">
        <v>3</v>
      </c>
      <c r="I1742" s="13">
        <v>2</v>
      </c>
      <c r="J1742" s="13">
        <v>-2</v>
      </c>
      <c r="K1742" s="10">
        <v>3</v>
      </c>
      <c r="L1742" s="2">
        <v>699.24120000000005</v>
      </c>
      <c r="M1742" s="1">
        <v>45646.494444444441</v>
      </c>
      <c r="N1742" t="s">
        <v>1229</v>
      </c>
    </row>
    <row r="1743" spans="1:14" x14ac:dyDescent="0.25">
      <c r="A1743" s="9" t="s">
        <v>5211</v>
      </c>
      <c r="B1743" s="10">
        <v>718</v>
      </c>
      <c r="C1743" s="10" t="s">
        <v>323</v>
      </c>
      <c r="D1743" t="s">
        <v>2912</v>
      </c>
      <c r="E1743" s="6" t="s">
        <v>2913</v>
      </c>
      <c r="F1743" s="11" t="s">
        <v>58</v>
      </c>
      <c r="G1743" s="2">
        <v>142.4</v>
      </c>
      <c r="H1743" s="13">
        <v>3</v>
      </c>
      <c r="I1743" s="13">
        <v>0</v>
      </c>
      <c r="J1743" s="13">
        <v>0</v>
      </c>
      <c r="K1743" s="10">
        <v>3</v>
      </c>
      <c r="L1743" s="2">
        <v>427.2</v>
      </c>
      <c r="M1743" s="1">
        <v>45707.484027777777</v>
      </c>
      <c r="N1743" t="s">
        <v>159</v>
      </c>
    </row>
    <row r="1744" spans="1:14" x14ac:dyDescent="0.25">
      <c r="A1744" s="9" t="s">
        <v>5211</v>
      </c>
      <c r="B1744" s="10">
        <v>636</v>
      </c>
      <c r="C1744" s="10" t="s">
        <v>323</v>
      </c>
      <c r="D1744" t="s">
        <v>4651</v>
      </c>
      <c r="E1744" t="s">
        <v>4652</v>
      </c>
      <c r="F1744" s="10" t="s">
        <v>29</v>
      </c>
      <c r="G1744" s="2">
        <v>76.025300000000001</v>
      </c>
      <c r="H1744" s="13">
        <v>3</v>
      </c>
      <c r="I1744" s="13">
        <v>0</v>
      </c>
      <c r="J1744" s="13">
        <v>0</v>
      </c>
      <c r="K1744" s="10">
        <v>3</v>
      </c>
      <c r="L1744" s="2">
        <v>228.07589999999999</v>
      </c>
      <c r="M1744" s="1">
        <v>45726.647222222222</v>
      </c>
      <c r="N1744" t="s">
        <v>1154</v>
      </c>
    </row>
    <row r="1745" spans="1:14" x14ac:dyDescent="0.25">
      <c r="A1745" s="9" t="s">
        <v>5211</v>
      </c>
      <c r="B1745" s="10">
        <v>636</v>
      </c>
      <c r="C1745" s="10" t="s">
        <v>143</v>
      </c>
      <c r="D1745" t="s">
        <v>918</v>
      </c>
      <c r="E1745" s="6" t="s">
        <v>919</v>
      </c>
      <c r="F1745" s="11" t="s">
        <v>58</v>
      </c>
      <c r="G1745" s="2">
        <v>103.1957</v>
      </c>
      <c r="H1745" s="13">
        <v>3</v>
      </c>
      <c r="I1745" s="13">
        <v>0</v>
      </c>
      <c r="J1745" s="13">
        <v>0</v>
      </c>
      <c r="K1745" s="10">
        <v>3</v>
      </c>
      <c r="L1745" s="2">
        <v>309.58710000000002</v>
      </c>
      <c r="M1745" s="1">
        <v>45729.397916666669</v>
      </c>
      <c r="N1745" t="s">
        <v>178</v>
      </c>
    </row>
    <row r="1746" spans="1:14" x14ac:dyDescent="0.25">
      <c r="A1746" s="9" t="s">
        <v>5211</v>
      </c>
      <c r="B1746" s="10">
        <v>636</v>
      </c>
      <c r="C1746" s="10" t="s">
        <v>323</v>
      </c>
      <c r="D1746" t="s">
        <v>4625</v>
      </c>
      <c r="E1746" t="s">
        <v>4626</v>
      </c>
      <c r="F1746" s="10" t="s">
        <v>1400</v>
      </c>
      <c r="G1746" s="2">
        <v>180.67760000000001</v>
      </c>
      <c r="H1746" s="13">
        <v>3</v>
      </c>
      <c r="I1746" s="13">
        <v>6</v>
      </c>
      <c r="J1746" s="13">
        <v>-6</v>
      </c>
      <c r="K1746" s="10">
        <v>3</v>
      </c>
      <c r="L1746" s="2">
        <v>542.03279999999995</v>
      </c>
      <c r="M1746" s="1">
        <v>45733.642361111109</v>
      </c>
      <c r="N1746" t="s">
        <v>357</v>
      </c>
    </row>
    <row r="1747" spans="1:14" x14ac:dyDescent="0.25">
      <c r="A1747" s="9" t="s">
        <v>5211</v>
      </c>
      <c r="B1747" s="10">
        <v>636</v>
      </c>
      <c r="C1747" s="10" t="s">
        <v>323</v>
      </c>
      <c r="D1747" t="s">
        <v>4292</v>
      </c>
      <c r="E1747" t="s">
        <v>4293</v>
      </c>
      <c r="F1747" s="10" t="s">
        <v>19</v>
      </c>
      <c r="G1747" s="2">
        <v>202.08930000000001</v>
      </c>
      <c r="H1747" s="13">
        <v>3</v>
      </c>
      <c r="I1747" s="13">
        <v>1</v>
      </c>
      <c r="J1747" s="13">
        <v>-1</v>
      </c>
      <c r="K1747" s="10">
        <v>3</v>
      </c>
      <c r="L1747" s="2">
        <v>606.26790000000005</v>
      </c>
      <c r="M1747" s="1">
        <v>45735.416666666664</v>
      </c>
      <c r="N1747" t="s">
        <v>486</v>
      </c>
    </row>
    <row r="1748" spans="1:14" x14ac:dyDescent="0.25">
      <c r="A1748" s="9" t="s">
        <v>5211</v>
      </c>
      <c r="B1748" s="10">
        <v>714</v>
      </c>
      <c r="C1748" s="10" t="s">
        <v>323</v>
      </c>
      <c r="D1748" t="s">
        <v>3266</v>
      </c>
      <c r="E1748" t="s">
        <v>3267</v>
      </c>
      <c r="F1748" s="10" t="s">
        <v>29</v>
      </c>
      <c r="G1748" s="2">
        <v>129.43700000000001</v>
      </c>
      <c r="H1748" s="13">
        <v>3</v>
      </c>
      <c r="I1748" s="13">
        <v>0</v>
      </c>
      <c r="J1748" s="13">
        <v>0</v>
      </c>
      <c r="K1748" s="10">
        <v>3</v>
      </c>
      <c r="L1748" s="2">
        <v>388.31099999999998</v>
      </c>
      <c r="M1748" s="1">
        <v>45735.563888888886</v>
      </c>
      <c r="N1748" t="s">
        <v>1234</v>
      </c>
    </row>
    <row r="1749" spans="1:14" x14ac:dyDescent="0.25">
      <c r="A1749" s="9" t="s">
        <v>5211</v>
      </c>
      <c r="B1749" s="10">
        <v>714</v>
      </c>
      <c r="C1749" s="10" t="s">
        <v>323</v>
      </c>
      <c r="D1749" t="s">
        <v>4941</v>
      </c>
      <c r="E1749" t="s">
        <v>4942</v>
      </c>
      <c r="F1749" s="10" t="s">
        <v>19</v>
      </c>
      <c r="G1749" s="2">
        <v>201.5128</v>
      </c>
      <c r="H1749" s="13">
        <v>3</v>
      </c>
      <c r="I1749" s="13">
        <v>2</v>
      </c>
      <c r="J1749" s="13">
        <v>-2</v>
      </c>
      <c r="K1749" s="10">
        <v>3</v>
      </c>
      <c r="L1749" s="2">
        <v>604.53840000000002</v>
      </c>
      <c r="M1749" s="1">
        <v>45735.563888888886</v>
      </c>
      <c r="N1749" t="s">
        <v>1234</v>
      </c>
    </row>
    <row r="1750" spans="1:14" x14ac:dyDescent="0.25">
      <c r="A1750" s="9" t="s">
        <v>5211</v>
      </c>
      <c r="B1750" s="10">
        <v>714</v>
      </c>
      <c r="C1750" s="10" t="s">
        <v>143</v>
      </c>
      <c r="D1750" t="s">
        <v>4513</v>
      </c>
      <c r="E1750" t="s">
        <v>4514</v>
      </c>
      <c r="F1750" s="10" t="s">
        <v>29</v>
      </c>
      <c r="G1750" s="2">
        <v>28.6189</v>
      </c>
      <c r="H1750" s="13">
        <v>3</v>
      </c>
      <c r="I1750" s="13">
        <v>0</v>
      </c>
      <c r="J1750" s="13">
        <v>0</v>
      </c>
      <c r="K1750" s="10">
        <v>3</v>
      </c>
      <c r="L1750" s="2">
        <v>85.856700000000004</v>
      </c>
      <c r="M1750" s="1">
        <v>45740.887499999997</v>
      </c>
      <c r="N1750" t="s">
        <v>1870</v>
      </c>
    </row>
    <row r="1751" spans="1:14" x14ac:dyDescent="0.25">
      <c r="A1751" s="9" t="s">
        <v>5211</v>
      </c>
      <c r="B1751" s="10">
        <v>714</v>
      </c>
      <c r="C1751" s="10" t="s">
        <v>143</v>
      </c>
      <c r="D1751" t="s">
        <v>2561</v>
      </c>
      <c r="E1751" t="s">
        <v>2562</v>
      </c>
      <c r="F1751" s="10" t="s">
        <v>35</v>
      </c>
      <c r="G1751" s="2">
        <v>75</v>
      </c>
      <c r="H1751" s="13">
        <v>3</v>
      </c>
      <c r="I1751" s="13">
        <v>0</v>
      </c>
      <c r="J1751" s="13">
        <v>0</v>
      </c>
      <c r="K1751" s="10">
        <v>3</v>
      </c>
      <c r="L1751" s="2">
        <v>225</v>
      </c>
      <c r="M1751" s="1">
        <v>45742.353472222225</v>
      </c>
      <c r="N1751" t="s">
        <v>2444</v>
      </c>
    </row>
    <row r="1752" spans="1:14" x14ac:dyDescent="0.25">
      <c r="A1752" s="9" t="s">
        <v>5211</v>
      </c>
      <c r="B1752" s="10">
        <v>718</v>
      </c>
      <c r="C1752" s="10" t="s">
        <v>143</v>
      </c>
      <c r="D1752" t="s">
        <v>5168</v>
      </c>
      <c r="E1752" t="s">
        <v>5169</v>
      </c>
      <c r="F1752" s="10" t="s">
        <v>158</v>
      </c>
      <c r="G1752" s="2">
        <v>103.8776</v>
      </c>
      <c r="H1752" s="13">
        <v>3</v>
      </c>
      <c r="I1752" s="13">
        <v>11</v>
      </c>
      <c r="J1752" s="13">
        <v>-11</v>
      </c>
      <c r="K1752" s="10">
        <v>3</v>
      </c>
      <c r="L1752" s="2">
        <v>311.63279999999997</v>
      </c>
      <c r="M1752" s="1">
        <v>45743.663888888892</v>
      </c>
      <c r="N1752" t="s">
        <v>3384</v>
      </c>
    </row>
    <row r="1753" spans="1:14" x14ac:dyDescent="0.25">
      <c r="A1753" s="9" t="s">
        <v>5211</v>
      </c>
      <c r="B1753" s="10">
        <v>634</v>
      </c>
      <c r="C1753" s="10" t="s">
        <v>323</v>
      </c>
      <c r="D1753" t="s">
        <v>407</v>
      </c>
      <c r="E1753" s="6" t="s">
        <v>408</v>
      </c>
      <c r="F1753" s="11" t="s">
        <v>58</v>
      </c>
      <c r="G1753" s="2">
        <v>125.72669999999999</v>
      </c>
      <c r="H1753" s="13">
        <v>3</v>
      </c>
      <c r="I1753" s="13">
        <v>-5</v>
      </c>
      <c r="J1753" s="13">
        <v>5</v>
      </c>
      <c r="K1753" s="10">
        <v>3</v>
      </c>
      <c r="L1753" s="2">
        <v>377.18009999999998</v>
      </c>
      <c r="M1753" s="1">
        <v>45744.493055555555</v>
      </c>
      <c r="N1753" t="s">
        <v>330</v>
      </c>
    </row>
    <row r="1754" spans="1:14" x14ac:dyDescent="0.25">
      <c r="A1754" s="9" t="s">
        <v>5211</v>
      </c>
      <c r="B1754" s="10">
        <v>714</v>
      </c>
      <c r="C1754" s="10" t="s">
        <v>12</v>
      </c>
      <c r="D1754" t="s">
        <v>1888</v>
      </c>
      <c r="E1754" t="s">
        <v>1889</v>
      </c>
      <c r="F1754" s="10" t="s">
        <v>15</v>
      </c>
      <c r="G1754" s="2">
        <v>19.949100000000001</v>
      </c>
      <c r="H1754" s="13">
        <v>3</v>
      </c>
      <c r="I1754" s="13">
        <v>0</v>
      </c>
      <c r="J1754" s="13">
        <v>0</v>
      </c>
      <c r="K1754" s="10">
        <v>3</v>
      </c>
      <c r="L1754" s="2">
        <v>59.847299999999997</v>
      </c>
      <c r="M1754" s="1">
        <v>45745.311805555553</v>
      </c>
      <c r="N1754" t="s">
        <v>573</v>
      </c>
    </row>
    <row r="1755" spans="1:14" x14ac:dyDescent="0.25">
      <c r="A1755" s="9" t="s">
        <v>5211</v>
      </c>
      <c r="B1755" s="10">
        <v>714</v>
      </c>
      <c r="C1755" s="10" t="s">
        <v>143</v>
      </c>
      <c r="D1755" t="s">
        <v>2300</v>
      </c>
      <c r="E1755" s="6" t="s">
        <v>2301</v>
      </c>
      <c r="F1755" s="11" t="s">
        <v>58</v>
      </c>
      <c r="G1755" s="2">
        <v>17.273099999999999</v>
      </c>
      <c r="H1755" s="13">
        <v>3</v>
      </c>
      <c r="I1755" s="13">
        <v>0</v>
      </c>
      <c r="J1755" s="13">
        <v>0</v>
      </c>
      <c r="K1755" s="10">
        <v>3</v>
      </c>
      <c r="L1755" s="2">
        <v>51.819299999999998</v>
      </c>
      <c r="M1755" s="1">
        <v>45745.507638888892</v>
      </c>
      <c r="N1755" t="s">
        <v>360</v>
      </c>
    </row>
    <row r="1756" spans="1:14" x14ac:dyDescent="0.25">
      <c r="A1756" s="9" t="s">
        <v>5211</v>
      </c>
      <c r="B1756" s="10">
        <v>714</v>
      </c>
      <c r="C1756" s="10" t="s">
        <v>143</v>
      </c>
      <c r="D1756" t="s">
        <v>4765</v>
      </c>
      <c r="E1756" t="s">
        <v>4766</v>
      </c>
      <c r="F1756" s="10" t="s">
        <v>29</v>
      </c>
      <c r="G1756" s="2">
        <v>179.60570000000001</v>
      </c>
      <c r="H1756" s="13">
        <v>3</v>
      </c>
      <c r="I1756" s="13">
        <v>-1</v>
      </c>
      <c r="J1756" s="13">
        <v>1</v>
      </c>
      <c r="K1756" s="10">
        <v>3</v>
      </c>
      <c r="L1756" s="2">
        <v>538.81709999999998</v>
      </c>
      <c r="M1756" s="1">
        <v>45749.506249999999</v>
      </c>
      <c r="N1756" t="s">
        <v>137</v>
      </c>
    </row>
    <row r="1757" spans="1:14" x14ac:dyDescent="0.25">
      <c r="A1757" s="9" t="s">
        <v>5211</v>
      </c>
      <c r="B1757" s="10">
        <v>714</v>
      </c>
      <c r="C1757" s="10" t="s">
        <v>143</v>
      </c>
      <c r="D1757" t="s">
        <v>2399</v>
      </c>
      <c r="E1757" t="s">
        <v>2400</v>
      </c>
      <c r="F1757" s="10" t="s">
        <v>35</v>
      </c>
      <c r="G1757" s="2">
        <v>12.4475</v>
      </c>
      <c r="H1757" s="13">
        <v>3</v>
      </c>
      <c r="I1757" s="13">
        <v>0</v>
      </c>
      <c r="J1757" s="13">
        <v>0</v>
      </c>
      <c r="K1757" s="10">
        <v>3</v>
      </c>
      <c r="L1757" s="2">
        <v>37.342500000000001</v>
      </c>
      <c r="M1757" s="1">
        <v>45749.587500000001</v>
      </c>
      <c r="N1757" t="s">
        <v>162</v>
      </c>
    </row>
    <row r="1758" spans="1:14" x14ac:dyDescent="0.25">
      <c r="A1758" s="9" t="s">
        <v>5211</v>
      </c>
      <c r="B1758" s="10">
        <v>714</v>
      </c>
      <c r="C1758" s="10" t="s">
        <v>323</v>
      </c>
      <c r="D1758" t="s">
        <v>5085</v>
      </c>
      <c r="E1758" t="s">
        <v>5086</v>
      </c>
      <c r="F1758" s="10" t="s">
        <v>23</v>
      </c>
      <c r="G1758" s="2">
        <v>36.837000000000003</v>
      </c>
      <c r="H1758" s="13">
        <v>3</v>
      </c>
      <c r="I1758" s="13">
        <v>3</v>
      </c>
      <c r="J1758" s="13">
        <v>-3</v>
      </c>
      <c r="K1758" s="10">
        <v>3</v>
      </c>
      <c r="L1758" s="2">
        <v>110.511</v>
      </c>
      <c r="M1758" s="1">
        <v>45751.520138888889</v>
      </c>
      <c r="N1758" t="s">
        <v>1271</v>
      </c>
    </row>
    <row r="1759" spans="1:14" x14ac:dyDescent="0.25">
      <c r="A1759" s="9" t="s">
        <v>5211</v>
      </c>
      <c r="B1759" s="10">
        <v>636</v>
      </c>
      <c r="C1759" s="10" t="s">
        <v>323</v>
      </c>
      <c r="D1759" t="s">
        <v>4268</v>
      </c>
      <c r="E1759" t="s">
        <v>4269</v>
      </c>
      <c r="F1759" s="10" t="s">
        <v>19</v>
      </c>
      <c r="G1759" s="2">
        <v>228.65600000000001</v>
      </c>
      <c r="H1759" s="13">
        <v>3</v>
      </c>
      <c r="I1759" s="13">
        <v>0</v>
      </c>
      <c r="J1759" s="13">
        <v>0</v>
      </c>
      <c r="K1759" s="10">
        <v>3</v>
      </c>
      <c r="L1759" s="2">
        <v>685.96799999999996</v>
      </c>
      <c r="M1759" s="1">
        <v>45755.318055555559</v>
      </c>
      <c r="N1759" t="s">
        <v>178</v>
      </c>
    </row>
    <row r="1760" spans="1:14" x14ac:dyDescent="0.25">
      <c r="A1760" s="9" t="s">
        <v>5211</v>
      </c>
      <c r="B1760" s="10">
        <v>636</v>
      </c>
      <c r="C1760" s="10" t="s">
        <v>323</v>
      </c>
      <c r="D1760" t="s">
        <v>1398</v>
      </c>
      <c r="E1760" t="s">
        <v>1399</v>
      </c>
      <c r="F1760" s="10" t="s">
        <v>1400</v>
      </c>
      <c r="G1760" s="2">
        <v>160.22710000000001</v>
      </c>
      <c r="H1760" s="13">
        <v>3</v>
      </c>
      <c r="I1760" s="13">
        <v>1</v>
      </c>
      <c r="J1760" s="13">
        <v>-1</v>
      </c>
      <c r="K1760" s="10">
        <v>3</v>
      </c>
      <c r="L1760" s="2">
        <v>480.68130000000002</v>
      </c>
      <c r="M1760" s="1">
        <v>45755.520833333336</v>
      </c>
      <c r="N1760" t="s">
        <v>501</v>
      </c>
    </row>
    <row r="1761" spans="1:14" x14ac:dyDescent="0.25">
      <c r="A1761" s="9" t="s">
        <v>5211</v>
      </c>
      <c r="B1761" s="10">
        <v>636</v>
      </c>
      <c r="C1761" s="10" t="s">
        <v>143</v>
      </c>
      <c r="D1761" t="s">
        <v>1165</v>
      </c>
      <c r="E1761" t="s">
        <v>1166</v>
      </c>
      <c r="F1761" s="10" t="s">
        <v>158</v>
      </c>
      <c r="G1761" s="2">
        <v>325.55579999999998</v>
      </c>
      <c r="H1761" s="13">
        <v>3</v>
      </c>
      <c r="I1761" s="13">
        <v>-2</v>
      </c>
      <c r="J1761" s="13">
        <v>2</v>
      </c>
      <c r="K1761" s="10">
        <v>3</v>
      </c>
      <c r="L1761" s="2">
        <v>976.66740000000004</v>
      </c>
      <c r="M1761" s="1">
        <v>45756.427777777775</v>
      </c>
      <c r="N1761" t="s">
        <v>61</v>
      </c>
    </row>
    <row r="1762" spans="1:14" x14ac:dyDescent="0.25">
      <c r="A1762" s="9" t="s">
        <v>5211</v>
      </c>
      <c r="B1762" s="10">
        <v>718</v>
      </c>
      <c r="C1762" s="10" t="s">
        <v>143</v>
      </c>
      <c r="D1762" t="s">
        <v>3816</v>
      </c>
      <c r="E1762" s="6" t="s">
        <v>3817</v>
      </c>
      <c r="F1762" s="11" t="s">
        <v>58</v>
      </c>
      <c r="G1762" s="2">
        <v>30.007999999999999</v>
      </c>
      <c r="H1762" s="13">
        <v>3</v>
      </c>
      <c r="I1762" s="13">
        <v>0</v>
      </c>
      <c r="J1762" s="13">
        <v>0</v>
      </c>
      <c r="K1762" s="10">
        <v>3</v>
      </c>
      <c r="L1762" s="2">
        <v>90.024000000000001</v>
      </c>
      <c r="M1762" s="1">
        <v>45756.557638888888</v>
      </c>
      <c r="N1762" t="s">
        <v>40</v>
      </c>
    </row>
    <row r="1763" spans="1:14" x14ac:dyDescent="0.25">
      <c r="A1763" s="9" t="s">
        <v>5211</v>
      </c>
      <c r="B1763" s="10">
        <v>714</v>
      </c>
      <c r="C1763" s="10" t="s">
        <v>12</v>
      </c>
      <c r="D1763" t="s">
        <v>1912</v>
      </c>
      <c r="E1763" t="s">
        <v>1913</v>
      </c>
      <c r="F1763" s="10" t="s">
        <v>39</v>
      </c>
      <c r="G1763" s="2">
        <v>17.963699999999999</v>
      </c>
      <c r="H1763" s="13">
        <v>3</v>
      </c>
      <c r="I1763" s="13">
        <v>0</v>
      </c>
      <c r="J1763" s="13">
        <v>0</v>
      </c>
      <c r="K1763" s="10">
        <v>3</v>
      </c>
      <c r="L1763" s="2">
        <v>53.891100000000002</v>
      </c>
      <c r="M1763" s="1">
        <v>45759.422222222223</v>
      </c>
      <c r="N1763" t="s">
        <v>140</v>
      </c>
    </row>
    <row r="1764" spans="1:14" x14ac:dyDescent="0.25">
      <c r="A1764" s="9" t="s">
        <v>5211</v>
      </c>
      <c r="B1764" s="10">
        <v>714</v>
      </c>
      <c r="C1764" s="10" t="s">
        <v>323</v>
      </c>
      <c r="D1764" t="s">
        <v>2885</v>
      </c>
      <c r="E1764" t="s">
        <v>2886</v>
      </c>
      <c r="F1764" s="10" t="s">
        <v>23</v>
      </c>
      <c r="G1764" s="2">
        <v>90.452500000000001</v>
      </c>
      <c r="H1764" s="13">
        <v>3</v>
      </c>
      <c r="I1764" s="13">
        <v>1</v>
      </c>
      <c r="J1764" s="13">
        <v>-1</v>
      </c>
      <c r="K1764" s="10">
        <v>3</v>
      </c>
      <c r="L1764" s="2">
        <v>271.35750000000002</v>
      </c>
      <c r="M1764" s="1">
        <v>45759.426388888889</v>
      </c>
      <c r="N1764" t="s">
        <v>2887</v>
      </c>
    </row>
    <row r="1765" spans="1:14" x14ac:dyDescent="0.25">
      <c r="A1765" s="9" t="s">
        <v>5211</v>
      </c>
      <c r="B1765" s="10">
        <v>636</v>
      </c>
      <c r="C1765" s="10" t="s">
        <v>1749</v>
      </c>
      <c r="D1765" t="s">
        <v>1766</v>
      </c>
      <c r="E1765" t="s">
        <v>1767</v>
      </c>
      <c r="F1765" s="10" t="s">
        <v>39</v>
      </c>
      <c r="G1765" s="2">
        <v>41.797600000000003</v>
      </c>
      <c r="H1765" s="13">
        <v>3</v>
      </c>
      <c r="I1765" s="13">
        <v>0</v>
      </c>
      <c r="J1765" s="13">
        <v>0</v>
      </c>
      <c r="K1765" s="10">
        <v>3</v>
      </c>
      <c r="L1765" s="2">
        <v>125.39279999999999</v>
      </c>
      <c r="M1765" s="1">
        <v>45761.387499999997</v>
      </c>
      <c r="N1765" t="s">
        <v>797</v>
      </c>
    </row>
    <row r="1766" spans="1:14" x14ac:dyDescent="0.25">
      <c r="A1766" s="9" t="s">
        <v>5211</v>
      </c>
      <c r="B1766" s="10">
        <v>718</v>
      </c>
      <c r="C1766" s="10" t="s">
        <v>323</v>
      </c>
      <c r="D1766" t="s">
        <v>3372</v>
      </c>
      <c r="E1766" t="s">
        <v>3373</v>
      </c>
      <c r="F1766" s="10" t="s">
        <v>29</v>
      </c>
      <c r="G1766" s="2">
        <v>92.393100000000004</v>
      </c>
      <c r="H1766" s="13">
        <v>3</v>
      </c>
      <c r="I1766" s="13">
        <v>0</v>
      </c>
      <c r="J1766" s="13">
        <v>0</v>
      </c>
      <c r="K1766" s="10">
        <v>3</v>
      </c>
      <c r="L1766" s="2">
        <v>277.17930000000001</v>
      </c>
      <c r="M1766" s="1">
        <v>45762.447222222225</v>
      </c>
      <c r="N1766" t="s">
        <v>1062</v>
      </c>
    </row>
    <row r="1767" spans="1:14" x14ac:dyDescent="0.25">
      <c r="A1767" s="9" t="s">
        <v>5211</v>
      </c>
      <c r="B1767" s="10">
        <v>714</v>
      </c>
      <c r="C1767" s="10" t="s">
        <v>323</v>
      </c>
      <c r="D1767" t="s">
        <v>4312</v>
      </c>
      <c r="E1767" t="s">
        <v>4313</v>
      </c>
      <c r="F1767" s="10" t="s">
        <v>1047</v>
      </c>
      <c r="G1767" s="2">
        <v>125.2971</v>
      </c>
      <c r="H1767" s="13">
        <v>3</v>
      </c>
      <c r="I1767" s="13">
        <v>5</v>
      </c>
      <c r="J1767" s="13">
        <v>-5</v>
      </c>
      <c r="K1767" s="10">
        <v>3</v>
      </c>
      <c r="L1767" s="2">
        <v>375.8913</v>
      </c>
      <c r="M1767" s="1">
        <v>45762.484722222223</v>
      </c>
      <c r="N1767" t="s">
        <v>151</v>
      </c>
    </row>
    <row r="1768" spans="1:14" x14ac:dyDescent="0.25">
      <c r="A1768" s="9" t="s">
        <v>5211</v>
      </c>
      <c r="B1768" s="10">
        <v>718</v>
      </c>
      <c r="C1768" s="10" t="s">
        <v>323</v>
      </c>
      <c r="D1768" t="s">
        <v>3353</v>
      </c>
      <c r="E1768" t="s">
        <v>3354</v>
      </c>
      <c r="F1768" s="10" t="s">
        <v>23</v>
      </c>
      <c r="G1768" s="2">
        <v>257.93299999999999</v>
      </c>
      <c r="H1768" s="13">
        <v>3</v>
      </c>
      <c r="I1768" s="13">
        <v>2</v>
      </c>
      <c r="J1768" s="13">
        <v>-2</v>
      </c>
      <c r="K1768" s="10">
        <v>3</v>
      </c>
      <c r="L1768" s="2">
        <v>773.79899999999998</v>
      </c>
      <c r="M1768" s="1">
        <v>45764.611111111109</v>
      </c>
      <c r="N1768" t="s">
        <v>159</v>
      </c>
    </row>
    <row r="1769" spans="1:14" x14ac:dyDescent="0.25">
      <c r="A1769" s="9" t="s">
        <v>5211</v>
      </c>
      <c r="B1769" s="10">
        <v>634</v>
      </c>
      <c r="C1769" s="10" t="s">
        <v>323</v>
      </c>
      <c r="D1769" t="s">
        <v>4268</v>
      </c>
      <c r="E1769" t="s">
        <v>4269</v>
      </c>
      <c r="F1769" s="10" t="s">
        <v>23</v>
      </c>
      <c r="G1769" s="2">
        <v>195.96530000000001</v>
      </c>
      <c r="H1769" s="13">
        <v>3</v>
      </c>
      <c r="I1769" s="13">
        <v>0</v>
      </c>
      <c r="J1769" s="13">
        <v>0</v>
      </c>
      <c r="K1769" s="10">
        <v>3</v>
      </c>
      <c r="L1769" s="2">
        <v>587.89589999999998</v>
      </c>
      <c r="M1769" s="1">
        <v>45764.657638888886</v>
      </c>
      <c r="N1769" t="s">
        <v>151</v>
      </c>
    </row>
    <row r="1770" spans="1:14" x14ac:dyDescent="0.25">
      <c r="A1770" s="9" t="s">
        <v>5211</v>
      </c>
      <c r="B1770" s="10">
        <v>714</v>
      </c>
      <c r="C1770" s="10" t="s">
        <v>143</v>
      </c>
      <c r="D1770" t="s">
        <v>2511</v>
      </c>
      <c r="E1770" s="6" t="s">
        <v>2512</v>
      </c>
      <c r="F1770" s="11" t="s">
        <v>58</v>
      </c>
      <c r="G1770" s="2">
        <v>37.042900000000003</v>
      </c>
      <c r="H1770" s="13">
        <v>3</v>
      </c>
      <c r="I1770" s="13">
        <v>0</v>
      </c>
      <c r="J1770" s="13">
        <v>0</v>
      </c>
      <c r="K1770" s="10">
        <v>3</v>
      </c>
      <c r="L1770" s="2">
        <v>111.12869999999999</v>
      </c>
      <c r="M1770" s="1">
        <v>45769.556250000001</v>
      </c>
      <c r="N1770" t="s">
        <v>1867</v>
      </c>
    </row>
    <row r="1771" spans="1:14" x14ac:dyDescent="0.25">
      <c r="A1771" s="9" t="s">
        <v>5211</v>
      </c>
      <c r="B1771" s="10">
        <v>636</v>
      </c>
      <c r="C1771" s="10" t="s">
        <v>143</v>
      </c>
      <c r="D1771" t="s">
        <v>4523</v>
      </c>
      <c r="E1771" s="6" t="s">
        <v>4524</v>
      </c>
      <c r="F1771" s="11" t="s">
        <v>58</v>
      </c>
      <c r="G1771" s="2">
        <v>19.826499999999999</v>
      </c>
      <c r="H1771" s="13">
        <v>3</v>
      </c>
      <c r="I1771" s="13">
        <v>97</v>
      </c>
      <c r="J1771" s="13">
        <v>-97</v>
      </c>
      <c r="K1771" s="10">
        <v>3</v>
      </c>
      <c r="L1771" s="2">
        <v>59.479500000000002</v>
      </c>
      <c r="M1771" s="1">
        <v>45772.438888888886</v>
      </c>
      <c r="N1771" t="s">
        <v>40</v>
      </c>
    </row>
    <row r="1772" spans="1:14" x14ac:dyDescent="0.25">
      <c r="A1772" s="9" t="s">
        <v>5211</v>
      </c>
      <c r="B1772" s="10">
        <v>714</v>
      </c>
      <c r="C1772" s="10" t="s">
        <v>323</v>
      </c>
      <c r="D1772" t="s">
        <v>3304</v>
      </c>
      <c r="E1772" t="s">
        <v>3305</v>
      </c>
      <c r="F1772" s="10" t="s">
        <v>29</v>
      </c>
      <c r="G1772" s="2">
        <v>290.16059999999999</v>
      </c>
      <c r="H1772" s="13">
        <v>3</v>
      </c>
      <c r="I1772" s="13">
        <v>1</v>
      </c>
      <c r="J1772" s="13">
        <v>-1</v>
      </c>
      <c r="K1772" s="10">
        <v>3</v>
      </c>
      <c r="L1772" s="2">
        <v>870.48180000000002</v>
      </c>
      <c r="M1772" s="1">
        <v>45773.329861111109</v>
      </c>
      <c r="N1772" t="s">
        <v>151</v>
      </c>
    </row>
    <row r="1773" spans="1:14" x14ac:dyDescent="0.25">
      <c r="A1773" s="9" t="s">
        <v>5211</v>
      </c>
      <c r="B1773" s="10">
        <v>714</v>
      </c>
      <c r="C1773" s="10" t="s">
        <v>323</v>
      </c>
      <c r="D1773" t="s">
        <v>3020</v>
      </c>
      <c r="E1773" s="6" t="s">
        <v>3021</v>
      </c>
      <c r="F1773" s="11" t="s">
        <v>58</v>
      </c>
      <c r="G1773" s="2">
        <v>128.63460000000001</v>
      </c>
      <c r="H1773" s="13">
        <v>3</v>
      </c>
      <c r="I1773" s="13">
        <v>0</v>
      </c>
      <c r="J1773" s="13">
        <v>0</v>
      </c>
      <c r="K1773" s="10">
        <v>3</v>
      </c>
      <c r="L1773" s="2">
        <v>385.90379999999999</v>
      </c>
      <c r="M1773" s="1">
        <v>45776.32708333333</v>
      </c>
      <c r="N1773" t="s">
        <v>2898</v>
      </c>
    </row>
    <row r="1774" spans="1:14" x14ac:dyDescent="0.25">
      <c r="A1774" s="9" t="s">
        <v>5211</v>
      </c>
      <c r="B1774" s="10">
        <v>714</v>
      </c>
      <c r="C1774" s="10" t="s">
        <v>323</v>
      </c>
      <c r="D1774" t="s">
        <v>2963</v>
      </c>
      <c r="E1774" t="s">
        <v>2964</v>
      </c>
      <c r="F1774" s="10" t="s">
        <v>29</v>
      </c>
      <c r="G1774" s="2">
        <v>368.43279999999999</v>
      </c>
      <c r="H1774" s="13">
        <v>3</v>
      </c>
      <c r="I1774" s="13">
        <v>0</v>
      </c>
      <c r="J1774" s="13">
        <v>0</v>
      </c>
      <c r="K1774" s="10">
        <v>3</v>
      </c>
      <c r="L1774" s="2">
        <v>1105.2983999999999</v>
      </c>
      <c r="M1774" s="1">
        <v>45776.645833333336</v>
      </c>
      <c r="N1774" t="s">
        <v>501</v>
      </c>
    </row>
    <row r="1775" spans="1:14" x14ac:dyDescent="0.25">
      <c r="A1775" s="9" t="s">
        <v>5211</v>
      </c>
      <c r="B1775" s="10">
        <v>714</v>
      </c>
      <c r="C1775" s="10" t="s">
        <v>143</v>
      </c>
      <c r="D1775" t="s">
        <v>2354</v>
      </c>
      <c r="E1775" t="s">
        <v>2355</v>
      </c>
      <c r="F1775" s="10" t="s">
        <v>35</v>
      </c>
      <c r="G1775" s="2">
        <v>30.500900000000001</v>
      </c>
      <c r="H1775" s="13">
        <v>3</v>
      </c>
      <c r="I1775" s="13">
        <v>0</v>
      </c>
      <c r="J1775" s="13">
        <v>0</v>
      </c>
      <c r="K1775" s="10">
        <v>3</v>
      </c>
      <c r="L1775" s="2">
        <v>91.502700000000004</v>
      </c>
      <c r="M1775" s="1">
        <v>45776.645833333336</v>
      </c>
      <c r="N1775" t="s">
        <v>501</v>
      </c>
    </row>
    <row r="1776" spans="1:14" x14ac:dyDescent="0.25">
      <c r="A1776" s="9" t="s">
        <v>5211</v>
      </c>
      <c r="B1776" s="10">
        <v>636</v>
      </c>
      <c r="C1776" s="10" t="s">
        <v>323</v>
      </c>
      <c r="D1776" t="s">
        <v>1572</v>
      </c>
      <c r="E1776" t="s">
        <v>1573</v>
      </c>
      <c r="F1776" s="10" t="s">
        <v>1400</v>
      </c>
      <c r="G1776" s="2">
        <v>999.03989999999999</v>
      </c>
      <c r="H1776" s="13">
        <v>3</v>
      </c>
      <c r="I1776" s="13">
        <v>0</v>
      </c>
      <c r="J1776" s="13">
        <v>0</v>
      </c>
      <c r="K1776" s="10">
        <v>3</v>
      </c>
      <c r="L1776" s="2">
        <v>2997.1197000000002</v>
      </c>
      <c r="M1776" s="1">
        <v>45778.335416666669</v>
      </c>
      <c r="N1776" t="s">
        <v>1437</v>
      </c>
    </row>
    <row r="1777" spans="1:14" x14ac:dyDescent="0.25">
      <c r="A1777" s="9" t="s">
        <v>5211</v>
      </c>
      <c r="B1777" s="10">
        <v>636</v>
      </c>
      <c r="C1777" s="10" t="s">
        <v>323</v>
      </c>
      <c r="D1777" t="s">
        <v>1328</v>
      </c>
      <c r="E1777" t="s">
        <v>1329</v>
      </c>
      <c r="F1777" s="10" t="s">
        <v>29</v>
      </c>
      <c r="G1777" s="2">
        <v>233.9674</v>
      </c>
      <c r="H1777" s="13">
        <v>3</v>
      </c>
      <c r="I1777" s="13">
        <v>0</v>
      </c>
      <c r="J1777" s="13">
        <v>0</v>
      </c>
      <c r="K1777" s="10">
        <v>3</v>
      </c>
      <c r="L1777" s="2">
        <v>701.90219999999999</v>
      </c>
      <c r="M1777" s="1">
        <v>45779.317361111112</v>
      </c>
      <c r="N1777" t="s">
        <v>165</v>
      </c>
    </row>
    <row r="1778" spans="1:14" x14ac:dyDescent="0.25">
      <c r="A1778" s="9" t="s">
        <v>5211</v>
      </c>
      <c r="B1778" s="10">
        <v>714</v>
      </c>
      <c r="C1778" s="10" t="s">
        <v>143</v>
      </c>
      <c r="D1778" t="s">
        <v>2308</v>
      </c>
      <c r="E1778" t="s">
        <v>2309</v>
      </c>
      <c r="F1778" s="10" t="s">
        <v>35</v>
      </c>
      <c r="G1778" s="2">
        <v>108.1665</v>
      </c>
      <c r="H1778" s="13">
        <v>3</v>
      </c>
      <c r="I1778" s="13">
        <v>0</v>
      </c>
      <c r="J1778" s="13">
        <v>0</v>
      </c>
      <c r="K1778" s="10">
        <v>3</v>
      </c>
      <c r="L1778" s="2">
        <v>324.49950000000001</v>
      </c>
      <c r="M1778" s="1">
        <v>45782.355555555558</v>
      </c>
      <c r="N1778" t="s">
        <v>137</v>
      </c>
    </row>
    <row r="1779" spans="1:14" x14ac:dyDescent="0.25">
      <c r="A1779" s="9" t="s">
        <v>5211</v>
      </c>
      <c r="B1779" s="10">
        <v>714</v>
      </c>
      <c r="C1779" s="10" t="s">
        <v>143</v>
      </c>
      <c r="D1779" t="s">
        <v>2207</v>
      </c>
      <c r="E1779" t="s">
        <v>2208</v>
      </c>
      <c r="F1779" s="10" t="s">
        <v>35</v>
      </c>
      <c r="G1779" s="2">
        <v>101.43340000000001</v>
      </c>
      <c r="H1779" s="13">
        <v>3</v>
      </c>
      <c r="I1779" s="13">
        <v>1</v>
      </c>
      <c r="J1779" s="13">
        <v>-1</v>
      </c>
      <c r="K1779" s="10">
        <v>3</v>
      </c>
      <c r="L1779" s="2">
        <v>304.30020000000002</v>
      </c>
      <c r="M1779" s="1">
        <v>45784.373611111114</v>
      </c>
      <c r="N1779" t="s">
        <v>67</v>
      </c>
    </row>
    <row r="1780" spans="1:14" x14ac:dyDescent="0.25">
      <c r="A1780" s="9" t="s">
        <v>5211</v>
      </c>
      <c r="B1780" s="10">
        <v>714</v>
      </c>
      <c r="C1780" s="10" t="s">
        <v>323</v>
      </c>
      <c r="D1780" t="s">
        <v>3518</v>
      </c>
      <c r="E1780" s="6" t="s">
        <v>3519</v>
      </c>
      <c r="F1780" s="11" t="s">
        <v>58</v>
      </c>
      <c r="G1780" s="2">
        <v>208.2927</v>
      </c>
      <c r="H1780" s="13">
        <v>3</v>
      </c>
      <c r="I1780" s="13">
        <v>0</v>
      </c>
      <c r="J1780" s="13">
        <v>0</v>
      </c>
      <c r="K1780" s="10">
        <v>3</v>
      </c>
      <c r="L1780" s="2">
        <v>624.87810000000002</v>
      </c>
      <c r="M1780" s="1">
        <v>45785.349305555559</v>
      </c>
      <c r="N1780" t="s">
        <v>2457</v>
      </c>
    </row>
    <row r="1781" spans="1:14" x14ac:dyDescent="0.25">
      <c r="A1781" s="9" t="s">
        <v>5211</v>
      </c>
      <c r="B1781" s="10">
        <v>714</v>
      </c>
      <c r="C1781" s="10" t="s">
        <v>143</v>
      </c>
      <c r="D1781" t="s">
        <v>2377</v>
      </c>
      <c r="E1781" s="6" t="s">
        <v>2378</v>
      </c>
      <c r="F1781" s="11" t="s">
        <v>58</v>
      </c>
      <c r="G1781" s="2">
        <v>174.7184</v>
      </c>
      <c r="H1781" s="13">
        <v>3</v>
      </c>
      <c r="I1781" s="13">
        <v>0</v>
      </c>
      <c r="J1781" s="13">
        <v>0</v>
      </c>
      <c r="K1781" s="10">
        <v>3</v>
      </c>
      <c r="L1781" s="2">
        <v>524.15520000000004</v>
      </c>
      <c r="M1781" s="1">
        <v>45790.337500000001</v>
      </c>
      <c r="N1781" t="s">
        <v>2379</v>
      </c>
    </row>
    <row r="1782" spans="1:14" x14ac:dyDescent="0.25">
      <c r="A1782" s="9" t="s">
        <v>5211</v>
      </c>
      <c r="B1782" s="10">
        <v>714</v>
      </c>
      <c r="C1782" s="10" t="s">
        <v>323</v>
      </c>
      <c r="D1782" t="s">
        <v>2918</v>
      </c>
      <c r="E1782" t="s">
        <v>2919</v>
      </c>
      <c r="F1782" s="10" t="s">
        <v>29</v>
      </c>
      <c r="G1782" s="2">
        <v>94.956599999999995</v>
      </c>
      <c r="H1782" s="13">
        <v>3</v>
      </c>
      <c r="I1782" s="13">
        <v>1</v>
      </c>
      <c r="J1782" s="13">
        <v>-1</v>
      </c>
      <c r="K1782" s="10">
        <v>3</v>
      </c>
      <c r="L1782" s="2">
        <v>284.8698</v>
      </c>
      <c r="M1782" s="1">
        <v>45793.530555555553</v>
      </c>
      <c r="N1782" t="s">
        <v>1062</v>
      </c>
    </row>
    <row r="1783" spans="1:14" x14ac:dyDescent="0.25">
      <c r="A1783" s="9" t="s">
        <v>5211</v>
      </c>
      <c r="B1783" s="10">
        <v>718</v>
      </c>
      <c r="C1783" s="10" t="s">
        <v>143</v>
      </c>
      <c r="D1783" t="s">
        <v>995</v>
      </c>
      <c r="E1783" t="s">
        <v>996</v>
      </c>
      <c r="F1783" s="10" t="s">
        <v>123</v>
      </c>
      <c r="G1783" s="2">
        <v>19.638999999999999</v>
      </c>
      <c r="H1783" s="13">
        <v>3</v>
      </c>
      <c r="I1783" s="13">
        <v>8</v>
      </c>
      <c r="J1783" s="13">
        <v>-8</v>
      </c>
      <c r="K1783" s="10">
        <v>3</v>
      </c>
      <c r="L1783" s="2">
        <v>58.917000000000002</v>
      </c>
      <c r="M1783" s="1">
        <v>45806.470138888886</v>
      </c>
      <c r="N1783" t="s">
        <v>40</v>
      </c>
    </row>
    <row r="1784" spans="1:14" x14ac:dyDescent="0.25">
      <c r="A1784" s="9" t="s">
        <v>5211</v>
      </c>
      <c r="B1784" s="10">
        <v>714</v>
      </c>
      <c r="C1784" s="10" t="s">
        <v>143</v>
      </c>
      <c r="D1784" t="s">
        <v>4815</v>
      </c>
      <c r="E1784" t="s">
        <v>4816</v>
      </c>
      <c r="F1784" s="10" t="s">
        <v>15</v>
      </c>
      <c r="G1784" s="2">
        <v>14.9772</v>
      </c>
      <c r="H1784" s="13">
        <v>3</v>
      </c>
      <c r="I1784" s="13">
        <v>2</v>
      </c>
      <c r="J1784" s="13">
        <v>-2</v>
      </c>
      <c r="K1784" s="10">
        <v>3</v>
      </c>
      <c r="L1784" s="2">
        <v>44.931600000000003</v>
      </c>
      <c r="M1784" s="1">
        <v>45812.615277777775</v>
      </c>
      <c r="N1784" t="s">
        <v>162</v>
      </c>
    </row>
    <row r="1785" spans="1:14" x14ac:dyDescent="0.25">
      <c r="A1785" s="9" t="s">
        <v>5211</v>
      </c>
      <c r="B1785" s="10">
        <v>714</v>
      </c>
      <c r="C1785" s="10" t="s">
        <v>323</v>
      </c>
      <c r="D1785" t="s">
        <v>436</v>
      </c>
      <c r="E1785" t="s">
        <v>437</v>
      </c>
      <c r="F1785" s="10" t="s">
        <v>35</v>
      </c>
      <c r="G1785" s="2">
        <v>197.73599999999999</v>
      </c>
      <c r="H1785" s="13">
        <v>3</v>
      </c>
      <c r="I1785" s="13">
        <v>-2</v>
      </c>
      <c r="J1785" s="13">
        <v>2</v>
      </c>
      <c r="K1785" s="10">
        <v>3</v>
      </c>
      <c r="L1785" s="2">
        <v>593.20799999999997</v>
      </c>
      <c r="M1785" s="1">
        <v>45812.629166666666</v>
      </c>
      <c r="N1785" t="s">
        <v>402</v>
      </c>
    </row>
    <row r="1786" spans="1:14" x14ac:dyDescent="0.25">
      <c r="A1786" s="9" t="s">
        <v>5211</v>
      </c>
      <c r="B1786" s="10">
        <v>718</v>
      </c>
      <c r="C1786" s="10" t="s">
        <v>143</v>
      </c>
      <c r="D1786" t="s">
        <v>179</v>
      </c>
      <c r="E1786" t="s">
        <v>180</v>
      </c>
      <c r="F1786" s="10" t="s">
        <v>1400</v>
      </c>
      <c r="G1786" s="2">
        <v>18.6783</v>
      </c>
      <c r="H1786" s="13">
        <v>3</v>
      </c>
      <c r="I1786" s="13">
        <v>0</v>
      </c>
      <c r="J1786" s="13">
        <v>0</v>
      </c>
      <c r="K1786" s="10">
        <v>3</v>
      </c>
      <c r="L1786" s="2">
        <v>56.0349</v>
      </c>
      <c r="M1786" s="1">
        <v>45821.616666666669</v>
      </c>
      <c r="N1786" t="s">
        <v>26</v>
      </c>
    </row>
    <row r="1787" spans="1:14" x14ac:dyDescent="0.25">
      <c r="A1787" s="9" t="s">
        <v>5211</v>
      </c>
      <c r="B1787" s="10">
        <v>718</v>
      </c>
      <c r="C1787" s="10" t="s">
        <v>323</v>
      </c>
      <c r="D1787" t="s">
        <v>4363</v>
      </c>
      <c r="E1787" t="s">
        <v>4364</v>
      </c>
      <c r="F1787" s="10" t="s">
        <v>39</v>
      </c>
      <c r="G1787" s="2">
        <v>66.011099999999999</v>
      </c>
      <c r="H1787" s="13">
        <v>3</v>
      </c>
      <c r="I1787" s="13">
        <v>13</v>
      </c>
      <c r="J1787" s="13">
        <v>-13</v>
      </c>
      <c r="K1787" s="10">
        <v>3</v>
      </c>
      <c r="L1787" s="2">
        <v>198.0333</v>
      </c>
      <c r="M1787" s="1">
        <v>45825.423611111109</v>
      </c>
      <c r="N1787" t="s">
        <v>146</v>
      </c>
    </row>
    <row r="1788" spans="1:14" x14ac:dyDescent="0.25">
      <c r="A1788" s="9" t="s">
        <v>5211</v>
      </c>
      <c r="B1788" s="10">
        <v>718</v>
      </c>
      <c r="C1788" s="10" t="s">
        <v>323</v>
      </c>
      <c r="D1788" t="s">
        <v>3909</v>
      </c>
      <c r="E1788" t="s">
        <v>3910</v>
      </c>
      <c r="F1788" s="10" t="s">
        <v>29</v>
      </c>
      <c r="G1788" s="2">
        <v>97.7226</v>
      </c>
      <c r="H1788" s="13">
        <v>3</v>
      </c>
      <c r="I1788" s="13">
        <v>0</v>
      </c>
      <c r="J1788" s="13">
        <v>0</v>
      </c>
      <c r="K1788" s="10">
        <v>3</v>
      </c>
      <c r="L1788" s="2">
        <v>293.1678</v>
      </c>
      <c r="M1788" s="1">
        <v>45827.370138888888</v>
      </c>
      <c r="N1788" t="s">
        <v>3009</v>
      </c>
    </row>
    <row r="1789" spans="1:14" x14ac:dyDescent="0.25">
      <c r="A1789" s="9" t="s">
        <v>5211</v>
      </c>
      <c r="B1789" s="10">
        <v>718</v>
      </c>
      <c r="C1789" s="10" t="s">
        <v>143</v>
      </c>
      <c r="D1789" t="s">
        <v>193</v>
      </c>
      <c r="E1789" t="s">
        <v>194</v>
      </c>
      <c r="F1789" s="10" t="s">
        <v>39</v>
      </c>
      <c r="G1789" s="2">
        <v>51.2547</v>
      </c>
      <c r="H1789" s="13">
        <v>3</v>
      </c>
      <c r="I1789" s="13">
        <v>0</v>
      </c>
      <c r="J1789" s="13">
        <v>0</v>
      </c>
      <c r="K1789" s="10">
        <v>3</v>
      </c>
      <c r="L1789" s="2">
        <v>153.76410000000001</v>
      </c>
      <c r="M1789" s="1">
        <v>45832.622916666667</v>
      </c>
      <c r="N1789" t="s">
        <v>195</v>
      </c>
    </row>
    <row r="1790" spans="1:14" x14ac:dyDescent="0.25">
      <c r="A1790" s="9" t="s">
        <v>5211</v>
      </c>
      <c r="B1790" s="10">
        <v>714</v>
      </c>
      <c r="C1790" s="10" t="s">
        <v>323</v>
      </c>
      <c r="D1790" t="s">
        <v>3417</v>
      </c>
      <c r="E1790" t="s">
        <v>3418</v>
      </c>
      <c r="F1790" s="10" t="s">
        <v>1047</v>
      </c>
      <c r="G1790" s="2">
        <v>128.446</v>
      </c>
      <c r="H1790" s="13">
        <v>3</v>
      </c>
      <c r="I1790" s="13">
        <v>0</v>
      </c>
      <c r="J1790" s="13">
        <v>0</v>
      </c>
      <c r="K1790" s="10">
        <v>3</v>
      </c>
      <c r="L1790" s="2">
        <v>385.33800000000002</v>
      </c>
      <c r="M1790" s="1">
        <v>45834.585416666669</v>
      </c>
      <c r="N1790" t="s">
        <v>1535</v>
      </c>
    </row>
    <row r="1791" spans="1:14" x14ac:dyDescent="0.25">
      <c r="A1791" s="9" t="s">
        <v>5211</v>
      </c>
      <c r="B1791" s="10">
        <v>714</v>
      </c>
      <c r="C1791" s="10" t="s">
        <v>143</v>
      </c>
      <c r="D1791" t="s">
        <v>2292</v>
      </c>
      <c r="E1791" s="6" t="s">
        <v>2293</v>
      </c>
      <c r="F1791" s="11" t="s">
        <v>58</v>
      </c>
      <c r="G1791" s="2">
        <v>137.32769999999999</v>
      </c>
      <c r="H1791" s="13">
        <v>3</v>
      </c>
      <c r="I1791" s="13">
        <v>0</v>
      </c>
      <c r="J1791" s="13">
        <v>0</v>
      </c>
      <c r="K1791" s="10">
        <v>3</v>
      </c>
      <c r="L1791" s="2">
        <v>411.98309999999998</v>
      </c>
      <c r="M1791" s="1">
        <v>45835.557638888888</v>
      </c>
      <c r="N1791" t="s">
        <v>137</v>
      </c>
    </row>
    <row r="1792" spans="1:14" x14ac:dyDescent="0.25">
      <c r="A1792" s="9" t="s">
        <v>5211</v>
      </c>
      <c r="B1792" s="10">
        <v>718</v>
      </c>
      <c r="C1792" s="10" t="s">
        <v>143</v>
      </c>
      <c r="D1792" t="s">
        <v>3812</v>
      </c>
      <c r="E1792" t="s">
        <v>3813</v>
      </c>
      <c r="F1792" s="10" t="s">
        <v>29</v>
      </c>
      <c r="G1792" s="2">
        <v>14.1609</v>
      </c>
      <c r="H1792" s="13">
        <v>3</v>
      </c>
      <c r="I1792" s="13">
        <v>2</v>
      </c>
      <c r="J1792" s="13">
        <v>-2</v>
      </c>
      <c r="K1792" s="10">
        <v>3</v>
      </c>
      <c r="L1792" s="2">
        <v>42.482700000000001</v>
      </c>
      <c r="M1792" s="1">
        <v>45856.443055555559</v>
      </c>
      <c r="N1792" t="s">
        <v>26</v>
      </c>
    </row>
    <row r="1793" spans="1:14" x14ac:dyDescent="0.25">
      <c r="A1793" s="9" t="s">
        <v>5211</v>
      </c>
      <c r="B1793" s="10">
        <v>634</v>
      </c>
      <c r="C1793" s="10" t="s">
        <v>143</v>
      </c>
      <c r="D1793" t="s">
        <v>219</v>
      </c>
      <c r="E1793" t="s">
        <v>220</v>
      </c>
      <c r="F1793" s="10" t="s">
        <v>29</v>
      </c>
      <c r="G1793" s="2">
        <v>16.0351</v>
      </c>
      <c r="H1793" s="13">
        <v>3</v>
      </c>
      <c r="I1793" s="13">
        <v>0</v>
      </c>
      <c r="J1793" s="13">
        <v>0</v>
      </c>
      <c r="K1793" s="10">
        <v>3</v>
      </c>
      <c r="L1793" s="2">
        <v>48.1053</v>
      </c>
      <c r="M1793" s="1">
        <v>45868.500694444447</v>
      </c>
      <c r="N1793" t="s">
        <v>40</v>
      </c>
    </row>
    <row r="1794" spans="1:14" x14ac:dyDescent="0.25">
      <c r="A1794" s="9" t="s">
        <v>5211</v>
      </c>
      <c r="B1794" s="10">
        <v>718</v>
      </c>
      <c r="C1794" s="10" t="s">
        <v>143</v>
      </c>
      <c r="D1794" t="s">
        <v>214</v>
      </c>
      <c r="E1794" t="s">
        <v>215</v>
      </c>
      <c r="F1794" s="10" t="s">
        <v>35</v>
      </c>
      <c r="G1794" s="2">
        <v>26.0883</v>
      </c>
      <c r="H1794" s="13">
        <v>3</v>
      </c>
      <c r="I1794" s="13">
        <v>4</v>
      </c>
      <c r="J1794" s="13">
        <v>-4</v>
      </c>
      <c r="K1794" s="10">
        <v>3</v>
      </c>
      <c r="L1794" s="2">
        <v>78.264899999999997</v>
      </c>
      <c r="M1794" s="1">
        <v>45890.426388888889</v>
      </c>
      <c r="N1794" t="s">
        <v>268</v>
      </c>
    </row>
    <row r="1795" spans="1:14" x14ac:dyDescent="0.25">
      <c r="A1795" s="9" t="s">
        <v>5211</v>
      </c>
      <c r="B1795" s="10">
        <v>636</v>
      </c>
      <c r="C1795" s="10" t="s">
        <v>323</v>
      </c>
      <c r="D1795" t="s">
        <v>1342</v>
      </c>
      <c r="E1795" s="6" t="s">
        <v>1343</v>
      </c>
      <c r="F1795" s="11" t="s">
        <v>58</v>
      </c>
      <c r="G1795" s="2">
        <v>55.863100000000003</v>
      </c>
      <c r="H1795" s="13">
        <v>3</v>
      </c>
      <c r="I1795" s="13">
        <v>0</v>
      </c>
      <c r="J1795" s="13">
        <v>0</v>
      </c>
      <c r="K1795" s="10">
        <v>3</v>
      </c>
      <c r="L1795" s="2">
        <v>167.58930000000001</v>
      </c>
      <c r="M1795" s="1">
        <v>45912.533333333333</v>
      </c>
      <c r="N1795" t="s">
        <v>40</v>
      </c>
    </row>
    <row r="1796" spans="1:14" x14ac:dyDescent="0.25">
      <c r="A1796" s="9" t="s">
        <v>5211</v>
      </c>
      <c r="B1796" s="10">
        <v>714</v>
      </c>
      <c r="C1796" s="10" t="s">
        <v>323</v>
      </c>
      <c r="D1796" t="s">
        <v>4991</v>
      </c>
      <c r="E1796" s="6" t="s">
        <v>4992</v>
      </c>
      <c r="F1796" s="11" t="s">
        <v>58</v>
      </c>
      <c r="G1796" s="2">
        <v>299.87200000000001</v>
      </c>
      <c r="H1796" s="13">
        <v>3</v>
      </c>
      <c r="I1796" s="13">
        <v>0</v>
      </c>
      <c r="J1796" s="13">
        <v>0</v>
      </c>
      <c r="K1796" s="10">
        <v>3</v>
      </c>
      <c r="L1796" s="2">
        <v>899.61599999999999</v>
      </c>
      <c r="M1796" s="1">
        <v>45922.579861111109</v>
      </c>
      <c r="N1796" t="s">
        <v>2423</v>
      </c>
    </row>
    <row r="1797" spans="1:14" x14ac:dyDescent="0.25">
      <c r="A1797" s="9" t="s">
        <v>5211</v>
      </c>
      <c r="B1797" s="10">
        <v>636</v>
      </c>
      <c r="C1797" s="10" t="s">
        <v>143</v>
      </c>
      <c r="D1797" t="s">
        <v>4573</v>
      </c>
      <c r="E1797" t="s">
        <v>4574</v>
      </c>
      <c r="F1797" s="10" t="s">
        <v>29</v>
      </c>
      <c r="G1797" s="2">
        <v>70.866200000000006</v>
      </c>
      <c r="H1797" s="13">
        <v>3</v>
      </c>
      <c r="I1797" s="13">
        <v>0</v>
      </c>
      <c r="J1797" s="13">
        <v>0</v>
      </c>
      <c r="K1797" s="10">
        <v>3</v>
      </c>
      <c r="L1797" s="2">
        <v>212.5986</v>
      </c>
      <c r="M1797" s="1">
        <v>45926.381944444445</v>
      </c>
      <c r="N1797" t="s">
        <v>830</v>
      </c>
    </row>
    <row r="1798" spans="1:14" x14ac:dyDescent="0.25">
      <c r="A1798" s="9" t="s">
        <v>5211</v>
      </c>
      <c r="B1798" s="10">
        <v>714</v>
      </c>
      <c r="C1798" s="10" t="s">
        <v>323</v>
      </c>
      <c r="D1798" t="s">
        <v>4960</v>
      </c>
      <c r="E1798" t="s">
        <v>4961</v>
      </c>
      <c r="F1798" s="10" t="s">
        <v>29</v>
      </c>
      <c r="G1798" s="2">
        <v>168</v>
      </c>
      <c r="H1798" s="13">
        <v>3</v>
      </c>
      <c r="I1798" s="13">
        <v>3</v>
      </c>
      <c r="J1798" s="13">
        <v>-3</v>
      </c>
      <c r="K1798" s="10">
        <v>3</v>
      </c>
      <c r="L1798" s="2">
        <v>504</v>
      </c>
      <c r="M1798" s="1">
        <v>45930.348611111112</v>
      </c>
      <c r="N1798" t="s">
        <v>345</v>
      </c>
    </row>
    <row r="1799" spans="1:14" x14ac:dyDescent="0.25">
      <c r="A1799" s="9" t="s">
        <v>5211</v>
      </c>
      <c r="B1799" s="10">
        <v>714</v>
      </c>
      <c r="C1799" s="10" t="s">
        <v>323</v>
      </c>
      <c r="D1799" t="s">
        <v>2883</v>
      </c>
      <c r="E1799" t="s">
        <v>2884</v>
      </c>
      <c r="F1799" s="10" t="s">
        <v>29</v>
      </c>
      <c r="G1799" s="2">
        <v>159.16749999999999</v>
      </c>
      <c r="H1799" s="13">
        <v>3</v>
      </c>
      <c r="I1799" s="13">
        <v>1</v>
      </c>
      <c r="J1799" s="13">
        <v>-1</v>
      </c>
      <c r="K1799" s="10">
        <v>3</v>
      </c>
      <c r="L1799" s="2">
        <v>477.5025</v>
      </c>
      <c r="M1799" s="1">
        <v>45936.418749999997</v>
      </c>
      <c r="N1799" t="s">
        <v>1870</v>
      </c>
    </row>
    <row r="1800" spans="1:14" x14ac:dyDescent="0.25">
      <c r="A1800" s="9" t="s">
        <v>5211</v>
      </c>
      <c r="B1800" s="10">
        <v>714</v>
      </c>
      <c r="C1800" s="10" t="s">
        <v>323</v>
      </c>
      <c r="D1800" t="s">
        <v>4633</v>
      </c>
      <c r="E1800" t="s">
        <v>4634</v>
      </c>
      <c r="F1800" s="10" t="s">
        <v>158</v>
      </c>
      <c r="G1800" s="2">
        <v>137.9091</v>
      </c>
      <c r="H1800" s="13">
        <v>3</v>
      </c>
      <c r="I1800" s="13">
        <v>1</v>
      </c>
      <c r="J1800" s="13">
        <v>-1</v>
      </c>
      <c r="K1800" s="10">
        <v>3</v>
      </c>
      <c r="L1800" s="2">
        <v>413.72730000000001</v>
      </c>
      <c r="M1800" s="1">
        <v>45937.548611111109</v>
      </c>
      <c r="N1800" t="s">
        <v>345</v>
      </c>
    </row>
    <row r="1801" spans="1:14" x14ac:dyDescent="0.25">
      <c r="A1801" s="9" t="s">
        <v>5211</v>
      </c>
      <c r="B1801" s="10">
        <v>634</v>
      </c>
      <c r="C1801" s="10" t="s">
        <v>143</v>
      </c>
      <c r="D1801" t="s">
        <v>4136</v>
      </c>
      <c r="E1801" t="s">
        <v>4137</v>
      </c>
      <c r="F1801" s="10" t="s">
        <v>23</v>
      </c>
      <c r="G1801" s="2">
        <v>17.137899999999998</v>
      </c>
      <c r="H1801" s="13">
        <v>3</v>
      </c>
      <c r="I1801" s="13">
        <v>1</v>
      </c>
      <c r="J1801" s="13">
        <v>-1</v>
      </c>
      <c r="K1801" s="10">
        <v>3</v>
      </c>
      <c r="L1801" s="2">
        <v>51.413699999999999</v>
      </c>
      <c r="M1801" s="1">
        <v>45938.565972222219</v>
      </c>
      <c r="N1801" t="s">
        <v>40</v>
      </c>
    </row>
    <row r="1802" spans="1:14" x14ac:dyDescent="0.25">
      <c r="A1802" s="9" t="s">
        <v>5211</v>
      </c>
      <c r="B1802" s="10">
        <v>636</v>
      </c>
      <c r="C1802" s="10" t="s">
        <v>323</v>
      </c>
      <c r="D1802" t="s">
        <v>4320</v>
      </c>
      <c r="E1802" t="s">
        <v>4321</v>
      </c>
      <c r="F1802" s="10" t="s">
        <v>19</v>
      </c>
      <c r="G1802" s="2">
        <v>214.57509999999999</v>
      </c>
      <c r="H1802" s="13">
        <v>3</v>
      </c>
      <c r="I1802" s="13">
        <v>4</v>
      </c>
      <c r="J1802" s="13">
        <v>-4</v>
      </c>
      <c r="K1802" s="10">
        <v>3</v>
      </c>
      <c r="L1802" s="2">
        <v>643.72529999999995</v>
      </c>
      <c r="M1802" s="1">
        <v>45940.46597222222</v>
      </c>
      <c r="N1802" t="s">
        <v>486</v>
      </c>
    </row>
    <row r="1803" spans="1:14" x14ac:dyDescent="0.25">
      <c r="A1803" s="9" t="s">
        <v>5211</v>
      </c>
      <c r="B1803" s="10">
        <v>714</v>
      </c>
      <c r="C1803" s="10" t="s">
        <v>143</v>
      </c>
      <c r="D1803" t="s">
        <v>2529</v>
      </c>
      <c r="E1803" t="s">
        <v>2530</v>
      </c>
      <c r="F1803" s="10" t="s">
        <v>29</v>
      </c>
      <c r="G1803" s="2">
        <v>10.5984</v>
      </c>
      <c r="H1803" s="13">
        <v>3</v>
      </c>
      <c r="I1803" s="13">
        <v>0</v>
      </c>
      <c r="J1803" s="13">
        <v>0</v>
      </c>
      <c r="K1803" s="10">
        <v>3</v>
      </c>
      <c r="L1803" s="2">
        <v>31.795200000000001</v>
      </c>
      <c r="M1803" s="1">
        <v>45941.409722222219</v>
      </c>
      <c r="N1803" t="s">
        <v>2225</v>
      </c>
    </row>
    <row r="1804" spans="1:14" x14ac:dyDescent="0.25">
      <c r="A1804" s="9" t="s">
        <v>5211</v>
      </c>
      <c r="B1804" s="10">
        <v>636</v>
      </c>
      <c r="C1804" s="10" t="s">
        <v>323</v>
      </c>
      <c r="D1804" t="s">
        <v>4623</v>
      </c>
      <c r="E1804" t="s">
        <v>4624</v>
      </c>
      <c r="F1804" s="10" t="s">
        <v>455</v>
      </c>
      <c r="G1804" s="2">
        <v>214.11109999999999</v>
      </c>
      <c r="H1804" s="13">
        <v>3</v>
      </c>
      <c r="I1804" s="13">
        <v>0</v>
      </c>
      <c r="J1804" s="13">
        <v>0</v>
      </c>
      <c r="K1804" s="10">
        <v>3</v>
      </c>
      <c r="L1804" s="2">
        <v>642.33330000000001</v>
      </c>
      <c r="M1804" s="1">
        <v>45951.508333333331</v>
      </c>
      <c r="N1804" t="s">
        <v>1224</v>
      </c>
    </row>
    <row r="1805" spans="1:14" x14ac:dyDescent="0.25">
      <c r="A1805" s="9" t="s">
        <v>5211</v>
      </c>
      <c r="B1805" s="10">
        <v>636</v>
      </c>
      <c r="C1805" s="10" t="s">
        <v>323</v>
      </c>
      <c r="D1805" t="s">
        <v>1560</v>
      </c>
      <c r="E1805" t="s">
        <v>1561</v>
      </c>
      <c r="F1805" s="10" t="s">
        <v>29</v>
      </c>
      <c r="G1805" s="2">
        <v>75</v>
      </c>
      <c r="H1805" s="13">
        <v>3</v>
      </c>
      <c r="I1805" s="13">
        <v>0</v>
      </c>
      <c r="J1805" s="13">
        <v>0</v>
      </c>
      <c r="K1805" s="10">
        <v>3</v>
      </c>
      <c r="L1805" s="2">
        <v>225</v>
      </c>
      <c r="M1805" s="1">
        <v>45951.508333333331</v>
      </c>
      <c r="N1805" t="s">
        <v>1224</v>
      </c>
    </row>
    <row r="1806" spans="1:14" x14ac:dyDescent="0.25">
      <c r="A1806" s="9" t="s">
        <v>5211</v>
      </c>
      <c r="B1806" s="10">
        <v>714</v>
      </c>
      <c r="C1806" s="10" t="s">
        <v>323</v>
      </c>
      <c r="D1806" t="s">
        <v>1392</v>
      </c>
      <c r="E1806" t="s">
        <v>1393</v>
      </c>
      <c r="F1806" s="10" t="s">
        <v>23</v>
      </c>
      <c r="G1806" s="2">
        <v>75</v>
      </c>
      <c r="H1806" s="13">
        <v>3</v>
      </c>
      <c r="I1806" s="13">
        <v>1</v>
      </c>
      <c r="J1806" s="13">
        <v>-1</v>
      </c>
      <c r="K1806" s="10">
        <v>3</v>
      </c>
      <c r="L1806" s="2">
        <v>225</v>
      </c>
      <c r="M1806" s="1">
        <v>45953.361111111109</v>
      </c>
      <c r="N1806" t="s">
        <v>1224</v>
      </c>
    </row>
    <row r="1807" spans="1:14" x14ac:dyDescent="0.25">
      <c r="A1807" s="9" t="s">
        <v>5211</v>
      </c>
      <c r="B1807" s="10">
        <v>714</v>
      </c>
      <c r="C1807" s="10" t="s">
        <v>143</v>
      </c>
      <c r="D1807" t="s">
        <v>4847</v>
      </c>
      <c r="E1807" t="s">
        <v>4848</v>
      </c>
      <c r="F1807" s="10" t="s">
        <v>39</v>
      </c>
      <c r="G1807" s="2">
        <v>21.979900000000001</v>
      </c>
      <c r="H1807" s="13">
        <v>3</v>
      </c>
      <c r="I1807" s="13">
        <v>0</v>
      </c>
      <c r="J1807" s="13">
        <v>0</v>
      </c>
      <c r="K1807" s="10">
        <v>3</v>
      </c>
      <c r="L1807" s="2">
        <v>65.939700000000002</v>
      </c>
      <c r="M1807" s="1">
        <v>45958.442361111112</v>
      </c>
      <c r="N1807" t="s">
        <v>137</v>
      </c>
    </row>
    <row r="1808" spans="1:14" x14ac:dyDescent="0.25">
      <c r="A1808" s="9" t="s">
        <v>5211</v>
      </c>
      <c r="B1808" s="10">
        <v>714</v>
      </c>
      <c r="C1808" s="10" t="s">
        <v>143</v>
      </c>
      <c r="D1808" t="s">
        <v>4833</v>
      </c>
      <c r="E1808" t="s">
        <v>4834</v>
      </c>
      <c r="F1808" s="10" t="s">
        <v>29</v>
      </c>
      <c r="G1808" s="2">
        <v>27.892800000000001</v>
      </c>
      <c r="H1808" s="13">
        <v>3</v>
      </c>
      <c r="I1808" s="13">
        <v>5</v>
      </c>
      <c r="J1808" s="13">
        <v>-5</v>
      </c>
      <c r="K1808" s="10">
        <v>3</v>
      </c>
      <c r="L1808" s="2">
        <v>83.678399999999996</v>
      </c>
      <c r="M1808" s="1">
        <v>45960.647222222222</v>
      </c>
      <c r="N1808" t="s">
        <v>195</v>
      </c>
    </row>
    <row r="1809" spans="1:14" x14ac:dyDescent="0.25">
      <c r="A1809" s="9" t="s">
        <v>5211</v>
      </c>
      <c r="B1809" s="10">
        <v>718</v>
      </c>
      <c r="C1809" s="10" t="s">
        <v>143</v>
      </c>
      <c r="D1809" t="s">
        <v>4469</v>
      </c>
      <c r="E1809" t="s">
        <v>4470</v>
      </c>
      <c r="F1809" s="10" t="s">
        <v>23</v>
      </c>
      <c r="G1809" s="2">
        <v>57.582099999999997</v>
      </c>
      <c r="H1809" s="13">
        <v>3</v>
      </c>
      <c r="I1809" s="13">
        <v>25</v>
      </c>
      <c r="J1809" s="13">
        <v>-25</v>
      </c>
      <c r="K1809" s="10">
        <v>3</v>
      </c>
      <c r="L1809" s="2">
        <v>172.74629999999999</v>
      </c>
      <c r="M1809" s="1">
        <v>45961.421527777777</v>
      </c>
      <c r="N1809" t="s">
        <v>146</v>
      </c>
    </row>
    <row r="1810" spans="1:14" x14ac:dyDescent="0.25">
      <c r="A1810" s="9" t="s">
        <v>5211</v>
      </c>
      <c r="B1810" s="10">
        <v>636</v>
      </c>
      <c r="C1810" s="10" t="s">
        <v>323</v>
      </c>
      <c r="D1810" t="s">
        <v>1239</v>
      </c>
      <c r="E1810" t="s">
        <v>1240</v>
      </c>
      <c r="F1810" s="10" t="s">
        <v>29</v>
      </c>
      <c r="G1810" s="2">
        <v>365.34609999999998</v>
      </c>
      <c r="H1810" s="13">
        <v>3</v>
      </c>
      <c r="I1810" s="13">
        <v>0</v>
      </c>
      <c r="J1810" s="13">
        <v>0</v>
      </c>
      <c r="K1810" s="10">
        <v>3</v>
      </c>
      <c r="L1810" s="2">
        <v>1096.0382999999999</v>
      </c>
      <c r="M1810" s="1">
        <v>45964.586805555555</v>
      </c>
      <c r="N1810" t="s">
        <v>486</v>
      </c>
    </row>
    <row r="1811" spans="1:14" x14ac:dyDescent="0.25">
      <c r="A1811" s="9" t="s">
        <v>5211</v>
      </c>
      <c r="B1811" s="10">
        <v>718</v>
      </c>
      <c r="C1811" s="10" t="s">
        <v>143</v>
      </c>
      <c r="D1811" t="s">
        <v>5150</v>
      </c>
      <c r="E1811" t="s">
        <v>5151</v>
      </c>
      <c r="F1811" s="10" t="s">
        <v>23</v>
      </c>
      <c r="G1811" s="2">
        <v>20.5778</v>
      </c>
      <c r="H1811" s="13">
        <v>3</v>
      </c>
      <c r="I1811" s="13">
        <v>0</v>
      </c>
      <c r="J1811" s="13">
        <v>0</v>
      </c>
      <c r="K1811" s="10">
        <v>3</v>
      </c>
      <c r="L1811" s="2">
        <v>61.733400000000003</v>
      </c>
      <c r="M1811" s="1">
        <v>45965.320138888892</v>
      </c>
      <c r="N1811" t="s">
        <v>40</v>
      </c>
    </row>
    <row r="1812" spans="1:14" x14ac:dyDescent="0.25">
      <c r="A1812" s="9" t="s">
        <v>5211</v>
      </c>
      <c r="B1812" s="10">
        <v>714</v>
      </c>
      <c r="C1812" s="10" t="s">
        <v>323</v>
      </c>
      <c r="D1812" t="s">
        <v>4326</v>
      </c>
      <c r="E1812" t="s">
        <v>4327</v>
      </c>
      <c r="F1812" s="10" t="s">
        <v>158</v>
      </c>
      <c r="G1812" s="2">
        <v>344.17340000000002</v>
      </c>
      <c r="H1812" s="13">
        <v>3</v>
      </c>
      <c r="I1812" s="13">
        <v>9</v>
      </c>
      <c r="J1812" s="13">
        <v>-9</v>
      </c>
      <c r="K1812" s="10">
        <v>3</v>
      </c>
      <c r="L1812" s="2">
        <v>1032.5201999999999</v>
      </c>
      <c r="M1812" s="1">
        <v>45969.431250000001</v>
      </c>
      <c r="N1812" t="s">
        <v>2719</v>
      </c>
    </row>
    <row r="1813" spans="1:14" x14ac:dyDescent="0.25">
      <c r="A1813" s="9" t="s">
        <v>5211</v>
      </c>
      <c r="B1813" s="10">
        <v>714</v>
      </c>
      <c r="C1813" s="10" t="s">
        <v>12</v>
      </c>
      <c r="D1813" t="s">
        <v>546</v>
      </c>
      <c r="E1813" t="s">
        <v>547</v>
      </c>
      <c r="F1813" s="10" t="s">
        <v>29</v>
      </c>
      <c r="G1813" s="2">
        <v>12.3216</v>
      </c>
      <c r="H1813" s="13">
        <v>3</v>
      </c>
      <c r="I1813" s="13">
        <v>1</v>
      </c>
      <c r="J1813" s="13">
        <v>-1</v>
      </c>
      <c r="K1813" s="10">
        <v>3</v>
      </c>
      <c r="L1813" s="2">
        <v>36.964799999999997</v>
      </c>
      <c r="M1813" s="1">
        <v>45979.523611111108</v>
      </c>
      <c r="N1813" t="s">
        <v>40</v>
      </c>
    </row>
    <row r="1814" spans="1:14" x14ac:dyDescent="0.25">
      <c r="A1814" s="9" t="s">
        <v>5211</v>
      </c>
      <c r="B1814" s="10">
        <v>714</v>
      </c>
      <c r="C1814" s="10" t="s">
        <v>12</v>
      </c>
      <c r="D1814" t="s">
        <v>4679</v>
      </c>
      <c r="E1814" t="s">
        <v>4680</v>
      </c>
      <c r="F1814" s="10" t="s">
        <v>29</v>
      </c>
      <c r="G1814" s="2">
        <v>14.63</v>
      </c>
      <c r="H1814" s="13">
        <v>3</v>
      </c>
      <c r="I1814" s="13">
        <v>-1</v>
      </c>
      <c r="J1814" s="13">
        <v>1</v>
      </c>
      <c r="K1814" s="10">
        <v>3</v>
      </c>
      <c r="L1814" s="2">
        <v>43.89</v>
      </c>
      <c r="M1814" s="1">
        <v>45981.632638888892</v>
      </c>
      <c r="N1814" t="s">
        <v>26</v>
      </c>
    </row>
    <row r="1815" spans="1:14" x14ac:dyDescent="0.25">
      <c r="A1815" s="9" t="s">
        <v>5211</v>
      </c>
      <c r="B1815" s="10">
        <v>636</v>
      </c>
      <c r="C1815" s="10" t="s">
        <v>323</v>
      </c>
      <c r="D1815" t="s">
        <v>1505</v>
      </c>
      <c r="E1815" t="s">
        <v>1506</v>
      </c>
      <c r="F1815" s="10" t="s">
        <v>29</v>
      </c>
      <c r="G1815" s="2">
        <v>145.9479</v>
      </c>
      <c r="H1815" s="13">
        <v>3</v>
      </c>
      <c r="I1815" s="13">
        <v>2</v>
      </c>
      <c r="J1815" s="13">
        <v>-2</v>
      </c>
      <c r="K1815" s="10">
        <v>3</v>
      </c>
      <c r="L1815" s="2">
        <v>437.84370000000001</v>
      </c>
      <c r="M1815" s="1">
        <v>46069.413194444445</v>
      </c>
      <c r="N1815" t="s">
        <v>151</v>
      </c>
    </row>
    <row r="1816" spans="1:14" x14ac:dyDescent="0.25">
      <c r="A1816" s="9" t="s">
        <v>5211</v>
      </c>
      <c r="B1816" s="10">
        <v>636</v>
      </c>
      <c r="C1816" s="10" t="s">
        <v>323</v>
      </c>
      <c r="D1816" t="s">
        <v>412</v>
      </c>
      <c r="E1816" s="6" t="s">
        <v>413</v>
      </c>
      <c r="F1816" s="11" t="s">
        <v>58</v>
      </c>
      <c r="G1816" s="2">
        <v>190.61879999999999</v>
      </c>
      <c r="H1816" s="13">
        <v>3</v>
      </c>
      <c r="I1816" s="13">
        <v>0</v>
      </c>
      <c r="J1816" s="13">
        <v>0</v>
      </c>
      <c r="K1816" s="10">
        <v>3</v>
      </c>
      <c r="L1816" s="2">
        <v>571.85640000000001</v>
      </c>
      <c r="M1816" s="1">
        <v>46071.436111111114</v>
      </c>
      <c r="N1816" t="s">
        <v>151</v>
      </c>
    </row>
    <row r="1817" spans="1:14" x14ac:dyDescent="0.25">
      <c r="A1817" s="9" t="s">
        <v>5211</v>
      </c>
      <c r="B1817" s="10">
        <v>636</v>
      </c>
      <c r="C1817" s="10" t="s">
        <v>323</v>
      </c>
      <c r="D1817" t="s">
        <v>1658</v>
      </c>
      <c r="E1817" s="6" t="s">
        <v>1659</v>
      </c>
      <c r="F1817" s="11" t="s">
        <v>58</v>
      </c>
      <c r="G1817" s="2">
        <v>192.0437</v>
      </c>
      <c r="H1817" s="13">
        <v>3</v>
      </c>
      <c r="I1817" s="13">
        <v>2</v>
      </c>
      <c r="J1817" s="13">
        <v>-2</v>
      </c>
      <c r="K1817" s="10">
        <v>3</v>
      </c>
      <c r="L1817" s="2">
        <v>576.13109999999995</v>
      </c>
      <c r="M1817" s="1">
        <v>46072.503472222219</v>
      </c>
      <c r="N1817" t="s">
        <v>1229</v>
      </c>
    </row>
    <row r="1818" spans="1:14" x14ac:dyDescent="0.25">
      <c r="A1818" s="9" t="s">
        <v>5211</v>
      </c>
      <c r="B1818" s="10">
        <v>636</v>
      </c>
      <c r="C1818" s="10" t="s">
        <v>323</v>
      </c>
      <c r="D1818" t="s">
        <v>1705</v>
      </c>
      <c r="E1818" t="s">
        <v>1706</v>
      </c>
      <c r="F1818" s="10" t="s">
        <v>19</v>
      </c>
      <c r="G1818" s="2">
        <v>633.14290000000005</v>
      </c>
      <c r="H1818" s="13">
        <v>3</v>
      </c>
      <c r="I1818" s="13">
        <v>0</v>
      </c>
      <c r="J1818" s="13">
        <v>0</v>
      </c>
      <c r="K1818" s="10">
        <v>3</v>
      </c>
      <c r="L1818" s="2">
        <v>1899.4286999999999</v>
      </c>
      <c r="M1818" s="1">
        <v>46072.503472222219</v>
      </c>
      <c r="N1818" t="s">
        <v>1229</v>
      </c>
    </row>
    <row r="1819" spans="1:14" x14ac:dyDescent="0.25">
      <c r="A1819" s="9" t="s">
        <v>5211</v>
      </c>
      <c r="B1819" s="10">
        <v>636</v>
      </c>
      <c r="C1819" s="10" t="s">
        <v>323</v>
      </c>
      <c r="D1819" t="s">
        <v>1527</v>
      </c>
      <c r="E1819" t="s">
        <v>1528</v>
      </c>
      <c r="F1819" s="10" t="s">
        <v>29</v>
      </c>
      <c r="G1819" s="2">
        <v>152.82759999999999</v>
      </c>
      <c r="H1819" s="13">
        <v>3</v>
      </c>
      <c r="I1819" s="13">
        <v>0</v>
      </c>
      <c r="J1819" s="13">
        <v>0</v>
      </c>
      <c r="K1819" s="10">
        <v>3</v>
      </c>
      <c r="L1819" s="2">
        <v>458.4828</v>
      </c>
      <c r="M1819" s="1">
        <v>46072.503472222219</v>
      </c>
      <c r="N1819" t="s">
        <v>1229</v>
      </c>
    </row>
    <row r="1820" spans="1:14" x14ac:dyDescent="0.25">
      <c r="A1820" s="9" t="s">
        <v>5211</v>
      </c>
      <c r="B1820" s="10">
        <v>718</v>
      </c>
      <c r="C1820" s="10" t="s">
        <v>323</v>
      </c>
      <c r="D1820" t="s">
        <v>4369</v>
      </c>
      <c r="E1820" t="s">
        <v>4370</v>
      </c>
      <c r="F1820" s="10" t="s">
        <v>158</v>
      </c>
      <c r="G1820" s="2">
        <v>238.97659999999999</v>
      </c>
      <c r="H1820" s="13">
        <v>3</v>
      </c>
      <c r="I1820" s="13">
        <v>16</v>
      </c>
      <c r="J1820" s="13">
        <v>-16</v>
      </c>
      <c r="K1820" s="10">
        <v>3</v>
      </c>
      <c r="L1820" s="2">
        <v>716.9298</v>
      </c>
      <c r="M1820" s="1">
        <v>46072.515972222223</v>
      </c>
      <c r="N1820" t="s">
        <v>1234</v>
      </c>
    </row>
    <row r="1821" spans="1:14" x14ac:dyDescent="0.25">
      <c r="A1821" s="9" t="s">
        <v>5211</v>
      </c>
      <c r="B1821" s="10">
        <v>718</v>
      </c>
      <c r="C1821" s="10" t="s">
        <v>323</v>
      </c>
      <c r="D1821" t="s">
        <v>1431</v>
      </c>
      <c r="E1821" t="s">
        <v>1432</v>
      </c>
      <c r="F1821" s="10" t="s">
        <v>23</v>
      </c>
      <c r="G1821" s="2">
        <v>138.2098</v>
      </c>
      <c r="H1821" s="13">
        <v>3</v>
      </c>
      <c r="I1821" s="13">
        <v>-1</v>
      </c>
      <c r="J1821" s="13">
        <v>1</v>
      </c>
      <c r="K1821" s="10">
        <v>3</v>
      </c>
      <c r="L1821" s="2">
        <v>414.62939999999998</v>
      </c>
      <c r="M1821" s="1">
        <v>46077.418055555558</v>
      </c>
      <c r="N1821" t="s">
        <v>151</v>
      </c>
    </row>
    <row r="1822" spans="1:14" x14ac:dyDescent="0.25">
      <c r="A1822" s="9" t="s">
        <v>5211</v>
      </c>
      <c r="B1822" s="10">
        <v>634</v>
      </c>
      <c r="C1822" s="10" t="s">
        <v>323</v>
      </c>
      <c r="D1822" t="s">
        <v>335</v>
      </c>
      <c r="E1822" t="s">
        <v>336</v>
      </c>
      <c r="F1822" s="10" t="s">
        <v>29</v>
      </c>
      <c r="G1822" s="2">
        <v>331.78140000000002</v>
      </c>
      <c r="H1822" s="13">
        <v>3</v>
      </c>
      <c r="I1822" s="13">
        <v>0</v>
      </c>
      <c r="J1822" s="13">
        <v>0</v>
      </c>
      <c r="K1822" s="10">
        <v>3</v>
      </c>
      <c r="L1822" s="2">
        <v>995.3442</v>
      </c>
      <c r="M1822" s="1">
        <v>46080.504166666666</v>
      </c>
      <c r="N1822" t="s">
        <v>151</v>
      </c>
    </row>
    <row r="1823" spans="1:14" x14ac:dyDescent="0.25">
      <c r="A1823" s="9" t="s">
        <v>5211</v>
      </c>
      <c r="B1823" s="10">
        <v>634</v>
      </c>
      <c r="C1823" s="10" t="s">
        <v>323</v>
      </c>
      <c r="D1823" t="s">
        <v>432</v>
      </c>
      <c r="E1823" t="s">
        <v>433</v>
      </c>
      <c r="F1823" s="10" t="s">
        <v>43</v>
      </c>
      <c r="G1823" s="2">
        <v>189.82140000000001</v>
      </c>
      <c r="H1823" s="13">
        <v>3</v>
      </c>
      <c r="I1823" s="13">
        <v>-4</v>
      </c>
      <c r="J1823" s="13">
        <v>4</v>
      </c>
      <c r="K1823" s="10">
        <v>3</v>
      </c>
      <c r="L1823" s="2">
        <v>569.46420000000001</v>
      </c>
      <c r="M1823" s="1">
        <v>46080.506249999999</v>
      </c>
      <c r="N1823" t="s">
        <v>159</v>
      </c>
    </row>
    <row r="1824" spans="1:14" x14ac:dyDescent="0.25">
      <c r="A1824" s="9" t="s">
        <v>5211</v>
      </c>
      <c r="B1824" s="10">
        <v>714</v>
      </c>
      <c r="C1824" s="10" t="s">
        <v>143</v>
      </c>
      <c r="D1824" t="s">
        <v>2387</v>
      </c>
      <c r="E1824" t="s">
        <v>2388</v>
      </c>
      <c r="F1824" s="10" t="s">
        <v>29</v>
      </c>
      <c r="G1824" s="2">
        <v>168.8091</v>
      </c>
      <c r="H1824" s="13">
        <v>3</v>
      </c>
      <c r="I1824" s="13">
        <v>0</v>
      </c>
      <c r="J1824" s="13">
        <v>0</v>
      </c>
      <c r="K1824" s="10">
        <v>3</v>
      </c>
      <c r="L1824" s="2">
        <v>506.4273</v>
      </c>
      <c r="M1824" s="1">
        <v>46083.444444444445</v>
      </c>
      <c r="N1824" t="s">
        <v>137</v>
      </c>
    </row>
    <row r="1825" spans="1:14" x14ac:dyDescent="0.25">
      <c r="A1825" s="9" t="s">
        <v>5211</v>
      </c>
      <c r="B1825" s="10">
        <v>636</v>
      </c>
      <c r="C1825" s="10" t="s">
        <v>143</v>
      </c>
      <c r="D1825" t="s">
        <v>924</v>
      </c>
      <c r="E1825" t="s">
        <v>925</v>
      </c>
      <c r="F1825" s="10" t="s">
        <v>29</v>
      </c>
      <c r="G1825" s="2">
        <v>74.254800000000003</v>
      </c>
      <c r="H1825" s="13">
        <v>3</v>
      </c>
      <c r="I1825" s="13">
        <v>0</v>
      </c>
      <c r="J1825" s="13">
        <v>0</v>
      </c>
      <c r="K1825" s="10">
        <v>3</v>
      </c>
      <c r="L1825" s="2">
        <v>222.76439999999999</v>
      </c>
      <c r="M1825" s="1">
        <v>46083.459722222222</v>
      </c>
      <c r="N1825" t="s">
        <v>137</v>
      </c>
    </row>
    <row r="1826" spans="1:14" x14ac:dyDescent="0.25">
      <c r="A1826" s="9" t="s">
        <v>5211</v>
      </c>
      <c r="B1826" s="10">
        <v>718</v>
      </c>
      <c r="C1826" s="10" t="s">
        <v>323</v>
      </c>
      <c r="D1826" t="s">
        <v>3472</v>
      </c>
      <c r="E1826" t="s">
        <v>3473</v>
      </c>
      <c r="F1826" s="10" t="s">
        <v>29</v>
      </c>
      <c r="G1826" s="2">
        <v>128.6002</v>
      </c>
      <c r="H1826" s="13">
        <v>3</v>
      </c>
      <c r="I1826" s="13">
        <v>0</v>
      </c>
      <c r="J1826" s="13">
        <v>0</v>
      </c>
      <c r="K1826" s="10">
        <v>3</v>
      </c>
      <c r="L1826" s="2">
        <v>385.80059999999997</v>
      </c>
      <c r="M1826" s="1">
        <v>46084.40347222222</v>
      </c>
      <c r="N1826" t="s">
        <v>137</v>
      </c>
    </row>
    <row r="1827" spans="1:14" x14ac:dyDescent="0.25">
      <c r="A1827" s="9" t="s">
        <v>5211</v>
      </c>
      <c r="B1827" s="10">
        <v>714</v>
      </c>
      <c r="C1827" s="10" t="s">
        <v>323</v>
      </c>
      <c r="D1827" t="s">
        <v>1658</v>
      </c>
      <c r="E1827" t="s">
        <v>1659</v>
      </c>
      <c r="F1827" s="10" t="s">
        <v>19</v>
      </c>
      <c r="G1827" s="2">
        <v>171.3134</v>
      </c>
      <c r="H1827" s="13">
        <v>3</v>
      </c>
      <c r="I1827" s="13">
        <v>2</v>
      </c>
      <c r="J1827" s="13">
        <v>-2</v>
      </c>
      <c r="K1827" s="10">
        <v>3</v>
      </c>
      <c r="L1827" s="2">
        <v>513.9402</v>
      </c>
      <c r="M1827" s="1">
        <v>46085.367361111108</v>
      </c>
      <c r="N1827" t="s">
        <v>2257</v>
      </c>
    </row>
    <row r="1828" spans="1:14" x14ac:dyDescent="0.25">
      <c r="A1828" s="9" t="s">
        <v>5211</v>
      </c>
      <c r="B1828" s="10">
        <v>636</v>
      </c>
      <c r="C1828" s="10" t="s">
        <v>323</v>
      </c>
      <c r="D1828" t="s">
        <v>1433</v>
      </c>
      <c r="E1828" t="s">
        <v>1434</v>
      </c>
      <c r="F1828" s="10" t="s">
        <v>19</v>
      </c>
      <c r="G1828" s="2">
        <v>492.51749999999998</v>
      </c>
      <c r="H1828" s="13">
        <v>3</v>
      </c>
      <c r="I1828" s="13">
        <v>-1</v>
      </c>
      <c r="J1828" s="13">
        <v>1</v>
      </c>
      <c r="K1828" s="10">
        <v>3</v>
      </c>
      <c r="L1828" s="2">
        <v>1477.5525</v>
      </c>
      <c r="M1828" s="1">
        <v>46086.3125</v>
      </c>
      <c r="N1828" t="s">
        <v>1229</v>
      </c>
    </row>
    <row r="1829" spans="1:14" x14ac:dyDescent="0.25">
      <c r="A1829" s="9" t="s">
        <v>5211</v>
      </c>
      <c r="B1829" s="10">
        <v>714</v>
      </c>
      <c r="C1829" s="10" t="s">
        <v>323</v>
      </c>
      <c r="D1829" t="s">
        <v>3347</v>
      </c>
      <c r="E1829" t="s">
        <v>3348</v>
      </c>
      <c r="F1829" s="10" t="s">
        <v>19</v>
      </c>
      <c r="G1829" s="2">
        <v>130.96209999999999</v>
      </c>
      <c r="H1829" s="13">
        <v>3</v>
      </c>
      <c r="I1829" s="13">
        <v>0</v>
      </c>
      <c r="J1829" s="13">
        <v>0</v>
      </c>
      <c r="K1829" s="10">
        <v>3</v>
      </c>
      <c r="L1829" s="2">
        <v>392.88630000000001</v>
      </c>
      <c r="M1829" s="1">
        <v>46086.355555555558</v>
      </c>
      <c r="N1829" t="s">
        <v>2271</v>
      </c>
    </row>
    <row r="1830" spans="1:14" x14ac:dyDescent="0.25">
      <c r="A1830" s="9" t="s">
        <v>5211</v>
      </c>
      <c r="B1830" s="10">
        <v>636</v>
      </c>
      <c r="C1830" s="10" t="s">
        <v>323</v>
      </c>
      <c r="D1830" t="s">
        <v>4335</v>
      </c>
      <c r="E1830" t="s">
        <v>4336</v>
      </c>
      <c r="F1830" s="10" t="s">
        <v>39</v>
      </c>
      <c r="G1830" s="2">
        <v>137.6507</v>
      </c>
      <c r="H1830" s="13">
        <v>3</v>
      </c>
      <c r="I1830" s="13">
        <v>4</v>
      </c>
      <c r="J1830" s="13">
        <v>-4</v>
      </c>
      <c r="K1830" s="10">
        <v>3</v>
      </c>
      <c r="L1830" s="2">
        <v>412.95209999999997</v>
      </c>
      <c r="M1830" s="1">
        <v>46086.521527777775</v>
      </c>
      <c r="N1830" t="s">
        <v>151</v>
      </c>
    </row>
    <row r="1831" spans="1:14" x14ac:dyDescent="0.25">
      <c r="A1831" s="9" t="s">
        <v>5211</v>
      </c>
      <c r="B1831" s="10">
        <v>714</v>
      </c>
      <c r="C1831" s="10" t="s">
        <v>323</v>
      </c>
      <c r="D1831" t="s">
        <v>4999</v>
      </c>
      <c r="E1831" t="s">
        <v>5000</v>
      </c>
      <c r="F1831" s="10" t="s">
        <v>23</v>
      </c>
      <c r="G1831" s="2">
        <v>105.29810000000001</v>
      </c>
      <c r="H1831" s="13">
        <v>3</v>
      </c>
      <c r="I1831" s="13">
        <v>2</v>
      </c>
      <c r="J1831" s="13">
        <v>-2</v>
      </c>
      <c r="K1831" s="10">
        <v>3</v>
      </c>
      <c r="L1831" s="2">
        <v>315.89429999999999</v>
      </c>
      <c r="M1831" s="1">
        <v>46087.429861111108</v>
      </c>
      <c r="N1831" t="s">
        <v>159</v>
      </c>
    </row>
    <row r="1832" spans="1:14" x14ac:dyDescent="0.25">
      <c r="A1832" s="9" t="s">
        <v>5211</v>
      </c>
      <c r="B1832" s="10">
        <v>714</v>
      </c>
      <c r="C1832" s="10" t="s">
        <v>323</v>
      </c>
      <c r="D1832" t="s">
        <v>3235</v>
      </c>
      <c r="E1832" t="s">
        <v>3236</v>
      </c>
      <c r="F1832" s="10" t="s">
        <v>29</v>
      </c>
      <c r="G1832" s="2">
        <v>241.53579999999999</v>
      </c>
      <c r="H1832" s="13">
        <v>3</v>
      </c>
      <c r="I1832" s="13">
        <v>0</v>
      </c>
      <c r="J1832" s="13">
        <v>0</v>
      </c>
      <c r="K1832" s="10">
        <v>3</v>
      </c>
      <c r="L1832" s="2">
        <v>724.60739999999998</v>
      </c>
      <c r="M1832" s="1">
        <v>46087.429861111108</v>
      </c>
      <c r="N1832" t="s">
        <v>159</v>
      </c>
    </row>
    <row r="1833" spans="1:14" x14ac:dyDescent="0.25">
      <c r="A1833" s="9" t="s">
        <v>5211</v>
      </c>
      <c r="B1833" s="10">
        <v>714</v>
      </c>
      <c r="C1833" s="10" t="s">
        <v>323</v>
      </c>
      <c r="D1833" t="s">
        <v>1310</v>
      </c>
      <c r="E1833" t="s">
        <v>1311</v>
      </c>
      <c r="F1833" s="10" t="s">
        <v>19</v>
      </c>
      <c r="G1833" s="2">
        <v>116.23869999999999</v>
      </c>
      <c r="H1833" s="13">
        <v>3</v>
      </c>
      <c r="I1833" s="13">
        <v>-1</v>
      </c>
      <c r="J1833" s="13">
        <v>1</v>
      </c>
      <c r="K1833" s="10">
        <v>3</v>
      </c>
      <c r="L1833" s="2">
        <v>348.71609999999998</v>
      </c>
      <c r="M1833" s="1">
        <v>46087.493055555555</v>
      </c>
      <c r="N1833" t="s">
        <v>354</v>
      </c>
    </row>
    <row r="1834" spans="1:14" x14ac:dyDescent="0.25">
      <c r="A1834" s="9" t="s">
        <v>5211</v>
      </c>
      <c r="B1834" s="10">
        <v>714</v>
      </c>
      <c r="C1834" s="10" t="s">
        <v>323</v>
      </c>
      <c r="D1834" t="s">
        <v>5109</v>
      </c>
      <c r="E1834" t="s">
        <v>5110</v>
      </c>
      <c r="F1834" s="10" t="s">
        <v>23</v>
      </c>
      <c r="G1834" s="2">
        <v>133.31379999999999</v>
      </c>
      <c r="H1834" s="13">
        <v>3</v>
      </c>
      <c r="I1834" s="13">
        <v>-2</v>
      </c>
      <c r="J1834" s="13">
        <v>2</v>
      </c>
      <c r="K1834" s="10">
        <v>3</v>
      </c>
      <c r="L1834" s="2">
        <v>399.94139999999999</v>
      </c>
      <c r="M1834" s="1">
        <v>46090.515277777777</v>
      </c>
      <c r="N1834" t="s">
        <v>3204</v>
      </c>
    </row>
    <row r="1835" spans="1:14" x14ac:dyDescent="0.25">
      <c r="A1835" s="9" t="s">
        <v>5211</v>
      </c>
      <c r="B1835" s="10">
        <v>718</v>
      </c>
      <c r="C1835" s="10" t="s">
        <v>323</v>
      </c>
      <c r="D1835" t="s">
        <v>5186</v>
      </c>
      <c r="E1835" t="s">
        <v>5187</v>
      </c>
      <c r="F1835" s="10" t="s">
        <v>39</v>
      </c>
      <c r="G1835" s="2">
        <v>31.2714</v>
      </c>
      <c r="H1835" s="13">
        <v>3</v>
      </c>
      <c r="I1835" s="13">
        <v>0</v>
      </c>
      <c r="J1835" s="13">
        <v>0</v>
      </c>
      <c r="K1835" s="10">
        <v>3</v>
      </c>
      <c r="L1835" s="2">
        <v>93.8142</v>
      </c>
      <c r="M1835" s="1">
        <v>46093.597916666666</v>
      </c>
      <c r="N1835" t="s">
        <v>40</v>
      </c>
    </row>
    <row r="1836" spans="1:14" x14ac:dyDescent="0.25">
      <c r="A1836" s="9" t="s">
        <v>5211</v>
      </c>
      <c r="B1836" s="10">
        <v>636</v>
      </c>
      <c r="C1836" s="10" t="s">
        <v>323</v>
      </c>
      <c r="D1836" t="s">
        <v>1330</v>
      </c>
      <c r="E1836" t="s">
        <v>1331</v>
      </c>
      <c r="F1836" s="10" t="s">
        <v>19</v>
      </c>
      <c r="G1836" s="2">
        <v>116.6152</v>
      </c>
      <c r="H1836" s="13">
        <v>3</v>
      </c>
      <c r="I1836" s="13">
        <v>0</v>
      </c>
      <c r="J1836" s="13">
        <v>0</v>
      </c>
      <c r="K1836" s="10">
        <v>3</v>
      </c>
      <c r="L1836" s="2">
        <v>349.84559999999999</v>
      </c>
      <c r="M1836" s="1">
        <v>46094.407638888886</v>
      </c>
      <c r="N1836" t="s">
        <v>354</v>
      </c>
    </row>
    <row r="1837" spans="1:14" x14ac:dyDescent="0.25">
      <c r="A1837" s="9" t="s">
        <v>5211</v>
      </c>
      <c r="B1837" s="10">
        <v>636</v>
      </c>
      <c r="C1837" s="10" t="s">
        <v>323</v>
      </c>
      <c r="D1837" t="s">
        <v>4367</v>
      </c>
      <c r="E1837" t="s">
        <v>4368</v>
      </c>
      <c r="F1837" s="10" t="s">
        <v>23</v>
      </c>
      <c r="G1837" s="2">
        <v>149.24029999999999</v>
      </c>
      <c r="H1837" s="13">
        <v>3</v>
      </c>
      <c r="I1837" s="13">
        <v>11</v>
      </c>
      <c r="J1837" s="13">
        <v>-11</v>
      </c>
      <c r="K1837" s="10">
        <v>3</v>
      </c>
      <c r="L1837" s="2">
        <v>447.72089999999997</v>
      </c>
      <c r="M1837" s="1">
        <v>46094.407638888886</v>
      </c>
      <c r="N1837" t="s">
        <v>354</v>
      </c>
    </row>
    <row r="1838" spans="1:14" x14ac:dyDescent="0.25">
      <c r="A1838" s="9" t="s">
        <v>5211</v>
      </c>
      <c r="B1838" s="10">
        <v>636</v>
      </c>
      <c r="C1838" s="10" t="s">
        <v>323</v>
      </c>
      <c r="D1838" t="s">
        <v>1442</v>
      </c>
      <c r="E1838" t="s">
        <v>1443</v>
      </c>
      <c r="F1838" s="10" t="s">
        <v>29</v>
      </c>
      <c r="G1838" s="2">
        <v>98.202200000000005</v>
      </c>
      <c r="H1838" s="13">
        <v>3</v>
      </c>
      <c r="I1838" s="13">
        <v>0</v>
      </c>
      <c r="J1838" s="13">
        <v>0</v>
      </c>
      <c r="K1838" s="10">
        <v>3</v>
      </c>
      <c r="L1838" s="2">
        <v>294.60660000000001</v>
      </c>
      <c r="M1838" s="1">
        <v>46094.407638888886</v>
      </c>
      <c r="N1838" t="s">
        <v>354</v>
      </c>
    </row>
    <row r="1839" spans="1:14" x14ac:dyDescent="0.25">
      <c r="A1839" s="9" t="s">
        <v>5211</v>
      </c>
      <c r="B1839" s="10">
        <v>634</v>
      </c>
      <c r="C1839" s="10" t="s">
        <v>323</v>
      </c>
      <c r="D1839" t="s">
        <v>4367</v>
      </c>
      <c r="E1839" t="s">
        <v>4368</v>
      </c>
      <c r="F1839" s="10" t="s">
        <v>23</v>
      </c>
      <c r="G1839" s="2">
        <v>128.9083</v>
      </c>
      <c r="H1839" s="13">
        <v>3</v>
      </c>
      <c r="I1839" s="13">
        <v>11</v>
      </c>
      <c r="J1839" s="13">
        <v>-11</v>
      </c>
      <c r="K1839" s="10">
        <v>3</v>
      </c>
      <c r="L1839" s="2">
        <v>386.72489999999999</v>
      </c>
      <c r="M1839" s="1">
        <v>46094.541666666664</v>
      </c>
      <c r="N1839" t="s">
        <v>354</v>
      </c>
    </row>
    <row r="1840" spans="1:14" x14ac:dyDescent="0.25">
      <c r="A1840" s="9" t="s">
        <v>5211</v>
      </c>
      <c r="B1840" s="10">
        <v>636</v>
      </c>
      <c r="C1840" s="10" t="s">
        <v>323</v>
      </c>
      <c r="D1840" t="s">
        <v>1458</v>
      </c>
      <c r="E1840" t="s">
        <v>1459</v>
      </c>
      <c r="F1840" s="10" t="s">
        <v>29</v>
      </c>
      <c r="G1840" s="2">
        <v>209.20939999999999</v>
      </c>
      <c r="H1840" s="13">
        <v>3</v>
      </c>
      <c r="I1840" s="13">
        <v>0</v>
      </c>
      <c r="J1840" s="13">
        <v>0</v>
      </c>
      <c r="K1840" s="10">
        <v>3</v>
      </c>
      <c r="L1840" s="2">
        <v>627.62819999999999</v>
      </c>
      <c r="M1840" s="1">
        <v>46098.375694444447</v>
      </c>
      <c r="N1840" t="s">
        <v>1229</v>
      </c>
    </row>
    <row r="1841" spans="1:14" x14ac:dyDescent="0.25">
      <c r="A1841" s="9" t="s">
        <v>5211</v>
      </c>
      <c r="B1841" s="10">
        <v>714</v>
      </c>
      <c r="C1841" s="10" t="s">
        <v>323</v>
      </c>
      <c r="D1841" t="s">
        <v>4294</v>
      </c>
      <c r="E1841" t="s">
        <v>4295</v>
      </c>
      <c r="F1841" s="10" t="s">
        <v>19</v>
      </c>
      <c r="G1841" s="2">
        <v>211.04169999999999</v>
      </c>
      <c r="H1841" s="13">
        <v>3</v>
      </c>
      <c r="I1841" s="13">
        <v>25</v>
      </c>
      <c r="J1841" s="13">
        <v>-25</v>
      </c>
      <c r="K1841" s="10">
        <v>3</v>
      </c>
      <c r="L1841" s="2">
        <v>633.12509999999997</v>
      </c>
      <c r="M1841" s="1">
        <v>46098.572916666664</v>
      </c>
      <c r="N1841" t="s">
        <v>2225</v>
      </c>
    </row>
    <row r="1842" spans="1:14" x14ac:dyDescent="0.25">
      <c r="A1842" s="9" t="s">
        <v>5211</v>
      </c>
      <c r="B1842" s="10">
        <v>714</v>
      </c>
      <c r="C1842" s="10" t="s">
        <v>323</v>
      </c>
      <c r="D1842" t="s">
        <v>3484</v>
      </c>
      <c r="E1842" t="s">
        <v>3485</v>
      </c>
      <c r="F1842" s="10" t="s">
        <v>19</v>
      </c>
      <c r="G1842" s="2">
        <v>148.9676</v>
      </c>
      <c r="H1842" s="13">
        <v>3</v>
      </c>
      <c r="I1842" s="13">
        <v>0</v>
      </c>
      <c r="J1842" s="13">
        <v>0</v>
      </c>
      <c r="K1842" s="10">
        <v>3</v>
      </c>
      <c r="L1842" s="2">
        <v>446.90280000000001</v>
      </c>
      <c r="M1842" s="1">
        <v>46101.384722222225</v>
      </c>
      <c r="N1842" t="s">
        <v>2257</v>
      </c>
    </row>
    <row r="1843" spans="1:14" x14ac:dyDescent="0.25">
      <c r="A1843" s="9" t="s">
        <v>5211</v>
      </c>
      <c r="B1843" s="10">
        <v>714</v>
      </c>
      <c r="C1843" s="10" t="s">
        <v>323</v>
      </c>
      <c r="D1843" t="s">
        <v>3324</v>
      </c>
      <c r="E1843" t="s">
        <v>3325</v>
      </c>
      <c r="F1843" s="10" t="s">
        <v>158</v>
      </c>
      <c r="G1843" s="2">
        <v>169.28139999999999</v>
      </c>
      <c r="H1843" s="13">
        <v>3</v>
      </c>
      <c r="I1843" s="13">
        <v>0</v>
      </c>
      <c r="J1843" s="13">
        <v>0</v>
      </c>
      <c r="K1843" s="10">
        <v>3</v>
      </c>
      <c r="L1843" s="2">
        <v>507.8442</v>
      </c>
      <c r="M1843" s="1">
        <v>46101.384722222225</v>
      </c>
      <c r="N1843" t="s">
        <v>2257</v>
      </c>
    </row>
    <row r="1844" spans="1:14" x14ac:dyDescent="0.25">
      <c r="A1844" s="9" t="s">
        <v>5211</v>
      </c>
      <c r="B1844" s="10">
        <v>714</v>
      </c>
      <c r="C1844" s="10" t="s">
        <v>323</v>
      </c>
      <c r="D1844" t="s">
        <v>3452</v>
      </c>
      <c r="E1844" t="s">
        <v>3453</v>
      </c>
      <c r="F1844" s="10" t="s">
        <v>29</v>
      </c>
      <c r="G1844" s="2">
        <v>162.51009999999999</v>
      </c>
      <c r="H1844" s="13">
        <v>3</v>
      </c>
      <c r="I1844" s="13">
        <v>0</v>
      </c>
      <c r="J1844" s="13">
        <v>0</v>
      </c>
      <c r="K1844" s="10">
        <v>3</v>
      </c>
      <c r="L1844" s="2">
        <v>487.53030000000001</v>
      </c>
      <c r="M1844" s="1">
        <v>46101.384722222225</v>
      </c>
      <c r="N1844" t="s">
        <v>2257</v>
      </c>
    </row>
    <row r="1845" spans="1:14" x14ac:dyDescent="0.25">
      <c r="A1845" s="9" t="s">
        <v>5211</v>
      </c>
      <c r="B1845" s="10">
        <v>714</v>
      </c>
      <c r="C1845" s="10" t="s">
        <v>323</v>
      </c>
      <c r="D1845" t="s">
        <v>1373</v>
      </c>
      <c r="E1845" t="s">
        <v>1374</v>
      </c>
      <c r="F1845" s="10" t="s">
        <v>29</v>
      </c>
      <c r="G1845" s="2">
        <v>237.5615</v>
      </c>
      <c r="H1845" s="13">
        <v>3</v>
      </c>
      <c r="I1845" s="13">
        <v>0</v>
      </c>
      <c r="J1845" s="13">
        <v>0</v>
      </c>
      <c r="K1845" s="10">
        <v>3</v>
      </c>
      <c r="L1845" s="2">
        <v>712.68449999999996</v>
      </c>
      <c r="M1845" s="1">
        <v>46104.46597222222</v>
      </c>
      <c r="N1845" t="s">
        <v>137</v>
      </c>
    </row>
    <row r="1846" spans="1:14" x14ac:dyDescent="0.25">
      <c r="A1846" s="9" t="s">
        <v>5211</v>
      </c>
      <c r="B1846" s="10">
        <v>714</v>
      </c>
      <c r="C1846" s="10" t="s">
        <v>323</v>
      </c>
      <c r="D1846" t="s">
        <v>3456</v>
      </c>
      <c r="E1846" t="s">
        <v>3457</v>
      </c>
      <c r="F1846" s="10" t="s">
        <v>29</v>
      </c>
      <c r="G1846" s="2">
        <v>283.78100000000001</v>
      </c>
      <c r="H1846" s="13">
        <v>3</v>
      </c>
      <c r="I1846" s="13">
        <v>0</v>
      </c>
      <c r="J1846" s="13">
        <v>0</v>
      </c>
      <c r="K1846" s="10">
        <v>3</v>
      </c>
      <c r="L1846" s="2">
        <v>851.34299999999996</v>
      </c>
      <c r="M1846" s="1">
        <v>46104.46597222222</v>
      </c>
      <c r="N1846" t="s">
        <v>137</v>
      </c>
    </row>
    <row r="1847" spans="1:14" x14ac:dyDescent="0.25">
      <c r="A1847" s="9" t="s">
        <v>5211</v>
      </c>
      <c r="B1847" s="10">
        <v>636</v>
      </c>
      <c r="C1847" s="10" t="s">
        <v>323</v>
      </c>
      <c r="D1847" t="s">
        <v>1282</v>
      </c>
      <c r="E1847" t="s">
        <v>1283</v>
      </c>
      <c r="F1847" s="10" t="s">
        <v>29</v>
      </c>
      <c r="G1847" s="2">
        <v>167.44370000000001</v>
      </c>
      <c r="H1847" s="13">
        <v>3</v>
      </c>
      <c r="I1847" s="13">
        <v>0</v>
      </c>
      <c r="J1847" s="13">
        <v>0</v>
      </c>
      <c r="K1847" s="10">
        <v>3</v>
      </c>
      <c r="L1847" s="2">
        <v>502.33109999999999</v>
      </c>
      <c r="M1847" s="1">
        <v>46104.520833333336</v>
      </c>
      <c r="N1847" t="s">
        <v>137</v>
      </c>
    </row>
    <row r="1848" spans="1:14" x14ac:dyDescent="0.25">
      <c r="A1848" s="9" t="s">
        <v>5211</v>
      </c>
      <c r="B1848" s="10">
        <v>636</v>
      </c>
      <c r="C1848" s="10" t="s">
        <v>323</v>
      </c>
      <c r="D1848" t="s">
        <v>445</v>
      </c>
      <c r="E1848" t="s">
        <v>446</v>
      </c>
      <c r="F1848" s="10" t="s">
        <v>29</v>
      </c>
      <c r="G1848" s="2">
        <v>225.1018</v>
      </c>
      <c r="H1848" s="13">
        <v>3</v>
      </c>
      <c r="I1848" s="13">
        <v>-2</v>
      </c>
      <c r="J1848" s="13">
        <v>2</v>
      </c>
      <c r="K1848" s="10">
        <v>3</v>
      </c>
      <c r="L1848" s="2">
        <v>675.30539999999996</v>
      </c>
      <c r="M1848" s="1">
        <v>46104.520833333336</v>
      </c>
      <c r="N1848" t="s">
        <v>137</v>
      </c>
    </row>
    <row r="1849" spans="1:14" x14ac:dyDescent="0.25">
      <c r="A1849" s="9" t="s">
        <v>5211</v>
      </c>
      <c r="B1849" s="10">
        <v>714</v>
      </c>
      <c r="C1849" s="10" t="s">
        <v>323</v>
      </c>
      <c r="D1849" t="s">
        <v>3005</v>
      </c>
      <c r="E1849" t="s">
        <v>3006</v>
      </c>
      <c r="F1849" s="10" t="s">
        <v>19</v>
      </c>
      <c r="G1849" s="2">
        <v>75.167500000000004</v>
      </c>
      <c r="H1849" s="13">
        <v>3</v>
      </c>
      <c r="I1849" s="13">
        <v>0</v>
      </c>
      <c r="J1849" s="13">
        <v>0</v>
      </c>
      <c r="K1849" s="10">
        <v>3</v>
      </c>
      <c r="L1849" s="2">
        <v>225.5025</v>
      </c>
      <c r="M1849" s="1">
        <v>46104.52847222222</v>
      </c>
      <c r="N1849" t="s">
        <v>195</v>
      </c>
    </row>
    <row r="1850" spans="1:14" x14ac:dyDescent="0.25">
      <c r="A1850" s="9" t="s">
        <v>5211</v>
      </c>
      <c r="B1850" s="10">
        <v>714</v>
      </c>
      <c r="C1850" s="10" t="s">
        <v>323</v>
      </c>
      <c r="D1850" t="s">
        <v>3211</v>
      </c>
      <c r="E1850" t="s">
        <v>3212</v>
      </c>
      <c r="F1850" s="10" t="s">
        <v>29</v>
      </c>
      <c r="G1850" s="2">
        <v>233.64599999999999</v>
      </c>
      <c r="H1850" s="13">
        <v>3</v>
      </c>
      <c r="I1850" s="13">
        <v>0</v>
      </c>
      <c r="J1850" s="13">
        <v>0</v>
      </c>
      <c r="K1850" s="10">
        <v>3</v>
      </c>
      <c r="L1850" s="2">
        <v>700.93799999999999</v>
      </c>
      <c r="M1850" s="1">
        <v>46105.560416666667</v>
      </c>
      <c r="N1850" t="s">
        <v>216</v>
      </c>
    </row>
    <row r="1851" spans="1:14" x14ac:dyDescent="0.25">
      <c r="A1851" s="9" t="s">
        <v>5211</v>
      </c>
      <c r="B1851" s="10">
        <v>714</v>
      </c>
      <c r="C1851" s="10" t="s">
        <v>323</v>
      </c>
      <c r="D1851" t="s">
        <v>3194</v>
      </c>
      <c r="E1851" t="s">
        <v>3195</v>
      </c>
      <c r="F1851" s="10" t="s">
        <v>19</v>
      </c>
      <c r="G1851" s="2">
        <v>118.2634</v>
      </c>
      <c r="H1851" s="13">
        <v>3</v>
      </c>
      <c r="I1851" s="13">
        <v>2</v>
      </c>
      <c r="J1851" s="13">
        <v>-2</v>
      </c>
      <c r="K1851" s="10">
        <v>3</v>
      </c>
      <c r="L1851" s="2">
        <v>354.79020000000003</v>
      </c>
      <c r="M1851" s="1">
        <v>46105.560416666667</v>
      </c>
      <c r="N1851" t="s">
        <v>216</v>
      </c>
    </row>
    <row r="1852" spans="1:14" x14ac:dyDescent="0.25">
      <c r="A1852" s="9" t="s">
        <v>5211</v>
      </c>
      <c r="B1852" s="10">
        <v>636</v>
      </c>
      <c r="C1852" s="10" t="s">
        <v>323</v>
      </c>
      <c r="D1852" t="s">
        <v>1546</v>
      </c>
      <c r="E1852" t="s">
        <v>1547</v>
      </c>
      <c r="F1852" s="10" t="s">
        <v>19</v>
      </c>
      <c r="G1852" s="2">
        <v>298.16149999999999</v>
      </c>
      <c r="H1852" s="13">
        <v>3</v>
      </c>
      <c r="I1852" s="13">
        <v>0</v>
      </c>
      <c r="J1852" s="13">
        <v>0</v>
      </c>
      <c r="K1852" s="10">
        <v>3</v>
      </c>
      <c r="L1852" s="2">
        <v>894.48450000000003</v>
      </c>
      <c r="M1852" s="1">
        <v>46106.444444444445</v>
      </c>
      <c r="N1852" t="s">
        <v>357</v>
      </c>
    </row>
    <row r="1853" spans="1:14" x14ac:dyDescent="0.25">
      <c r="A1853" s="9" t="s">
        <v>5211</v>
      </c>
      <c r="B1853" s="10">
        <v>634</v>
      </c>
      <c r="C1853" s="10" t="s">
        <v>323</v>
      </c>
      <c r="D1853" t="s">
        <v>405</v>
      </c>
      <c r="E1853" t="s">
        <v>406</v>
      </c>
      <c r="F1853" s="10" t="s">
        <v>29</v>
      </c>
      <c r="G1853" s="2">
        <v>58.029299999999999</v>
      </c>
      <c r="H1853" s="13">
        <v>3</v>
      </c>
      <c r="I1853" s="13">
        <v>0</v>
      </c>
      <c r="J1853" s="13">
        <v>0</v>
      </c>
      <c r="K1853" s="10">
        <v>3</v>
      </c>
      <c r="L1853" s="2">
        <v>174.08789999999999</v>
      </c>
      <c r="M1853" s="1">
        <v>46106.45</v>
      </c>
      <c r="N1853" t="s">
        <v>268</v>
      </c>
    </row>
    <row r="1854" spans="1:14" x14ac:dyDescent="0.25">
      <c r="A1854" s="9" t="s">
        <v>5211</v>
      </c>
      <c r="B1854" s="10">
        <v>636</v>
      </c>
      <c r="C1854" s="10" t="s">
        <v>323</v>
      </c>
      <c r="D1854" t="s">
        <v>1600</v>
      </c>
      <c r="E1854" t="s">
        <v>1601</v>
      </c>
      <c r="F1854" s="10" t="s">
        <v>29</v>
      </c>
      <c r="G1854" s="2">
        <v>280.26139999999998</v>
      </c>
      <c r="H1854" s="13">
        <v>3</v>
      </c>
      <c r="I1854" s="13">
        <v>0</v>
      </c>
      <c r="J1854" s="13">
        <v>0</v>
      </c>
      <c r="K1854" s="10">
        <v>3</v>
      </c>
      <c r="L1854" s="2">
        <v>840.78420000000006</v>
      </c>
      <c r="M1854" s="1">
        <v>46107.522222222222</v>
      </c>
      <c r="N1854" t="s">
        <v>178</v>
      </c>
    </row>
    <row r="1855" spans="1:14" x14ac:dyDescent="0.25">
      <c r="A1855" s="9" t="s">
        <v>5211</v>
      </c>
      <c r="B1855" s="10">
        <v>636</v>
      </c>
      <c r="C1855" s="10" t="s">
        <v>143</v>
      </c>
      <c r="D1855" t="s">
        <v>1180</v>
      </c>
      <c r="E1855" t="s">
        <v>1181</v>
      </c>
      <c r="F1855" s="10" t="s">
        <v>158</v>
      </c>
      <c r="G1855" s="2">
        <v>114.2358</v>
      </c>
      <c r="H1855" s="13">
        <v>3</v>
      </c>
      <c r="I1855" s="13">
        <v>0</v>
      </c>
      <c r="J1855" s="13">
        <v>0</v>
      </c>
      <c r="K1855" s="10">
        <v>3</v>
      </c>
      <c r="L1855" s="2">
        <v>342.70740000000001</v>
      </c>
      <c r="M1855" s="1">
        <v>46107.539583333331</v>
      </c>
      <c r="N1855" t="s">
        <v>295</v>
      </c>
    </row>
    <row r="1856" spans="1:14" x14ac:dyDescent="0.25">
      <c r="A1856" s="9" t="s">
        <v>5211</v>
      </c>
      <c r="B1856" s="10">
        <v>636</v>
      </c>
      <c r="C1856" s="10" t="s">
        <v>323</v>
      </c>
      <c r="D1856" t="s">
        <v>4647</v>
      </c>
      <c r="E1856" t="s">
        <v>4648</v>
      </c>
      <c r="F1856" s="10" t="s">
        <v>29</v>
      </c>
      <c r="G1856" s="2">
        <v>212.73560000000001</v>
      </c>
      <c r="H1856" s="13">
        <v>3</v>
      </c>
      <c r="I1856" s="13">
        <v>3</v>
      </c>
      <c r="J1856" s="13">
        <v>-3</v>
      </c>
      <c r="K1856" s="10">
        <v>3</v>
      </c>
      <c r="L1856" s="2">
        <v>638.20680000000004</v>
      </c>
      <c r="M1856" s="1">
        <v>46107.59097222222</v>
      </c>
      <c r="N1856" t="s">
        <v>371</v>
      </c>
    </row>
    <row r="1857" spans="1:14" x14ac:dyDescent="0.25">
      <c r="A1857" s="9" t="s">
        <v>5211</v>
      </c>
      <c r="B1857" s="10">
        <v>636</v>
      </c>
      <c r="C1857" s="10" t="s">
        <v>323</v>
      </c>
      <c r="D1857" t="s">
        <v>1693</v>
      </c>
      <c r="E1857" t="s">
        <v>1694</v>
      </c>
      <c r="F1857" s="10" t="s">
        <v>455</v>
      </c>
      <c r="G1857" s="2">
        <v>296.81299999999999</v>
      </c>
      <c r="H1857" s="13">
        <v>3</v>
      </c>
      <c r="I1857" s="13">
        <v>0</v>
      </c>
      <c r="J1857" s="13">
        <v>0</v>
      </c>
      <c r="K1857" s="10">
        <v>3</v>
      </c>
      <c r="L1857" s="2">
        <v>890.43899999999996</v>
      </c>
      <c r="M1857" s="1">
        <v>46108.488888888889</v>
      </c>
      <c r="N1857" t="s">
        <v>357</v>
      </c>
    </row>
    <row r="1858" spans="1:14" x14ac:dyDescent="0.25">
      <c r="A1858" s="9" t="s">
        <v>5211</v>
      </c>
      <c r="B1858" s="10">
        <v>636</v>
      </c>
      <c r="C1858" s="10" t="s">
        <v>323</v>
      </c>
      <c r="D1858" t="s">
        <v>1523</v>
      </c>
      <c r="E1858" t="s">
        <v>1524</v>
      </c>
      <c r="F1858" s="10" t="s">
        <v>19</v>
      </c>
      <c r="G1858" s="2">
        <v>296.81299999999999</v>
      </c>
      <c r="H1858" s="13">
        <v>3</v>
      </c>
      <c r="I1858" s="13">
        <v>0</v>
      </c>
      <c r="J1858" s="13">
        <v>0</v>
      </c>
      <c r="K1858" s="10">
        <v>3</v>
      </c>
      <c r="L1858" s="2">
        <v>890.43899999999996</v>
      </c>
      <c r="M1858" s="1">
        <v>46108.488888888889</v>
      </c>
      <c r="N1858" t="s">
        <v>357</v>
      </c>
    </row>
    <row r="1859" spans="1:14" x14ac:dyDescent="0.25">
      <c r="A1859" s="9" t="s">
        <v>5211</v>
      </c>
      <c r="B1859" s="10">
        <v>718</v>
      </c>
      <c r="C1859" s="10" t="s">
        <v>323</v>
      </c>
      <c r="D1859" t="s">
        <v>1369</v>
      </c>
      <c r="E1859" s="6" t="s">
        <v>1370</v>
      </c>
      <c r="F1859" s="11" t="s">
        <v>58</v>
      </c>
      <c r="G1859" s="2">
        <v>193.68440000000001</v>
      </c>
      <c r="H1859" s="13">
        <v>3</v>
      </c>
      <c r="I1859" s="13">
        <v>0</v>
      </c>
      <c r="J1859" s="13">
        <v>0</v>
      </c>
      <c r="K1859" s="10">
        <v>3</v>
      </c>
      <c r="L1859" s="2">
        <v>581.05319999999995</v>
      </c>
      <c r="M1859" s="1">
        <v>46108.651388888888</v>
      </c>
      <c r="N1859" t="s">
        <v>2257</v>
      </c>
    </row>
    <row r="1860" spans="1:14" x14ac:dyDescent="0.25">
      <c r="A1860" s="9" t="s">
        <v>5211</v>
      </c>
      <c r="B1860" s="10">
        <v>718</v>
      </c>
      <c r="C1860" s="10" t="s">
        <v>323</v>
      </c>
      <c r="D1860" t="s">
        <v>5095</v>
      </c>
      <c r="E1860" t="s">
        <v>5096</v>
      </c>
      <c r="F1860" s="10" t="s">
        <v>23</v>
      </c>
      <c r="G1860" s="2">
        <v>119.25</v>
      </c>
      <c r="H1860" s="13">
        <v>3</v>
      </c>
      <c r="I1860" s="13">
        <v>9</v>
      </c>
      <c r="J1860" s="13">
        <v>-9</v>
      </c>
      <c r="K1860" s="10">
        <v>3</v>
      </c>
      <c r="L1860" s="2">
        <v>357.75</v>
      </c>
      <c r="M1860" s="1">
        <v>46108.651388888888</v>
      </c>
      <c r="N1860" t="s">
        <v>2257</v>
      </c>
    </row>
    <row r="1861" spans="1:14" x14ac:dyDescent="0.25">
      <c r="A1861" s="9" t="s">
        <v>5211</v>
      </c>
      <c r="B1861" s="10">
        <v>714</v>
      </c>
      <c r="C1861" s="10" t="s">
        <v>323</v>
      </c>
      <c r="D1861" t="s">
        <v>3033</v>
      </c>
      <c r="E1861" t="s">
        <v>3034</v>
      </c>
      <c r="F1861" s="10" t="s">
        <v>39</v>
      </c>
      <c r="G1861" s="2">
        <v>62.985999999999997</v>
      </c>
      <c r="H1861" s="13">
        <v>3</v>
      </c>
      <c r="I1861" s="13">
        <v>1</v>
      </c>
      <c r="J1861" s="13">
        <v>-1</v>
      </c>
      <c r="K1861" s="10">
        <v>3</v>
      </c>
      <c r="L1861" s="2">
        <v>188.958</v>
      </c>
      <c r="M1861" s="1">
        <v>46112.315972222219</v>
      </c>
      <c r="N1861" t="s">
        <v>36</v>
      </c>
    </row>
    <row r="1862" spans="1:14" x14ac:dyDescent="0.25">
      <c r="A1862" s="9" t="s">
        <v>5211</v>
      </c>
      <c r="B1862" s="10">
        <v>636</v>
      </c>
      <c r="C1862" s="10" t="s">
        <v>323</v>
      </c>
      <c r="D1862" t="s">
        <v>4349</v>
      </c>
      <c r="E1862" t="s">
        <v>4350</v>
      </c>
      <c r="F1862" s="10" t="s">
        <v>158</v>
      </c>
      <c r="G1862" s="2">
        <v>175.5051</v>
      </c>
      <c r="H1862" s="13">
        <v>3</v>
      </c>
      <c r="I1862" s="13">
        <v>1</v>
      </c>
      <c r="J1862" s="13">
        <v>-1</v>
      </c>
      <c r="K1862" s="10">
        <v>3</v>
      </c>
      <c r="L1862" s="2">
        <v>526.51530000000002</v>
      </c>
      <c r="M1862" s="1">
        <v>46112.343055555553</v>
      </c>
      <c r="N1862" t="s">
        <v>137</v>
      </c>
    </row>
    <row r="1863" spans="1:14" x14ac:dyDescent="0.25">
      <c r="A1863" s="9" t="s">
        <v>5211</v>
      </c>
      <c r="B1863" s="10">
        <v>636</v>
      </c>
      <c r="C1863" s="10" t="s">
        <v>323</v>
      </c>
      <c r="D1863" t="s">
        <v>1634</v>
      </c>
      <c r="E1863" t="s">
        <v>1635</v>
      </c>
      <c r="F1863" s="10" t="s">
        <v>29</v>
      </c>
      <c r="G1863" s="2">
        <v>278.27109999999999</v>
      </c>
      <c r="H1863" s="13">
        <v>3</v>
      </c>
      <c r="I1863" s="13">
        <v>0</v>
      </c>
      <c r="J1863" s="13">
        <v>0</v>
      </c>
      <c r="K1863" s="10">
        <v>3</v>
      </c>
      <c r="L1863" s="2">
        <v>834.81330000000003</v>
      </c>
      <c r="M1863" s="1">
        <v>46112.343055555553</v>
      </c>
      <c r="N1863" t="s">
        <v>137</v>
      </c>
    </row>
    <row r="1864" spans="1:14" x14ac:dyDescent="0.25">
      <c r="A1864" s="9" t="s">
        <v>5211</v>
      </c>
      <c r="B1864" s="10">
        <v>718</v>
      </c>
      <c r="C1864" s="10" t="s">
        <v>323</v>
      </c>
      <c r="D1864" t="s">
        <v>3099</v>
      </c>
      <c r="E1864" t="s">
        <v>3100</v>
      </c>
      <c r="F1864" s="10" t="s">
        <v>23</v>
      </c>
      <c r="G1864" s="2">
        <v>137.2636</v>
      </c>
      <c r="H1864" s="13">
        <v>3</v>
      </c>
      <c r="I1864" s="13">
        <v>0</v>
      </c>
      <c r="J1864" s="13">
        <v>0</v>
      </c>
      <c r="K1864" s="10">
        <v>3</v>
      </c>
      <c r="L1864" s="2">
        <v>411.79079999999999</v>
      </c>
      <c r="M1864" s="1">
        <v>46112.350694444445</v>
      </c>
      <c r="N1864" t="s">
        <v>36</v>
      </c>
    </row>
    <row r="1865" spans="1:14" x14ac:dyDescent="0.25">
      <c r="A1865" s="9" t="s">
        <v>5211</v>
      </c>
      <c r="B1865" s="10">
        <v>636</v>
      </c>
      <c r="C1865" s="10" t="s">
        <v>323</v>
      </c>
      <c r="D1865" t="s">
        <v>1626</v>
      </c>
      <c r="E1865" t="s">
        <v>1627</v>
      </c>
      <c r="F1865" s="10" t="s">
        <v>158</v>
      </c>
      <c r="G1865" s="2">
        <v>218.55279999999999</v>
      </c>
      <c r="H1865" s="13">
        <v>3</v>
      </c>
      <c r="I1865" s="13">
        <v>0</v>
      </c>
      <c r="J1865" s="13">
        <v>0</v>
      </c>
      <c r="K1865" s="10">
        <v>3</v>
      </c>
      <c r="L1865" s="2">
        <v>655.65840000000003</v>
      </c>
      <c r="M1865" s="1">
        <v>46112.467361111114</v>
      </c>
      <c r="N1865" t="s">
        <v>151</v>
      </c>
    </row>
    <row r="1866" spans="1:14" x14ac:dyDescent="0.25">
      <c r="A1866" s="9" t="s">
        <v>5211</v>
      </c>
      <c r="B1866" s="10">
        <v>636</v>
      </c>
      <c r="C1866" s="10" t="s">
        <v>323</v>
      </c>
      <c r="D1866" t="s">
        <v>1396</v>
      </c>
      <c r="E1866" t="s">
        <v>1397</v>
      </c>
      <c r="F1866" s="10" t="s">
        <v>29</v>
      </c>
      <c r="G1866" s="2">
        <v>198.31649999999999</v>
      </c>
      <c r="H1866" s="13">
        <v>3</v>
      </c>
      <c r="I1866" s="13">
        <v>2</v>
      </c>
      <c r="J1866" s="13">
        <v>-2</v>
      </c>
      <c r="K1866" s="10">
        <v>3</v>
      </c>
      <c r="L1866" s="2">
        <v>594.94949999999994</v>
      </c>
      <c r="M1866" s="1">
        <v>46112.467361111114</v>
      </c>
      <c r="N1866" t="s">
        <v>151</v>
      </c>
    </row>
    <row r="1867" spans="1:14" x14ac:dyDescent="0.25">
      <c r="A1867" s="9" t="s">
        <v>5211</v>
      </c>
      <c r="B1867" s="10">
        <v>634</v>
      </c>
      <c r="C1867" s="10" t="s">
        <v>70</v>
      </c>
      <c r="D1867" t="s">
        <v>4052</v>
      </c>
      <c r="E1867" t="s">
        <v>4053</v>
      </c>
      <c r="F1867" s="10" t="s">
        <v>39</v>
      </c>
      <c r="G1867" s="2">
        <v>6.0419999999999998</v>
      </c>
      <c r="H1867" s="13">
        <v>3</v>
      </c>
      <c r="I1867" s="13">
        <v>-28</v>
      </c>
      <c r="J1867" s="13">
        <v>28</v>
      </c>
      <c r="K1867" s="10">
        <v>3</v>
      </c>
      <c r="L1867" s="2">
        <v>18.126000000000001</v>
      </c>
      <c r="M1867" s="1">
        <v>46113.434027777781</v>
      </c>
      <c r="N1867" t="s">
        <v>16</v>
      </c>
    </row>
    <row r="1868" spans="1:14" x14ac:dyDescent="0.25">
      <c r="A1868" s="9" t="s">
        <v>5211</v>
      </c>
      <c r="B1868" s="10">
        <v>636</v>
      </c>
      <c r="C1868" s="10" t="s">
        <v>323</v>
      </c>
      <c r="D1868" t="s">
        <v>1636</v>
      </c>
      <c r="E1868" t="s">
        <v>1637</v>
      </c>
      <c r="F1868" s="10" t="s">
        <v>29</v>
      </c>
      <c r="G1868" s="2">
        <v>556.62950000000001</v>
      </c>
      <c r="H1868" s="13">
        <v>3</v>
      </c>
      <c r="I1868" s="13">
        <v>0</v>
      </c>
      <c r="J1868" s="13">
        <v>0</v>
      </c>
      <c r="K1868" s="10">
        <v>3</v>
      </c>
      <c r="L1868" s="2">
        <v>1669.8885</v>
      </c>
      <c r="M1868" s="1">
        <v>46114.394444444442</v>
      </c>
      <c r="N1868" t="s">
        <v>486</v>
      </c>
    </row>
    <row r="1869" spans="1:14" x14ac:dyDescent="0.25">
      <c r="A1869" s="9" t="s">
        <v>5211</v>
      </c>
      <c r="B1869" s="10">
        <v>636</v>
      </c>
      <c r="C1869" s="10" t="s">
        <v>143</v>
      </c>
      <c r="D1869" t="s">
        <v>241</v>
      </c>
      <c r="E1869" t="s">
        <v>242</v>
      </c>
      <c r="F1869" s="10" t="s">
        <v>158</v>
      </c>
      <c r="G1869" s="2">
        <v>98.506900000000002</v>
      </c>
      <c r="H1869" s="13">
        <v>3</v>
      </c>
      <c r="I1869" s="13">
        <v>0</v>
      </c>
      <c r="J1869" s="13">
        <v>0</v>
      </c>
      <c r="K1869" s="10">
        <v>3</v>
      </c>
      <c r="L1869" s="2">
        <v>295.52069999999998</v>
      </c>
      <c r="M1869" s="1">
        <v>46114.436111111114</v>
      </c>
      <c r="N1869" t="s">
        <v>170</v>
      </c>
    </row>
    <row r="1870" spans="1:14" x14ac:dyDescent="0.25">
      <c r="A1870" s="9" t="s">
        <v>5211</v>
      </c>
      <c r="B1870" s="10">
        <v>636</v>
      </c>
      <c r="C1870" s="10" t="s">
        <v>143</v>
      </c>
      <c r="D1870" t="s">
        <v>319</v>
      </c>
      <c r="E1870" t="s">
        <v>320</v>
      </c>
      <c r="F1870" s="10" t="s">
        <v>19</v>
      </c>
      <c r="G1870" s="2">
        <v>98.506799999999998</v>
      </c>
      <c r="H1870" s="13">
        <v>3</v>
      </c>
      <c r="I1870" s="13">
        <v>0</v>
      </c>
      <c r="J1870" s="13">
        <v>0</v>
      </c>
      <c r="K1870" s="10">
        <v>3</v>
      </c>
      <c r="L1870" s="2">
        <v>295.5204</v>
      </c>
      <c r="M1870" s="1">
        <v>46114.436111111114</v>
      </c>
      <c r="N1870" t="s">
        <v>170</v>
      </c>
    </row>
    <row r="1871" spans="1:14" x14ac:dyDescent="0.25">
      <c r="A1871" s="9" t="s">
        <v>5211</v>
      </c>
      <c r="B1871" s="10">
        <v>636</v>
      </c>
      <c r="C1871" s="10" t="s">
        <v>1749</v>
      </c>
      <c r="D1871" t="s">
        <v>1792</v>
      </c>
      <c r="E1871" t="s">
        <v>1793</v>
      </c>
      <c r="F1871" s="10" t="s">
        <v>39</v>
      </c>
      <c r="G1871" s="2">
        <v>35.408099999999997</v>
      </c>
      <c r="H1871" s="13">
        <v>3</v>
      </c>
      <c r="I1871" s="13">
        <v>0</v>
      </c>
      <c r="J1871" s="13">
        <v>0</v>
      </c>
      <c r="K1871" s="10">
        <v>3</v>
      </c>
      <c r="L1871" s="2">
        <v>106.2243</v>
      </c>
      <c r="M1871" s="1">
        <v>46114.597916666666</v>
      </c>
      <c r="N1871" t="s">
        <v>797</v>
      </c>
    </row>
    <row r="1872" spans="1:14" x14ac:dyDescent="0.25">
      <c r="A1872" s="9" t="s">
        <v>5211</v>
      </c>
      <c r="B1872" s="10">
        <v>636</v>
      </c>
      <c r="C1872" s="10" t="s">
        <v>1749</v>
      </c>
      <c r="D1872" t="s">
        <v>1802</v>
      </c>
      <c r="E1872" t="s">
        <v>1803</v>
      </c>
      <c r="F1872" s="10" t="s">
        <v>29</v>
      </c>
      <c r="G1872" s="2">
        <v>9.9143000000000008</v>
      </c>
      <c r="H1872" s="13">
        <v>3</v>
      </c>
      <c r="I1872" s="13">
        <v>0</v>
      </c>
      <c r="J1872" s="13">
        <v>0</v>
      </c>
      <c r="K1872" s="10">
        <v>3</v>
      </c>
      <c r="L1872" s="2">
        <v>29.742899999999999</v>
      </c>
      <c r="M1872" s="1">
        <v>46114.597916666666</v>
      </c>
      <c r="N1872" t="s">
        <v>797</v>
      </c>
    </row>
    <row r="1873" spans="1:14" x14ac:dyDescent="0.25">
      <c r="A1873" s="9" t="s">
        <v>5211</v>
      </c>
      <c r="B1873" s="10">
        <v>636</v>
      </c>
      <c r="C1873" s="10" t="s">
        <v>1749</v>
      </c>
      <c r="D1873" t="s">
        <v>1768</v>
      </c>
      <c r="E1873" t="s">
        <v>1769</v>
      </c>
      <c r="F1873" s="10" t="s">
        <v>39</v>
      </c>
      <c r="G1873" s="2">
        <v>39.019799999999996</v>
      </c>
      <c r="H1873" s="13">
        <v>3</v>
      </c>
      <c r="I1873" s="13">
        <v>0</v>
      </c>
      <c r="J1873" s="13">
        <v>0</v>
      </c>
      <c r="K1873" s="10">
        <v>3</v>
      </c>
      <c r="L1873" s="2">
        <v>117.0594</v>
      </c>
      <c r="M1873" s="1">
        <v>46114.597916666666</v>
      </c>
      <c r="N1873" t="s">
        <v>797</v>
      </c>
    </row>
    <row r="1874" spans="1:14" x14ac:dyDescent="0.25">
      <c r="A1874" s="9" t="s">
        <v>5211</v>
      </c>
      <c r="B1874" s="10">
        <v>636</v>
      </c>
      <c r="C1874" s="10" t="s">
        <v>1208</v>
      </c>
      <c r="D1874" t="s">
        <v>1215</v>
      </c>
      <c r="E1874" t="s">
        <v>1216</v>
      </c>
      <c r="F1874" s="10" t="s">
        <v>29</v>
      </c>
      <c r="G1874" s="2">
        <v>21.952999999999999</v>
      </c>
      <c r="H1874" s="13">
        <v>3</v>
      </c>
      <c r="I1874" s="13">
        <v>0</v>
      </c>
      <c r="J1874" s="13">
        <v>0</v>
      </c>
      <c r="K1874" s="10">
        <v>3</v>
      </c>
      <c r="L1874" s="2">
        <v>65.858999999999995</v>
      </c>
      <c r="M1874" s="1">
        <v>46114.597916666666</v>
      </c>
      <c r="N1874" t="s">
        <v>797</v>
      </c>
    </row>
    <row r="1875" spans="1:14" x14ac:dyDescent="0.25">
      <c r="A1875" s="9" t="s">
        <v>5211</v>
      </c>
      <c r="B1875" s="10">
        <v>636</v>
      </c>
      <c r="C1875" s="10" t="s">
        <v>1749</v>
      </c>
      <c r="D1875" t="s">
        <v>1796</v>
      </c>
      <c r="E1875" t="s">
        <v>1797</v>
      </c>
      <c r="F1875" s="10" t="s">
        <v>23</v>
      </c>
      <c r="G1875" s="2">
        <v>86.707499999999996</v>
      </c>
      <c r="H1875" s="13">
        <v>3</v>
      </c>
      <c r="I1875" s="13">
        <v>0</v>
      </c>
      <c r="J1875" s="13">
        <v>0</v>
      </c>
      <c r="K1875" s="10">
        <v>3</v>
      </c>
      <c r="L1875" s="2">
        <v>260.1225</v>
      </c>
      <c r="M1875" s="1">
        <v>46114.597916666666</v>
      </c>
      <c r="N1875" t="s">
        <v>797</v>
      </c>
    </row>
    <row r="1876" spans="1:14" x14ac:dyDescent="0.25">
      <c r="A1876" s="9" t="s">
        <v>5211</v>
      </c>
      <c r="B1876" s="10">
        <v>634</v>
      </c>
      <c r="C1876" s="10" t="s">
        <v>323</v>
      </c>
      <c r="D1876" t="s">
        <v>430</v>
      </c>
      <c r="E1876" t="s">
        <v>431</v>
      </c>
      <c r="F1876" s="10" t="s">
        <v>19</v>
      </c>
      <c r="G1876" s="2">
        <v>207.0762</v>
      </c>
      <c r="H1876" s="13">
        <v>3</v>
      </c>
      <c r="I1876" s="13">
        <v>0</v>
      </c>
      <c r="J1876" s="13">
        <v>0</v>
      </c>
      <c r="K1876" s="10">
        <v>3</v>
      </c>
      <c r="L1876" s="2">
        <v>621.22860000000003</v>
      </c>
      <c r="M1876" s="1">
        <v>46115.618055555555</v>
      </c>
      <c r="N1876" t="s">
        <v>295</v>
      </c>
    </row>
    <row r="1877" spans="1:14" x14ac:dyDescent="0.25">
      <c r="A1877" s="9" t="s">
        <v>5211</v>
      </c>
      <c r="B1877" s="10">
        <v>714</v>
      </c>
      <c r="C1877" s="10" t="s">
        <v>143</v>
      </c>
      <c r="D1877" t="s">
        <v>2421</v>
      </c>
      <c r="E1877" t="s">
        <v>2422</v>
      </c>
      <c r="F1877" s="10" t="s">
        <v>29</v>
      </c>
      <c r="G1877" s="2">
        <v>65.032200000000003</v>
      </c>
      <c r="H1877" s="13">
        <v>3</v>
      </c>
      <c r="I1877" s="13">
        <v>0</v>
      </c>
      <c r="J1877" s="13">
        <v>0</v>
      </c>
      <c r="K1877" s="10">
        <v>3</v>
      </c>
      <c r="L1877" s="2">
        <v>195.0966</v>
      </c>
      <c r="M1877" s="1">
        <v>46118.304861111108</v>
      </c>
      <c r="N1877" t="s">
        <v>2423</v>
      </c>
    </row>
    <row r="1878" spans="1:14" x14ac:dyDescent="0.25">
      <c r="A1878" s="9" t="s">
        <v>5211</v>
      </c>
      <c r="B1878" s="10">
        <v>714</v>
      </c>
      <c r="C1878" s="10" t="s">
        <v>323</v>
      </c>
      <c r="D1878" t="s">
        <v>2852</v>
      </c>
      <c r="E1878" t="s">
        <v>2853</v>
      </c>
      <c r="F1878" s="10" t="s">
        <v>29</v>
      </c>
      <c r="G1878" s="2">
        <v>119.34099999999999</v>
      </c>
      <c r="H1878" s="13">
        <v>3</v>
      </c>
      <c r="I1878" s="13">
        <v>0</v>
      </c>
      <c r="J1878" s="13">
        <v>0</v>
      </c>
      <c r="K1878" s="10">
        <v>3</v>
      </c>
      <c r="L1878" s="2">
        <v>358.02300000000002</v>
      </c>
      <c r="M1878" s="1">
        <v>46118.304861111108</v>
      </c>
      <c r="N1878" t="s">
        <v>2423</v>
      </c>
    </row>
    <row r="1879" spans="1:14" x14ac:dyDescent="0.25">
      <c r="A1879" s="9" t="s">
        <v>5211</v>
      </c>
      <c r="B1879" s="10">
        <v>718</v>
      </c>
      <c r="C1879" s="10" t="s">
        <v>143</v>
      </c>
      <c r="D1879" t="s">
        <v>2464</v>
      </c>
      <c r="E1879" t="s">
        <v>2465</v>
      </c>
      <c r="F1879" s="10" t="s">
        <v>39</v>
      </c>
      <c r="G1879" s="2">
        <v>60.935499999999998</v>
      </c>
      <c r="H1879" s="13">
        <v>3</v>
      </c>
      <c r="I1879" s="13">
        <v>0</v>
      </c>
      <c r="J1879" s="13">
        <v>0</v>
      </c>
      <c r="K1879" s="10">
        <v>3</v>
      </c>
      <c r="L1879" s="2">
        <v>182.8065</v>
      </c>
      <c r="M1879" s="1">
        <v>46118.523611111108</v>
      </c>
      <c r="N1879" t="s">
        <v>137</v>
      </c>
    </row>
    <row r="1880" spans="1:14" x14ac:dyDescent="0.25">
      <c r="A1880" s="9" t="s">
        <v>5211</v>
      </c>
      <c r="B1880" s="10">
        <v>718</v>
      </c>
      <c r="C1880" s="10" t="s">
        <v>143</v>
      </c>
      <c r="D1880" t="s">
        <v>3707</v>
      </c>
      <c r="E1880" t="s">
        <v>3708</v>
      </c>
      <c r="F1880" s="10" t="s">
        <v>19</v>
      </c>
      <c r="G1880" s="2">
        <v>171.99539999999999</v>
      </c>
      <c r="H1880" s="13">
        <v>3</v>
      </c>
      <c r="I1880" s="13">
        <v>0</v>
      </c>
      <c r="J1880" s="13">
        <v>0</v>
      </c>
      <c r="K1880" s="10">
        <v>3</v>
      </c>
      <c r="L1880" s="2">
        <v>515.98620000000005</v>
      </c>
      <c r="M1880" s="1">
        <v>46118.523611111108</v>
      </c>
      <c r="N1880" t="s">
        <v>137</v>
      </c>
    </row>
    <row r="1881" spans="1:14" x14ac:dyDescent="0.25">
      <c r="A1881" s="9" t="s">
        <v>5211</v>
      </c>
      <c r="B1881" s="10">
        <v>634</v>
      </c>
      <c r="C1881" s="10" t="s">
        <v>143</v>
      </c>
      <c r="D1881" t="s">
        <v>241</v>
      </c>
      <c r="E1881" t="s">
        <v>242</v>
      </c>
      <c r="F1881" s="10" t="s">
        <v>158</v>
      </c>
      <c r="G1881" s="2">
        <v>105.3261</v>
      </c>
      <c r="H1881" s="13">
        <v>3</v>
      </c>
      <c r="I1881" s="13">
        <v>0</v>
      </c>
      <c r="J1881" s="13">
        <v>0</v>
      </c>
      <c r="K1881" s="10">
        <v>3</v>
      </c>
      <c r="L1881" s="2">
        <v>315.97829999999999</v>
      </c>
      <c r="M1881" s="1">
        <v>46119.382638888892</v>
      </c>
      <c r="N1881" t="s">
        <v>170</v>
      </c>
    </row>
    <row r="1882" spans="1:14" x14ac:dyDescent="0.25">
      <c r="A1882" s="9" t="s">
        <v>5211</v>
      </c>
      <c r="B1882" s="10">
        <v>636</v>
      </c>
      <c r="C1882" s="10" t="s">
        <v>143</v>
      </c>
      <c r="D1882" t="s">
        <v>234</v>
      </c>
      <c r="E1882" t="s">
        <v>235</v>
      </c>
      <c r="F1882" s="10" t="s">
        <v>158</v>
      </c>
      <c r="G1882" s="2">
        <v>259.04759999999999</v>
      </c>
      <c r="H1882" s="13">
        <v>3</v>
      </c>
      <c r="I1882" s="13">
        <v>0</v>
      </c>
      <c r="J1882" s="13">
        <v>0</v>
      </c>
      <c r="K1882" s="10">
        <v>3</v>
      </c>
      <c r="L1882" s="2">
        <v>777.14279999999997</v>
      </c>
      <c r="M1882" s="1">
        <v>46119.593055555553</v>
      </c>
      <c r="N1882" t="s">
        <v>236</v>
      </c>
    </row>
    <row r="1883" spans="1:14" x14ac:dyDescent="0.25">
      <c r="A1883" s="9" t="s">
        <v>5211</v>
      </c>
      <c r="B1883" s="10">
        <v>634</v>
      </c>
      <c r="C1883" s="10" t="s">
        <v>143</v>
      </c>
      <c r="D1883" t="s">
        <v>4230</v>
      </c>
      <c r="E1883" t="s">
        <v>4231</v>
      </c>
      <c r="F1883" s="10" t="s">
        <v>158</v>
      </c>
      <c r="G1883" s="2">
        <v>192.66390000000001</v>
      </c>
      <c r="H1883" s="13">
        <v>3</v>
      </c>
      <c r="I1883" s="13">
        <v>8</v>
      </c>
      <c r="J1883" s="13">
        <v>-8</v>
      </c>
      <c r="K1883" s="10">
        <v>3</v>
      </c>
      <c r="L1883" s="2">
        <v>577.99170000000004</v>
      </c>
      <c r="M1883" s="1">
        <v>46119.597222222219</v>
      </c>
      <c r="N1883" t="s">
        <v>236</v>
      </c>
    </row>
    <row r="1884" spans="1:14" x14ac:dyDescent="0.25">
      <c r="A1884" s="9" t="s">
        <v>5211</v>
      </c>
      <c r="B1884" s="10">
        <v>634</v>
      </c>
      <c r="C1884" s="10" t="s">
        <v>143</v>
      </c>
      <c r="D1884" t="s">
        <v>234</v>
      </c>
      <c r="E1884" t="s">
        <v>235</v>
      </c>
      <c r="F1884" s="10" t="s">
        <v>29</v>
      </c>
      <c r="G1884" s="2">
        <v>261.06529999999998</v>
      </c>
      <c r="H1884" s="13">
        <v>3</v>
      </c>
      <c r="I1884" s="13">
        <v>0</v>
      </c>
      <c r="J1884" s="13">
        <v>0</v>
      </c>
      <c r="K1884" s="10">
        <v>3</v>
      </c>
      <c r="L1884" s="2">
        <v>783.19590000000005</v>
      </c>
      <c r="M1884" s="1">
        <v>46119.597222222219</v>
      </c>
      <c r="N1884" t="s">
        <v>236</v>
      </c>
    </row>
    <row r="1885" spans="1:14" x14ac:dyDescent="0.25">
      <c r="A1885" s="9" t="s">
        <v>5211</v>
      </c>
      <c r="B1885" s="10">
        <v>634</v>
      </c>
      <c r="C1885" s="10" t="s">
        <v>143</v>
      </c>
      <c r="D1885" t="s">
        <v>171</v>
      </c>
      <c r="E1885" t="s">
        <v>172</v>
      </c>
      <c r="F1885" s="10" t="s">
        <v>19</v>
      </c>
      <c r="G1885" s="2">
        <v>187.08340000000001</v>
      </c>
      <c r="H1885" s="13">
        <v>3</v>
      </c>
      <c r="I1885" s="13">
        <v>0</v>
      </c>
      <c r="J1885" s="13">
        <v>0</v>
      </c>
      <c r="K1885" s="10">
        <v>3</v>
      </c>
      <c r="L1885" s="2">
        <v>561.25019999999995</v>
      </c>
      <c r="M1885" s="1">
        <v>46119.724999999999</v>
      </c>
      <c r="N1885" t="s">
        <v>165</v>
      </c>
    </row>
    <row r="1886" spans="1:14" x14ac:dyDescent="0.25">
      <c r="A1886" s="9" t="s">
        <v>5211</v>
      </c>
      <c r="B1886" s="10">
        <v>634</v>
      </c>
      <c r="C1886" s="10" t="s">
        <v>143</v>
      </c>
      <c r="D1886" t="s">
        <v>163</v>
      </c>
      <c r="E1886" t="s">
        <v>164</v>
      </c>
      <c r="F1886" s="10" t="s">
        <v>23</v>
      </c>
      <c r="G1886" s="2">
        <v>157.29300000000001</v>
      </c>
      <c r="H1886" s="13">
        <v>3</v>
      </c>
      <c r="I1886" s="13">
        <v>0</v>
      </c>
      <c r="J1886" s="13">
        <v>0</v>
      </c>
      <c r="K1886" s="10">
        <v>3</v>
      </c>
      <c r="L1886" s="2">
        <v>471.87900000000002</v>
      </c>
      <c r="M1886" s="1">
        <v>46119.724999999999</v>
      </c>
      <c r="N1886" t="s">
        <v>165</v>
      </c>
    </row>
    <row r="1887" spans="1:14" x14ac:dyDescent="0.25">
      <c r="A1887" s="9" t="s">
        <v>5211</v>
      </c>
      <c r="B1887" s="10">
        <v>634</v>
      </c>
      <c r="C1887" s="10" t="s">
        <v>143</v>
      </c>
      <c r="D1887" t="s">
        <v>217</v>
      </c>
      <c r="E1887" t="s">
        <v>218</v>
      </c>
      <c r="F1887" s="10" t="s">
        <v>23</v>
      </c>
      <c r="G1887" s="2">
        <v>183.5085</v>
      </c>
      <c r="H1887" s="13">
        <v>3</v>
      </c>
      <c r="I1887" s="13">
        <v>0</v>
      </c>
      <c r="J1887" s="13">
        <v>0</v>
      </c>
      <c r="K1887" s="10">
        <v>3</v>
      </c>
      <c r="L1887" s="2">
        <v>550.52549999999997</v>
      </c>
      <c r="M1887" s="1">
        <v>46119.724999999999</v>
      </c>
      <c r="N1887" t="s">
        <v>165</v>
      </c>
    </row>
    <row r="1888" spans="1:14" x14ac:dyDescent="0.25">
      <c r="A1888" s="9" t="s">
        <v>5211</v>
      </c>
      <c r="B1888" s="10">
        <v>634</v>
      </c>
      <c r="C1888" s="10" t="s">
        <v>143</v>
      </c>
      <c r="D1888" t="s">
        <v>249</v>
      </c>
      <c r="E1888" t="s">
        <v>250</v>
      </c>
      <c r="F1888" s="10" t="s">
        <v>23</v>
      </c>
      <c r="G1888" s="2">
        <v>226.4066</v>
      </c>
      <c r="H1888" s="13">
        <v>3</v>
      </c>
      <c r="I1888" s="13">
        <v>0</v>
      </c>
      <c r="J1888" s="13">
        <v>0</v>
      </c>
      <c r="K1888" s="10">
        <v>3</v>
      </c>
      <c r="L1888" s="2">
        <v>679.21979999999996</v>
      </c>
      <c r="M1888" s="1">
        <v>46119.724999999999</v>
      </c>
      <c r="N1888" t="s">
        <v>165</v>
      </c>
    </row>
    <row r="1889" spans="1:14" x14ac:dyDescent="0.25">
      <c r="A1889" s="9" t="s">
        <v>5211</v>
      </c>
      <c r="B1889" s="10">
        <v>634</v>
      </c>
      <c r="C1889" s="10" t="s">
        <v>143</v>
      </c>
      <c r="D1889" t="s">
        <v>277</v>
      </c>
      <c r="E1889" t="s">
        <v>278</v>
      </c>
      <c r="F1889" s="10" t="s">
        <v>29</v>
      </c>
      <c r="G1889" s="2">
        <v>187.08340000000001</v>
      </c>
      <c r="H1889" s="13">
        <v>3</v>
      </c>
      <c r="I1889" s="13">
        <v>0</v>
      </c>
      <c r="J1889" s="13">
        <v>0</v>
      </c>
      <c r="K1889" s="10">
        <v>3</v>
      </c>
      <c r="L1889" s="2">
        <v>561.25019999999995</v>
      </c>
      <c r="M1889" s="1">
        <v>46119.724999999999</v>
      </c>
      <c r="N1889" t="s">
        <v>165</v>
      </c>
    </row>
    <row r="1890" spans="1:14" x14ac:dyDescent="0.25">
      <c r="A1890" s="9" t="s">
        <v>5211</v>
      </c>
      <c r="B1890" s="10">
        <v>636</v>
      </c>
      <c r="C1890" s="10" t="s">
        <v>323</v>
      </c>
      <c r="D1890" t="s">
        <v>1550</v>
      </c>
      <c r="E1890" t="s">
        <v>1551</v>
      </c>
      <c r="F1890" s="10" t="s">
        <v>158</v>
      </c>
      <c r="G1890" s="2">
        <v>301.84199999999998</v>
      </c>
      <c r="H1890" s="13">
        <v>3</v>
      </c>
      <c r="I1890" s="13">
        <v>1</v>
      </c>
      <c r="J1890" s="13">
        <v>-1</v>
      </c>
      <c r="K1890" s="10">
        <v>3</v>
      </c>
      <c r="L1890" s="2">
        <v>905.52599999999995</v>
      </c>
      <c r="M1890" s="1">
        <v>46119.725694444445</v>
      </c>
      <c r="N1890" t="s">
        <v>165</v>
      </c>
    </row>
    <row r="1891" spans="1:14" x14ac:dyDescent="0.25">
      <c r="A1891" s="9" t="s">
        <v>5211</v>
      </c>
      <c r="B1891" s="10">
        <v>636</v>
      </c>
      <c r="C1891" s="10" t="s">
        <v>143</v>
      </c>
      <c r="D1891" t="s">
        <v>1078</v>
      </c>
      <c r="E1891" t="s">
        <v>1079</v>
      </c>
      <c r="F1891" s="10" t="s">
        <v>19</v>
      </c>
      <c r="G1891" s="2">
        <v>132.38310000000001</v>
      </c>
      <c r="H1891" s="13">
        <v>3</v>
      </c>
      <c r="I1891" s="13">
        <v>0</v>
      </c>
      <c r="J1891" s="13">
        <v>0</v>
      </c>
      <c r="K1891" s="10">
        <v>3</v>
      </c>
      <c r="L1891" s="2">
        <v>397.14929999999998</v>
      </c>
      <c r="M1891" s="1">
        <v>46119.725694444445</v>
      </c>
      <c r="N1891" t="s">
        <v>165</v>
      </c>
    </row>
    <row r="1892" spans="1:14" x14ac:dyDescent="0.25">
      <c r="A1892" s="9" t="s">
        <v>5211</v>
      </c>
      <c r="B1892" s="10">
        <v>636</v>
      </c>
      <c r="C1892" s="10" t="s">
        <v>323</v>
      </c>
      <c r="D1892" t="s">
        <v>484</v>
      </c>
      <c r="E1892" t="s">
        <v>485</v>
      </c>
      <c r="F1892" s="10" t="s">
        <v>23</v>
      </c>
      <c r="G1892" s="2">
        <v>383.5582</v>
      </c>
      <c r="H1892" s="13">
        <v>3</v>
      </c>
      <c r="I1892" s="13">
        <v>0</v>
      </c>
      <c r="J1892" s="13">
        <v>0</v>
      </c>
      <c r="K1892" s="10">
        <v>3</v>
      </c>
      <c r="L1892" s="2">
        <v>1150.6746000000001</v>
      </c>
      <c r="M1892" s="1">
        <v>46120.481944444444</v>
      </c>
      <c r="N1892" t="s">
        <v>159</v>
      </c>
    </row>
    <row r="1893" spans="1:14" x14ac:dyDescent="0.25">
      <c r="A1893" s="9" t="s">
        <v>5211</v>
      </c>
      <c r="B1893" s="10">
        <v>636</v>
      </c>
      <c r="C1893" s="10" t="s">
        <v>323</v>
      </c>
      <c r="D1893" t="s">
        <v>1684</v>
      </c>
      <c r="E1893" t="s">
        <v>1685</v>
      </c>
      <c r="F1893" s="10" t="s">
        <v>19</v>
      </c>
      <c r="G1893" s="2">
        <v>987.41409999999996</v>
      </c>
      <c r="H1893" s="13">
        <v>3</v>
      </c>
      <c r="I1893" s="13">
        <v>0</v>
      </c>
      <c r="J1893" s="13">
        <v>0</v>
      </c>
      <c r="K1893" s="10">
        <v>3</v>
      </c>
      <c r="L1893" s="2">
        <v>2962.2422999999999</v>
      </c>
      <c r="M1893" s="1">
        <v>46120.481944444444</v>
      </c>
      <c r="N1893" t="s">
        <v>159</v>
      </c>
    </row>
    <row r="1894" spans="1:14" x14ac:dyDescent="0.25">
      <c r="A1894" s="9" t="s">
        <v>5211</v>
      </c>
      <c r="B1894" s="10">
        <v>634</v>
      </c>
      <c r="C1894" s="10" t="s">
        <v>323</v>
      </c>
      <c r="D1894" t="s">
        <v>476</v>
      </c>
      <c r="E1894" t="s">
        <v>477</v>
      </c>
      <c r="F1894" s="10" t="s">
        <v>29</v>
      </c>
      <c r="G1894" s="2">
        <v>174.03970000000001</v>
      </c>
      <c r="H1894" s="13">
        <v>3</v>
      </c>
      <c r="I1894" s="13">
        <v>0</v>
      </c>
      <c r="J1894" s="13">
        <v>0</v>
      </c>
      <c r="K1894" s="10">
        <v>3</v>
      </c>
      <c r="L1894" s="2">
        <v>522.1191</v>
      </c>
      <c r="M1894" s="1">
        <v>46122.515277777777</v>
      </c>
      <c r="N1894" t="s">
        <v>354</v>
      </c>
    </row>
    <row r="1895" spans="1:14" x14ac:dyDescent="0.25">
      <c r="A1895" s="9" t="s">
        <v>5211</v>
      </c>
      <c r="B1895" s="10">
        <v>636</v>
      </c>
      <c r="C1895" s="10" t="s">
        <v>323</v>
      </c>
      <c r="D1895" t="s">
        <v>1355</v>
      </c>
      <c r="E1895" t="s">
        <v>1356</v>
      </c>
      <c r="F1895" s="10" t="s">
        <v>29</v>
      </c>
      <c r="G1895" s="2">
        <v>470.34140000000002</v>
      </c>
      <c r="H1895" s="13">
        <v>3</v>
      </c>
      <c r="I1895" s="13">
        <v>0</v>
      </c>
      <c r="J1895" s="13">
        <v>0</v>
      </c>
      <c r="K1895" s="10">
        <v>3</v>
      </c>
      <c r="L1895" s="2">
        <v>1411.0242000000001</v>
      </c>
      <c r="M1895" s="1">
        <v>46122.613888888889</v>
      </c>
      <c r="N1895" t="s">
        <v>151</v>
      </c>
    </row>
    <row r="1896" spans="1:14" x14ac:dyDescent="0.25">
      <c r="A1896" s="9" t="s">
        <v>5211</v>
      </c>
      <c r="B1896" s="10">
        <v>636</v>
      </c>
      <c r="C1896" s="10" t="s">
        <v>323</v>
      </c>
      <c r="D1896" t="s">
        <v>1407</v>
      </c>
      <c r="E1896" t="s">
        <v>1408</v>
      </c>
      <c r="F1896" s="10" t="s">
        <v>455</v>
      </c>
      <c r="G1896" s="2">
        <v>264.48910000000001</v>
      </c>
      <c r="H1896" s="13">
        <v>3</v>
      </c>
      <c r="I1896" s="13">
        <v>0</v>
      </c>
      <c r="J1896" s="13">
        <v>0</v>
      </c>
      <c r="K1896" s="10">
        <v>3</v>
      </c>
      <c r="L1896" s="2">
        <v>793.46730000000002</v>
      </c>
      <c r="M1896" s="1">
        <v>46122.613888888889</v>
      </c>
      <c r="N1896" t="s">
        <v>151</v>
      </c>
    </row>
    <row r="1897" spans="1:14" x14ac:dyDescent="0.25">
      <c r="A1897" s="9" t="s">
        <v>5211</v>
      </c>
      <c r="B1897" s="10">
        <v>714</v>
      </c>
      <c r="C1897" s="10" t="s">
        <v>323</v>
      </c>
      <c r="D1897" t="s">
        <v>3328</v>
      </c>
      <c r="E1897" t="s">
        <v>3329</v>
      </c>
      <c r="F1897" s="10" t="s">
        <v>23</v>
      </c>
      <c r="G1897" s="2">
        <v>97.685199999999995</v>
      </c>
      <c r="H1897" s="13">
        <v>3</v>
      </c>
      <c r="I1897" s="13">
        <v>2</v>
      </c>
      <c r="J1897" s="13">
        <v>-2</v>
      </c>
      <c r="K1897" s="10">
        <v>3</v>
      </c>
      <c r="L1897" s="2">
        <v>293.05560000000003</v>
      </c>
      <c r="M1897" s="1">
        <v>46123.461805555555</v>
      </c>
      <c r="N1897" t="s">
        <v>40</v>
      </c>
    </row>
    <row r="1898" spans="1:14" x14ac:dyDescent="0.25">
      <c r="A1898" s="9" t="s">
        <v>5211</v>
      </c>
      <c r="B1898" s="10">
        <v>714</v>
      </c>
      <c r="C1898" s="10" t="s">
        <v>323</v>
      </c>
      <c r="D1898" t="s">
        <v>2961</v>
      </c>
      <c r="E1898" t="s">
        <v>2962</v>
      </c>
      <c r="F1898" s="10" t="s">
        <v>455</v>
      </c>
      <c r="G1898" s="2">
        <v>348.51979999999998</v>
      </c>
      <c r="H1898" s="13">
        <v>3</v>
      </c>
      <c r="I1898" s="13">
        <v>0</v>
      </c>
      <c r="J1898" s="13">
        <v>0</v>
      </c>
      <c r="K1898" s="10">
        <v>3</v>
      </c>
      <c r="L1898" s="2">
        <v>1045.5594000000001</v>
      </c>
      <c r="M1898" s="1">
        <v>46126.29791666667</v>
      </c>
      <c r="N1898" t="s">
        <v>2379</v>
      </c>
    </row>
    <row r="1899" spans="1:14" x14ac:dyDescent="0.25">
      <c r="A1899" s="9" t="s">
        <v>5211</v>
      </c>
      <c r="B1899" s="10">
        <v>634</v>
      </c>
      <c r="C1899" s="10" t="s">
        <v>143</v>
      </c>
      <c r="D1899" t="s">
        <v>313</v>
      </c>
      <c r="E1899" t="s">
        <v>314</v>
      </c>
      <c r="F1899" s="10" t="s">
        <v>29</v>
      </c>
      <c r="G1899" s="2">
        <v>92.535600000000002</v>
      </c>
      <c r="H1899" s="13">
        <v>3</v>
      </c>
      <c r="I1899" s="13">
        <v>0</v>
      </c>
      <c r="J1899" s="13">
        <v>0</v>
      </c>
      <c r="K1899" s="10">
        <v>3</v>
      </c>
      <c r="L1899" s="2">
        <v>277.60680000000002</v>
      </c>
      <c r="M1899" s="1">
        <v>46126.436805555553</v>
      </c>
      <c r="N1899" t="s">
        <v>151</v>
      </c>
    </row>
    <row r="1900" spans="1:14" x14ac:dyDescent="0.25">
      <c r="A1900" s="9" t="s">
        <v>5211</v>
      </c>
      <c r="B1900" s="10">
        <v>634</v>
      </c>
      <c r="C1900" s="10" t="s">
        <v>143</v>
      </c>
      <c r="D1900" t="s">
        <v>4242</v>
      </c>
      <c r="E1900" t="s">
        <v>4243</v>
      </c>
      <c r="F1900" s="10" t="s">
        <v>158</v>
      </c>
      <c r="G1900" s="2">
        <v>28.866900000000001</v>
      </c>
      <c r="H1900" s="13">
        <v>3</v>
      </c>
      <c r="I1900" s="13">
        <v>48</v>
      </c>
      <c r="J1900" s="13">
        <v>-48</v>
      </c>
      <c r="K1900" s="10">
        <v>3</v>
      </c>
      <c r="L1900" s="2">
        <v>86.600700000000003</v>
      </c>
      <c r="M1900" s="1">
        <v>46126.546527777777</v>
      </c>
      <c r="N1900" t="s">
        <v>162</v>
      </c>
    </row>
    <row r="1901" spans="1:14" x14ac:dyDescent="0.25">
      <c r="A1901" s="9" t="s">
        <v>5211</v>
      </c>
      <c r="B1901" s="10">
        <v>714</v>
      </c>
      <c r="C1901" s="10" t="s">
        <v>12</v>
      </c>
      <c r="D1901" t="s">
        <v>1815</v>
      </c>
      <c r="E1901" t="s">
        <v>1816</v>
      </c>
      <c r="F1901" s="10" t="s">
        <v>29</v>
      </c>
      <c r="G1901" s="2">
        <v>82.695700000000002</v>
      </c>
      <c r="H1901" s="13">
        <v>3</v>
      </c>
      <c r="I1901" s="13">
        <v>0</v>
      </c>
      <c r="J1901" s="13">
        <v>0</v>
      </c>
      <c r="K1901" s="10">
        <v>3</v>
      </c>
      <c r="L1901" s="2">
        <v>248.08709999999999</v>
      </c>
      <c r="M1901" s="1">
        <v>46126.649305555555</v>
      </c>
      <c r="N1901" t="s">
        <v>67</v>
      </c>
    </row>
    <row r="1902" spans="1:14" x14ac:dyDescent="0.25">
      <c r="A1902" s="9" t="s">
        <v>5211</v>
      </c>
      <c r="B1902" s="10">
        <v>714</v>
      </c>
      <c r="C1902" s="10" t="s">
        <v>143</v>
      </c>
      <c r="D1902" t="s">
        <v>2403</v>
      </c>
      <c r="E1902" s="6" t="s">
        <v>2404</v>
      </c>
      <c r="F1902" s="11" t="s">
        <v>58</v>
      </c>
      <c r="G1902" s="2">
        <v>104.8066</v>
      </c>
      <c r="H1902" s="13">
        <v>3</v>
      </c>
      <c r="I1902" s="13">
        <v>0</v>
      </c>
      <c r="J1902" s="13">
        <v>0</v>
      </c>
      <c r="K1902" s="10">
        <v>3</v>
      </c>
      <c r="L1902" s="2">
        <v>314.41980000000001</v>
      </c>
      <c r="M1902" s="1">
        <v>46126.649305555555</v>
      </c>
      <c r="N1902" t="s">
        <v>67</v>
      </c>
    </row>
    <row r="1903" spans="1:14" x14ac:dyDescent="0.25">
      <c r="A1903" s="9" t="s">
        <v>5211</v>
      </c>
      <c r="B1903" s="10">
        <v>714</v>
      </c>
      <c r="C1903" s="10" t="s">
        <v>143</v>
      </c>
      <c r="D1903" t="s">
        <v>2352</v>
      </c>
      <c r="E1903" t="s">
        <v>2353</v>
      </c>
      <c r="F1903" s="10" t="s">
        <v>29</v>
      </c>
      <c r="G1903" s="2">
        <v>174.5883</v>
      </c>
      <c r="H1903" s="13">
        <v>3</v>
      </c>
      <c r="I1903" s="13">
        <v>0</v>
      </c>
      <c r="J1903" s="13">
        <v>0</v>
      </c>
      <c r="K1903" s="10">
        <v>3</v>
      </c>
      <c r="L1903" s="2">
        <v>523.76490000000001</v>
      </c>
      <c r="M1903" s="1">
        <v>46126.649305555555</v>
      </c>
      <c r="N1903" t="s">
        <v>67</v>
      </c>
    </row>
    <row r="1904" spans="1:14" x14ac:dyDescent="0.25">
      <c r="A1904" s="9" t="s">
        <v>5211</v>
      </c>
      <c r="B1904" s="10">
        <v>714</v>
      </c>
      <c r="C1904" s="10" t="s">
        <v>143</v>
      </c>
      <c r="D1904" t="s">
        <v>2440</v>
      </c>
      <c r="E1904" t="s">
        <v>2441</v>
      </c>
      <c r="F1904" s="10" t="s">
        <v>29</v>
      </c>
      <c r="G1904" s="2">
        <v>51.570099999999996</v>
      </c>
      <c r="H1904" s="13">
        <v>3</v>
      </c>
      <c r="I1904" s="13">
        <v>0</v>
      </c>
      <c r="J1904" s="13">
        <v>0</v>
      </c>
      <c r="K1904" s="10">
        <v>3</v>
      </c>
      <c r="L1904" s="2">
        <v>154.71029999999999</v>
      </c>
      <c r="M1904" s="1">
        <v>46126.649305555555</v>
      </c>
      <c r="N1904" t="s">
        <v>67</v>
      </c>
    </row>
    <row r="1905" spans="1:14" x14ac:dyDescent="0.25">
      <c r="A1905" s="9" t="s">
        <v>5211</v>
      </c>
      <c r="B1905" s="10">
        <v>714</v>
      </c>
      <c r="C1905" s="10" t="s">
        <v>323</v>
      </c>
      <c r="D1905" t="s">
        <v>3524</v>
      </c>
      <c r="E1905" t="s">
        <v>3525</v>
      </c>
      <c r="F1905" s="10" t="s">
        <v>19</v>
      </c>
      <c r="G1905" s="2">
        <v>284.80950000000001</v>
      </c>
      <c r="H1905" s="13">
        <v>3</v>
      </c>
      <c r="I1905" s="13">
        <v>0</v>
      </c>
      <c r="J1905" s="13">
        <v>0</v>
      </c>
      <c r="K1905" s="10">
        <v>3</v>
      </c>
      <c r="L1905" s="2">
        <v>854.42849999999999</v>
      </c>
      <c r="M1905" s="1">
        <v>46126.695833333331</v>
      </c>
      <c r="N1905" t="s">
        <v>178</v>
      </c>
    </row>
    <row r="1906" spans="1:14" x14ac:dyDescent="0.25">
      <c r="A1906" s="9" t="s">
        <v>5211</v>
      </c>
      <c r="B1906" s="10">
        <v>714</v>
      </c>
      <c r="C1906" s="10" t="s">
        <v>323</v>
      </c>
      <c r="D1906" t="s">
        <v>3399</v>
      </c>
      <c r="E1906" t="s">
        <v>3400</v>
      </c>
      <c r="F1906" s="10" t="s">
        <v>19</v>
      </c>
      <c r="G1906" s="2">
        <v>456.43329999999997</v>
      </c>
      <c r="H1906" s="13">
        <v>3</v>
      </c>
      <c r="I1906" s="13">
        <v>0</v>
      </c>
      <c r="J1906" s="13">
        <v>0</v>
      </c>
      <c r="K1906" s="10">
        <v>3</v>
      </c>
      <c r="L1906" s="2">
        <v>1369.2999</v>
      </c>
      <c r="M1906" s="1">
        <v>46126.711805555555</v>
      </c>
      <c r="N1906" t="s">
        <v>178</v>
      </c>
    </row>
    <row r="1907" spans="1:14" x14ac:dyDescent="0.25">
      <c r="A1907" s="9" t="s">
        <v>5211</v>
      </c>
      <c r="B1907" s="10">
        <v>636</v>
      </c>
      <c r="C1907" s="10" t="s">
        <v>143</v>
      </c>
      <c r="D1907" t="s">
        <v>974</v>
      </c>
      <c r="E1907" t="s">
        <v>975</v>
      </c>
      <c r="F1907" s="10" t="s">
        <v>23</v>
      </c>
      <c r="G1907" s="2">
        <v>30.3841</v>
      </c>
      <c r="H1907" s="13">
        <v>3</v>
      </c>
      <c r="I1907" s="13">
        <v>-3</v>
      </c>
      <c r="J1907" s="13">
        <v>3</v>
      </c>
      <c r="K1907" s="10">
        <v>3</v>
      </c>
      <c r="L1907" s="2">
        <v>91.152299999999997</v>
      </c>
      <c r="M1907" s="1">
        <v>46127.302777777775</v>
      </c>
      <c r="N1907" t="s">
        <v>162</v>
      </c>
    </row>
    <row r="1908" spans="1:14" x14ac:dyDescent="0.25">
      <c r="A1908" s="9" t="s">
        <v>5211</v>
      </c>
      <c r="B1908" s="10">
        <v>636</v>
      </c>
      <c r="C1908" s="10" t="s">
        <v>323</v>
      </c>
      <c r="D1908" t="s">
        <v>1616</v>
      </c>
      <c r="E1908" t="s">
        <v>1617</v>
      </c>
      <c r="F1908" s="10" t="s">
        <v>29</v>
      </c>
      <c r="G1908" s="2">
        <v>522.79240000000004</v>
      </c>
      <c r="H1908" s="13">
        <v>3</v>
      </c>
      <c r="I1908" s="13">
        <v>0</v>
      </c>
      <c r="J1908" s="13">
        <v>0</v>
      </c>
      <c r="K1908" s="10">
        <v>3</v>
      </c>
      <c r="L1908" s="2">
        <v>1568.3771999999999</v>
      </c>
      <c r="M1908" s="1">
        <v>46127.309027777781</v>
      </c>
      <c r="N1908" t="s">
        <v>1224</v>
      </c>
    </row>
    <row r="1909" spans="1:14" x14ac:dyDescent="0.25">
      <c r="A1909" s="9" t="s">
        <v>5211</v>
      </c>
      <c r="B1909" s="10">
        <v>636</v>
      </c>
      <c r="C1909" s="10" t="s">
        <v>323</v>
      </c>
      <c r="D1909" t="s">
        <v>1515</v>
      </c>
      <c r="E1909" t="s">
        <v>1516</v>
      </c>
      <c r="F1909" s="10" t="s">
        <v>29</v>
      </c>
      <c r="G1909" s="2">
        <v>215.059</v>
      </c>
      <c r="H1909" s="13">
        <v>3</v>
      </c>
      <c r="I1909" s="13">
        <v>0</v>
      </c>
      <c r="J1909" s="13">
        <v>0</v>
      </c>
      <c r="K1909" s="10">
        <v>3</v>
      </c>
      <c r="L1909" s="2">
        <v>645.17700000000002</v>
      </c>
      <c r="M1909" s="1">
        <v>46127.468055555553</v>
      </c>
      <c r="N1909" t="s">
        <v>1224</v>
      </c>
    </row>
    <row r="1910" spans="1:14" x14ac:dyDescent="0.25">
      <c r="A1910" s="9" t="s">
        <v>5211</v>
      </c>
      <c r="B1910" s="10">
        <v>718</v>
      </c>
      <c r="C1910" s="10" t="s">
        <v>126</v>
      </c>
      <c r="D1910" t="s">
        <v>138</v>
      </c>
      <c r="E1910" t="s">
        <v>139</v>
      </c>
      <c r="F1910" s="10" t="s">
        <v>39</v>
      </c>
      <c r="G1910" s="2">
        <v>15.768599999999999</v>
      </c>
      <c r="H1910" s="13">
        <v>3</v>
      </c>
      <c r="I1910" s="13">
        <v>0</v>
      </c>
      <c r="J1910" s="13">
        <v>0</v>
      </c>
      <c r="K1910" s="10">
        <v>3</v>
      </c>
      <c r="L1910" s="2">
        <v>47.305799999999998</v>
      </c>
      <c r="M1910" s="1">
        <v>46127.664583333331</v>
      </c>
      <c r="N1910" t="s">
        <v>140</v>
      </c>
    </row>
    <row r="1911" spans="1:14" x14ac:dyDescent="0.25">
      <c r="A1911" s="9" t="s">
        <v>5211</v>
      </c>
      <c r="B1911" s="10">
        <v>634</v>
      </c>
      <c r="C1911" s="10" t="s">
        <v>143</v>
      </c>
      <c r="D1911" t="s">
        <v>4094</v>
      </c>
      <c r="E1911" t="s">
        <v>4095</v>
      </c>
      <c r="F1911" s="10" t="s">
        <v>19</v>
      </c>
      <c r="G1911" s="2">
        <v>46.184800000000003</v>
      </c>
      <c r="H1911" s="13">
        <v>3</v>
      </c>
      <c r="I1911" s="13">
        <v>4</v>
      </c>
      <c r="J1911" s="13">
        <v>-4</v>
      </c>
      <c r="K1911" s="10">
        <v>3</v>
      </c>
      <c r="L1911" s="2">
        <v>138.55439999999999</v>
      </c>
      <c r="M1911" s="1">
        <v>46128.623611111114</v>
      </c>
      <c r="N1911" t="s">
        <v>175</v>
      </c>
    </row>
    <row r="1912" spans="1:14" x14ac:dyDescent="0.25">
      <c r="A1912" s="9" t="s">
        <v>5211</v>
      </c>
      <c r="B1912" s="10">
        <v>634</v>
      </c>
      <c r="C1912" s="10" t="s">
        <v>143</v>
      </c>
      <c r="D1912" t="s">
        <v>4134</v>
      </c>
      <c r="E1912" t="s">
        <v>4135</v>
      </c>
      <c r="F1912" s="10" t="s">
        <v>158</v>
      </c>
      <c r="G1912" s="2">
        <v>45.083599999999997</v>
      </c>
      <c r="H1912" s="13">
        <v>3</v>
      </c>
      <c r="I1912" s="13">
        <v>46</v>
      </c>
      <c r="J1912" s="13">
        <v>-46</v>
      </c>
      <c r="K1912" s="10">
        <v>3</v>
      </c>
      <c r="L1912" s="2">
        <v>135.2508</v>
      </c>
      <c r="M1912" s="1">
        <v>46128.623611111114</v>
      </c>
      <c r="N1912" t="s">
        <v>175</v>
      </c>
    </row>
    <row r="1913" spans="1:14" x14ac:dyDescent="0.25">
      <c r="A1913" s="9" t="s">
        <v>5211</v>
      </c>
      <c r="B1913" s="10">
        <v>718</v>
      </c>
      <c r="C1913" s="10" t="s">
        <v>323</v>
      </c>
      <c r="D1913" t="s">
        <v>3524</v>
      </c>
      <c r="E1913" t="s">
        <v>3525</v>
      </c>
      <c r="F1913" s="10" t="s">
        <v>19</v>
      </c>
      <c r="G1913" s="2">
        <v>248.67070000000001</v>
      </c>
      <c r="H1913" s="13">
        <v>3</v>
      </c>
      <c r="I1913" s="13">
        <v>0</v>
      </c>
      <c r="J1913" s="13">
        <v>0</v>
      </c>
      <c r="K1913" s="10">
        <v>3</v>
      </c>
      <c r="L1913" s="2">
        <v>746.01210000000003</v>
      </c>
      <c r="M1913" s="1">
        <v>46128.680555555555</v>
      </c>
      <c r="N1913" t="s">
        <v>178</v>
      </c>
    </row>
    <row r="1914" spans="1:14" x14ac:dyDescent="0.25">
      <c r="A1914" s="9" t="s">
        <v>5211</v>
      </c>
      <c r="B1914" s="10">
        <v>714</v>
      </c>
      <c r="C1914" s="10" t="s">
        <v>143</v>
      </c>
      <c r="D1914" t="s">
        <v>2517</v>
      </c>
      <c r="E1914" t="s">
        <v>2518</v>
      </c>
      <c r="F1914" s="10" t="s">
        <v>29</v>
      </c>
      <c r="G1914" s="2">
        <v>66.917699999999996</v>
      </c>
      <c r="H1914" s="13">
        <v>3</v>
      </c>
      <c r="I1914" s="13">
        <v>0</v>
      </c>
      <c r="J1914" s="13">
        <v>0</v>
      </c>
      <c r="K1914" s="10">
        <v>3</v>
      </c>
      <c r="L1914" s="2">
        <v>200.75309999999999</v>
      </c>
      <c r="M1914" s="1">
        <v>46128.709722222222</v>
      </c>
      <c r="N1914" t="s">
        <v>195</v>
      </c>
    </row>
    <row r="1915" spans="1:14" x14ac:dyDescent="0.25">
      <c r="A1915" s="9" t="s">
        <v>5211</v>
      </c>
      <c r="B1915" s="10">
        <v>714</v>
      </c>
      <c r="C1915" s="10" t="s">
        <v>323</v>
      </c>
      <c r="D1915" t="s">
        <v>5035</v>
      </c>
      <c r="E1915" t="s">
        <v>5036</v>
      </c>
      <c r="F1915" s="10" t="s">
        <v>23</v>
      </c>
      <c r="G1915" s="2">
        <v>217.64869999999999</v>
      </c>
      <c r="H1915" s="13">
        <v>3</v>
      </c>
      <c r="I1915" s="13">
        <v>4</v>
      </c>
      <c r="J1915" s="13">
        <v>-4</v>
      </c>
      <c r="K1915" s="10">
        <v>3</v>
      </c>
      <c r="L1915" s="2">
        <v>652.9461</v>
      </c>
      <c r="M1915" s="1">
        <v>46130.412499999999</v>
      </c>
      <c r="N1915" t="s">
        <v>1224</v>
      </c>
    </row>
    <row r="1916" spans="1:14" x14ac:dyDescent="0.25">
      <c r="A1916" s="9" t="s">
        <v>5211</v>
      </c>
      <c r="B1916" s="10">
        <v>714</v>
      </c>
      <c r="C1916" s="10" t="s">
        <v>323</v>
      </c>
      <c r="D1916" t="s">
        <v>2983</v>
      </c>
      <c r="E1916" t="s">
        <v>2984</v>
      </c>
      <c r="F1916" s="10" t="s">
        <v>19</v>
      </c>
      <c r="G1916" s="2">
        <v>226.3802</v>
      </c>
      <c r="H1916" s="13">
        <v>3</v>
      </c>
      <c r="I1916" s="13">
        <v>0</v>
      </c>
      <c r="J1916" s="13">
        <v>0</v>
      </c>
      <c r="K1916" s="10">
        <v>3</v>
      </c>
      <c r="L1916" s="2">
        <v>679.14059999999995</v>
      </c>
      <c r="M1916" s="1">
        <v>46130.412499999999</v>
      </c>
      <c r="N1916" t="s">
        <v>1224</v>
      </c>
    </row>
    <row r="1917" spans="1:14" x14ac:dyDescent="0.25">
      <c r="A1917" s="9" t="s">
        <v>5211</v>
      </c>
      <c r="B1917" s="10">
        <v>718</v>
      </c>
      <c r="C1917" s="10" t="s">
        <v>143</v>
      </c>
      <c r="D1917" t="s">
        <v>4553</v>
      </c>
      <c r="E1917" t="s">
        <v>4554</v>
      </c>
      <c r="F1917" s="10" t="s">
        <v>23</v>
      </c>
      <c r="G1917" s="2">
        <v>27.873200000000001</v>
      </c>
      <c r="H1917" s="13">
        <v>3</v>
      </c>
      <c r="I1917" s="13">
        <v>27</v>
      </c>
      <c r="J1917" s="13">
        <v>-27</v>
      </c>
      <c r="K1917" s="10">
        <v>3</v>
      </c>
      <c r="L1917" s="2">
        <v>83.619600000000005</v>
      </c>
      <c r="M1917" s="1">
        <v>46130.615277777775</v>
      </c>
      <c r="N1917" t="s">
        <v>30</v>
      </c>
    </row>
    <row r="1918" spans="1:14" x14ac:dyDescent="0.25">
      <c r="A1918" s="9" t="s">
        <v>5211</v>
      </c>
      <c r="B1918" s="10">
        <v>636</v>
      </c>
      <c r="C1918" s="10" t="s">
        <v>143</v>
      </c>
      <c r="D1918" t="s">
        <v>1110</v>
      </c>
      <c r="E1918" t="s">
        <v>1111</v>
      </c>
      <c r="F1918" s="10" t="s">
        <v>29</v>
      </c>
      <c r="G1918" s="2">
        <v>151.4239</v>
      </c>
      <c r="H1918" s="13">
        <v>3</v>
      </c>
      <c r="I1918" s="13">
        <v>0</v>
      </c>
      <c r="J1918" s="13">
        <v>0</v>
      </c>
      <c r="K1918" s="10">
        <v>3</v>
      </c>
      <c r="L1918" s="2">
        <v>454.27170000000001</v>
      </c>
      <c r="M1918" s="1">
        <v>46132.304166666669</v>
      </c>
      <c r="N1918" t="s">
        <v>178</v>
      </c>
    </row>
    <row r="1919" spans="1:14" x14ac:dyDescent="0.25">
      <c r="A1919" s="9" t="s">
        <v>5211</v>
      </c>
      <c r="B1919" s="10">
        <v>636</v>
      </c>
      <c r="C1919" s="10" t="s">
        <v>143</v>
      </c>
      <c r="D1919" t="s">
        <v>1204</v>
      </c>
      <c r="E1919" t="s">
        <v>1205</v>
      </c>
      <c r="F1919" s="10" t="s">
        <v>29</v>
      </c>
      <c r="G1919" s="2">
        <v>273.7278</v>
      </c>
      <c r="H1919" s="13">
        <v>3</v>
      </c>
      <c r="I1919" s="13">
        <v>0</v>
      </c>
      <c r="J1919" s="13">
        <v>0</v>
      </c>
      <c r="K1919" s="10">
        <v>3</v>
      </c>
      <c r="L1919" s="2">
        <v>821.18340000000001</v>
      </c>
      <c r="M1919" s="1">
        <v>46132.304166666669</v>
      </c>
      <c r="N1919" t="s">
        <v>178</v>
      </c>
    </row>
    <row r="1920" spans="1:14" x14ac:dyDescent="0.25">
      <c r="A1920" s="9" t="s">
        <v>5211</v>
      </c>
      <c r="B1920" s="10">
        <v>636</v>
      </c>
      <c r="C1920" s="10" t="s">
        <v>323</v>
      </c>
      <c r="D1920" t="s">
        <v>1492</v>
      </c>
      <c r="E1920" t="s">
        <v>1493</v>
      </c>
      <c r="F1920" s="10" t="s">
        <v>29</v>
      </c>
      <c r="G1920" s="2">
        <v>238.78380000000001</v>
      </c>
      <c r="H1920" s="13">
        <v>3</v>
      </c>
      <c r="I1920" s="13">
        <v>0</v>
      </c>
      <c r="J1920" s="13">
        <v>0</v>
      </c>
      <c r="K1920" s="10">
        <v>3</v>
      </c>
      <c r="L1920" s="2">
        <v>716.35140000000001</v>
      </c>
      <c r="M1920" s="1">
        <v>46132.304166666669</v>
      </c>
      <c r="N1920" t="s">
        <v>178</v>
      </c>
    </row>
    <row r="1921" spans="1:14" x14ac:dyDescent="0.25">
      <c r="A1921" s="9" t="s">
        <v>5211</v>
      </c>
      <c r="B1921" s="10">
        <v>718</v>
      </c>
      <c r="C1921" s="10" t="s">
        <v>323</v>
      </c>
      <c r="D1921" t="s">
        <v>3055</v>
      </c>
      <c r="E1921" t="s">
        <v>3056</v>
      </c>
      <c r="F1921" s="10" t="s">
        <v>29</v>
      </c>
      <c r="G1921" s="2">
        <v>168.273</v>
      </c>
      <c r="H1921" s="13">
        <v>3</v>
      </c>
      <c r="I1921" s="13">
        <v>1</v>
      </c>
      <c r="J1921" s="13">
        <v>-1</v>
      </c>
      <c r="K1921" s="10">
        <v>3</v>
      </c>
      <c r="L1921" s="2">
        <v>504.81900000000002</v>
      </c>
      <c r="M1921" s="1">
        <v>46134.417361111111</v>
      </c>
      <c r="N1921" t="s">
        <v>3024</v>
      </c>
    </row>
    <row r="1922" spans="1:14" x14ac:dyDescent="0.25">
      <c r="A1922" s="9" t="s">
        <v>5211</v>
      </c>
      <c r="B1922" s="10">
        <v>718</v>
      </c>
      <c r="C1922" s="10" t="s">
        <v>323</v>
      </c>
      <c r="D1922" t="s">
        <v>3853</v>
      </c>
      <c r="E1922" t="s">
        <v>3854</v>
      </c>
      <c r="F1922" s="10" t="s">
        <v>29</v>
      </c>
      <c r="G1922" s="2">
        <v>381.51049999999998</v>
      </c>
      <c r="H1922" s="13">
        <v>3</v>
      </c>
      <c r="I1922" s="13">
        <v>0</v>
      </c>
      <c r="J1922" s="13">
        <v>0</v>
      </c>
      <c r="K1922" s="10">
        <v>3</v>
      </c>
      <c r="L1922" s="2">
        <v>1144.5315000000001</v>
      </c>
      <c r="M1922" s="1">
        <v>46134.54791666667</v>
      </c>
      <c r="N1922" t="s">
        <v>2423</v>
      </c>
    </row>
    <row r="1923" spans="1:14" x14ac:dyDescent="0.25">
      <c r="A1923" s="9" t="s">
        <v>5211</v>
      </c>
      <c r="B1923" s="10">
        <v>714</v>
      </c>
      <c r="C1923" s="10" t="s">
        <v>323</v>
      </c>
      <c r="D1923" t="s">
        <v>3223</v>
      </c>
      <c r="E1923" t="s">
        <v>3224</v>
      </c>
      <c r="F1923" s="10" t="s">
        <v>23</v>
      </c>
      <c r="G1923" s="2">
        <v>51.589199999999998</v>
      </c>
      <c r="H1923" s="13">
        <v>3</v>
      </c>
      <c r="I1923" s="13">
        <v>0</v>
      </c>
      <c r="J1923" s="13">
        <v>0</v>
      </c>
      <c r="K1923" s="10">
        <v>3</v>
      </c>
      <c r="L1923" s="2">
        <v>154.76759999999999</v>
      </c>
      <c r="M1923" s="1">
        <v>46136.467361111114</v>
      </c>
      <c r="N1923" t="s">
        <v>40</v>
      </c>
    </row>
    <row r="1924" spans="1:14" x14ac:dyDescent="0.25">
      <c r="A1924" s="9" t="s">
        <v>5211</v>
      </c>
      <c r="B1924" s="10">
        <v>718</v>
      </c>
      <c r="C1924" s="10" t="s">
        <v>323</v>
      </c>
      <c r="D1924" t="s">
        <v>2935</v>
      </c>
      <c r="E1924" t="s">
        <v>2936</v>
      </c>
      <c r="F1924" s="10" t="s">
        <v>29</v>
      </c>
      <c r="G1924" s="2">
        <v>96.8001</v>
      </c>
      <c r="H1924" s="13">
        <v>3</v>
      </c>
      <c r="I1924" s="13">
        <v>0</v>
      </c>
      <c r="J1924" s="13">
        <v>0</v>
      </c>
      <c r="K1924" s="10">
        <v>3</v>
      </c>
      <c r="L1924" s="2">
        <v>290.40030000000002</v>
      </c>
      <c r="M1924" s="1">
        <v>46139.576388888891</v>
      </c>
      <c r="N1924" t="s">
        <v>885</v>
      </c>
    </row>
    <row r="1925" spans="1:14" x14ac:dyDescent="0.25">
      <c r="A1925" s="9" t="s">
        <v>5211</v>
      </c>
      <c r="B1925" s="10">
        <v>718</v>
      </c>
      <c r="C1925" s="10" t="s">
        <v>143</v>
      </c>
      <c r="D1925" t="s">
        <v>2553</v>
      </c>
      <c r="E1925" t="s">
        <v>2554</v>
      </c>
      <c r="F1925" s="10" t="s">
        <v>29</v>
      </c>
      <c r="G1925" s="2">
        <v>32.449800000000003</v>
      </c>
      <c r="H1925" s="13">
        <v>3</v>
      </c>
      <c r="I1925" s="13">
        <v>0</v>
      </c>
      <c r="J1925" s="13">
        <v>0</v>
      </c>
      <c r="K1925" s="10">
        <v>3</v>
      </c>
      <c r="L1925" s="2">
        <v>97.349400000000003</v>
      </c>
      <c r="M1925" s="1">
        <v>46139.576388888891</v>
      </c>
      <c r="N1925" t="s">
        <v>885</v>
      </c>
    </row>
    <row r="1926" spans="1:14" x14ac:dyDescent="0.25">
      <c r="A1926" s="9" t="s">
        <v>5211</v>
      </c>
      <c r="B1926" s="10">
        <v>718</v>
      </c>
      <c r="C1926" s="10" t="s">
        <v>12</v>
      </c>
      <c r="D1926" t="s">
        <v>3615</v>
      </c>
      <c r="E1926" t="s">
        <v>3616</v>
      </c>
      <c r="F1926" s="10" t="s">
        <v>29</v>
      </c>
      <c r="G1926" s="2">
        <v>79.717699999999994</v>
      </c>
      <c r="H1926" s="13">
        <v>3</v>
      </c>
      <c r="I1926" s="13">
        <v>0</v>
      </c>
      <c r="J1926" s="13">
        <v>0</v>
      </c>
      <c r="K1926" s="10">
        <v>3</v>
      </c>
      <c r="L1926" s="2">
        <v>239.15309999999999</v>
      </c>
      <c r="M1926" s="1">
        <v>46139.576388888891</v>
      </c>
      <c r="N1926" t="s">
        <v>885</v>
      </c>
    </row>
    <row r="1927" spans="1:14" x14ac:dyDescent="0.25">
      <c r="A1927" s="9" t="s">
        <v>5211</v>
      </c>
      <c r="B1927" s="10">
        <v>636</v>
      </c>
      <c r="C1927" s="10" t="s">
        <v>323</v>
      </c>
      <c r="D1927" t="s">
        <v>1519</v>
      </c>
      <c r="E1927" t="s">
        <v>1520</v>
      </c>
      <c r="F1927" s="10" t="s">
        <v>29</v>
      </c>
      <c r="G1927" s="2">
        <v>321.14269999999999</v>
      </c>
      <c r="H1927" s="13">
        <v>3</v>
      </c>
      <c r="I1927" s="13">
        <v>0</v>
      </c>
      <c r="J1927" s="13">
        <v>0</v>
      </c>
      <c r="K1927" s="10">
        <v>3</v>
      </c>
      <c r="L1927" s="2">
        <v>963.42809999999997</v>
      </c>
      <c r="M1927" s="1">
        <v>46140.29583333333</v>
      </c>
      <c r="N1927" t="s">
        <v>501</v>
      </c>
    </row>
    <row r="1928" spans="1:14" x14ac:dyDescent="0.25">
      <c r="A1928" s="9" t="s">
        <v>5211</v>
      </c>
      <c r="B1928" s="10">
        <v>714</v>
      </c>
      <c r="C1928" s="10" t="s">
        <v>143</v>
      </c>
      <c r="D1928" t="s">
        <v>4877</v>
      </c>
      <c r="E1928" t="s">
        <v>4878</v>
      </c>
      <c r="F1928" s="10" t="s">
        <v>23</v>
      </c>
      <c r="G1928" s="2">
        <v>171.44479999999999</v>
      </c>
      <c r="H1928" s="13">
        <v>3</v>
      </c>
      <c r="I1928" s="13">
        <v>6</v>
      </c>
      <c r="J1928" s="13">
        <v>-6</v>
      </c>
      <c r="K1928" s="10">
        <v>3</v>
      </c>
      <c r="L1928" s="2">
        <v>514.33439999999996</v>
      </c>
      <c r="M1928" s="1">
        <v>46140.418749999997</v>
      </c>
      <c r="N1928" t="s">
        <v>67</v>
      </c>
    </row>
    <row r="1929" spans="1:14" x14ac:dyDescent="0.25">
      <c r="A1929" s="9" t="s">
        <v>5211</v>
      </c>
      <c r="B1929" s="10">
        <v>714</v>
      </c>
      <c r="C1929" s="10" t="s">
        <v>143</v>
      </c>
      <c r="D1929" t="s">
        <v>2630</v>
      </c>
      <c r="E1929" t="s">
        <v>2631</v>
      </c>
      <c r="F1929" s="10" t="s">
        <v>23</v>
      </c>
      <c r="G1929" s="2">
        <v>39.785800000000002</v>
      </c>
      <c r="H1929" s="13">
        <v>3</v>
      </c>
      <c r="I1929" s="13">
        <v>0</v>
      </c>
      <c r="J1929" s="13">
        <v>0</v>
      </c>
      <c r="K1929" s="10">
        <v>3</v>
      </c>
      <c r="L1929" s="2">
        <v>119.3574</v>
      </c>
      <c r="M1929" s="1">
        <v>46140.418749999997</v>
      </c>
      <c r="N1929" t="s">
        <v>67</v>
      </c>
    </row>
    <row r="1930" spans="1:14" x14ac:dyDescent="0.25">
      <c r="A1930" s="9" t="s">
        <v>5211</v>
      </c>
      <c r="B1930" s="10">
        <v>714</v>
      </c>
      <c r="C1930" s="10" t="s">
        <v>143</v>
      </c>
      <c r="D1930" t="s">
        <v>2373</v>
      </c>
      <c r="E1930" t="s">
        <v>2374</v>
      </c>
      <c r="F1930" s="10" t="s">
        <v>39</v>
      </c>
      <c r="G1930" s="2">
        <v>22.110199999999999</v>
      </c>
      <c r="H1930" s="13">
        <v>3</v>
      </c>
      <c r="I1930" s="13">
        <v>0</v>
      </c>
      <c r="J1930" s="13">
        <v>0</v>
      </c>
      <c r="K1930" s="10">
        <v>3</v>
      </c>
      <c r="L1930" s="2">
        <v>66.330600000000004</v>
      </c>
      <c r="M1930" s="1">
        <v>46140.479166666664</v>
      </c>
      <c r="N1930" t="s">
        <v>1841</v>
      </c>
    </row>
    <row r="1931" spans="1:14" x14ac:dyDescent="0.25">
      <c r="A1931" s="9" t="s">
        <v>5211</v>
      </c>
      <c r="B1931" s="10">
        <v>636</v>
      </c>
      <c r="C1931" s="10" t="s">
        <v>323</v>
      </c>
      <c r="D1931" t="s">
        <v>1648</v>
      </c>
      <c r="E1931" t="s">
        <v>1649</v>
      </c>
      <c r="F1931" s="10" t="s">
        <v>29</v>
      </c>
      <c r="G1931" s="2">
        <v>386.55650000000003</v>
      </c>
      <c r="H1931" s="13">
        <v>3</v>
      </c>
      <c r="I1931" s="13">
        <v>0</v>
      </c>
      <c r="J1931" s="13">
        <v>0</v>
      </c>
      <c r="K1931" s="10">
        <v>3</v>
      </c>
      <c r="L1931" s="2">
        <v>1159.6695</v>
      </c>
      <c r="M1931" s="1">
        <v>46140.540972222225</v>
      </c>
      <c r="N1931" t="s">
        <v>885</v>
      </c>
    </row>
    <row r="1932" spans="1:14" x14ac:dyDescent="0.25">
      <c r="A1932" s="9" t="s">
        <v>5211</v>
      </c>
      <c r="B1932" s="10">
        <v>718</v>
      </c>
      <c r="C1932" s="10" t="s">
        <v>323</v>
      </c>
      <c r="D1932" t="s">
        <v>5202</v>
      </c>
      <c r="E1932" t="s">
        <v>5203</v>
      </c>
      <c r="F1932" s="10" t="s">
        <v>29</v>
      </c>
      <c r="G1932" s="2">
        <v>190.1465</v>
      </c>
      <c r="H1932" s="13">
        <v>3</v>
      </c>
      <c r="I1932" s="13">
        <v>9</v>
      </c>
      <c r="J1932" s="13">
        <v>-9</v>
      </c>
      <c r="K1932" s="10">
        <v>3</v>
      </c>
      <c r="L1932" s="2">
        <v>570.43949999999995</v>
      </c>
      <c r="M1932" s="1">
        <v>46141.397916666669</v>
      </c>
      <c r="N1932" t="s">
        <v>1500</v>
      </c>
    </row>
    <row r="1933" spans="1:14" x14ac:dyDescent="0.25">
      <c r="A1933" s="9" t="s">
        <v>5211</v>
      </c>
      <c r="B1933" s="10">
        <v>714</v>
      </c>
      <c r="C1933" s="10" t="s">
        <v>323</v>
      </c>
      <c r="D1933" t="s">
        <v>3045</v>
      </c>
      <c r="E1933" t="s">
        <v>3046</v>
      </c>
      <c r="F1933" s="10" t="s">
        <v>19</v>
      </c>
      <c r="G1933" s="2">
        <v>266.6694</v>
      </c>
      <c r="H1933" s="13">
        <v>3</v>
      </c>
      <c r="I1933" s="13">
        <v>0</v>
      </c>
      <c r="J1933" s="13">
        <v>0</v>
      </c>
      <c r="K1933" s="10">
        <v>3</v>
      </c>
      <c r="L1933" s="2">
        <v>800.00819999999999</v>
      </c>
      <c r="M1933" s="1">
        <v>46141.705555555556</v>
      </c>
      <c r="N1933" t="s">
        <v>1224</v>
      </c>
    </row>
    <row r="1934" spans="1:14" x14ac:dyDescent="0.25">
      <c r="A1934" s="9" t="s">
        <v>5211</v>
      </c>
      <c r="B1934" s="10">
        <v>636</v>
      </c>
      <c r="C1934" s="10" t="s">
        <v>143</v>
      </c>
      <c r="D1934" t="s">
        <v>1108</v>
      </c>
      <c r="E1934" t="s">
        <v>1109</v>
      </c>
      <c r="F1934" s="10" t="s">
        <v>23</v>
      </c>
      <c r="G1934" s="2">
        <v>172</v>
      </c>
      <c r="H1934" s="13">
        <v>3</v>
      </c>
      <c r="I1934" s="13">
        <v>0</v>
      </c>
      <c r="J1934" s="13">
        <v>0</v>
      </c>
      <c r="K1934" s="10">
        <v>3</v>
      </c>
      <c r="L1934" s="2">
        <v>516</v>
      </c>
      <c r="M1934" s="1">
        <v>46142.313194444447</v>
      </c>
      <c r="N1934" t="s">
        <v>61</v>
      </c>
    </row>
    <row r="1935" spans="1:14" x14ac:dyDescent="0.25">
      <c r="A1935" s="9" t="s">
        <v>5211</v>
      </c>
      <c r="B1935" s="10">
        <v>636</v>
      </c>
      <c r="C1935" s="10" t="s">
        <v>143</v>
      </c>
      <c r="D1935" t="s">
        <v>945</v>
      </c>
      <c r="E1935" t="s">
        <v>946</v>
      </c>
      <c r="F1935" s="10" t="s">
        <v>29</v>
      </c>
      <c r="G1935" s="2">
        <v>125.62439999999999</v>
      </c>
      <c r="H1935" s="13">
        <v>3</v>
      </c>
      <c r="I1935" s="13">
        <v>0</v>
      </c>
      <c r="J1935" s="13">
        <v>0</v>
      </c>
      <c r="K1935" s="10">
        <v>3</v>
      </c>
      <c r="L1935" s="2">
        <v>376.8732</v>
      </c>
      <c r="M1935" s="1">
        <v>46142.609027777777</v>
      </c>
      <c r="N1935" t="s">
        <v>137</v>
      </c>
    </row>
    <row r="1936" spans="1:14" x14ac:dyDescent="0.25">
      <c r="A1936" s="9" t="s">
        <v>5211</v>
      </c>
      <c r="B1936" s="10">
        <v>636</v>
      </c>
      <c r="C1936" s="10" t="s">
        <v>323</v>
      </c>
      <c r="D1936" t="s">
        <v>398</v>
      </c>
      <c r="E1936" t="s">
        <v>399</v>
      </c>
      <c r="F1936" s="10" t="s">
        <v>23</v>
      </c>
      <c r="G1936" s="2">
        <v>168.0992</v>
      </c>
      <c r="H1936" s="13">
        <v>3</v>
      </c>
      <c r="I1936" s="13">
        <v>0</v>
      </c>
      <c r="J1936" s="13">
        <v>0</v>
      </c>
      <c r="K1936" s="10">
        <v>3</v>
      </c>
      <c r="L1936" s="2">
        <v>504.29759999999999</v>
      </c>
      <c r="M1936" s="1">
        <v>46142.609027777777</v>
      </c>
      <c r="N1936" t="s">
        <v>137</v>
      </c>
    </row>
    <row r="1937" spans="1:14" x14ac:dyDescent="0.25">
      <c r="A1937" s="9" t="s">
        <v>5211</v>
      </c>
      <c r="B1937" s="10">
        <v>714</v>
      </c>
      <c r="C1937" s="10" t="s">
        <v>323</v>
      </c>
      <c r="D1937" t="s">
        <v>2899</v>
      </c>
      <c r="E1937" t="s">
        <v>2900</v>
      </c>
      <c r="F1937" s="10" t="s">
        <v>158</v>
      </c>
      <c r="G1937" s="2">
        <v>154.5403</v>
      </c>
      <c r="H1937" s="13">
        <v>3</v>
      </c>
      <c r="I1937" s="13">
        <v>-1</v>
      </c>
      <c r="J1937" s="13">
        <v>1</v>
      </c>
      <c r="K1937" s="10">
        <v>3</v>
      </c>
      <c r="L1937" s="2">
        <v>463.62090000000001</v>
      </c>
      <c r="M1937" s="1">
        <v>46143.318749999999</v>
      </c>
      <c r="N1937" t="s">
        <v>36</v>
      </c>
    </row>
    <row r="1938" spans="1:14" x14ac:dyDescent="0.25">
      <c r="A1938" s="9" t="s">
        <v>5211</v>
      </c>
      <c r="B1938" s="10">
        <v>714</v>
      </c>
      <c r="C1938" s="10" t="s">
        <v>12</v>
      </c>
      <c r="D1938" t="s">
        <v>1837</v>
      </c>
      <c r="E1938" t="s">
        <v>1838</v>
      </c>
      <c r="F1938" s="10" t="s">
        <v>29</v>
      </c>
      <c r="G1938" s="2">
        <v>45.209099999999999</v>
      </c>
      <c r="H1938" s="13">
        <v>3</v>
      </c>
      <c r="I1938" s="13">
        <v>0</v>
      </c>
      <c r="J1938" s="13">
        <v>0</v>
      </c>
      <c r="K1938" s="10">
        <v>3</v>
      </c>
      <c r="L1938" s="2">
        <v>135.62729999999999</v>
      </c>
      <c r="M1938" s="1">
        <v>46143.318749999999</v>
      </c>
      <c r="N1938" t="s">
        <v>36</v>
      </c>
    </row>
    <row r="1939" spans="1:14" x14ac:dyDescent="0.25">
      <c r="A1939" s="9" t="s">
        <v>5211</v>
      </c>
      <c r="B1939" s="10">
        <v>714</v>
      </c>
      <c r="C1939" s="10" t="s">
        <v>323</v>
      </c>
      <c r="D1939" t="s">
        <v>4937</v>
      </c>
      <c r="E1939" t="s">
        <v>4938</v>
      </c>
      <c r="F1939" s="10" t="s">
        <v>23</v>
      </c>
      <c r="G1939" s="2">
        <v>121.0719</v>
      </c>
      <c r="H1939" s="13">
        <v>3</v>
      </c>
      <c r="I1939" s="13">
        <v>11</v>
      </c>
      <c r="J1939" s="13">
        <v>-11</v>
      </c>
      <c r="K1939" s="10">
        <v>3</v>
      </c>
      <c r="L1939" s="2">
        <v>363.21570000000003</v>
      </c>
      <c r="M1939" s="1">
        <v>46143.319444444445</v>
      </c>
      <c r="N1939" t="s">
        <v>67</v>
      </c>
    </row>
    <row r="1940" spans="1:14" x14ac:dyDescent="0.25">
      <c r="A1940" s="9" t="s">
        <v>5211</v>
      </c>
      <c r="B1940" s="10">
        <v>636</v>
      </c>
      <c r="C1940" s="10" t="s">
        <v>143</v>
      </c>
      <c r="D1940" t="s">
        <v>4507</v>
      </c>
      <c r="E1940" t="s">
        <v>4508</v>
      </c>
      <c r="F1940" s="10" t="s">
        <v>29</v>
      </c>
      <c r="G1940" s="2">
        <v>12.022</v>
      </c>
      <c r="H1940" s="13">
        <v>3</v>
      </c>
      <c r="I1940" s="13">
        <v>11</v>
      </c>
      <c r="J1940" s="13">
        <v>-11</v>
      </c>
      <c r="K1940" s="10">
        <v>3</v>
      </c>
      <c r="L1940" s="2">
        <v>36.066000000000003</v>
      </c>
      <c r="M1940" s="1">
        <v>46143.32916666667</v>
      </c>
      <c r="N1940" t="s">
        <v>1154</v>
      </c>
    </row>
    <row r="1941" spans="1:14" x14ac:dyDescent="0.25">
      <c r="A1941" s="9" t="s">
        <v>5211</v>
      </c>
      <c r="B1941" s="10">
        <v>718</v>
      </c>
      <c r="C1941" s="10" t="s">
        <v>12</v>
      </c>
      <c r="D1941" t="s">
        <v>3609</v>
      </c>
      <c r="E1941" t="s">
        <v>3610</v>
      </c>
      <c r="F1941" s="10" t="s">
        <v>112</v>
      </c>
      <c r="G1941" s="2">
        <v>37.785699999999999</v>
      </c>
      <c r="H1941" s="13">
        <v>3</v>
      </c>
      <c r="I1941" s="13">
        <v>0</v>
      </c>
      <c r="J1941" s="13">
        <v>0</v>
      </c>
      <c r="K1941" s="10">
        <v>3</v>
      </c>
      <c r="L1941" s="2">
        <v>113.3571</v>
      </c>
      <c r="M1941" s="1">
        <v>46143.445138888892</v>
      </c>
      <c r="N1941" t="s">
        <v>1841</v>
      </c>
    </row>
    <row r="1942" spans="1:14" x14ac:dyDescent="0.25">
      <c r="A1942" s="9" t="s">
        <v>5211</v>
      </c>
      <c r="B1942" s="10">
        <v>718</v>
      </c>
      <c r="C1942" s="10" t="s">
        <v>323</v>
      </c>
      <c r="D1942" t="s">
        <v>2824</v>
      </c>
      <c r="E1942" t="s">
        <v>2825</v>
      </c>
      <c r="F1942" s="10" t="s">
        <v>23</v>
      </c>
      <c r="G1942" s="2">
        <v>215.62459999999999</v>
      </c>
      <c r="H1942" s="13">
        <v>3</v>
      </c>
      <c r="I1942" s="13">
        <v>0</v>
      </c>
      <c r="J1942" s="13">
        <v>0</v>
      </c>
      <c r="K1942" s="10">
        <v>3</v>
      </c>
      <c r="L1942" s="2">
        <v>646.87379999999996</v>
      </c>
      <c r="M1942" s="1">
        <v>46143.611805555556</v>
      </c>
      <c r="N1942" t="s">
        <v>354</v>
      </c>
    </row>
    <row r="1943" spans="1:14" x14ac:dyDescent="0.25">
      <c r="A1943" s="9" t="s">
        <v>5211</v>
      </c>
      <c r="B1943" s="10">
        <v>714</v>
      </c>
      <c r="C1943" s="10" t="s">
        <v>143</v>
      </c>
      <c r="D1943" t="s">
        <v>2634</v>
      </c>
      <c r="E1943" t="s">
        <v>2635</v>
      </c>
      <c r="F1943" s="10" t="s">
        <v>29</v>
      </c>
      <c r="G1943" s="2">
        <v>118.1871</v>
      </c>
      <c r="H1943" s="13">
        <v>3</v>
      </c>
      <c r="I1943" s="13">
        <v>0</v>
      </c>
      <c r="J1943" s="13">
        <v>0</v>
      </c>
      <c r="K1943" s="10">
        <v>3</v>
      </c>
      <c r="L1943" s="2">
        <v>354.56130000000002</v>
      </c>
      <c r="M1943" s="1">
        <v>46144.581944444442</v>
      </c>
      <c r="N1943" t="s">
        <v>2379</v>
      </c>
    </row>
    <row r="1944" spans="1:14" x14ac:dyDescent="0.25">
      <c r="A1944" s="9" t="s">
        <v>5211</v>
      </c>
      <c r="B1944" s="10">
        <v>714</v>
      </c>
      <c r="C1944" s="10" t="s">
        <v>323</v>
      </c>
      <c r="D1944" t="s">
        <v>2947</v>
      </c>
      <c r="E1944" t="s">
        <v>2948</v>
      </c>
      <c r="F1944" s="10" t="s">
        <v>19</v>
      </c>
      <c r="G1944" s="2">
        <v>187.774</v>
      </c>
      <c r="H1944" s="13">
        <v>3</v>
      </c>
      <c r="I1944" s="13">
        <v>0</v>
      </c>
      <c r="J1944" s="13">
        <v>0</v>
      </c>
      <c r="K1944" s="10">
        <v>3</v>
      </c>
      <c r="L1944" s="2">
        <v>563.322</v>
      </c>
      <c r="M1944" s="1">
        <v>46144.581944444442</v>
      </c>
      <c r="N1944" t="s">
        <v>2379</v>
      </c>
    </row>
    <row r="1945" spans="1:14" x14ac:dyDescent="0.25">
      <c r="A1945" s="9" t="s">
        <v>5211</v>
      </c>
      <c r="B1945" s="10">
        <v>636</v>
      </c>
      <c r="C1945" s="10" t="s">
        <v>1749</v>
      </c>
      <c r="D1945" t="s">
        <v>1778</v>
      </c>
      <c r="E1945" t="s">
        <v>1779</v>
      </c>
      <c r="F1945" s="10" t="s">
        <v>112</v>
      </c>
      <c r="G1945" s="2">
        <v>16.6477</v>
      </c>
      <c r="H1945" s="13">
        <v>3</v>
      </c>
      <c r="I1945" s="13">
        <v>0</v>
      </c>
      <c r="J1945" s="13">
        <v>0</v>
      </c>
      <c r="K1945" s="10">
        <v>3</v>
      </c>
      <c r="L1945" s="2">
        <v>49.943100000000001</v>
      </c>
      <c r="M1945" s="1">
        <v>46146.344444444447</v>
      </c>
      <c r="N1945" t="s">
        <v>797</v>
      </c>
    </row>
    <row r="1946" spans="1:14" x14ac:dyDescent="0.25">
      <c r="A1946" s="9" t="s">
        <v>5211</v>
      </c>
      <c r="B1946" s="10">
        <v>636</v>
      </c>
      <c r="C1946" s="10" t="s">
        <v>12</v>
      </c>
      <c r="D1946" t="s">
        <v>497</v>
      </c>
      <c r="E1946" t="s">
        <v>498</v>
      </c>
      <c r="F1946" s="10" t="s">
        <v>23</v>
      </c>
      <c r="G1946" s="2">
        <v>29.351600000000001</v>
      </c>
      <c r="H1946" s="13">
        <v>3</v>
      </c>
      <c r="I1946" s="13">
        <v>0</v>
      </c>
      <c r="J1946" s="13">
        <v>0</v>
      </c>
      <c r="K1946" s="10">
        <v>3</v>
      </c>
      <c r="L1946" s="2">
        <v>88.0548</v>
      </c>
      <c r="M1946" s="1">
        <v>46146.459722222222</v>
      </c>
      <c r="N1946" t="s">
        <v>67</v>
      </c>
    </row>
    <row r="1947" spans="1:14" x14ac:dyDescent="0.25">
      <c r="A1947" s="9" t="s">
        <v>5211</v>
      </c>
      <c r="B1947" s="10">
        <v>714</v>
      </c>
      <c r="C1947" s="10" t="s">
        <v>143</v>
      </c>
      <c r="D1947" t="s">
        <v>997</v>
      </c>
      <c r="E1947" t="s">
        <v>998</v>
      </c>
      <c r="F1947" s="10" t="s">
        <v>29</v>
      </c>
      <c r="G1947" s="2">
        <v>133.35290000000001</v>
      </c>
      <c r="H1947" s="13">
        <v>3</v>
      </c>
      <c r="I1947" s="13">
        <v>-1</v>
      </c>
      <c r="J1947" s="13">
        <v>1</v>
      </c>
      <c r="K1947" s="10">
        <v>3</v>
      </c>
      <c r="L1947" s="2">
        <v>400.05869999999999</v>
      </c>
      <c r="M1947" s="1">
        <v>46147.435416666667</v>
      </c>
      <c r="N1947" t="s">
        <v>137</v>
      </c>
    </row>
    <row r="1948" spans="1:14" x14ac:dyDescent="0.25">
      <c r="A1948" s="9" t="s">
        <v>5211</v>
      </c>
      <c r="B1948" s="10">
        <v>714</v>
      </c>
      <c r="C1948" s="10" t="s">
        <v>323</v>
      </c>
      <c r="D1948" t="s">
        <v>2951</v>
      </c>
      <c r="E1948" t="s">
        <v>2952</v>
      </c>
      <c r="F1948" s="10" t="s">
        <v>29</v>
      </c>
      <c r="G1948" s="2">
        <v>211.62119999999999</v>
      </c>
      <c r="H1948" s="13">
        <v>3</v>
      </c>
      <c r="I1948" s="13">
        <v>0</v>
      </c>
      <c r="J1948" s="13">
        <v>0</v>
      </c>
      <c r="K1948" s="10">
        <v>3</v>
      </c>
      <c r="L1948" s="2">
        <v>634.86360000000002</v>
      </c>
      <c r="M1948" s="1">
        <v>46147.435416666667</v>
      </c>
      <c r="N1948" t="s">
        <v>501</v>
      </c>
    </row>
    <row r="1949" spans="1:14" x14ac:dyDescent="0.25">
      <c r="A1949" s="9" t="s">
        <v>5211</v>
      </c>
      <c r="B1949" s="10">
        <v>718</v>
      </c>
      <c r="C1949" s="10" t="s">
        <v>323</v>
      </c>
      <c r="D1949" t="s">
        <v>3901</v>
      </c>
      <c r="E1949" t="s">
        <v>3902</v>
      </c>
      <c r="F1949" s="10" t="s">
        <v>29</v>
      </c>
      <c r="G1949" s="2">
        <v>70.850700000000003</v>
      </c>
      <c r="H1949" s="13">
        <v>3</v>
      </c>
      <c r="I1949" s="13">
        <v>0</v>
      </c>
      <c r="J1949" s="13">
        <v>0</v>
      </c>
      <c r="K1949" s="10">
        <v>3</v>
      </c>
      <c r="L1949" s="2">
        <v>212.5521</v>
      </c>
      <c r="M1949" s="1">
        <v>46147.688194444447</v>
      </c>
      <c r="N1949" t="s">
        <v>2066</v>
      </c>
    </row>
    <row r="1950" spans="1:14" x14ac:dyDescent="0.25">
      <c r="A1950" s="9" t="s">
        <v>5211</v>
      </c>
      <c r="B1950" s="10">
        <v>714</v>
      </c>
      <c r="C1950" s="10" t="s">
        <v>323</v>
      </c>
      <c r="D1950" t="s">
        <v>2937</v>
      </c>
      <c r="E1950" t="s">
        <v>2938</v>
      </c>
      <c r="F1950" s="10" t="s">
        <v>23</v>
      </c>
      <c r="G1950" s="2">
        <v>99.516000000000005</v>
      </c>
      <c r="H1950" s="13">
        <v>3</v>
      </c>
      <c r="I1950" s="13">
        <v>0</v>
      </c>
      <c r="J1950" s="13">
        <v>0</v>
      </c>
      <c r="K1950" s="10">
        <v>3</v>
      </c>
      <c r="L1950" s="2">
        <v>298.548</v>
      </c>
      <c r="M1950" s="1">
        <v>46149.429861111108</v>
      </c>
      <c r="N1950" t="s">
        <v>1062</v>
      </c>
    </row>
    <row r="1951" spans="1:14" x14ac:dyDescent="0.25">
      <c r="A1951" s="9" t="s">
        <v>5211</v>
      </c>
      <c r="B1951" s="10">
        <v>636</v>
      </c>
      <c r="C1951" s="10" t="s">
        <v>143</v>
      </c>
      <c r="D1951" t="s">
        <v>957</v>
      </c>
      <c r="E1951" t="s">
        <v>958</v>
      </c>
      <c r="F1951" s="10" t="s">
        <v>23</v>
      </c>
      <c r="G1951" s="2">
        <v>61.575000000000003</v>
      </c>
      <c r="H1951" s="13">
        <v>3</v>
      </c>
      <c r="I1951" s="13">
        <v>0</v>
      </c>
      <c r="J1951" s="13">
        <v>0</v>
      </c>
      <c r="K1951" s="10">
        <v>3</v>
      </c>
      <c r="L1951" s="2">
        <v>184.72499999999999</v>
      </c>
      <c r="M1951" s="1">
        <v>46149.512499999997</v>
      </c>
      <c r="N1951" t="s">
        <v>195</v>
      </c>
    </row>
    <row r="1952" spans="1:14" x14ac:dyDescent="0.25">
      <c r="A1952" s="9" t="s">
        <v>5211</v>
      </c>
      <c r="B1952" s="10">
        <v>634</v>
      </c>
      <c r="C1952" s="10" t="s">
        <v>143</v>
      </c>
      <c r="D1952" t="s">
        <v>179</v>
      </c>
      <c r="E1952" t="s">
        <v>180</v>
      </c>
      <c r="F1952" s="10" t="s">
        <v>112</v>
      </c>
      <c r="G1952" s="2">
        <v>19.768999999999998</v>
      </c>
      <c r="H1952" s="13">
        <v>3</v>
      </c>
      <c r="I1952" s="13">
        <v>0</v>
      </c>
      <c r="J1952" s="13">
        <v>0</v>
      </c>
      <c r="K1952" s="10">
        <v>3</v>
      </c>
      <c r="L1952" s="2">
        <v>59.307000000000002</v>
      </c>
      <c r="M1952" s="1">
        <v>46150.566666666666</v>
      </c>
      <c r="N1952" t="s">
        <v>40</v>
      </c>
    </row>
    <row r="1953" spans="1:14" x14ac:dyDescent="0.25">
      <c r="A1953" s="9" t="s">
        <v>5211</v>
      </c>
      <c r="B1953" s="10">
        <v>714</v>
      </c>
      <c r="C1953" s="10" t="s">
        <v>12</v>
      </c>
      <c r="D1953" t="s">
        <v>1900</v>
      </c>
      <c r="E1953" t="s">
        <v>1901</v>
      </c>
      <c r="F1953" s="10" t="s">
        <v>23</v>
      </c>
      <c r="G1953" s="2">
        <v>26.636199999999999</v>
      </c>
      <c r="H1953" s="13">
        <v>3</v>
      </c>
      <c r="I1953" s="13">
        <v>0</v>
      </c>
      <c r="J1953" s="13">
        <v>0</v>
      </c>
      <c r="K1953" s="10">
        <v>3</v>
      </c>
      <c r="L1953" s="2">
        <v>79.908600000000007</v>
      </c>
      <c r="M1953" s="1">
        <v>46151.379166666666</v>
      </c>
      <c r="N1953" t="s">
        <v>1062</v>
      </c>
    </row>
    <row r="1954" spans="1:14" x14ac:dyDescent="0.25">
      <c r="A1954" s="9" t="s">
        <v>5211</v>
      </c>
      <c r="B1954" s="10">
        <v>714</v>
      </c>
      <c r="C1954" s="10" t="s">
        <v>323</v>
      </c>
      <c r="D1954" t="s">
        <v>2824</v>
      </c>
      <c r="E1954" t="s">
        <v>2825</v>
      </c>
      <c r="F1954" s="10" t="s">
        <v>19</v>
      </c>
      <c r="G1954" s="2">
        <v>123.4923</v>
      </c>
      <c r="H1954" s="13">
        <v>3</v>
      </c>
      <c r="I1954" s="13">
        <v>0</v>
      </c>
      <c r="J1954" s="13">
        <v>0</v>
      </c>
      <c r="K1954" s="10">
        <v>3</v>
      </c>
      <c r="L1954" s="2">
        <v>370.4769</v>
      </c>
      <c r="M1954" s="1">
        <v>46151.382638888892</v>
      </c>
      <c r="N1954" t="s">
        <v>2225</v>
      </c>
    </row>
    <row r="1955" spans="1:14" x14ac:dyDescent="0.25">
      <c r="A1955" s="9" t="s">
        <v>5211</v>
      </c>
      <c r="B1955" s="10">
        <v>714</v>
      </c>
      <c r="C1955" s="10" t="s">
        <v>126</v>
      </c>
      <c r="D1955" t="s">
        <v>861</v>
      </c>
      <c r="E1955" s="6" t="s">
        <v>862</v>
      </c>
      <c r="F1955" s="11" t="s">
        <v>58</v>
      </c>
      <c r="G1955" s="2">
        <v>23.523599999999998</v>
      </c>
      <c r="H1955" s="13">
        <v>3</v>
      </c>
      <c r="I1955" s="13">
        <v>-1</v>
      </c>
      <c r="J1955" s="13">
        <v>1</v>
      </c>
      <c r="K1955" s="10">
        <v>3</v>
      </c>
      <c r="L1955" s="2">
        <v>70.570800000000006</v>
      </c>
      <c r="M1955" s="1">
        <v>46151.40347222222</v>
      </c>
      <c r="N1955" t="s">
        <v>140</v>
      </c>
    </row>
    <row r="1956" spans="1:14" x14ac:dyDescent="0.25">
      <c r="A1956" s="9" t="s">
        <v>5211</v>
      </c>
      <c r="B1956" s="10">
        <v>714</v>
      </c>
      <c r="C1956" s="10" t="s">
        <v>323</v>
      </c>
      <c r="D1956" t="s">
        <v>3292</v>
      </c>
      <c r="E1956" t="s">
        <v>3293</v>
      </c>
      <c r="F1956" s="10" t="s">
        <v>29</v>
      </c>
      <c r="G1956" s="2">
        <v>296.69569999999999</v>
      </c>
      <c r="H1956" s="13">
        <v>3</v>
      </c>
      <c r="I1956" s="13">
        <v>0</v>
      </c>
      <c r="J1956" s="13">
        <v>0</v>
      </c>
      <c r="K1956" s="10">
        <v>3</v>
      </c>
      <c r="L1956" s="2">
        <v>890.08709999999996</v>
      </c>
      <c r="M1956" s="1">
        <v>46153.668749999997</v>
      </c>
      <c r="N1956" t="s">
        <v>2271</v>
      </c>
    </row>
    <row r="1957" spans="1:14" x14ac:dyDescent="0.25">
      <c r="A1957" s="9" t="s">
        <v>5211</v>
      </c>
      <c r="B1957" s="10">
        <v>714</v>
      </c>
      <c r="C1957" s="10" t="s">
        <v>143</v>
      </c>
      <c r="D1957" t="s">
        <v>2464</v>
      </c>
      <c r="E1957" t="s">
        <v>2465</v>
      </c>
      <c r="F1957" s="10" t="s">
        <v>23</v>
      </c>
      <c r="G1957" s="2">
        <v>63.031300000000002</v>
      </c>
      <c r="H1957" s="13">
        <v>3</v>
      </c>
      <c r="I1957" s="13">
        <v>0</v>
      </c>
      <c r="J1957" s="13">
        <v>0</v>
      </c>
      <c r="K1957" s="10">
        <v>3</v>
      </c>
      <c r="L1957" s="2">
        <v>189.09389999999999</v>
      </c>
      <c r="M1957" s="1">
        <v>46154.436111111114</v>
      </c>
      <c r="N1957" t="s">
        <v>137</v>
      </c>
    </row>
    <row r="1958" spans="1:14" x14ac:dyDescent="0.25">
      <c r="A1958" s="9" t="s">
        <v>5211</v>
      </c>
      <c r="B1958" s="10">
        <v>714</v>
      </c>
      <c r="C1958" s="10" t="s">
        <v>143</v>
      </c>
      <c r="D1958" t="s">
        <v>908</v>
      </c>
      <c r="E1958" t="s">
        <v>909</v>
      </c>
      <c r="F1958" s="10" t="s">
        <v>158</v>
      </c>
      <c r="G1958" s="2">
        <v>163.08449999999999</v>
      </c>
      <c r="H1958" s="13">
        <v>3</v>
      </c>
      <c r="I1958" s="13">
        <v>0</v>
      </c>
      <c r="J1958" s="13">
        <v>0</v>
      </c>
      <c r="K1958" s="10">
        <v>3</v>
      </c>
      <c r="L1958" s="2">
        <v>489.25349999999997</v>
      </c>
      <c r="M1958" s="1">
        <v>46154.438194444447</v>
      </c>
      <c r="N1958" t="s">
        <v>1535</v>
      </c>
    </row>
    <row r="1959" spans="1:14" x14ac:dyDescent="0.25">
      <c r="A1959" s="9" t="s">
        <v>5211</v>
      </c>
      <c r="B1959" s="10">
        <v>714</v>
      </c>
      <c r="C1959" s="10" t="s">
        <v>143</v>
      </c>
      <c r="D1959" t="s">
        <v>2232</v>
      </c>
      <c r="E1959" t="s">
        <v>2233</v>
      </c>
      <c r="F1959" s="10" t="s">
        <v>29</v>
      </c>
      <c r="G1959" s="2">
        <v>29.097200000000001</v>
      </c>
      <c r="H1959" s="13">
        <v>3</v>
      </c>
      <c r="I1959" s="13">
        <v>0</v>
      </c>
      <c r="J1959" s="13">
        <v>0</v>
      </c>
      <c r="K1959" s="10">
        <v>3</v>
      </c>
      <c r="L1959" s="2">
        <v>87.291600000000003</v>
      </c>
      <c r="M1959" s="1">
        <v>46154.45416666667</v>
      </c>
      <c r="N1959" t="s">
        <v>2066</v>
      </c>
    </row>
    <row r="1960" spans="1:14" x14ac:dyDescent="0.25">
      <c r="A1960" s="9" t="s">
        <v>5211</v>
      </c>
      <c r="B1960" s="10">
        <v>718</v>
      </c>
      <c r="C1960" s="10" t="s">
        <v>143</v>
      </c>
      <c r="D1960" t="s">
        <v>3776</v>
      </c>
      <c r="E1960" t="s">
        <v>3777</v>
      </c>
      <c r="F1960" s="10" t="s">
        <v>29</v>
      </c>
      <c r="G1960" s="2">
        <v>33.727400000000003</v>
      </c>
      <c r="H1960" s="13">
        <v>3</v>
      </c>
      <c r="I1960" s="13">
        <v>0</v>
      </c>
      <c r="J1960" s="13">
        <v>0</v>
      </c>
      <c r="K1960" s="10">
        <v>3</v>
      </c>
      <c r="L1960" s="2">
        <v>101.18219999999999</v>
      </c>
      <c r="M1960" s="1">
        <v>46155.552083333336</v>
      </c>
      <c r="N1960" t="s">
        <v>216</v>
      </c>
    </row>
    <row r="1961" spans="1:14" x14ac:dyDescent="0.25">
      <c r="A1961" s="9" t="s">
        <v>5211</v>
      </c>
      <c r="B1961" s="10">
        <v>718</v>
      </c>
      <c r="C1961" s="10" t="s">
        <v>143</v>
      </c>
      <c r="D1961" t="s">
        <v>2219</v>
      </c>
      <c r="E1961" t="s">
        <v>2220</v>
      </c>
      <c r="F1961" s="10" t="s">
        <v>19</v>
      </c>
      <c r="G1961" s="2">
        <v>346.13659999999999</v>
      </c>
      <c r="H1961" s="13">
        <v>3</v>
      </c>
      <c r="I1961" s="13">
        <v>0</v>
      </c>
      <c r="J1961" s="13">
        <v>0</v>
      </c>
      <c r="K1961" s="10">
        <v>3</v>
      </c>
      <c r="L1961" s="2">
        <v>1038.4097999999999</v>
      </c>
      <c r="M1961" s="1">
        <v>46155.659722222219</v>
      </c>
      <c r="N1961" t="s">
        <v>501</v>
      </c>
    </row>
    <row r="1962" spans="1:14" x14ac:dyDescent="0.25">
      <c r="A1962" s="9" t="s">
        <v>5211</v>
      </c>
      <c r="B1962" s="10">
        <v>718</v>
      </c>
      <c r="C1962" s="10" t="s">
        <v>323</v>
      </c>
      <c r="D1962" t="s">
        <v>3867</v>
      </c>
      <c r="E1962" t="s">
        <v>3868</v>
      </c>
      <c r="F1962" s="10" t="s">
        <v>43</v>
      </c>
      <c r="G1962" s="2">
        <v>179.99100000000001</v>
      </c>
      <c r="H1962" s="13">
        <v>3</v>
      </c>
      <c r="I1962" s="13">
        <v>0</v>
      </c>
      <c r="J1962" s="13">
        <v>0</v>
      </c>
      <c r="K1962" s="10">
        <v>3</v>
      </c>
      <c r="L1962" s="2">
        <v>539.97299999999996</v>
      </c>
      <c r="M1962" s="1">
        <v>46155.659722222219</v>
      </c>
      <c r="N1962" t="s">
        <v>501</v>
      </c>
    </row>
    <row r="1963" spans="1:14" x14ac:dyDescent="0.25">
      <c r="A1963" s="9" t="s">
        <v>5211</v>
      </c>
      <c r="B1963" s="10">
        <v>718</v>
      </c>
      <c r="C1963" s="10" t="s">
        <v>143</v>
      </c>
      <c r="D1963" t="s">
        <v>3762</v>
      </c>
      <c r="E1963" t="s">
        <v>3763</v>
      </c>
      <c r="F1963" s="10" t="s">
        <v>19</v>
      </c>
      <c r="G1963" s="2">
        <v>92.632800000000003</v>
      </c>
      <c r="H1963" s="13">
        <v>3</v>
      </c>
      <c r="I1963" s="13">
        <v>0</v>
      </c>
      <c r="J1963" s="13">
        <v>0</v>
      </c>
      <c r="K1963" s="10">
        <v>3</v>
      </c>
      <c r="L1963" s="2">
        <v>277.89839999999998</v>
      </c>
      <c r="M1963" s="1">
        <v>46156.459722222222</v>
      </c>
      <c r="N1963" t="s">
        <v>175</v>
      </c>
    </row>
    <row r="1964" spans="1:14" x14ac:dyDescent="0.25">
      <c r="A1964" s="9" t="s">
        <v>5211</v>
      </c>
      <c r="B1964" s="10">
        <v>718</v>
      </c>
      <c r="C1964" s="10" t="s">
        <v>12</v>
      </c>
      <c r="D1964" t="s">
        <v>3619</v>
      </c>
      <c r="E1964" t="s">
        <v>3620</v>
      </c>
      <c r="F1964" s="10" t="s">
        <v>29</v>
      </c>
      <c r="G1964" s="2">
        <v>33.0169</v>
      </c>
      <c r="H1964" s="13">
        <v>3</v>
      </c>
      <c r="I1964" s="13">
        <v>0</v>
      </c>
      <c r="J1964" s="13">
        <v>0</v>
      </c>
      <c r="K1964" s="10">
        <v>3</v>
      </c>
      <c r="L1964" s="2">
        <v>99.050700000000006</v>
      </c>
      <c r="M1964" s="1">
        <v>46156.663194444445</v>
      </c>
      <c r="N1964" t="s">
        <v>67</v>
      </c>
    </row>
    <row r="1965" spans="1:14" x14ac:dyDescent="0.25">
      <c r="A1965" s="9" t="s">
        <v>5211</v>
      </c>
      <c r="B1965" s="10">
        <v>718</v>
      </c>
      <c r="C1965" s="10" t="s">
        <v>143</v>
      </c>
      <c r="D1965" t="s">
        <v>3794</v>
      </c>
      <c r="E1965" t="s">
        <v>3795</v>
      </c>
      <c r="F1965" s="10" t="s">
        <v>23</v>
      </c>
      <c r="G1965" s="2">
        <v>32.804299999999998</v>
      </c>
      <c r="H1965" s="13">
        <v>3</v>
      </c>
      <c r="I1965" s="13">
        <v>1</v>
      </c>
      <c r="J1965" s="13">
        <v>-1</v>
      </c>
      <c r="K1965" s="10">
        <v>3</v>
      </c>
      <c r="L1965" s="2">
        <v>98.412899999999993</v>
      </c>
      <c r="M1965" s="1">
        <v>46156.663194444445</v>
      </c>
      <c r="N1965" t="s">
        <v>67</v>
      </c>
    </row>
    <row r="1966" spans="1:14" x14ac:dyDescent="0.25">
      <c r="A1966" s="9" t="s">
        <v>5211</v>
      </c>
      <c r="B1966" s="10">
        <v>718</v>
      </c>
      <c r="C1966" s="10" t="s">
        <v>323</v>
      </c>
      <c r="D1966" t="s">
        <v>3911</v>
      </c>
      <c r="E1966" t="s">
        <v>3912</v>
      </c>
      <c r="F1966" s="10" t="s">
        <v>39</v>
      </c>
      <c r="G1966" s="2">
        <v>50.873399999999997</v>
      </c>
      <c r="H1966" s="13">
        <v>3</v>
      </c>
      <c r="I1966" s="13">
        <v>0</v>
      </c>
      <c r="J1966" s="13">
        <v>0</v>
      </c>
      <c r="K1966" s="10">
        <v>3</v>
      </c>
      <c r="L1966" s="2">
        <v>152.62020000000001</v>
      </c>
      <c r="M1966" s="1">
        <v>46156.663194444445</v>
      </c>
      <c r="N1966" t="s">
        <v>67</v>
      </c>
    </row>
    <row r="1967" spans="1:14" x14ac:dyDescent="0.25">
      <c r="A1967" s="9" t="s">
        <v>5211</v>
      </c>
      <c r="B1967" s="10">
        <v>636</v>
      </c>
      <c r="C1967" s="10" t="s">
        <v>323</v>
      </c>
      <c r="D1967" t="s">
        <v>1423</v>
      </c>
      <c r="E1967" t="s">
        <v>1424</v>
      </c>
      <c r="F1967" s="10" t="s">
        <v>29</v>
      </c>
      <c r="G1967" s="2">
        <v>427.94119999999998</v>
      </c>
      <c r="H1967" s="13">
        <v>3</v>
      </c>
      <c r="I1967" s="13">
        <v>0</v>
      </c>
      <c r="J1967" s="13">
        <v>0</v>
      </c>
      <c r="K1967" s="10">
        <v>3</v>
      </c>
      <c r="L1967" s="2">
        <v>1283.8235999999999</v>
      </c>
      <c r="M1967" s="1">
        <v>46157.602083333331</v>
      </c>
      <c r="N1967" t="s">
        <v>1224</v>
      </c>
    </row>
    <row r="1968" spans="1:14" x14ac:dyDescent="0.25">
      <c r="A1968" s="9" t="s">
        <v>5211</v>
      </c>
      <c r="B1968" s="10">
        <v>714</v>
      </c>
      <c r="C1968" s="10" t="s">
        <v>323</v>
      </c>
      <c r="D1968" t="s">
        <v>4625</v>
      </c>
      <c r="E1968" t="s">
        <v>4626</v>
      </c>
      <c r="F1968" s="10" t="s">
        <v>19</v>
      </c>
      <c r="G1968" s="2">
        <v>195.3914</v>
      </c>
      <c r="H1968" s="13">
        <v>3</v>
      </c>
      <c r="I1968" s="13">
        <v>6</v>
      </c>
      <c r="J1968" s="13">
        <v>-6</v>
      </c>
      <c r="K1968" s="10">
        <v>3</v>
      </c>
      <c r="L1968" s="2">
        <v>586.17420000000004</v>
      </c>
      <c r="M1968" s="1">
        <v>46161.368750000001</v>
      </c>
      <c r="N1968" t="s">
        <v>1224</v>
      </c>
    </row>
    <row r="1969" spans="1:14" x14ac:dyDescent="0.25">
      <c r="A1969" s="9" t="s">
        <v>5211</v>
      </c>
      <c r="B1969" s="10">
        <v>636</v>
      </c>
      <c r="C1969" s="10" t="s">
        <v>70</v>
      </c>
      <c r="D1969" t="s">
        <v>4407</v>
      </c>
      <c r="E1969" t="s">
        <v>4408</v>
      </c>
      <c r="F1969" s="10" t="s">
        <v>39</v>
      </c>
      <c r="G1969" s="2">
        <v>14.8012</v>
      </c>
      <c r="H1969" s="13">
        <v>3</v>
      </c>
      <c r="I1969" s="13">
        <v>7</v>
      </c>
      <c r="J1969" s="13">
        <v>-7</v>
      </c>
      <c r="K1969" s="10">
        <v>3</v>
      </c>
      <c r="L1969" s="2">
        <v>44.403599999999997</v>
      </c>
      <c r="M1969" s="1">
        <v>46161.479861111111</v>
      </c>
      <c r="N1969" t="s">
        <v>40</v>
      </c>
    </row>
    <row r="1970" spans="1:14" x14ac:dyDescent="0.25">
      <c r="A1970" s="9" t="s">
        <v>5211</v>
      </c>
      <c r="B1970" s="10">
        <v>636</v>
      </c>
      <c r="C1970" s="10" t="s">
        <v>143</v>
      </c>
      <c r="D1970" t="s">
        <v>4152</v>
      </c>
      <c r="E1970" t="s">
        <v>4153</v>
      </c>
      <c r="F1970" s="10" t="s">
        <v>112</v>
      </c>
      <c r="G1970" s="2">
        <v>23.749199999999998</v>
      </c>
      <c r="H1970" s="13">
        <v>3</v>
      </c>
      <c r="I1970" s="13">
        <v>0</v>
      </c>
      <c r="J1970" s="13">
        <v>0</v>
      </c>
      <c r="K1970" s="10">
        <v>3</v>
      </c>
      <c r="L1970" s="2">
        <v>71.247600000000006</v>
      </c>
      <c r="M1970" s="1">
        <v>46161.479861111111</v>
      </c>
      <c r="N1970" t="s">
        <v>40</v>
      </c>
    </row>
    <row r="1971" spans="1:14" x14ac:dyDescent="0.25">
      <c r="A1971" s="9" t="s">
        <v>5211</v>
      </c>
      <c r="B1971" s="10">
        <v>636</v>
      </c>
      <c r="C1971" s="10" t="s">
        <v>70</v>
      </c>
      <c r="D1971" t="s">
        <v>745</v>
      </c>
      <c r="E1971" t="s">
        <v>746</v>
      </c>
      <c r="F1971" s="10" t="s">
        <v>39</v>
      </c>
      <c r="G1971" s="2">
        <v>4.7877000000000001</v>
      </c>
      <c r="H1971" s="13">
        <v>3</v>
      </c>
      <c r="I1971" s="13">
        <v>0</v>
      </c>
      <c r="J1971" s="13">
        <v>0</v>
      </c>
      <c r="K1971" s="10">
        <v>3</v>
      </c>
      <c r="L1971" s="2">
        <v>14.363099999999999</v>
      </c>
      <c r="M1971" s="1">
        <v>46162.45</v>
      </c>
      <c r="N1971" t="s">
        <v>99</v>
      </c>
    </row>
    <row r="1972" spans="1:14" x14ac:dyDescent="0.25">
      <c r="A1972" s="9" t="s">
        <v>5211</v>
      </c>
      <c r="B1972" s="10">
        <v>714</v>
      </c>
      <c r="C1972" s="10" t="s">
        <v>323</v>
      </c>
      <c r="D1972" t="s">
        <v>4931</v>
      </c>
      <c r="E1972" t="s">
        <v>4932</v>
      </c>
      <c r="F1972" s="10" t="s">
        <v>29</v>
      </c>
      <c r="G1972" s="2">
        <v>270.00380000000001</v>
      </c>
      <c r="H1972" s="13">
        <v>3</v>
      </c>
      <c r="I1972" s="13">
        <v>2</v>
      </c>
      <c r="J1972" s="13">
        <v>-2</v>
      </c>
      <c r="K1972" s="10">
        <v>3</v>
      </c>
      <c r="L1972" s="2">
        <v>810.01139999999998</v>
      </c>
      <c r="M1972" s="1">
        <v>46162.505555555559</v>
      </c>
      <c r="N1972" t="s">
        <v>1234</v>
      </c>
    </row>
    <row r="1973" spans="1:14" x14ac:dyDescent="0.25">
      <c r="A1973" s="9" t="s">
        <v>5211</v>
      </c>
      <c r="B1973" s="10">
        <v>634</v>
      </c>
      <c r="C1973" s="10" t="s">
        <v>143</v>
      </c>
      <c r="D1973" t="s">
        <v>4118</v>
      </c>
      <c r="E1973" t="s">
        <v>4119</v>
      </c>
      <c r="F1973" s="10" t="s">
        <v>112</v>
      </c>
      <c r="G1973" s="2">
        <v>15.7607</v>
      </c>
      <c r="H1973" s="13">
        <v>3</v>
      </c>
      <c r="I1973" s="13">
        <v>59</v>
      </c>
      <c r="J1973" s="13">
        <v>-59</v>
      </c>
      <c r="K1973" s="10">
        <v>3</v>
      </c>
      <c r="L1973" s="2">
        <v>47.2821</v>
      </c>
      <c r="M1973" s="1">
        <v>46162.544444444444</v>
      </c>
      <c r="N1973" t="s">
        <v>162</v>
      </c>
    </row>
    <row r="1974" spans="1:14" x14ac:dyDescent="0.25">
      <c r="A1974" s="9" t="s">
        <v>5211</v>
      </c>
      <c r="B1974" s="10">
        <v>718</v>
      </c>
      <c r="C1974" s="10" t="s">
        <v>70</v>
      </c>
      <c r="D1974" t="s">
        <v>3689</v>
      </c>
      <c r="E1974" t="s">
        <v>3690</v>
      </c>
      <c r="F1974" s="10" t="s">
        <v>39</v>
      </c>
      <c r="G1974" s="2">
        <v>2.0099999999999998</v>
      </c>
      <c r="H1974" s="13">
        <v>3</v>
      </c>
      <c r="I1974" s="13">
        <v>0</v>
      </c>
      <c r="J1974" s="13">
        <v>0</v>
      </c>
      <c r="K1974" s="10">
        <v>3</v>
      </c>
      <c r="L1974" s="2">
        <v>6.03</v>
      </c>
      <c r="M1974" s="1">
        <v>46163.370833333334</v>
      </c>
      <c r="N1974" t="s">
        <v>1932</v>
      </c>
    </row>
    <row r="1975" spans="1:14" x14ac:dyDescent="0.25">
      <c r="A1975" s="9" t="s">
        <v>5211</v>
      </c>
      <c r="B1975" s="10">
        <v>714</v>
      </c>
      <c r="C1975" s="10" t="s">
        <v>323</v>
      </c>
      <c r="D1975" t="s">
        <v>2949</v>
      </c>
      <c r="E1975" t="s">
        <v>2950</v>
      </c>
      <c r="F1975" s="10" t="s">
        <v>19</v>
      </c>
      <c r="G1975" s="2">
        <v>268.58109999999999</v>
      </c>
      <c r="H1975" s="13">
        <v>3</v>
      </c>
      <c r="I1975" s="13">
        <v>0</v>
      </c>
      <c r="J1975" s="13">
        <v>0</v>
      </c>
      <c r="K1975" s="10">
        <v>3</v>
      </c>
      <c r="L1975" s="2">
        <v>805.74329999999998</v>
      </c>
      <c r="M1975" s="1">
        <v>46163.381944444445</v>
      </c>
      <c r="N1975" t="s">
        <v>137</v>
      </c>
    </row>
    <row r="1976" spans="1:14" x14ac:dyDescent="0.25">
      <c r="A1976" s="9" t="s">
        <v>5211</v>
      </c>
      <c r="B1976" s="10">
        <v>636</v>
      </c>
      <c r="C1976" s="10" t="s">
        <v>12</v>
      </c>
      <c r="D1976" t="s">
        <v>523</v>
      </c>
      <c r="E1976" t="s">
        <v>524</v>
      </c>
      <c r="F1976" s="10" t="s">
        <v>29</v>
      </c>
      <c r="G1976" s="2">
        <v>4.9005999999999998</v>
      </c>
      <c r="H1976" s="13">
        <v>3</v>
      </c>
      <c r="I1976" s="13">
        <v>0</v>
      </c>
      <c r="J1976" s="13">
        <v>0</v>
      </c>
      <c r="K1976" s="10">
        <v>3</v>
      </c>
      <c r="L1976" s="2">
        <v>14.7018</v>
      </c>
      <c r="M1976" s="1">
        <v>46163.495138888888</v>
      </c>
      <c r="N1976" t="s">
        <v>509</v>
      </c>
    </row>
    <row r="1977" spans="1:14" x14ac:dyDescent="0.25">
      <c r="A1977" s="9" t="s">
        <v>5211</v>
      </c>
      <c r="B1977" s="10">
        <v>636</v>
      </c>
      <c r="C1977" s="10" t="s">
        <v>143</v>
      </c>
      <c r="D1977" t="s">
        <v>1171</v>
      </c>
      <c r="E1977" t="s">
        <v>1172</v>
      </c>
      <c r="F1977" s="10" t="s">
        <v>39</v>
      </c>
      <c r="G1977" s="2">
        <v>14.560499999999999</v>
      </c>
      <c r="H1977" s="13">
        <v>3</v>
      </c>
      <c r="I1977" s="13">
        <v>0</v>
      </c>
      <c r="J1977" s="13">
        <v>0</v>
      </c>
      <c r="K1977" s="10">
        <v>3</v>
      </c>
      <c r="L1977" s="2">
        <v>43.6815</v>
      </c>
      <c r="M1977" s="1">
        <v>46163.503472222219</v>
      </c>
      <c r="N1977" t="s">
        <v>40</v>
      </c>
    </row>
    <row r="1978" spans="1:14" x14ac:dyDescent="0.25">
      <c r="A1978" s="9" t="s">
        <v>5211</v>
      </c>
      <c r="B1978" s="10">
        <v>714</v>
      </c>
      <c r="C1978" s="10" t="s">
        <v>323</v>
      </c>
      <c r="D1978" t="s">
        <v>3486</v>
      </c>
      <c r="E1978" t="s">
        <v>3487</v>
      </c>
      <c r="F1978" s="10" t="s">
        <v>19</v>
      </c>
      <c r="G1978" s="2">
        <v>194.28989999999999</v>
      </c>
      <c r="H1978" s="13">
        <v>3</v>
      </c>
      <c r="I1978" s="13">
        <v>0</v>
      </c>
      <c r="J1978" s="13">
        <v>0</v>
      </c>
      <c r="K1978" s="10">
        <v>3</v>
      </c>
      <c r="L1978" s="2">
        <v>582.86969999999997</v>
      </c>
      <c r="M1978" s="1">
        <v>46164.666666666664</v>
      </c>
      <c r="N1978" t="s">
        <v>444</v>
      </c>
    </row>
    <row r="1979" spans="1:14" x14ac:dyDescent="0.25">
      <c r="A1979" s="9" t="s">
        <v>5211</v>
      </c>
      <c r="B1979" s="10">
        <v>714</v>
      </c>
      <c r="C1979" s="10" t="s">
        <v>143</v>
      </c>
      <c r="D1979" t="s">
        <v>2802</v>
      </c>
      <c r="E1979" t="s">
        <v>2803</v>
      </c>
      <c r="F1979" s="10" t="s">
        <v>23</v>
      </c>
      <c r="G1979" s="2">
        <v>47.04</v>
      </c>
      <c r="H1979" s="13">
        <v>3</v>
      </c>
      <c r="I1979" s="13">
        <v>0</v>
      </c>
      <c r="J1979" s="13">
        <v>0</v>
      </c>
      <c r="K1979" s="10">
        <v>3</v>
      </c>
      <c r="L1979" s="2">
        <v>141.12</v>
      </c>
      <c r="M1979" s="1">
        <v>46165.327777777777</v>
      </c>
      <c r="N1979" t="s">
        <v>2268</v>
      </c>
    </row>
    <row r="1980" spans="1:14" x14ac:dyDescent="0.25">
      <c r="A1980" s="9" t="s">
        <v>5211</v>
      </c>
      <c r="B1980" s="10">
        <v>714</v>
      </c>
      <c r="C1980" s="10" t="s">
        <v>143</v>
      </c>
      <c r="D1980" t="s">
        <v>2543</v>
      </c>
      <c r="E1980" t="s">
        <v>2544</v>
      </c>
      <c r="F1980" s="10" t="s">
        <v>23</v>
      </c>
      <c r="G1980" s="2">
        <v>186.40690000000001</v>
      </c>
      <c r="H1980" s="13">
        <v>3</v>
      </c>
      <c r="I1980" s="13">
        <v>0</v>
      </c>
      <c r="J1980" s="13">
        <v>0</v>
      </c>
      <c r="K1980" s="10">
        <v>3</v>
      </c>
      <c r="L1980" s="2">
        <v>559.22069999999997</v>
      </c>
      <c r="M1980" s="1">
        <v>46165.331944444442</v>
      </c>
      <c r="N1980" t="s">
        <v>1062</v>
      </c>
    </row>
    <row r="1981" spans="1:14" x14ac:dyDescent="0.25">
      <c r="A1981" s="9" t="s">
        <v>5211</v>
      </c>
      <c r="B1981" s="10">
        <v>718</v>
      </c>
      <c r="C1981" s="10" t="s">
        <v>143</v>
      </c>
      <c r="D1981" t="s">
        <v>970</v>
      </c>
      <c r="E1981" t="s">
        <v>971</v>
      </c>
      <c r="F1981" s="10" t="s">
        <v>158</v>
      </c>
      <c r="G1981" s="2">
        <v>105.5309</v>
      </c>
      <c r="H1981" s="13">
        <v>3</v>
      </c>
      <c r="I1981" s="13">
        <v>3</v>
      </c>
      <c r="J1981" s="13">
        <v>-3</v>
      </c>
      <c r="K1981" s="10">
        <v>3</v>
      </c>
      <c r="L1981" s="2">
        <v>316.59269999999998</v>
      </c>
      <c r="M1981" s="1">
        <v>46165.385416666664</v>
      </c>
      <c r="N1981" t="s">
        <v>137</v>
      </c>
    </row>
    <row r="1982" spans="1:14" x14ac:dyDescent="0.25">
      <c r="A1982" s="9" t="s">
        <v>5211</v>
      </c>
      <c r="B1982" s="10">
        <v>636</v>
      </c>
      <c r="C1982" s="10" t="s">
        <v>12</v>
      </c>
      <c r="D1982" t="s">
        <v>4375</v>
      </c>
      <c r="E1982" t="s">
        <v>4376</v>
      </c>
      <c r="F1982" s="10" t="s">
        <v>23</v>
      </c>
      <c r="G1982" s="2">
        <v>5.1525999999999996</v>
      </c>
      <c r="H1982" s="13">
        <v>3</v>
      </c>
      <c r="I1982" s="13">
        <v>0</v>
      </c>
      <c r="J1982" s="13">
        <v>0</v>
      </c>
      <c r="K1982" s="10">
        <v>3</v>
      </c>
      <c r="L1982" s="2">
        <v>15.457800000000001</v>
      </c>
      <c r="M1982" s="1">
        <v>46168.433333333334</v>
      </c>
      <c r="N1982" t="s">
        <v>94</v>
      </c>
    </row>
    <row r="1983" spans="1:14" x14ac:dyDescent="0.25">
      <c r="A1983" s="9" t="s">
        <v>5211</v>
      </c>
      <c r="B1983" s="10">
        <v>636</v>
      </c>
      <c r="C1983" s="10" t="s">
        <v>143</v>
      </c>
      <c r="D1983" t="s">
        <v>888</v>
      </c>
      <c r="E1983" t="s">
        <v>889</v>
      </c>
      <c r="F1983" s="10" t="s">
        <v>29</v>
      </c>
      <c r="G1983" s="2">
        <v>285.14640000000003</v>
      </c>
      <c r="H1983" s="13">
        <v>3</v>
      </c>
      <c r="I1983" s="13">
        <v>0</v>
      </c>
      <c r="J1983" s="13">
        <v>0</v>
      </c>
      <c r="K1983" s="10">
        <v>3</v>
      </c>
      <c r="L1983" s="2">
        <v>855.43920000000003</v>
      </c>
      <c r="M1983" s="1">
        <v>46169.423611111109</v>
      </c>
      <c r="N1983" t="s">
        <v>890</v>
      </c>
    </row>
    <row r="1984" spans="1:14" x14ac:dyDescent="0.25">
      <c r="A1984" s="9" t="s">
        <v>5211</v>
      </c>
      <c r="B1984" s="10">
        <v>634</v>
      </c>
      <c r="C1984" s="10" t="s">
        <v>323</v>
      </c>
      <c r="D1984" t="s">
        <v>4266</v>
      </c>
      <c r="E1984" t="s">
        <v>4267</v>
      </c>
      <c r="F1984" s="10" t="s">
        <v>23</v>
      </c>
      <c r="G1984" s="2">
        <v>130.07499999999999</v>
      </c>
      <c r="H1984" s="13">
        <v>3</v>
      </c>
      <c r="I1984" s="13">
        <v>4</v>
      </c>
      <c r="J1984" s="13">
        <v>-4</v>
      </c>
      <c r="K1984" s="10">
        <v>3</v>
      </c>
      <c r="L1984" s="2">
        <v>390.22500000000002</v>
      </c>
      <c r="M1984" s="1">
        <v>46169.459027777775</v>
      </c>
      <c r="N1984" t="s">
        <v>151</v>
      </c>
    </row>
    <row r="1985" spans="1:14" x14ac:dyDescent="0.25">
      <c r="A1985" s="9" t="s">
        <v>5211</v>
      </c>
      <c r="B1985" s="10">
        <v>634</v>
      </c>
      <c r="C1985" s="10" t="s">
        <v>323</v>
      </c>
      <c r="D1985" t="s">
        <v>403</v>
      </c>
      <c r="E1985" t="s">
        <v>404</v>
      </c>
      <c r="F1985" s="10" t="s">
        <v>23</v>
      </c>
      <c r="G1985" s="2">
        <v>130.07499999999999</v>
      </c>
      <c r="H1985" s="13">
        <v>3</v>
      </c>
      <c r="I1985" s="13">
        <v>-11</v>
      </c>
      <c r="J1985" s="13">
        <v>11</v>
      </c>
      <c r="K1985" s="10">
        <v>3</v>
      </c>
      <c r="L1985" s="2">
        <v>390.22500000000002</v>
      </c>
      <c r="M1985" s="1">
        <v>46169.459027777775</v>
      </c>
      <c r="N1985" t="s">
        <v>151</v>
      </c>
    </row>
    <row r="1986" spans="1:14" x14ac:dyDescent="0.25">
      <c r="A1986" s="9" t="s">
        <v>5211</v>
      </c>
      <c r="B1986" s="10">
        <v>714</v>
      </c>
      <c r="C1986" s="10" t="s">
        <v>143</v>
      </c>
      <c r="D1986" t="s">
        <v>4851</v>
      </c>
      <c r="E1986" t="s">
        <v>4852</v>
      </c>
      <c r="F1986" s="10" t="s">
        <v>158</v>
      </c>
      <c r="G1986" s="2">
        <v>114.43089999999999</v>
      </c>
      <c r="H1986" s="13">
        <v>3</v>
      </c>
      <c r="I1986" s="13">
        <v>6</v>
      </c>
      <c r="J1986" s="13">
        <v>-6</v>
      </c>
      <c r="K1986" s="10">
        <v>3</v>
      </c>
      <c r="L1986" s="2">
        <v>343.29270000000002</v>
      </c>
      <c r="M1986" s="1">
        <v>46171.402083333334</v>
      </c>
      <c r="N1986" t="s">
        <v>1535</v>
      </c>
    </row>
    <row r="1987" spans="1:14" x14ac:dyDescent="0.25">
      <c r="A1987" s="9" t="s">
        <v>5211</v>
      </c>
      <c r="B1987" s="10">
        <v>636</v>
      </c>
      <c r="C1987" s="10" t="s">
        <v>70</v>
      </c>
      <c r="D1987" t="s">
        <v>785</v>
      </c>
      <c r="E1987" t="s">
        <v>786</v>
      </c>
      <c r="F1987" s="10" t="s">
        <v>39</v>
      </c>
      <c r="G1987" s="2">
        <v>5.9282000000000004</v>
      </c>
      <c r="H1987" s="13">
        <v>3</v>
      </c>
      <c r="I1987" s="13">
        <v>0</v>
      </c>
      <c r="J1987" s="13">
        <v>0</v>
      </c>
      <c r="K1987" s="10">
        <v>3</v>
      </c>
      <c r="L1987" s="2">
        <v>17.784600000000001</v>
      </c>
      <c r="M1987" s="1">
        <v>46171.48541666667</v>
      </c>
      <c r="N1987" t="s">
        <v>16</v>
      </c>
    </row>
    <row r="1988" spans="1:14" x14ac:dyDescent="0.25">
      <c r="A1988" s="9" t="s">
        <v>5211</v>
      </c>
      <c r="B1988" s="10">
        <v>718</v>
      </c>
      <c r="C1988" s="10" t="s">
        <v>323</v>
      </c>
      <c r="D1988" t="s">
        <v>5190</v>
      </c>
      <c r="E1988" t="s">
        <v>5191</v>
      </c>
      <c r="F1988" s="10" t="s">
        <v>29</v>
      </c>
      <c r="G1988" s="2">
        <v>390.56889999999999</v>
      </c>
      <c r="H1988" s="13">
        <v>3</v>
      </c>
      <c r="I1988" s="13">
        <v>8</v>
      </c>
      <c r="J1988" s="13">
        <v>-8</v>
      </c>
      <c r="K1988" s="10">
        <v>3</v>
      </c>
      <c r="L1988" s="2">
        <v>1171.7067</v>
      </c>
      <c r="M1988" s="1">
        <v>46172.410416666666</v>
      </c>
      <c r="N1988" t="s">
        <v>2358</v>
      </c>
    </row>
    <row r="1989" spans="1:14" x14ac:dyDescent="0.25">
      <c r="A1989" s="9" t="s">
        <v>5211</v>
      </c>
      <c r="B1989" s="10">
        <v>718</v>
      </c>
      <c r="C1989" s="10" t="s">
        <v>143</v>
      </c>
      <c r="D1989" t="s">
        <v>2495</v>
      </c>
      <c r="E1989" t="s">
        <v>2496</v>
      </c>
      <c r="F1989" s="10" t="s">
        <v>23</v>
      </c>
      <c r="G1989" s="2">
        <v>50.604999999999997</v>
      </c>
      <c r="H1989" s="13">
        <v>3</v>
      </c>
      <c r="I1989" s="13">
        <v>0</v>
      </c>
      <c r="J1989" s="13">
        <v>0</v>
      </c>
      <c r="K1989" s="10">
        <v>3</v>
      </c>
      <c r="L1989" s="2">
        <v>151.815</v>
      </c>
      <c r="M1989" s="1">
        <v>46175.657638888886</v>
      </c>
      <c r="N1989" t="s">
        <v>3755</v>
      </c>
    </row>
    <row r="1990" spans="1:14" x14ac:dyDescent="0.25">
      <c r="A1990" s="9" t="s">
        <v>5211</v>
      </c>
      <c r="B1990" s="10">
        <v>718</v>
      </c>
      <c r="C1990" s="10" t="s">
        <v>143</v>
      </c>
      <c r="D1990" t="s">
        <v>3814</v>
      </c>
      <c r="E1990" t="s">
        <v>3815</v>
      </c>
      <c r="F1990" s="10" t="s">
        <v>29</v>
      </c>
      <c r="G1990" s="2">
        <v>46.267400000000002</v>
      </c>
      <c r="H1990" s="13">
        <v>3</v>
      </c>
      <c r="I1990" s="13">
        <v>0</v>
      </c>
      <c r="J1990" s="13">
        <v>0</v>
      </c>
      <c r="K1990" s="10">
        <v>3</v>
      </c>
      <c r="L1990" s="2">
        <v>138.8022</v>
      </c>
      <c r="M1990" s="1">
        <v>46175.657638888886</v>
      </c>
      <c r="N1990" t="s">
        <v>3755</v>
      </c>
    </row>
    <row r="1991" spans="1:14" x14ac:dyDescent="0.25">
      <c r="A1991" s="9" t="s">
        <v>5211</v>
      </c>
      <c r="B1991" s="10">
        <v>718</v>
      </c>
      <c r="C1991" s="10" t="s">
        <v>143</v>
      </c>
      <c r="D1991" t="s">
        <v>3751</v>
      </c>
      <c r="E1991" s="6" t="s">
        <v>3752</v>
      </c>
      <c r="F1991" s="11" t="s">
        <v>58</v>
      </c>
      <c r="G1991" s="2">
        <v>87.082499999999996</v>
      </c>
      <c r="H1991" s="13">
        <v>3</v>
      </c>
      <c r="I1991" s="13">
        <v>0</v>
      </c>
      <c r="J1991" s="13">
        <v>0</v>
      </c>
      <c r="K1991" s="10">
        <v>3</v>
      </c>
      <c r="L1991" s="2">
        <v>261.2475</v>
      </c>
      <c r="M1991" s="1">
        <v>46175.657638888886</v>
      </c>
      <c r="N1991" t="s">
        <v>137</v>
      </c>
    </row>
    <row r="1992" spans="1:14" x14ac:dyDescent="0.25">
      <c r="A1992" s="9" t="s">
        <v>5211</v>
      </c>
      <c r="B1992" s="10">
        <v>636</v>
      </c>
      <c r="C1992" s="10" t="s">
        <v>70</v>
      </c>
      <c r="D1992" t="s">
        <v>4423</v>
      </c>
      <c r="E1992" t="s">
        <v>4424</v>
      </c>
      <c r="F1992" s="10" t="s">
        <v>29</v>
      </c>
      <c r="G1992" s="2">
        <v>6.18</v>
      </c>
      <c r="H1992" s="13">
        <v>3</v>
      </c>
      <c r="I1992" s="13">
        <v>0</v>
      </c>
      <c r="J1992" s="13">
        <v>0</v>
      </c>
      <c r="K1992" s="10">
        <v>3</v>
      </c>
      <c r="L1992" s="2">
        <v>18.54</v>
      </c>
      <c r="M1992" s="1">
        <v>46176.416666666664</v>
      </c>
      <c r="N1992" t="s">
        <v>531</v>
      </c>
    </row>
    <row r="1993" spans="1:14" x14ac:dyDescent="0.25">
      <c r="A1993" s="9" t="s">
        <v>5211</v>
      </c>
      <c r="B1993" s="10">
        <v>718</v>
      </c>
      <c r="C1993" s="10" t="s">
        <v>323</v>
      </c>
      <c r="D1993" t="s">
        <v>3313</v>
      </c>
      <c r="E1993" t="s">
        <v>3314</v>
      </c>
      <c r="F1993" s="10" t="s">
        <v>158</v>
      </c>
      <c r="G1993" s="2">
        <v>79.285700000000006</v>
      </c>
      <c r="H1993" s="13">
        <v>3</v>
      </c>
      <c r="I1993" s="13">
        <v>3</v>
      </c>
      <c r="J1993" s="13">
        <v>-3</v>
      </c>
      <c r="K1993" s="10">
        <v>3</v>
      </c>
      <c r="L1993" s="2">
        <v>237.8571</v>
      </c>
      <c r="M1993" s="1">
        <v>46176.775000000001</v>
      </c>
      <c r="N1993" t="s">
        <v>2444</v>
      </c>
    </row>
    <row r="1994" spans="1:14" x14ac:dyDescent="0.25">
      <c r="A1994" s="9" t="s">
        <v>5211</v>
      </c>
      <c r="B1994" s="10">
        <v>634</v>
      </c>
      <c r="C1994" s="10" t="s">
        <v>126</v>
      </c>
      <c r="D1994" t="s">
        <v>133</v>
      </c>
      <c r="E1994" t="s">
        <v>134</v>
      </c>
      <c r="F1994" s="10" t="s">
        <v>39</v>
      </c>
      <c r="G1994" s="2">
        <v>6.7601000000000004</v>
      </c>
      <c r="H1994" s="13">
        <v>3</v>
      </c>
      <c r="I1994" s="13">
        <v>0</v>
      </c>
      <c r="J1994" s="13">
        <v>0</v>
      </c>
      <c r="K1994" s="10">
        <v>3</v>
      </c>
      <c r="L1994" s="2">
        <v>20.2803</v>
      </c>
      <c r="M1994" s="1">
        <v>46177.4</v>
      </c>
      <c r="N1994" t="s">
        <v>16</v>
      </c>
    </row>
    <row r="1995" spans="1:14" x14ac:dyDescent="0.25">
      <c r="A1995" s="9" t="s">
        <v>5211</v>
      </c>
      <c r="B1995" s="10">
        <v>636</v>
      </c>
      <c r="C1995" s="10" t="s">
        <v>1749</v>
      </c>
      <c r="D1995" t="s">
        <v>1784</v>
      </c>
      <c r="E1995" t="s">
        <v>1785</v>
      </c>
      <c r="F1995" s="10" t="s">
        <v>112</v>
      </c>
      <c r="G1995" s="2">
        <v>19.820900000000002</v>
      </c>
      <c r="H1995" s="13">
        <v>3</v>
      </c>
      <c r="I1995" s="13">
        <v>0</v>
      </c>
      <c r="J1995" s="13">
        <v>0</v>
      </c>
      <c r="K1995" s="10">
        <v>3</v>
      </c>
      <c r="L1995" s="2">
        <v>59.462699999999998</v>
      </c>
      <c r="M1995" s="1">
        <v>46177.431250000001</v>
      </c>
      <c r="N1995" t="s">
        <v>652</v>
      </c>
    </row>
    <row r="1996" spans="1:14" x14ac:dyDescent="0.25">
      <c r="A1996" s="9" t="s">
        <v>5211</v>
      </c>
      <c r="B1996" s="10">
        <v>636</v>
      </c>
      <c r="C1996" s="10" t="s">
        <v>143</v>
      </c>
      <c r="D1996" t="s">
        <v>2758</v>
      </c>
      <c r="E1996" t="s">
        <v>2759</v>
      </c>
      <c r="F1996" s="10" t="s">
        <v>23</v>
      </c>
      <c r="G1996" s="2">
        <v>29.126100000000001</v>
      </c>
      <c r="H1996" s="13">
        <v>3</v>
      </c>
      <c r="I1996" s="13">
        <v>16</v>
      </c>
      <c r="J1996" s="13">
        <v>-16</v>
      </c>
      <c r="K1996" s="10">
        <v>3</v>
      </c>
      <c r="L1996" s="2">
        <v>87.378299999999996</v>
      </c>
      <c r="M1996" s="1">
        <v>46177.604166666664</v>
      </c>
      <c r="N1996" t="s">
        <v>40</v>
      </c>
    </row>
    <row r="1997" spans="1:14" x14ac:dyDescent="0.25">
      <c r="A1997" s="9" t="s">
        <v>5211</v>
      </c>
      <c r="B1997" s="10">
        <v>636</v>
      </c>
      <c r="C1997" s="10" t="s">
        <v>70</v>
      </c>
      <c r="D1997" t="s">
        <v>841</v>
      </c>
      <c r="E1997" t="s">
        <v>842</v>
      </c>
      <c r="F1997" s="10" t="s">
        <v>39</v>
      </c>
      <c r="G1997" s="2">
        <v>5.5952000000000002</v>
      </c>
      <c r="H1997" s="13">
        <v>3</v>
      </c>
      <c r="I1997" s="13">
        <v>0</v>
      </c>
      <c r="J1997" s="13">
        <v>0</v>
      </c>
      <c r="K1997" s="10">
        <v>3</v>
      </c>
      <c r="L1997" s="2">
        <v>16.785599999999999</v>
      </c>
      <c r="M1997" s="1">
        <v>46177.604166666664</v>
      </c>
      <c r="N1997" t="s">
        <v>40</v>
      </c>
    </row>
    <row r="1998" spans="1:14" x14ac:dyDescent="0.25">
      <c r="A1998" s="9" t="s">
        <v>5211</v>
      </c>
      <c r="B1998" s="10">
        <v>634</v>
      </c>
      <c r="C1998" s="10" t="s">
        <v>323</v>
      </c>
      <c r="D1998" t="s">
        <v>4260</v>
      </c>
      <c r="E1998" t="s">
        <v>4261</v>
      </c>
      <c r="F1998" s="10" t="s">
        <v>158</v>
      </c>
      <c r="G1998" s="2">
        <v>40.479799999999997</v>
      </c>
      <c r="H1998" s="13">
        <v>3</v>
      </c>
      <c r="I1998" s="13">
        <v>40</v>
      </c>
      <c r="J1998" s="13">
        <v>-40</v>
      </c>
      <c r="K1998" s="10">
        <v>3</v>
      </c>
      <c r="L1998" s="2">
        <v>121.43940000000001</v>
      </c>
      <c r="M1998" s="1">
        <v>46178.268055555556</v>
      </c>
      <c r="N1998" t="s">
        <v>146</v>
      </c>
    </row>
    <row r="1999" spans="1:14" x14ac:dyDescent="0.25">
      <c r="A1999" s="9" t="s">
        <v>5211</v>
      </c>
      <c r="B1999" s="10">
        <v>636</v>
      </c>
      <c r="C1999" s="10" t="s">
        <v>143</v>
      </c>
      <c r="D1999" t="s">
        <v>1173</v>
      </c>
      <c r="E1999" t="s">
        <v>1174</v>
      </c>
      <c r="F1999" s="10" t="s">
        <v>29</v>
      </c>
      <c r="G1999" s="2">
        <v>49.6</v>
      </c>
      <c r="H1999" s="13">
        <v>3</v>
      </c>
      <c r="I1999" s="13">
        <v>0</v>
      </c>
      <c r="J1999" s="13">
        <v>0</v>
      </c>
      <c r="K1999" s="10">
        <v>3</v>
      </c>
      <c r="L1999" s="2">
        <v>148.80000000000001</v>
      </c>
      <c r="M1999" s="1">
        <v>46178.329861111109</v>
      </c>
      <c r="N1999" t="s">
        <v>61</v>
      </c>
    </row>
    <row r="2000" spans="1:14" x14ac:dyDescent="0.25">
      <c r="A2000" s="9" t="s">
        <v>5211</v>
      </c>
      <c r="B2000" s="10">
        <v>718</v>
      </c>
      <c r="C2000" s="10" t="s">
        <v>323</v>
      </c>
      <c r="D2000" t="s">
        <v>3534</v>
      </c>
      <c r="E2000" t="s">
        <v>3535</v>
      </c>
      <c r="F2000" s="10" t="s">
        <v>23</v>
      </c>
      <c r="G2000" s="2">
        <v>98.4375</v>
      </c>
      <c r="H2000" s="13">
        <v>3</v>
      </c>
      <c r="I2000" s="13">
        <v>3</v>
      </c>
      <c r="J2000" s="13">
        <v>-3</v>
      </c>
      <c r="K2000" s="10">
        <v>3</v>
      </c>
      <c r="L2000" s="2">
        <v>295.3125</v>
      </c>
      <c r="M2000" s="1">
        <v>46178.593055555553</v>
      </c>
      <c r="N2000" t="s">
        <v>3384</v>
      </c>
    </row>
    <row r="2001" spans="1:14" x14ac:dyDescent="0.25">
      <c r="A2001" s="9" t="s">
        <v>5211</v>
      </c>
      <c r="B2001" s="10">
        <v>714</v>
      </c>
      <c r="C2001" s="10" t="s">
        <v>143</v>
      </c>
      <c r="D2001" t="s">
        <v>2734</v>
      </c>
      <c r="E2001" t="s">
        <v>2735</v>
      </c>
      <c r="F2001" s="10" t="s">
        <v>29</v>
      </c>
      <c r="G2001" s="2">
        <v>23.067699999999999</v>
      </c>
      <c r="H2001" s="13">
        <v>3</v>
      </c>
      <c r="I2001" s="13">
        <v>0</v>
      </c>
      <c r="J2001" s="13">
        <v>0</v>
      </c>
      <c r="K2001" s="10">
        <v>3</v>
      </c>
      <c r="L2001" s="2">
        <v>69.203100000000006</v>
      </c>
      <c r="M2001" s="1">
        <v>46178.753472222219</v>
      </c>
      <c r="N2001" t="s">
        <v>40</v>
      </c>
    </row>
    <row r="2002" spans="1:14" x14ac:dyDescent="0.25">
      <c r="A2002" s="9" t="s">
        <v>5211</v>
      </c>
      <c r="B2002" s="10">
        <v>718</v>
      </c>
      <c r="C2002" s="10" t="s">
        <v>12</v>
      </c>
      <c r="D2002" t="s">
        <v>1851</v>
      </c>
      <c r="E2002" t="s">
        <v>1852</v>
      </c>
      <c r="F2002" s="10" t="s">
        <v>29</v>
      </c>
      <c r="G2002" s="2">
        <v>46.143900000000002</v>
      </c>
      <c r="H2002" s="13">
        <v>3</v>
      </c>
      <c r="I2002" s="13">
        <v>0</v>
      </c>
      <c r="J2002" s="13">
        <v>0</v>
      </c>
      <c r="K2002" s="10">
        <v>3</v>
      </c>
      <c r="L2002" s="2">
        <v>138.43170000000001</v>
      </c>
      <c r="M2002" s="1">
        <v>46181.580555555556</v>
      </c>
      <c r="N2002" t="s">
        <v>67</v>
      </c>
    </row>
    <row r="2003" spans="1:14" x14ac:dyDescent="0.25">
      <c r="A2003" s="9" t="s">
        <v>5211</v>
      </c>
      <c r="B2003" s="10">
        <v>718</v>
      </c>
      <c r="C2003" s="10" t="s">
        <v>143</v>
      </c>
      <c r="D2003" t="s">
        <v>2385</v>
      </c>
      <c r="E2003" t="s">
        <v>2386</v>
      </c>
      <c r="F2003" s="10" t="s">
        <v>29</v>
      </c>
      <c r="G2003" s="2">
        <v>171.2501</v>
      </c>
      <c r="H2003" s="13">
        <v>3</v>
      </c>
      <c r="I2003" s="13">
        <v>0</v>
      </c>
      <c r="J2003" s="13">
        <v>0</v>
      </c>
      <c r="K2003" s="10">
        <v>3</v>
      </c>
      <c r="L2003" s="2">
        <v>513.75030000000004</v>
      </c>
      <c r="M2003" s="1">
        <v>46181.580555555556</v>
      </c>
      <c r="N2003" t="s">
        <v>67</v>
      </c>
    </row>
    <row r="2004" spans="1:14" x14ac:dyDescent="0.25">
      <c r="A2004" s="9" t="s">
        <v>5211</v>
      </c>
      <c r="B2004" s="10">
        <v>714</v>
      </c>
      <c r="C2004" s="10" t="s">
        <v>323</v>
      </c>
      <c r="D2004" t="s">
        <v>3300</v>
      </c>
      <c r="E2004" t="s">
        <v>3301</v>
      </c>
      <c r="F2004" s="10" t="s">
        <v>23</v>
      </c>
      <c r="G2004" s="2">
        <v>181.56979999999999</v>
      </c>
      <c r="H2004" s="13">
        <v>3</v>
      </c>
      <c r="I2004" s="13">
        <v>0</v>
      </c>
      <c r="J2004" s="13">
        <v>0</v>
      </c>
      <c r="K2004" s="10">
        <v>3</v>
      </c>
      <c r="L2004" s="2">
        <v>544.70939999999996</v>
      </c>
      <c r="M2004" s="1">
        <v>46183.605555555558</v>
      </c>
      <c r="N2004" t="s">
        <v>1535</v>
      </c>
    </row>
    <row r="2005" spans="1:14" x14ac:dyDescent="0.25">
      <c r="A2005" s="9" t="s">
        <v>5211</v>
      </c>
      <c r="B2005" s="10">
        <v>714</v>
      </c>
      <c r="C2005" s="10" t="s">
        <v>323</v>
      </c>
      <c r="D2005" t="s">
        <v>5005</v>
      </c>
      <c r="E2005" t="s">
        <v>5006</v>
      </c>
      <c r="F2005" s="10" t="s">
        <v>23</v>
      </c>
      <c r="G2005" s="2">
        <v>93.394900000000007</v>
      </c>
      <c r="H2005" s="13">
        <v>3</v>
      </c>
      <c r="I2005" s="13">
        <v>0</v>
      </c>
      <c r="J2005" s="13">
        <v>0</v>
      </c>
      <c r="K2005" s="10">
        <v>3</v>
      </c>
      <c r="L2005" s="2">
        <v>280.18470000000002</v>
      </c>
      <c r="M2005" s="1">
        <v>46183.617361111108</v>
      </c>
      <c r="N2005" t="s">
        <v>3384</v>
      </c>
    </row>
    <row r="2006" spans="1:14" x14ac:dyDescent="0.25">
      <c r="A2006" s="9" t="s">
        <v>5211</v>
      </c>
      <c r="B2006" s="10">
        <v>714</v>
      </c>
      <c r="C2006" s="10" t="s">
        <v>323</v>
      </c>
      <c r="D2006" t="s">
        <v>3526</v>
      </c>
      <c r="E2006" t="s">
        <v>3527</v>
      </c>
      <c r="F2006" s="10" t="s">
        <v>29</v>
      </c>
      <c r="G2006" s="2">
        <v>24.312999999999999</v>
      </c>
      <c r="H2006" s="13">
        <v>3</v>
      </c>
      <c r="I2006" s="13">
        <v>0</v>
      </c>
      <c r="J2006" s="13">
        <v>0</v>
      </c>
      <c r="K2006" s="10">
        <v>3</v>
      </c>
      <c r="L2006" s="2">
        <v>72.938999999999993</v>
      </c>
      <c r="M2006" s="1">
        <v>46183.678472222222</v>
      </c>
      <c r="N2006" t="s">
        <v>40</v>
      </c>
    </row>
    <row r="2007" spans="1:14" x14ac:dyDescent="0.25">
      <c r="A2007" s="9" t="s">
        <v>5211</v>
      </c>
      <c r="B2007" s="10">
        <v>634</v>
      </c>
      <c r="C2007" s="10" t="s">
        <v>143</v>
      </c>
      <c r="D2007" t="s">
        <v>147</v>
      </c>
      <c r="E2007" t="s">
        <v>148</v>
      </c>
      <c r="F2007" s="10" t="s">
        <v>23</v>
      </c>
      <c r="G2007" s="2">
        <v>22.2667</v>
      </c>
      <c r="H2007" s="13">
        <v>3</v>
      </c>
      <c r="I2007" s="13">
        <v>0</v>
      </c>
      <c r="J2007" s="13">
        <v>0</v>
      </c>
      <c r="K2007" s="10">
        <v>3</v>
      </c>
      <c r="L2007" s="2">
        <v>66.8001</v>
      </c>
      <c r="M2007" s="1">
        <v>46184.3</v>
      </c>
      <c r="N2007" t="s">
        <v>64</v>
      </c>
    </row>
    <row r="2008" spans="1:14" x14ac:dyDescent="0.25">
      <c r="A2008" s="9" t="s">
        <v>5211</v>
      </c>
      <c r="B2008" s="10">
        <v>634</v>
      </c>
      <c r="C2008" s="10" t="s">
        <v>323</v>
      </c>
      <c r="D2008" t="s">
        <v>4316</v>
      </c>
      <c r="E2008" t="s">
        <v>4317</v>
      </c>
      <c r="F2008" s="10" t="s">
        <v>158</v>
      </c>
      <c r="G2008" s="2">
        <v>31.5</v>
      </c>
      <c r="H2008" s="13">
        <v>3</v>
      </c>
      <c r="I2008" s="13">
        <v>45</v>
      </c>
      <c r="J2008" s="13">
        <v>-45</v>
      </c>
      <c r="K2008" s="10">
        <v>3</v>
      </c>
      <c r="L2008" s="2">
        <v>94.5</v>
      </c>
      <c r="M2008" s="1">
        <v>46184.432638888888</v>
      </c>
      <c r="N2008" t="s">
        <v>146</v>
      </c>
    </row>
    <row r="2009" spans="1:14" x14ac:dyDescent="0.25">
      <c r="A2009" s="9" t="s">
        <v>5211</v>
      </c>
      <c r="B2009" s="10">
        <v>636</v>
      </c>
      <c r="C2009" s="10" t="s">
        <v>70</v>
      </c>
      <c r="D2009" t="s">
        <v>610</v>
      </c>
      <c r="E2009" t="s">
        <v>611</v>
      </c>
      <c r="F2009" s="10" t="s">
        <v>29</v>
      </c>
      <c r="G2009" s="2">
        <v>5.2130000000000001</v>
      </c>
      <c r="H2009" s="13">
        <v>3</v>
      </c>
      <c r="I2009" s="13">
        <v>0</v>
      </c>
      <c r="J2009" s="13">
        <v>0</v>
      </c>
      <c r="K2009" s="10">
        <v>3</v>
      </c>
      <c r="L2009" s="2">
        <v>15.638999999999999</v>
      </c>
      <c r="M2009" s="1">
        <v>46184.540277777778</v>
      </c>
      <c r="N2009" t="s">
        <v>16</v>
      </c>
    </row>
    <row r="2010" spans="1:14" x14ac:dyDescent="0.25">
      <c r="A2010" s="9" t="s">
        <v>5211</v>
      </c>
      <c r="B2010" s="10">
        <v>636</v>
      </c>
      <c r="C2010" s="10" t="s">
        <v>143</v>
      </c>
      <c r="D2010" t="s">
        <v>179</v>
      </c>
      <c r="E2010" t="s">
        <v>180</v>
      </c>
      <c r="F2010" s="10" t="s">
        <v>23</v>
      </c>
      <c r="G2010" s="2">
        <v>19.007200000000001</v>
      </c>
      <c r="H2010" s="13">
        <v>3</v>
      </c>
      <c r="I2010" s="13">
        <v>0</v>
      </c>
      <c r="J2010" s="13">
        <v>0</v>
      </c>
      <c r="K2010" s="10">
        <v>3</v>
      </c>
      <c r="L2010" s="2">
        <v>57.021599999999999</v>
      </c>
      <c r="M2010" s="1">
        <v>46185.374305555553</v>
      </c>
      <c r="N2010" t="s">
        <v>47</v>
      </c>
    </row>
    <row r="2011" spans="1:14" x14ac:dyDescent="0.25">
      <c r="A2011" s="9" t="s">
        <v>5211</v>
      </c>
      <c r="B2011" s="10">
        <v>714</v>
      </c>
      <c r="C2011" s="10" t="s">
        <v>70</v>
      </c>
      <c r="D2011" t="s">
        <v>4036</v>
      </c>
      <c r="E2011" t="s">
        <v>4037</v>
      </c>
      <c r="F2011" s="10" t="s">
        <v>112</v>
      </c>
      <c r="G2011" s="2">
        <v>6.6414999999999997</v>
      </c>
      <c r="H2011" s="13">
        <v>3</v>
      </c>
      <c r="I2011" s="13">
        <v>14</v>
      </c>
      <c r="J2011" s="13">
        <v>-14</v>
      </c>
      <c r="K2011" s="10">
        <v>3</v>
      </c>
      <c r="L2011" s="2">
        <v>19.924499999999998</v>
      </c>
      <c r="M2011" s="1">
        <v>46185.530555555553</v>
      </c>
      <c r="N2011" t="s">
        <v>16</v>
      </c>
    </row>
    <row r="2012" spans="1:14" x14ac:dyDescent="0.25">
      <c r="A2012" s="9" t="s">
        <v>5211</v>
      </c>
      <c r="B2012" s="10">
        <v>718</v>
      </c>
      <c r="C2012" s="10" t="s">
        <v>143</v>
      </c>
      <c r="D2012" t="s">
        <v>2754</v>
      </c>
      <c r="E2012" t="s">
        <v>2755</v>
      </c>
      <c r="F2012" s="10" t="s">
        <v>23</v>
      </c>
      <c r="G2012" s="2">
        <v>19.967400000000001</v>
      </c>
      <c r="H2012" s="13">
        <v>3</v>
      </c>
      <c r="I2012" s="13">
        <v>9</v>
      </c>
      <c r="J2012" s="13">
        <v>-9</v>
      </c>
      <c r="K2012" s="10">
        <v>3</v>
      </c>
      <c r="L2012" s="2">
        <v>59.902200000000001</v>
      </c>
      <c r="M2012" s="1">
        <v>46185.545138888891</v>
      </c>
      <c r="N2012" t="s">
        <v>195</v>
      </c>
    </row>
    <row r="2013" spans="1:14" x14ac:dyDescent="0.25">
      <c r="A2013" s="9" t="s">
        <v>5211</v>
      </c>
      <c r="B2013" s="10">
        <v>714</v>
      </c>
      <c r="C2013" s="10" t="s">
        <v>1749</v>
      </c>
      <c r="D2013" t="s">
        <v>3554</v>
      </c>
      <c r="E2013" t="s">
        <v>3555</v>
      </c>
      <c r="F2013" s="10" t="s">
        <v>112</v>
      </c>
      <c r="G2013" s="2">
        <v>14.474500000000001</v>
      </c>
      <c r="H2013" s="13">
        <v>3</v>
      </c>
      <c r="I2013" s="13">
        <v>-17</v>
      </c>
      <c r="J2013" s="13">
        <v>17</v>
      </c>
      <c r="K2013" s="10">
        <v>3</v>
      </c>
      <c r="L2013" s="2">
        <v>43.423499999999997</v>
      </c>
      <c r="M2013" s="1">
        <v>46185.630555555559</v>
      </c>
      <c r="N2013" t="s">
        <v>1825</v>
      </c>
    </row>
    <row r="2014" spans="1:14" x14ac:dyDescent="0.25">
      <c r="A2014" s="9" t="s">
        <v>5211</v>
      </c>
      <c r="B2014" s="10">
        <v>714</v>
      </c>
      <c r="C2014" s="10" t="s">
        <v>323</v>
      </c>
      <c r="D2014" t="s">
        <v>460</v>
      </c>
      <c r="E2014" t="s">
        <v>461</v>
      </c>
      <c r="F2014" s="10" t="s">
        <v>158</v>
      </c>
      <c r="G2014" s="2">
        <v>126.2963</v>
      </c>
      <c r="H2014" s="13">
        <v>3</v>
      </c>
      <c r="I2014" s="13">
        <v>0</v>
      </c>
      <c r="J2014" s="13">
        <v>0</v>
      </c>
      <c r="K2014" s="10">
        <v>3</v>
      </c>
      <c r="L2014" s="2">
        <v>378.88889999999998</v>
      </c>
      <c r="M2014" s="1">
        <v>46185.665277777778</v>
      </c>
      <c r="N2014" t="s">
        <v>151</v>
      </c>
    </row>
    <row r="2015" spans="1:14" x14ac:dyDescent="0.25">
      <c r="A2015" s="9" t="s">
        <v>5211</v>
      </c>
      <c r="B2015" s="10">
        <v>714</v>
      </c>
      <c r="C2015" s="10" t="s">
        <v>143</v>
      </c>
      <c r="D2015" t="s">
        <v>2338</v>
      </c>
      <c r="E2015" t="s">
        <v>2339</v>
      </c>
      <c r="F2015" s="10" t="s">
        <v>39</v>
      </c>
      <c r="G2015" s="2">
        <v>24.197299999999998</v>
      </c>
      <c r="H2015" s="13">
        <v>3</v>
      </c>
      <c r="I2015" s="13">
        <v>0</v>
      </c>
      <c r="J2015" s="13">
        <v>0</v>
      </c>
      <c r="K2015" s="10">
        <v>3</v>
      </c>
      <c r="L2015" s="2">
        <v>72.591899999999995</v>
      </c>
      <c r="M2015" s="1">
        <v>46188.35</v>
      </c>
      <c r="N2015" t="s">
        <v>26</v>
      </c>
    </row>
    <row r="2016" spans="1:14" x14ac:dyDescent="0.25">
      <c r="A2016" s="9" t="s">
        <v>5211</v>
      </c>
      <c r="B2016" s="10">
        <v>714</v>
      </c>
      <c r="C2016" s="10" t="s">
        <v>143</v>
      </c>
      <c r="D2016" t="s">
        <v>2606</v>
      </c>
      <c r="E2016" t="s">
        <v>2607</v>
      </c>
      <c r="F2016" s="10" t="s">
        <v>29</v>
      </c>
      <c r="G2016" s="2">
        <v>16.787099999999999</v>
      </c>
      <c r="H2016" s="13">
        <v>3</v>
      </c>
      <c r="I2016" s="13">
        <v>0</v>
      </c>
      <c r="J2016" s="13">
        <v>0</v>
      </c>
      <c r="K2016" s="10">
        <v>3</v>
      </c>
      <c r="L2016" s="2">
        <v>50.3613</v>
      </c>
      <c r="M2016" s="1">
        <v>46188.35</v>
      </c>
      <c r="N2016" t="s">
        <v>26</v>
      </c>
    </row>
    <row r="2017" spans="1:14" x14ac:dyDescent="0.25">
      <c r="A2017" s="9" t="s">
        <v>5211</v>
      </c>
      <c r="B2017" s="10">
        <v>714</v>
      </c>
      <c r="C2017" s="10" t="s">
        <v>143</v>
      </c>
      <c r="D2017" t="s">
        <v>2782</v>
      </c>
      <c r="E2017" t="s">
        <v>2783</v>
      </c>
      <c r="F2017" s="10" t="s">
        <v>29</v>
      </c>
      <c r="G2017" s="2">
        <v>16.314399999999999</v>
      </c>
      <c r="H2017" s="13">
        <v>3</v>
      </c>
      <c r="I2017" s="13">
        <v>0</v>
      </c>
      <c r="J2017" s="13">
        <v>0</v>
      </c>
      <c r="K2017" s="10">
        <v>3</v>
      </c>
      <c r="L2017" s="2">
        <v>48.943199999999997</v>
      </c>
      <c r="M2017" s="1">
        <v>46188.35</v>
      </c>
      <c r="N2017" t="s">
        <v>26</v>
      </c>
    </row>
    <row r="2018" spans="1:14" x14ac:dyDescent="0.25">
      <c r="A2018" s="9" t="s">
        <v>5211</v>
      </c>
      <c r="B2018" s="10">
        <v>714</v>
      </c>
      <c r="C2018" s="10" t="s">
        <v>143</v>
      </c>
      <c r="D2018" t="s">
        <v>4795</v>
      </c>
      <c r="E2018" t="s">
        <v>4796</v>
      </c>
      <c r="F2018" s="10" t="s">
        <v>23</v>
      </c>
      <c r="G2018" s="2">
        <v>110.50020000000001</v>
      </c>
      <c r="H2018" s="13">
        <v>3</v>
      </c>
      <c r="I2018" s="13">
        <v>0</v>
      </c>
      <c r="J2018" s="13">
        <v>0</v>
      </c>
      <c r="K2018" s="10">
        <v>3</v>
      </c>
      <c r="L2018" s="2">
        <v>331.50060000000002</v>
      </c>
      <c r="M2018" s="1">
        <v>46189.518750000003</v>
      </c>
      <c r="N2018" t="s">
        <v>2271</v>
      </c>
    </row>
    <row r="2019" spans="1:14" x14ac:dyDescent="0.25">
      <c r="A2019" s="9" t="s">
        <v>5211</v>
      </c>
      <c r="B2019" s="10">
        <v>714</v>
      </c>
      <c r="C2019" s="10" t="s">
        <v>323</v>
      </c>
      <c r="D2019" t="s">
        <v>3129</v>
      </c>
      <c r="E2019" t="s">
        <v>3130</v>
      </c>
      <c r="F2019" s="10" t="s">
        <v>23</v>
      </c>
      <c r="G2019" s="2">
        <v>145.43639999999999</v>
      </c>
      <c r="H2019" s="13">
        <v>3</v>
      </c>
      <c r="I2019" s="13">
        <v>0</v>
      </c>
      <c r="J2019" s="13">
        <v>0</v>
      </c>
      <c r="K2019" s="10">
        <v>3</v>
      </c>
      <c r="L2019" s="2">
        <v>436.30919999999998</v>
      </c>
      <c r="M2019" s="1">
        <v>46189.521527777775</v>
      </c>
      <c r="N2019" t="s">
        <v>261</v>
      </c>
    </row>
    <row r="2020" spans="1:14" x14ac:dyDescent="0.25">
      <c r="A2020" s="9" t="s">
        <v>5211</v>
      </c>
      <c r="B2020" s="10">
        <v>714</v>
      </c>
      <c r="C2020" s="10" t="s">
        <v>143</v>
      </c>
      <c r="D2020" t="s">
        <v>2375</v>
      </c>
      <c r="E2020" t="s">
        <v>2376</v>
      </c>
      <c r="F2020" s="10" t="s">
        <v>29</v>
      </c>
      <c r="G2020" s="2">
        <v>26.877300000000002</v>
      </c>
      <c r="H2020" s="13">
        <v>3</v>
      </c>
      <c r="I2020" s="13">
        <v>0</v>
      </c>
      <c r="J2020" s="13">
        <v>0</v>
      </c>
      <c r="K2020" s="10">
        <v>3</v>
      </c>
      <c r="L2020" s="2">
        <v>80.631900000000002</v>
      </c>
      <c r="M2020" s="1">
        <v>46189.522222222222</v>
      </c>
      <c r="N2020" t="s">
        <v>2066</v>
      </c>
    </row>
    <row r="2021" spans="1:14" x14ac:dyDescent="0.25">
      <c r="A2021" s="9" t="s">
        <v>5211</v>
      </c>
      <c r="B2021" s="10">
        <v>718</v>
      </c>
      <c r="C2021" s="10" t="s">
        <v>12</v>
      </c>
      <c r="D2021" t="s">
        <v>3605</v>
      </c>
      <c r="E2021" t="s">
        <v>3606</v>
      </c>
      <c r="F2021" s="10" t="s">
        <v>39</v>
      </c>
      <c r="G2021" s="2">
        <v>5.8009000000000004</v>
      </c>
      <c r="H2021" s="13">
        <v>3</v>
      </c>
      <c r="I2021" s="13">
        <v>0</v>
      </c>
      <c r="J2021" s="13">
        <v>0</v>
      </c>
      <c r="K2021" s="10">
        <v>3</v>
      </c>
      <c r="L2021" s="2">
        <v>17.402699999999999</v>
      </c>
      <c r="M2021" s="1">
        <v>46190.654166666667</v>
      </c>
      <c r="N2021" t="s">
        <v>47</v>
      </c>
    </row>
    <row r="2022" spans="1:14" x14ac:dyDescent="0.25">
      <c r="A2022" s="9" t="s">
        <v>5211</v>
      </c>
      <c r="B2022" s="10">
        <v>714</v>
      </c>
      <c r="C2022" s="10" t="s">
        <v>143</v>
      </c>
      <c r="D2022" t="s">
        <v>2640</v>
      </c>
      <c r="E2022" t="s">
        <v>2641</v>
      </c>
      <c r="F2022" s="10" t="s">
        <v>455</v>
      </c>
      <c r="G2022" s="2">
        <v>34.304000000000002</v>
      </c>
      <c r="H2022" s="13">
        <v>3</v>
      </c>
      <c r="I2022" s="13">
        <v>0</v>
      </c>
      <c r="J2022" s="13">
        <v>0</v>
      </c>
      <c r="K2022" s="10">
        <v>3</v>
      </c>
      <c r="L2022" s="2">
        <v>102.91200000000001</v>
      </c>
      <c r="M2022" s="1">
        <v>46191.352083333331</v>
      </c>
      <c r="N2022" t="s">
        <v>195</v>
      </c>
    </row>
    <row r="2023" spans="1:14" x14ac:dyDescent="0.25">
      <c r="A2023" s="9" t="s">
        <v>5211</v>
      </c>
      <c r="B2023" s="10">
        <v>718</v>
      </c>
      <c r="C2023" s="10" t="s">
        <v>70</v>
      </c>
      <c r="D2023" t="s">
        <v>1995</v>
      </c>
      <c r="E2023" t="s">
        <v>1996</v>
      </c>
      <c r="F2023" s="10" t="s">
        <v>39</v>
      </c>
      <c r="G2023" s="2">
        <v>8.2439</v>
      </c>
      <c r="H2023" s="13">
        <v>3</v>
      </c>
      <c r="I2023" s="13">
        <v>4</v>
      </c>
      <c r="J2023" s="13">
        <v>-4</v>
      </c>
      <c r="K2023" s="10">
        <v>3</v>
      </c>
      <c r="L2023" s="2">
        <v>24.7317</v>
      </c>
      <c r="M2023" s="1">
        <v>46191.443055555559</v>
      </c>
      <c r="N2023" t="s">
        <v>16</v>
      </c>
    </row>
    <row r="2024" spans="1:14" x14ac:dyDescent="0.25">
      <c r="A2024" s="9" t="s">
        <v>5211</v>
      </c>
      <c r="B2024" s="10">
        <v>714</v>
      </c>
      <c r="C2024" s="10" t="s">
        <v>70</v>
      </c>
      <c r="D2024" t="s">
        <v>2087</v>
      </c>
      <c r="E2024" t="s">
        <v>2088</v>
      </c>
      <c r="F2024" s="10" t="s">
        <v>39</v>
      </c>
      <c r="G2024" s="2">
        <v>10.4985</v>
      </c>
      <c r="H2024" s="13">
        <v>3</v>
      </c>
      <c r="I2024" s="13">
        <v>0</v>
      </c>
      <c r="J2024" s="13">
        <v>0</v>
      </c>
      <c r="K2024" s="10">
        <v>3</v>
      </c>
      <c r="L2024" s="2">
        <v>31.4955</v>
      </c>
      <c r="M2024" s="1">
        <v>46192.581944444442</v>
      </c>
      <c r="N2024" t="s">
        <v>573</v>
      </c>
    </row>
    <row r="2025" spans="1:14" x14ac:dyDescent="0.25">
      <c r="A2025" s="9" t="s">
        <v>5211</v>
      </c>
      <c r="B2025" s="10">
        <v>714</v>
      </c>
      <c r="C2025" s="10" t="s">
        <v>70</v>
      </c>
      <c r="D2025" t="s">
        <v>565</v>
      </c>
      <c r="E2025" t="s">
        <v>566</v>
      </c>
      <c r="F2025" s="10" t="s">
        <v>81</v>
      </c>
      <c r="G2025" s="2">
        <v>5.4328000000000003</v>
      </c>
      <c r="H2025" s="13">
        <v>3</v>
      </c>
      <c r="I2025" s="13">
        <v>0</v>
      </c>
      <c r="J2025" s="13">
        <v>0</v>
      </c>
      <c r="K2025" s="10">
        <v>3</v>
      </c>
      <c r="L2025" s="2">
        <v>16.298400000000001</v>
      </c>
      <c r="M2025" s="1">
        <v>46193.431250000001</v>
      </c>
      <c r="N2025" t="s">
        <v>26</v>
      </c>
    </row>
    <row r="2026" spans="1:14" x14ac:dyDescent="0.25">
      <c r="A2026" s="9" t="s">
        <v>5211</v>
      </c>
      <c r="B2026" s="10">
        <v>714</v>
      </c>
      <c r="C2026" s="10" t="s">
        <v>323</v>
      </c>
      <c r="D2026" t="s">
        <v>2997</v>
      </c>
      <c r="E2026" t="s">
        <v>2998</v>
      </c>
      <c r="F2026" s="10" t="s">
        <v>29</v>
      </c>
      <c r="G2026" s="2">
        <v>242.31229999999999</v>
      </c>
      <c r="H2026" s="13">
        <v>3</v>
      </c>
      <c r="I2026" s="13">
        <v>0</v>
      </c>
      <c r="J2026" s="13">
        <v>0</v>
      </c>
      <c r="K2026" s="10">
        <v>3</v>
      </c>
      <c r="L2026" s="2">
        <v>726.93690000000004</v>
      </c>
      <c r="M2026" s="1">
        <v>46195.55</v>
      </c>
      <c r="N2026" t="s">
        <v>2066</v>
      </c>
    </row>
    <row r="2027" spans="1:14" x14ac:dyDescent="0.25">
      <c r="A2027" s="9" t="s">
        <v>5211</v>
      </c>
      <c r="B2027" s="10">
        <v>636</v>
      </c>
      <c r="C2027" s="10" t="s">
        <v>126</v>
      </c>
      <c r="D2027" t="s">
        <v>3705</v>
      </c>
      <c r="E2027" t="s">
        <v>3706</v>
      </c>
      <c r="F2027" s="10" t="s">
        <v>23</v>
      </c>
      <c r="G2027" s="2">
        <v>17.981000000000002</v>
      </c>
      <c r="H2027" s="13">
        <v>3</v>
      </c>
      <c r="I2027" s="13">
        <v>8</v>
      </c>
      <c r="J2027" s="13">
        <v>-8</v>
      </c>
      <c r="K2027" s="10">
        <v>3</v>
      </c>
      <c r="L2027" s="2">
        <v>53.942999999999998</v>
      </c>
      <c r="M2027" s="1">
        <v>46196.317361111112</v>
      </c>
      <c r="N2027" t="s">
        <v>878</v>
      </c>
    </row>
    <row r="2028" spans="1:14" x14ac:dyDescent="0.25">
      <c r="A2028" s="9" t="s">
        <v>5211</v>
      </c>
      <c r="B2028" s="10">
        <v>636</v>
      </c>
      <c r="C2028" s="10" t="s">
        <v>70</v>
      </c>
      <c r="D2028" t="s">
        <v>733</v>
      </c>
      <c r="E2028" t="s">
        <v>734</v>
      </c>
      <c r="F2028" s="10" t="s">
        <v>39</v>
      </c>
      <c r="G2028" s="2">
        <v>7.1086999999999998</v>
      </c>
      <c r="H2028" s="13">
        <v>3</v>
      </c>
      <c r="I2028" s="13">
        <v>0</v>
      </c>
      <c r="J2028" s="13">
        <v>0</v>
      </c>
      <c r="K2028" s="10">
        <v>3</v>
      </c>
      <c r="L2028" s="2">
        <v>21.3261</v>
      </c>
      <c r="M2028" s="1">
        <v>46196.405555555553</v>
      </c>
      <c r="N2028" t="s">
        <v>16</v>
      </c>
    </row>
    <row r="2029" spans="1:14" x14ac:dyDescent="0.25">
      <c r="A2029" s="9" t="s">
        <v>5211</v>
      </c>
      <c r="B2029" s="10">
        <v>718</v>
      </c>
      <c r="C2029" s="10" t="s">
        <v>143</v>
      </c>
      <c r="D2029" t="s">
        <v>4875</v>
      </c>
      <c r="E2029" t="s">
        <v>4876</v>
      </c>
      <c r="F2029" s="10" t="s">
        <v>43</v>
      </c>
      <c r="G2029" s="2">
        <v>34.843299999999999</v>
      </c>
      <c r="H2029" s="13">
        <v>3</v>
      </c>
      <c r="I2029" s="13">
        <v>29</v>
      </c>
      <c r="J2029" s="13">
        <v>-29</v>
      </c>
      <c r="K2029" s="10">
        <v>3</v>
      </c>
      <c r="L2029" s="2">
        <v>104.5299</v>
      </c>
      <c r="M2029" s="1">
        <v>46196.648611111108</v>
      </c>
      <c r="N2029" t="s">
        <v>67</v>
      </c>
    </row>
    <row r="2030" spans="1:14" x14ac:dyDescent="0.25">
      <c r="A2030" s="9" t="s">
        <v>5211</v>
      </c>
      <c r="B2030" s="10">
        <v>714</v>
      </c>
      <c r="C2030" s="10" t="s">
        <v>143</v>
      </c>
      <c r="D2030" t="s">
        <v>2409</v>
      </c>
      <c r="E2030" t="s">
        <v>2410</v>
      </c>
      <c r="F2030" s="10" t="s">
        <v>29</v>
      </c>
      <c r="G2030" s="2">
        <v>53.900599999999997</v>
      </c>
      <c r="H2030" s="13">
        <v>3</v>
      </c>
      <c r="I2030" s="13">
        <v>0</v>
      </c>
      <c r="J2030" s="13">
        <v>0</v>
      </c>
      <c r="K2030" s="10">
        <v>3</v>
      </c>
      <c r="L2030" s="2">
        <v>161.70179999999999</v>
      </c>
      <c r="M2030" s="1">
        <v>46197.482638888891</v>
      </c>
      <c r="N2030" t="s">
        <v>40</v>
      </c>
    </row>
    <row r="2031" spans="1:14" x14ac:dyDescent="0.25">
      <c r="A2031" s="9" t="s">
        <v>5211</v>
      </c>
      <c r="B2031" s="10">
        <v>714</v>
      </c>
      <c r="C2031" s="10" t="s">
        <v>143</v>
      </c>
      <c r="D2031" t="s">
        <v>2342</v>
      </c>
      <c r="E2031" t="s">
        <v>2343</v>
      </c>
      <c r="F2031" s="10" t="s">
        <v>29</v>
      </c>
      <c r="G2031" s="2">
        <v>108.92959999999999</v>
      </c>
      <c r="H2031" s="13">
        <v>3</v>
      </c>
      <c r="I2031" s="13">
        <v>-1</v>
      </c>
      <c r="J2031" s="13">
        <v>1</v>
      </c>
      <c r="K2031" s="10">
        <v>3</v>
      </c>
      <c r="L2031" s="2">
        <v>326.78879999999998</v>
      </c>
      <c r="M2031" s="1">
        <v>46198.373611111114</v>
      </c>
      <c r="N2031" t="s">
        <v>67</v>
      </c>
    </row>
    <row r="2032" spans="1:14" x14ac:dyDescent="0.25">
      <c r="A2032" s="9" t="s">
        <v>5211</v>
      </c>
      <c r="B2032" s="10">
        <v>714</v>
      </c>
      <c r="C2032" s="10" t="s">
        <v>143</v>
      </c>
      <c r="D2032" t="s">
        <v>2583</v>
      </c>
      <c r="E2032" t="s">
        <v>2584</v>
      </c>
      <c r="F2032" s="10" t="s">
        <v>29</v>
      </c>
      <c r="G2032" s="2">
        <v>203.57490000000001</v>
      </c>
      <c r="H2032" s="13">
        <v>3</v>
      </c>
      <c r="I2032" s="13">
        <v>0</v>
      </c>
      <c r="J2032" s="13">
        <v>0</v>
      </c>
      <c r="K2032" s="10">
        <v>3</v>
      </c>
      <c r="L2032" s="2">
        <v>610.72469999999998</v>
      </c>
      <c r="M2032" s="1">
        <v>46198.373611111114</v>
      </c>
      <c r="N2032" t="s">
        <v>67</v>
      </c>
    </row>
    <row r="2033" spans="1:14" x14ac:dyDescent="0.25">
      <c r="A2033" s="9" t="s">
        <v>5211</v>
      </c>
      <c r="B2033" s="10">
        <v>634</v>
      </c>
      <c r="C2033" s="10" t="s">
        <v>70</v>
      </c>
      <c r="D2033" t="s">
        <v>4040</v>
      </c>
      <c r="E2033" t="s">
        <v>4041</v>
      </c>
      <c r="F2033" s="10" t="s">
        <v>112</v>
      </c>
      <c r="G2033" s="2">
        <v>5.64</v>
      </c>
      <c r="H2033" s="13">
        <v>3</v>
      </c>
      <c r="I2033" s="13">
        <v>23</v>
      </c>
      <c r="J2033" s="13">
        <v>-23</v>
      </c>
      <c r="K2033" s="10">
        <v>3</v>
      </c>
      <c r="L2033" s="2">
        <v>16.920000000000002</v>
      </c>
      <c r="M2033" s="1">
        <v>46198.595138888886</v>
      </c>
      <c r="N2033" t="s">
        <v>40</v>
      </c>
    </row>
    <row r="2034" spans="1:14" x14ac:dyDescent="0.25">
      <c r="A2034" s="9" t="s">
        <v>5211</v>
      </c>
      <c r="B2034" s="10">
        <v>636</v>
      </c>
      <c r="C2034" s="10" t="s">
        <v>70</v>
      </c>
      <c r="D2034" t="s">
        <v>4014</v>
      </c>
      <c r="E2034" t="s">
        <v>4015</v>
      </c>
      <c r="F2034" s="10" t="s">
        <v>112</v>
      </c>
      <c r="G2034" s="2">
        <v>5.6969000000000003</v>
      </c>
      <c r="H2034" s="13">
        <v>3</v>
      </c>
      <c r="I2034" s="13">
        <v>-9</v>
      </c>
      <c r="J2034" s="13">
        <v>9</v>
      </c>
      <c r="K2034" s="10">
        <v>3</v>
      </c>
      <c r="L2034" s="2">
        <v>17.090699999999998</v>
      </c>
      <c r="M2034" s="1">
        <v>46199.375</v>
      </c>
      <c r="N2034" t="s">
        <v>16</v>
      </c>
    </row>
    <row r="2035" spans="1:14" x14ac:dyDescent="0.25">
      <c r="A2035" s="9" t="s">
        <v>5211</v>
      </c>
      <c r="B2035" s="10">
        <v>636</v>
      </c>
      <c r="C2035" s="10" t="s">
        <v>143</v>
      </c>
      <c r="D2035" t="s">
        <v>1100</v>
      </c>
      <c r="E2035" t="s">
        <v>1101</v>
      </c>
      <c r="F2035" s="10" t="s">
        <v>29</v>
      </c>
      <c r="G2035" s="2">
        <v>6.8643999999999998</v>
      </c>
      <c r="H2035" s="13">
        <v>3</v>
      </c>
      <c r="I2035" s="13">
        <v>0</v>
      </c>
      <c r="J2035" s="13">
        <v>0</v>
      </c>
      <c r="K2035" s="10">
        <v>3</v>
      </c>
      <c r="L2035" s="2">
        <v>20.5932</v>
      </c>
      <c r="M2035" s="1">
        <v>46199.375</v>
      </c>
      <c r="N2035" t="s">
        <v>16</v>
      </c>
    </row>
    <row r="2036" spans="1:14" x14ac:dyDescent="0.25">
      <c r="A2036" s="9" t="s">
        <v>5211</v>
      </c>
      <c r="B2036" s="10">
        <v>636</v>
      </c>
      <c r="C2036" s="10" t="s">
        <v>323</v>
      </c>
      <c r="D2036" t="s">
        <v>4621</v>
      </c>
      <c r="E2036" t="s">
        <v>4622</v>
      </c>
      <c r="F2036" s="10" t="s">
        <v>23</v>
      </c>
      <c r="G2036" s="2">
        <v>70.849400000000003</v>
      </c>
      <c r="H2036" s="13">
        <v>3</v>
      </c>
      <c r="I2036" s="13">
        <v>116</v>
      </c>
      <c r="J2036" s="13">
        <v>-116</v>
      </c>
      <c r="K2036" s="10">
        <v>3</v>
      </c>
      <c r="L2036" s="2">
        <v>212.54820000000001</v>
      </c>
      <c r="M2036" s="1">
        <v>46199.425694444442</v>
      </c>
      <c r="N2036" t="s">
        <v>1154</v>
      </c>
    </row>
    <row r="2037" spans="1:14" x14ac:dyDescent="0.25">
      <c r="A2037" s="9" t="s">
        <v>5211</v>
      </c>
      <c r="B2037" s="10">
        <v>714</v>
      </c>
      <c r="C2037" s="10" t="s">
        <v>323</v>
      </c>
      <c r="D2037" t="s">
        <v>4987</v>
      </c>
      <c r="E2037" t="s">
        <v>4988</v>
      </c>
      <c r="F2037" s="10" t="s">
        <v>19</v>
      </c>
      <c r="G2037" s="2">
        <v>203.7302</v>
      </c>
      <c r="H2037" s="13">
        <v>3</v>
      </c>
      <c r="I2037" s="13">
        <v>3</v>
      </c>
      <c r="J2037" s="13">
        <v>-3</v>
      </c>
      <c r="K2037" s="10">
        <v>3</v>
      </c>
      <c r="L2037" s="2">
        <v>611.19060000000002</v>
      </c>
      <c r="M2037" s="1">
        <v>46200.335416666669</v>
      </c>
      <c r="N2037" t="s">
        <v>151</v>
      </c>
    </row>
    <row r="2038" spans="1:14" x14ac:dyDescent="0.25">
      <c r="A2038" s="9" t="s">
        <v>5211</v>
      </c>
      <c r="B2038" s="10">
        <v>714</v>
      </c>
      <c r="C2038" s="10" t="s">
        <v>323</v>
      </c>
      <c r="D2038" t="s">
        <v>3429</v>
      </c>
      <c r="E2038" t="s">
        <v>3430</v>
      </c>
      <c r="F2038" s="10" t="s">
        <v>455</v>
      </c>
      <c r="G2038" s="2">
        <v>235.71129999999999</v>
      </c>
      <c r="H2038" s="13">
        <v>3</v>
      </c>
      <c r="I2038" s="13">
        <v>0</v>
      </c>
      <c r="J2038" s="13">
        <v>0</v>
      </c>
      <c r="K2038" s="10">
        <v>3</v>
      </c>
      <c r="L2038" s="2">
        <v>707.13390000000004</v>
      </c>
      <c r="M2038" s="1">
        <v>46203.473611111112</v>
      </c>
      <c r="N2038" t="s">
        <v>2066</v>
      </c>
    </row>
    <row r="2039" spans="1:14" x14ac:dyDescent="0.25">
      <c r="A2039" s="9" t="s">
        <v>5211</v>
      </c>
      <c r="B2039" s="10">
        <v>714</v>
      </c>
      <c r="C2039" s="10" t="s">
        <v>143</v>
      </c>
      <c r="D2039" t="s">
        <v>212</v>
      </c>
      <c r="E2039" t="s">
        <v>213</v>
      </c>
      <c r="F2039" s="10" t="s">
        <v>23</v>
      </c>
      <c r="G2039" s="2">
        <v>67.001300000000001</v>
      </c>
      <c r="H2039" s="13">
        <v>3</v>
      </c>
      <c r="I2039" s="13">
        <v>3</v>
      </c>
      <c r="J2039" s="13">
        <v>-3</v>
      </c>
      <c r="K2039" s="10">
        <v>3</v>
      </c>
      <c r="L2039" s="2">
        <v>201.00389999999999</v>
      </c>
      <c r="M2039" s="1">
        <v>46203.503472222219</v>
      </c>
      <c r="N2039" t="s">
        <v>261</v>
      </c>
    </row>
    <row r="2040" spans="1:14" x14ac:dyDescent="0.25">
      <c r="A2040" s="9" t="s">
        <v>5211</v>
      </c>
      <c r="B2040" s="10">
        <v>636</v>
      </c>
      <c r="C2040" s="10" t="s">
        <v>323</v>
      </c>
      <c r="D2040" t="s">
        <v>4641</v>
      </c>
      <c r="E2040" t="s">
        <v>4642</v>
      </c>
      <c r="F2040" s="10" t="s">
        <v>23</v>
      </c>
      <c r="G2040" s="2">
        <v>84.182299999999998</v>
      </c>
      <c r="H2040" s="13">
        <v>3</v>
      </c>
      <c r="I2040" s="13">
        <v>5</v>
      </c>
      <c r="J2040" s="13">
        <v>-5</v>
      </c>
      <c r="K2040" s="10">
        <v>3</v>
      </c>
      <c r="L2040" s="2">
        <v>252.54689999999999</v>
      </c>
      <c r="M2040" s="1">
        <v>46204.443055555559</v>
      </c>
      <c r="N2040" t="s">
        <v>40</v>
      </c>
    </row>
    <row r="2041" spans="1:14" x14ac:dyDescent="0.25">
      <c r="A2041" s="9" t="s">
        <v>5211</v>
      </c>
      <c r="B2041" s="10">
        <v>718</v>
      </c>
      <c r="C2041" s="10" t="s">
        <v>126</v>
      </c>
      <c r="D2041" t="s">
        <v>4062</v>
      </c>
      <c r="E2041" t="s">
        <v>4063</v>
      </c>
      <c r="F2041" s="10" t="s">
        <v>112</v>
      </c>
      <c r="G2041" s="2">
        <v>14.7692</v>
      </c>
      <c r="H2041" s="13">
        <v>3</v>
      </c>
      <c r="I2041" s="13">
        <v>3</v>
      </c>
      <c r="J2041" s="13">
        <v>-3</v>
      </c>
      <c r="K2041" s="10">
        <v>3</v>
      </c>
      <c r="L2041" s="2">
        <v>44.307600000000001</v>
      </c>
      <c r="M2041" s="1">
        <v>46204.651388888888</v>
      </c>
      <c r="N2041" t="s">
        <v>140</v>
      </c>
    </row>
    <row r="2042" spans="1:14" x14ac:dyDescent="0.25">
      <c r="A2042" s="9" t="s">
        <v>5211</v>
      </c>
      <c r="B2042" s="10">
        <v>718</v>
      </c>
      <c r="C2042" s="10" t="s">
        <v>323</v>
      </c>
      <c r="D2042" t="s">
        <v>3976</v>
      </c>
      <c r="E2042" t="s">
        <v>3977</v>
      </c>
      <c r="F2042" s="10" t="s">
        <v>23</v>
      </c>
      <c r="G2042" s="2">
        <v>117.0227</v>
      </c>
      <c r="H2042" s="13">
        <v>3</v>
      </c>
      <c r="I2042" s="13">
        <v>0</v>
      </c>
      <c r="J2042" s="13">
        <v>0</v>
      </c>
      <c r="K2042" s="10">
        <v>3</v>
      </c>
      <c r="L2042" s="2">
        <v>351.06810000000002</v>
      </c>
      <c r="M2042" s="1">
        <v>46209.574305555558</v>
      </c>
      <c r="N2042" t="s">
        <v>1535</v>
      </c>
    </row>
    <row r="2043" spans="1:14" x14ac:dyDescent="0.25">
      <c r="A2043" s="9" t="s">
        <v>5211</v>
      </c>
      <c r="B2043" s="10">
        <v>634</v>
      </c>
      <c r="C2043" s="10" t="s">
        <v>143</v>
      </c>
      <c r="D2043" t="s">
        <v>2533</v>
      </c>
      <c r="E2043" t="s">
        <v>2534</v>
      </c>
      <c r="F2043" s="10" t="s">
        <v>43</v>
      </c>
      <c r="G2043" s="2">
        <v>26.84</v>
      </c>
      <c r="H2043" s="13">
        <v>3</v>
      </c>
      <c r="I2043" s="13">
        <v>41</v>
      </c>
      <c r="J2043" s="13">
        <v>-41</v>
      </c>
      <c r="K2043" s="10">
        <v>3</v>
      </c>
      <c r="L2043" s="2">
        <v>80.52</v>
      </c>
      <c r="M2043" s="1">
        <v>46212.55</v>
      </c>
      <c r="N2043" t="s">
        <v>40</v>
      </c>
    </row>
    <row r="2044" spans="1:14" x14ac:dyDescent="0.25">
      <c r="A2044" s="9" t="s">
        <v>5211</v>
      </c>
      <c r="B2044" s="10">
        <v>718</v>
      </c>
      <c r="C2044" s="10" t="s">
        <v>323</v>
      </c>
      <c r="D2044" t="s">
        <v>3828</v>
      </c>
      <c r="E2044" t="s">
        <v>3829</v>
      </c>
      <c r="F2044" s="10" t="s">
        <v>29</v>
      </c>
      <c r="G2044" s="2">
        <v>42.103900000000003</v>
      </c>
      <c r="H2044" s="13">
        <v>3</v>
      </c>
      <c r="I2044" s="13">
        <v>0</v>
      </c>
      <c r="J2044" s="13">
        <v>0</v>
      </c>
      <c r="K2044" s="10">
        <v>3</v>
      </c>
      <c r="L2044" s="2">
        <v>126.3117</v>
      </c>
      <c r="M2044" s="1">
        <v>46218.515277777777</v>
      </c>
      <c r="N2044" t="s">
        <v>216</v>
      </c>
    </row>
    <row r="2045" spans="1:14" x14ac:dyDescent="0.25">
      <c r="A2045" s="9" t="s">
        <v>5211</v>
      </c>
      <c r="B2045" s="10">
        <v>714</v>
      </c>
      <c r="C2045" s="10" t="s">
        <v>143</v>
      </c>
      <c r="D2045" t="s">
        <v>4791</v>
      </c>
      <c r="E2045" t="s">
        <v>4792</v>
      </c>
      <c r="F2045" s="10" t="s">
        <v>23</v>
      </c>
      <c r="G2045" s="2">
        <v>21.946000000000002</v>
      </c>
      <c r="H2045" s="13">
        <v>3</v>
      </c>
      <c r="I2045" s="13">
        <v>15</v>
      </c>
      <c r="J2045" s="13">
        <v>-15</v>
      </c>
      <c r="K2045" s="10">
        <v>3</v>
      </c>
      <c r="L2045" s="2">
        <v>65.837999999999994</v>
      </c>
      <c r="M2045" s="1">
        <v>46224.59652777778</v>
      </c>
      <c r="N2045" t="s">
        <v>36</v>
      </c>
    </row>
    <row r="2046" spans="1:14" x14ac:dyDescent="0.25">
      <c r="A2046" s="9" t="s">
        <v>5211</v>
      </c>
      <c r="B2046" s="10">
        <v>714</v>
      </c>
      <c r="C2046" s="10" t="s">
        <v>143</v>
      </c>
      <c r="D2046" t="s">
        <v>4811</v>
      </c>
      <c r="E2046" t="s">
        <v>4812</v>
      </c>
      <c r="F2046" s="10" t="s">
        <v>43</v>
      </c>
      <c r="G2046" s="2">
        <v>126.8394</v>
      </c>
      <c r="H2046" s="13">
        <v>3</v>
      </c>
      <c r="I2046" s="13">
        <v>3</v>
      </c>
      <c r="J2046" s="13">
        <v>-3</v>
      </c>
      <c r="K2046" s="10">
        <v>3</v>
      </c>
      <c r="L2046" s="2">
        <v>380.51819999999998</v>
      </c>
      <c r="M2046" s="1">
        <v>46228.324999999997</v>
      </c>
      <c r="N2046" t="s">
        <v>26</v>
      </c>
    </row>
    <row r="2047" spans="1:14" x14ac:dyDescent="0.25">
      <c r="A2047" s="9" t="s">
        <v>5211</v>
      </c>
      <c r="B2047" s="10">
        <v>636</v>
      </c>
      <c r="C2047" s="10" t="s">
        <v>70</v>
      </c>
      <c r="D2047" t="s">
        <v>775</v>
      </c>
      <c r="E2047" t="s">
        <v>776</v>
      </c>
      <c r="F2047" s="10" t="s">
        <v>29</v>
      </c>
      <c r="G2047" s="2">
        <v>6.5282999999999998</v>
      </c>
      <c r="H2047" s="13">
        <v>3</v>
      </c>
      <c r="I2047" s="13">
        <v>0</v>
      </c>
      <c r="J2047" s="13">
        <v>0</v>
      </c>
      <c r="K2047" s="10">
        <v>3</v>
      </c>
      <c r="L2047" s="2">
        <v>19.584900000000001</v>
      </c>
      <c r="M2047" s="1">
        <v>46232.470833333333</v>
      </c>
      <c r="N2047" t="s">
        <v>522</v>
      </c>
    </row>
    <row r="2048" spans="1:14" x14ac:dyDescent="0.25">
      <c r="A2048" s="9" t="s">
        <v>5211</v>
      </c>
      <c r="B2048" s="10">
        <v>718</v>
      </c>
      <c r="C2048" s="10" t="s">
        <v>70</v>
      </c>
      <c r="D2048" t="s">
        <v>3655</v>
      </c>
      <c r="E2048" t="s">
        <v>3656</v>
      </c>
      <c r="F2048" s="10" t="s">
        <v>23</v>
      </c>
      <c r="G2048" s="2">
        <v>10.017099999999999</v>
      </c>
      <c r="H2048" s="13">
        <v>3</v>
      </c>
      <c r="I2048" s="13">
        <v>0</v>
      </c>
      <c r="J2048" s="13">
        <v>0</v>
      </c>
      <c r="K2048" s="10">
        <v>3</v>
      </c>
      <c r="L2048" s="2">
        <v>30.051300000000001</v>
      </c>
      <c r="M2048" s="1">
        <v>46232.6</v>
      </c>
      <c r="N2048" t="s">
        <v>573</v>
      </c>
    </row>
    <row r="2049" spans="1:14" x14ac:dyDescent="0.25">
      <c r="A2049" s="9" t="s">
        <v>5211</v>
      </c>
      <c r="B2049" s="10">
        <v>636</v>
      </c>
      <c r="C2049" s="10" t="s">
        <v>143</v>
      </c>
      <c r="D2049" t="s">
        <v>4487</v>
      </c>
      <c r="E2049" t="s">
        <v>4488</v>
      </c>
      <c r="F2049" s="10" t="s">
        <v>43</v>
      </c>
      <c r="G2049" s="2">
        <v>22.813800000000001</v>
      </c>
      <c r="H2049" s="13">
        <v>3</v>
      </c>
      <c r="I2049" s="13">
        <v>91</v>
      </c>
      <c r="J2049" s="13">
        <v>-91</v>
      </c>
      <c r="K2049" s="10">
        <v>3</v>
      </c>
      <c r="L2049" s="2">
        <v>68.441400000000002</v>
      </c>
      <c r="M2049" s="1">
        <v>46233.50277777778</v>
      </c>
      <c r="N2049" t="s">
        <v>26</v>
      </c>
    </row>
    <row r="2050" spans="1:14" x14ac:dyDescent="0.25">
      <c r="A2050" s="9" t="s">
        <v>5211</v>
      </c>
      <c r="B2050" s="10">
        <v>634</v>
      </c>
      <c r="C2050" s="10" t="s">
        <v>70</v>
      </c>
      <c r="D2050" t="s">
        <v>4038</v>
      </c>
      <c r="E2050" t="s">
        <v>4039</v>
      </c>
      <c r="F2050" s="10" t="s">
        <v>112</v>
      </c>
      <c r="G2050" s="2">
        <v>5.9326999999999996</v>
      </c>
      <c r="H2050" s="13">
        <v>3</v>
      </c>
      <c r="I2050" s="13">
        <v>10</v>
      </c>
      <c r="J2050" s="13">
        <v>-10</v>
      </c>
      <c r="K2050" s="10">
        <v>3</v>
      </c>
      <c r="L2050" s="2">
        <v>17.798100000000002</v>
      </c>
      <c r="M2050" s="1">
        <v>46237.726388888892</v>
      </c>
      <c r="N2050" t="s">
        <v>26</v>
      </c>
    </row>
    <row r="2051" spans="1:14" x14ac:dyDescent="0.25">
      <c r="A2051" s="9" t="s">
        <v>5211</v>
      </c>
      <c r="B2051" s="10">
        <v>718</v>
      </c>
      <c r="C2051" s="10" t="s">
        <v>323</v>
      </c>
      <c r="D2051" t="s">
        <v>3970</v>
      </c>
      <c r="E2051" t="s">
        <v>3971</v>
      </c>
      <c r="F2051" s="10" t="s">
        <v>29</v>
      </c>
      <c r="G2051" s="2">
        <v>131.678</v>
      </c>
      <c r="H2051" s="13">
        <v>3</v>
      </c>
      <c r="I2051" s="13">
        <v>0</v>
      </c>
      <c r="J2051" s="13">
        <v>0</v>
      </c>
      <c r="K2051" s="10">
        <v>3</v>
      </c>
      <c r="L2051" s="2">
        <v>395.03399999999999</v>
      </c>
      <c r="M2051" s="1">
        <v>46238.620833333334</v>
      </c>
      <c r="N2051" t="s">
        <v>2905</v>
      </c>
    </row>
    <row r="2052" spans="1:14" x14ac:dyDescent="0.25">
      <c r="A2052" s="9" t="s">
        <v>5211</v>
      </c>
      <c r="B2052" s="10">
        <v>718</v>
      </c>
      <c r="C2052" s="10" t="s">
        <v>143</v>
      </c>
      <c r="D2052" t="s">
        <v>4142</v>
      </c>
      <c r="E2052" t="s">
        <v>4143</v>
      </c>
      <c r="F2052" s="10" t="s">
        <v>112</v>
      </c>
      <c r="G2052" s="2">
        <v>86.000200000000007</v>
      </c>
      <c r="H2052" s="13">
        <v>3</v>
      </c>
      <c r="I2052" s="13">
        <v>5</v>
      </c>
      <c r="J2052" s="13">
        <v>-5</v>
      </c>
      <c r="K2052" s="10">
        <v>3</v>
      </c>
      <c r="L2052" s="2">
        <v>258.00060000000002</v>
      </c>
      <c r="M2052" s="1">
        <v>46246.392361111109</v>
      </c>
      <c r="N2052" t="s">
        <v>40</v>
      </c>
    </row>
    <row r="2053" spans="1:14" x14ac:dyDescent="0.25">
      <c r="A2053" s="9" t="s">
        <v>5211</v>
      </c>
      <c r="B2053" s="10">
        <v>718</v>
      </c>
      <c r="C2053" s="10" t="s">
        <v>70</v>
      </c>
      <c r="D2053" t="s">
        <v>4002</v>
      </c>
      <c r="E2053" t="s">
        <v>4003</v>
      </c>
      <c r="F2053" s="10" t="s">
        <v>112</v>
      </c>
      <c r="G2053" s="2">
        <v>7.2968000000000002</v>
      </c>
      <c r="H2053" s="13">
        <v>3</v>
      </c>
      <c r="I2053" s="13">
        <v>57</v>
      </c>
      <c r="J2053" s="13">
        <v>-57</v>
      </c>
      <c r="K2053" s="10">
        <v>3</v>
      </c>
      <c r="L2053" s="2">
        <v>21.8904</v>
      </c>
      <c r="M2053" s="1">
        <v>46246.392361111109</v>
      </c>
      <c r="N2053" t="s">
        <v>40</v>
      </c>
    </row>
    <row r="2054" spans="1:14" x14ac:dyDescent="0.25">
      <c r="A2054" s="9" t="s">
        <v>5211</v>
      </c>
      <c r="B2054" s="10">
        <v>718</v>
      </c>
      <c r="C2054" s="10" t="s">
        <v>143</v>
      </c>
      <c r="D2054" t="s">
        <v>4220</v>
      </c>
      <c r="E2054" t="s">
        <v>4221</v>
      </c>
      <c r="F2054" s="10" t="s">
        <v>23</v>
      </c>
      <c r="G2054" s="2">
        <v>27.564699999999998</v>
      </c>
      <c r="H2054" s="13">
        <v>3</v>
      </c>
      <c r="I2054" s="13">
        <v>21</v>
      </c>
      <c r="J2054" s="13">
        <v>-21</v>
      </c>
      <c r="K2054" s="10">
        <v>3</v>
      </c>
      <c r="L2054" s="2">
        <v>82.694100000000006</v>
      </c>
      <c r="M2054" s="1">
        <v>46246.50277777778</v>
      </c>
      <c r="N2054" t="s">
        <v>26</v>
      </c>
    </row>
    <row r="2055" spans="1:14" x14ac:dyDescent="0.25">
      <c r="A2055" s="9" t="s">
        <v>5211</v>
      </c>
      <c r="B2055" s="10">
        <v>636</v>
      </c>
      <c r="C2055" s="10" t="s">
        <v>70</v>
      </c>
      <c r="D2055" t="s">
        <v>4437</v>
      </c>
      <c r="E2055" t="s">
        <v>4438</v>
      </c>
      <c r="F2055" s="10" t="s">
        <v>112</v>
      </c>
      <c r="G2055" s="2">
        <v>10.626799999999999</v>
      </c>
      <c r="H2055" s="13">
        <v>3</v>
      </c>
      <c r="I2055" s="13">
        <v>0</v>
      </c>
      <c r="J2055" s="13">
        <v>0</v>
      </c>
      <c r="K2055" s="10">
        <v>3</v>
      </c>
      <c r="L2055" s="2">
        <v>31.880400000000002</v>
      </c>
      <c r="M2055" s="1">
        <v>46248.396527777775</v>
      </c>
      <c r="N2055" t="s">
        <v>16</v>
      </c>
    </row>
    <row r="2056" spans="1:14" x14ac:dyDescent="0.25">
      <c r="A2056" s="9" t="s">
        <v>5211</v>
      </c>
      <c r="B2056" s="10">
        <v>636</v>
      </c>
      <c r="C2056" s="10" t="s">
        <v>323</v>
      </c>
      <c r="D2056" t="s">
        <v>3027</v>
      </c>
      <c r="E2056" t="s">
        <v>3028</v>
      </c>
      <c r="F2056" s="10" t="s">
        <v>158</v>
      </c>
      <c r="G2056" s="2">
        <v>122.24460000000001</v>
      </c>
      <c r="H2056" s="13">
        <v>3</v>
      </c>
      <c r="I2056" s="13">
        <v>-4</v>
      </c>
      <c r="J2056" s="13">
        <v>4</v>
      </c>
      <c r="K2056" s="10">
        <v>3</v>
      </c>
      <c r="L2056" s="2">
        <v>366.73379999999997</v>
      </c>
      <c r="M2056" s="1">
        <v>46248.600694444445</v>
      </c>
      <c r="N2056" t="s">
        <v>151</v>
      </c>
    </row>
    <row r="2057" spans="1:14" x14ac:dyDescent="0.25">
      <c r="A2057" s="9" t="s">
        <v>5211</v>
      </c>
      <c r="B2057" s="10">
        <v>634</v>
      </c>
      <c r="C2057" s="10" t="s">
        <v>143</v>
      </c>
      <c r="D2057" t="s">
        <v>4088</v>
      </c>
      <c r="E2057" t="s">
        <v>4089</v>
      </c>
      <c r="F2057" s="10" t="s">
        <v>15</v>
      </c>
      <c r="G2057" s="2">
        <v>28.71</v>
      </c>
      <c r="H2057" s="13">
        <v>2</v>
      </c>
      <c r="I2057" s="13">
        <v>3</v>
      </c>
      <c r="J2057" s="13">
        <v>-3</v>
      </c>
      <c r="K2057" s="10">
        <v>2</v>
      </c>
      <c r="L2057" s="2">
        <v>57.42</v>
      </c>
      <c r="M2057" s="1">
        <v>42824.551388888889</v>
      </c>
      <c r="N2057" t="s">
        <v>137</v>
      </c>
    </row>
    <row r="2058" spans="1:14" x14ac:dyDescent="0.25">
      <c r="A2058" s="9" t="s">
        <v>5211</v>
      </c>
      <c r="B2058" s="10">
        <v>714</v>
      </c>
      <c r="C2058" s="10" t="s">
        <v>323</v>
      </c>
      <c r="D2058" t="s">
        <v>1338</v>
      </c>
      <c r="E2058" t="s">
        <v>1339</v>
      </c>
      <c r="F2058" s="10" t="s">
        <v>29</v>
      </c>
      <c r="G2058" s="2">
        <v>215.76490000000001</v>
      </c>
      <c r="H2058" s="13">
        <v>2</v>
      </c>
      <c r="I2058" s="13">
        <v>0</v>
      </c>
      <c r="J2058" s="13">
        <v>0</v>
      </c>
      <c r="K2058" s="10">
        <v>2</v>
      </c>
      <c r="L2058" s="2">
        <v>431.52980000000002</v>
      </c>
      <c r="M2058" s="1">
        <v>43467.6875</v>
      </c>
      <c r="N2058" t="s">
        <v>1234</v>
      </c>
    </row>
    <row r="2059" spans="1:14" x14ac:dyDescent="0.25">
      <c r="A2059" s="9" t="s">
        <v>5211</v>
      </c>
      <c r="B2059" s="10">
        <v>634</v>
      </c>
      <c r="C2059" s="10" t="s">
        <v>143</v>
      </c>
      <c r="D2059" t="s">
        <v>1142</v>
      </c>
      <c r="E2059" t="s">
        <v>1143</v>
      </c>
      <c r="F2059" s="10" t="s">
        <v>29</v>
      </c>
      <c r="G2059" s="2">
        <v>25.613199999999999</v>
      </c>
      <c r="H2059" s="13">
        <v>2</v>
      </c>
      <c r="I2059" s="13">
        <v>0</v>
      </c>
      <c r="J2059" s="13">
        <v>0</v>
      </c>
      <c r="K2059" s="10">
        <v>2</v>
      </c>
      <c r="L2059" s="2">
        <v>51.226399999999998</v>
      </c>
      <c r="M2059" s="1">
        <v>44000.538888888892</v>
      </c>
      <c r="N2059" t="s">
        <v>26</v>
      </c>
    </row>
    <row r="2060" spans="1:14" x14ac:dyDescent="0.25">
      <c r="A2060" s="9" t="s">
        <v>5211</v>
      </c>
      <c r="B2060" s="10">
        <v>714</v>
      </c>
      <c r="C2060" s="10" t="s">
        <v>143</v>
      </c>
      <c r="D2060" t="s">
        <v>1159</v>
      </c>
      <c r="E2060" t="s">
        <v>1160</v>
      </c>
      <c r="F2060" s="10" t="s">
        <v>19</v>
      </c>
      <c r="G2060" s="2">
        <v>109.75</v>
      </c>
      <c r="H2060" s="13">
        <v>2</v>
      </c>
      <c r="I2060" s="13">
        <v>0</v>
      </c>
      <c r="J2060" s="13">
        <v>0</v>
      </c>
      <c r="K2060" s="10">
        <v>2</v>
      </c>
      <c r="L2060" s="2">
        <v>219.5</v>
      </c>
      <c r="M2060" s="1">
        <v>44289.522916666669</v>
      </c>
      <c r="N2060" t="s">
        <v>2726</v>
      </c>
    </row>
    <row r="2061" spans="1:14" x14ac:dyDescent="0.25">
      <c r="A2061" s="9" t="s">
        <v>5211</v>
      </c>
      <c r="B2061" s="10">
        <v>714</v>
      </c>
      <c r="C2061" s="10" t="s">
        <v>323</v>
      </c>
      <c r="D2061" t="s">
        <v>3395</v>
      </c>
      <c r="E2061" s="6" t="s">
        <v>3396</v>
      </c>
      <c r="F2061" s="11" t="s">
        <v>58</v>
      </c>
      <c r="G2061" s="2">
        <v>151.66739999999999</v>
      </c>
      <c r="H2061" s="13">
        <v>2</v>
      </c>
      <c r="I2061" s="13">
        <v>0</v>
      </c>
      <c r="J2061" s="13">
        <v>0</v>
      </c>
      <c r="K2061" s="10">
        <v>2</v>
      </c>
      <c r="L2061" s="2">
        <v>303.33479999999997</v>
      </c>
      <c r="M2061" s="1">
        <v>44292.519444444442</v>
      </c>
      <c r="N2061" t="s">
        <v>363</v>
      </c>
    </row>
    <row r="2062" spans="1:14" x14ac:dyDescent="0.25">
      <c r="A2062" s="9" t="s">
        <v>5211</v>
      </c>
      <c r="B2062" s="10">
        <v>714</v>
      </c>
      <c r="C2062" s="10" t="s">
        <v>323</v>
      </c>
      <c r="D2062" t="s">
        <v>2814</v>
      </c>
      <c r="E2062" s="6" t="s">
        <v>2815</v>
      </c>
      <c r="F2062" s="11" t="s">
        <v>58</v>
      </c>
      <c r="G2062" s="2">
        <v>135.96109999999999</v>
      </c>
      <c r="H2062" s="13">
        <v>2</v>
      </c>
      <c r="I2062" s="13">
        <v>0</v>
      </c>
      <c r="J2062" s="13">
        <v>0</v>
      </c>
      <c r="K2062" s="10">
        <v>2</v>
      </c>
      <c r="L2062" s="2">
        <v>271.92219999999998</v>
      </c>
      <c r="M2062" s="1">
        <v>44642.363888888889</v>
      </c>
      <c r="N2062" t="s">
        <v>2816</v>
      </c>
    </row>
    <row r="2063" spans="1:14" x14ac:dyDescent="0.25">
      <c r="A2063" s="9" t="s">
        <v>5211</v>
      </c>
      <c r="B2063" s="10">
        <v>714</v>
      </c>
      <c r="C2063" s="10" t="s">
        <v>323</v>
      </c>
      <c r="D2063" t="s">
        <v>4966</v>
      </c>
      <c r="E2063" s="6" t="s">
        <v>4967</v>
      </c>
      <c r="F2063" s="11" t="s">
        <v>58</v>
      </c>
      <c r="G2063" s="2">
        <v>250.995</v>
      </c>
      <c r="H2063" s="13">
        <v>2</v>
      </c>
      <c r="I2063" s="13">
        <v>7</v>
      </c>
      <c r="J2063" s="13">
        <v>-7</v>
      </c>
      <c r="K2063" s="10">
        <v>2</v>
      </c>
      <c r="L2063" s="2">
        <v>501.99</v>
      </c>
      <c r="M2063" s="1">
        <v>44648.611111111109</v>
      </c>
      <c r="N2063" t="s">
        <v>903</v>
      </c>
    </row>
    <row r="2064" spans="1:14" x14ac:dyDescent="0.25">
      <c r="A2064" s="9" t="s">
        <v>5211</v>
      </c>
      <c r="B2064" s="10">
        <v>718</v>
      </c>
      <c r="C2064" s="10" t="s">
        <v>143</v>
      </c>
      <c r="D2064" t="s">
        <v>3788</v>
      </c>
      <c r="E2064" t="s">
        <v>3789</v>
      </c>
      <c r="F2064" s="10" t="s">
        <v>35</v>
      </c>
      <c r="G2064" s="2">
        <v>33.116199999999999</v>
      </c>
      <c r="H2064" s="13">
        <v>2</v>
      </c>
      <c r="I2064" s="13">
        <v>0</v>
      </c>
      <c r="J2064" s="13">
        <v>0</v>
      </c>
      <c r="K2064" s="10">
        <v>2</v>
      </c>
      <c r="L2064" s="2">
        <v>66.232399999999998</v>
      </c>
      <c r="M2064" s="1">
        <v>44658.302083333336</v>
      </c>
      <c r="N2064" t="s">
        <v>2868</v>
      </c>
    </row>
    <row r="2065" spans="1:14" x14ac:dyDescent="0.25">
      <c r="A2065" s="9" t="s">
        <v>5211</v>
      </c>
      <c r="B2065" s="10">
        <v>718</v>
      </c>
      <c r="C2065" s="10" t="s">
        <v>143</v>
      </c>
      <c r="D2065" t="s">
        <v>306</v>
      </c>
      <c r="E2065" t="s">
        <v>307</v>
      </c>
      <c r="F2065" s="10" t="s">
        <v>29</v>
      </c>
      <c r="G2065" s="2">
        <v>55.525300000000001</v>
      </c>
      <c r="H2065" s="13">
        <v>2</v>
      </c>
      <c r="I2065" s="13">
        <v>1</v>
      </c>
      <c r="J2065" s="13">
        <v>-1</v>
      </c>
      <c r="K2065" s="10">
        <v>2</v>
      </c>
      <c r="L2065" s="2">
        <v>111.0506</v>
      </c>
      <c r="M2065" s="1">
        <v>44673.390277777777</v>
      </c>
      <c r="N2065" t="s">
        <v>140</v>
      </c>
    </row>
    <row r="2066" spans="1:14" x14ac:dyDescent="0.25">
      <c r="A2066" s="9" t="s">
        <v>5211</v>
      </c>
      <c r="B2066" s="10">
        <v>714</v>
      </c>
      <c r="C2066" s="10" t="s">
        <v>323</v>
      </c>
      <c r="D2066" t="s">
        <v>2993</v>
      </c>
      <c r="E2066" s="6" t="s">
        <v>2994</v>
      </c>
      <c r="F2066" s="11" t="s">
        <v>58</v>
      </c>
      <c r="G2066" s="2">
        <v>250.6806</v>
      </c>
      <c r="H2066" s="13">
        <v>2</v>
      </c>
      <c r="I2066" s="13">
        <v>0</v>
      </c>
      <c r="J2066" s="13">
        <v>0</v>
      </c>
      <c r="K2066" s="10">
        <v>2</v>
      </c>
      <c r="L2066" s="2">
        <v>501.3612</v>
      </c>
      <c r="M2066" s="1">
        <v>44674.905555555553</v>
      </c>
      <c r="N2066" t="s">
        <v>137</v>
      </c>
    </row>
    <row r="2067" spans="1:14" x14ac:dyDescent="0.25">
      <c r="A2067" s="9" t="s">
        <v>5211</v>
      </c>
      <c r="B2067" s="10">
        <v>714</v>
      </c>
      <c r="C2067" s="10" t="s">
        <v>323</v>
      </c>
      <c r="D2067" t="s">
        <v>3508</v>
      </c>
      <c r="E2067" t="s">
        <v>3509</v>
      </c>
      <c r="F2067" s="10" t="s">
        <v>29</v>
      </c>
      <c r="G2067" s="2">
        <v>150.73840000000001</v>
      </c>
      <c r="H2067" s="13">
        <v>2</v>
      </c>
      <c r="I2067" s="13">
        <v>0</v>
      </c>
      <c r="J2067" s="13">
        <v>0</v>
      </c>
      <c r="K2067" s="10">
        <v>2</v>
      </c>
      <c r="L2067" s="2">
        <v>301.47680000000003</v>
      </c>
      <c r="M2067" s="1">
        <v>44984.370138888888</v>
      </c>
      <c r="N2067" t="s">
        <v>354</v>
      </c>
    </row>
    <row r="2068" spans="1:14" x14ac:dyDescent="0.25">
      <c r="A2068" s="9" t="s">
        <v>5211</v>
      </c>
      <c r="B2068" s="10">
        <v>714</v>
      </c>
      <c r="C2068" s="10" t="s">
        <v>143</v>
      </c>
      <c r="D2068" t="s">
        <v>2565</v>
      </c>
      <c r="E2068" s="6" t="s">
        <v>2566</v>
      </c>
      <c r="F2068" s="11" t="s">
        <v>58</v>
      </c>
      <c r="G2068" s="2">
        <v>116.1066</v>
      </c>
      <c r="H2068" s="13">
        <v>2</v>
      </c>
      <c r="I2068" s="13">
        <v>0</v>
      </c>
      <c r="J2068" s="13">
        <v>0</v>
      </c>
      <c r="K2068" s="10">
        <v>2</v>
      </c>
      <c r="L2068" s="2">
        <v>232.2132</v>
      </c>
      <c r="M2068" s="1">
        <v>45007.334722222222</v>
      </c>
      <c r="N2068" t="s">
        <v>137</v>
      </c>
    </row>
    <row r="2069" spans="1:14" x14ac:dyDescent="0.25">
      <c r="A2069" s="9" t="s">
        <v>5211</v>
      </c>
      <c r="B2069" s="10">
        <v>714</v>
      </c>
      <c r="C2069" s="10" t="s">
        <v>143</v>
      </c>
      <c r="D2069" t="s">
        <v>2397</v>
      </c>
      <c r="E2069" t="s">
        <v>2398</v>
      </c>
      <c r="F2069" s="10" t="s">
        <v>29</v>
      </c>
      <c r="G2069" s="2">
        <v>68.642399999999995</v>
      </c>
      <c r="H2069" s="13">
        <v>2</v>
      </c>
      <c r="I2069" s="13">
        <v>0</v>
      </c>
      <c r="J2069" s="13">
        <v>0</v>
      </c>
      <c r="K2069" s="10">
        <v>2</v>
      </c>
      <c r="L2069" s="2">
        <v>137.28479999999999</v>
      </c>
      <c r="M2069" s="1">
        <v>45009.468055555553</v>
      </c>
      <c r="N2069" t="s">
        <v>195</v>
      </c>
    </row>
    <row r="2070" spans="1:14" x14ac:dyDescent="0.25">
      <c r="A2070" s="9" t="s">
        <v>5211</v>
      </c>
      <c r="B2070" s="10">
        <v>718</v>
      </c>
      <c r="C2070" s="10" t="s">
        <v>323</v>
      </c>
      <c r="D2070" t="s">
        <v>3261</v>
      </c>
      <c r="E2070" s="6" t="s">
        <v>3262</v>
      </c>
      <c r="F2070" s="11" t="s">
        <v>58</v>
      </c>
      <c r="G2070" s="2">
        <v>193.03700000000001</v>
      </c>
      <c r="H2070" s="13">
        <v>2</v>
      </c>
      <c r="I2070" s="13">
        <v>0</v>
      </c>
      <c r="J2070" s="13">
        <v>0</v>
      </c>
      <c r="K2070" s="10">
        <v>2</v>
      </c>
      <c r="L2070" s="2">
        <v>386.07400000000001</v>
      </c>
      <c r="M2070" s="1">
        <v>45010.344444444447</v>
      </c>
      <c r="N2070" t="s">
        <v>2868</v>
      </c>
    </row>
    <row r="2071" spans="1:14" x14ac:dyDescent="0.25">
      <c r="A2071" s="9" t="s">
        <v>5211</v>
      </c>
      <c r="B2071" s="10">
        <v>714</v>
      </c>
      <c r="C2071" s="10" t="s">
        <v>323</v>
      </c>
      <c r="D2071" t="s">
        <v>3075</v>
      </c>
      <c r="E2071" s="6" t="s">
        <v>3076</v>
      </c>
      <c r="F2071" s="11" t="s">
        <v>58</v>
      </c>
      <c r="G2071" s="2">
        <v>136.11250000000001</v>
      </c>
      <c r="H2071" s="13">
        <v>2</v>
      </c>
      <c r="I2071" s="13">
        <v>0</v>
      </c>
      <c r="J2071" s="13">
        <v>0</v>
      </c>
      <c r="K2071" s="10">
        <v>2</v>
      </c>
      <c r="L2071" s="2">
        <v>272.22500000000002</v>
      </c>
      <c r="M2071" s="1">
        <v>45013.480555555558</v>
      </c>
      <c r="N2071" t="s">
        <v>137</v>
      </c>
    </row>
    <row r="2072" spans="1:14" x14ac:dyDescent="0.25">
      <c r="A2072" s="9" t="s">
        <v>5211</v>
      </c>
      <c r="B2072" s="10">
        <v>714</v>
      </c>
      <c r="C2072" s="10" t="s">
        <v>323</v>
      </c>
      <c r="D2072" t="s">
        <v>3018</v>
      </c>
      <c r="E2072" s="6" t="s">
        <v>3019</v>
      </c>
      <c r="F2072" s="11" t="s">
        <v>58</v>
      </c>
      <c r="G2072" s="2">
        <v>139.03989999999999</v>
      </c>
      <c r="H2072" s="13">
        <v>2</v>
      </c>
      <c r="I2072" s="13">
        <v>0</v>
      </c>
      <c r="J2072" s="13">
        <v>0</v>
      </c>
      <c r="K2072" s="10">
        <v>2</v>
      </c>
      <c r="L2072" s="2">
        <v>278.07979999999998</v>
      </c>
      <c r="M2072" s="1">
        <v>45017.467361111114</v>
      </c>
      <c r="N2072" t="s">
        <v>903</v>
      </c>
    </row>
    <row r="2073" spans="1:14" x14ac:dyDescent="0.25">
      <c r="A2073" s="9" t="s">
        <v>5211</v>
      </c>
      <c r="B2073" s="10">
        <v>714</v>
      </c>
      <c r="C2073" s="10" t="s">
        <v>143</v>
      </c>
      <c r="D2073" t="s">
        <v>2322</v>
      </c>
      <c r="E2073" t="s">
        <v>2323</v>
      </c>
      <c r="F2073" s="10" t="s">
        <v>29</v>
      </c>
      <c r="G2073" s="2">
        <v>13.3443</v>
      </c>
      <c r="H2073" s="13">
        <v>2</v>
      </c>
      <c r="I2073" s="13">
        <v>0</v>
      </c>
      <c r="J2073" s="13">
        <v>0</v>
      </c>
      <c r="K2073" s="10">
        <v>2</v>
      </c>
      <c r="L2073" s="2">
        <v>26.688600000000001</v>
      </c>
      <c r="M2073" s="1">
        <v>45035.640972222223</v>
      </c>
      <c r="N2073" t="s">
        <v>40</v>
      </c>
    </row>
    <row r="2074" spans="1:14" x14ac:dyDescent="0.25">
      <c r="A2074" s="9" t="s">
        <v>5211</v>
      </c>
      <c r="B2074" s="10">
        <v>714</v>
      </c>
      <c r="C2074" s="10" t="s">
        <v>323</v>
      </c>
      <c r="D2074" t="s">
        <v>3261</v>
      </c>
      <c r="E2074" t="s">
        <v>3262</v>
      </c>
      <c r="F2074" s="10" t="s">
        <v>29</v>
      </c>
      <c r="G2074" s="2">
        <v>211.83029999999999</v>
      </c>
      <c r="H2074" s="13">
        <v>2</v>
      </c>
      <c r="I2074" s="13">
        <v>0</v>
      </c>
      <c r="J2074" s="13">
        <v>0</v>
      </c>
      <c r="K2074" s="10">
        <v>2</v>
      </c>
      <c r="L2074" s="2">
        <v>423.66059999999999</v>
      </c>
      <c r="M2074" s="1">
        <v>45040.643055555556</v>
      </c>
      <c r="N2074" t="s">
        <v>2868</v>
      </c>
    </row>
    <row r="2075" spans="1:14" x14ac:dyDescent="0.25">
      <c r="A2075" s="9" t="s">
        <v>5211</v>
      </c>
      <c r="B2075" s="10">
        <v>714</v>
      </c>
      <c r="C2075" s="10" t="s">
        <v>323</v>
      </c>
      <c r="D2075" t="s">
        <v>2873</v>
      </c>
      <c r="E2075" s="6" t="s">
        <v>2874</v>
      </c>
      <c r="F2075" s="11" t="s">
        <v>58</v>
      </c>
      <c r="G2075" s="2">
        <v>130.54050000000001</v>
      </c>
      <c r="H2075" s="13">
        <v>2</v>
      </c>
      <c r="I2075" s="13">
        <v>0</v>
      </c>
      <c r="J2075" s="13">
        <v>0</v>
      </c>
      <c r="K2075" s="10">
        <v>2</v>
      </c>
      <c r="L2075" s="2">
        <v>261.08100000000002</v>
      </c>
      <c r="M2075" s="1">
        <v>45062.636111111111</v>
      </c>
      <c r="N2075" t="s">
        <v>159</v>
      </c>
    </row>
    <row r="2076" spans="1:14" x14ac:dyDescent="0.25">
      <c r="A2076" s="9" t="s">
        <v>5211</v>
      </c>
      <c r="B2076" s="10">
        <v>634</v>
      </c>
      <c r="C2076" s="10" t="s">
        <v>143</v>
      </c>
      <c r="D2076" t="s">
        <v>166</v>
      </c>
      <c r="E2076" s="6" t="s">
        <v>167</v>
      </c>
      <c r="F2076" s="11" t="s">
        <v>58</v>
      </c>
      <c r="G2076" s="2">
        <v>73.039900000000003</v>
      </c>
      <c r="H2076" s="13">
        <v>2</v>
      </c>
      <c r="I2076" s="13">
        <v>0</v>
      </c>
      <c r="J2076" s="13">
        <v>0</v>
      </c>
      <c r="K2076" s="10">
        <v>2</v>
      </c>
      <c r="L2076" s="2">
        <v>146.07980000000001</v>
      </c>
      <c r="M2076" s="1">
        <v>45119.32708333333</v>
      </c>
      <c r="N2076" t="s">
        <v>40</v>
      </c>
    </row>
    <row r="2077" spans="1:14" x14ac:dyDescent="0.25">
      <c r="A2077" s="9" t="s">
        <v>5211</v>
      </c>
      <c r="B2077" s="10">
        <v>714</v>
      </c>
      <c r="C2077" s="10" t="s">
        <v>143</v>
      </c>
      <c r="D2077" t="s">
        <v>2369</v>
      </c>
      <c r="E2077" s="6" t="s">
        <v>2370</v>
      </c>
      <c r="F2077" s="11" t="s">
        <v>58</v>
      </c>
      <c r="G2077" s="2">
        <v>20.142800000000001</v>
      </c>
      <c r="H2077" s="13">
        <v>2</v>
      </c>
      <c r="I2077" s="13">
        <v>0</v>
      </c>
      <c r="J2077" s="13">
        <v>0</v>
      </c>
      <c r="K2077" s="10">
        <v>2</v>
      </c>
      <c r="L2077" s="2">
        <v>40.285600000000002</v>
      </c>
      <c r="M2077" s="1">
        <v>45140.62777777778</v>
      </c>
      <c r="N2077" t="s">
        <v>140</v>
      </c>
    </row>
    <row r="2078" spans="1:14" x14ac:dyDescent="0.25">
      <c r="A2078" s="9" t="s">
        <v>5211</v>
      </c>
      <c r="B2078" s="10">
        <v>634</v>
      </c>
      <c r="C2078" s="10" t="s">
        <v>143</v>
      </c>
      <c r="D2078" t="s">
        <v>4240</v>
      </c>
      <c r="E2078" t="s">
        <v>4241</v>
      </c>
      <c r="F2078" s="10" t="s">
        <v>29</v>
      </c>
      <c r="G2078" s="2">
        <v>37.8245</v>
      </c>
      <c r="H2078" s="13">
        <v>2</v>
      </c>
      <c r="I2078" s="13">
        <v>2</v>
      </c>
      <c r="J2078" s="13">
        <v>-2</v>
      </c>
      <c r="K2078" s="10">
        <v>2</v>
      </c>
      <c r="L2078" s="2">
        <v>75.649000000000001</v>
      </c>
      <c r="M2078" s="1">
        <v>45153.810416666667</v>
      </c>
      <c r="N2078" t="s">
        <v>26</v>
      </c>
    </row>
    <row r="2079" spans="1:14" x14ac:dyDescent="0.25">
      <c r="A2079" s="9" t="s">
        <v>5211</v>
      </c>
      <c r="B2079" s="10">
        <v>636</v>
      </c>
      <c r="C2079" s="10" t="s">
        <v>70</v>
      </c>
      <c r="D2079" t="s">
        <v>795</v>
      </c>
      <c r="E2079" s="6" t="s">
        <v>796</v>
      </c>
      <c r="F2079" s="11" t="s">
        <v>58</v>
      </c>
      <c r="G2079" s="2">
        <v>86.322599999999994</v>
      </c>
      <c r="H2079" s="13">
        <v>2</v>
      </c>
      <c r="I2079" s="13">
        <v>0</v>
      </c>
      <c r="J2079" s="13">
        <v>0</v>
      </c>
      <c r="K2079" s="10">
        <v>2</v>
      </c>
      <c r="L2079" s="2">
        <v>172.64519999999999</v>
      </c>
      <c r="M2079" s="1">
        <v>45166.397916666669</v>
      </c>
      <c r="N2079" t="s">
        <v>797</v>
      </c>
    </row>
    <row r="2080" spans="1:14" x14ac:dyDescent="0.25">
      <c r="A2080" s="9" t="s">
        <v>5211</v>
      </c>
      <c r="B2080" s="10">
        <v>714</v>
      </c>
      <c r="C2080" s="10" t="s">
        <v>323</v>
      </c>
      <c r="D2080" t="s">
        <v>4351</v>
      </c>
      <c r="E2080" s="6" t="s">
        <v>4352</v>
      </c>
      <c r="F2080" s="11" t="s">
        <v>58</v>
      </c>
      <c r="G2080" s="2">
        <v>132.958</v>
      </c>
      <c r="H2080" s="13">
        <v>2</v>
      </c>
      <c r="I2080" s="13">
        <v>10</v>
      </c>
      <c r="J2080" s="13">
        <v>-10</v>
      </c>
      <c r="K2080" s="10">
        <v>2</v>
      </c>
      <c r="L2080" s="2">
        <v>265.916</v>
      </c>
      <c r="M2080" s="1">
        <v>45350.46875</v>
      </c>
      <c r="N2080" t="s">
        <v>1229</v>
      </c>
    </row>
    <row r="2081" spans="1:14" x14ac:dyDescent="0.25">
      <c r="A2081" s="9" t="s">
        <v>5211</v>
      </c>
      <c r="B2081" s="10">
        <v>714</v>
      </c>
      <c r="C2081" s="10" t="s">
        <v>323</v>
      </c>
      <c r="D2081" t="s">
        <v>3125</v>
      </c>
      <c r="E2081" t="s">
        <v>3126</v>
      </c>
      <c r="F2081" s="10" t="s">
        <v>35</v>
      </c>
      <c r="G2081" s="2">
        <v>124.1481</v>
      </c>
      <c r="H2081" s="13">
        <v>2</v>
      </c>
      <c r="I2081" s="13">
        <v>0</v>
      </c>
      <c r="J2081" s="13">
        <v>0</v>
      </c>
      <c r="K2081" s="10">
        <v>2</v>
      </c>
      <c r="L2081" s="2">
        <v>248.2962</v>
      </c>
      <c r="M2081" s="1">
        <v>45370.393750000003</v>
      </c>
      <c r="N2081" t="s">
        <v>2969</v>
      </c>
    </row>
    <row r="2082" spans="1:14" x14ac:dyDescent="0.25">
      <c r="A2082" s="9" t="s">
        <v>5211</v>
      </c>
      <c r="B2082" s="10">
        <v>714</v>
      </c>
      <c r="C2082" s="10" t="s">
        <v>323</v>
      </c>
      <c r="D2082" t="s">
        <v>3229</v>
      </c>
      <c r="E2082" s="6" t="s">
        <v>3230</v>
      </c>
      <c r="F2082" s="11" t="s">
        <v>58</v>
      </c>
      <c r="G2082" s="2">
        <v>105.92449999999999</v>
      </c>
      <c r="H2082" s="13">
        <v>2</v>
      </c>
      <c r="I2082" s="13">
        <v>0</v>
      </c>
      <c r="J2082" s="13">
        <v>0</v>
      </c>
      <c r="K2082" s="10">
        <v>2</v>
      </c>
      <c r="L2082" s="2">
        <v>211.84899999999999</v>
      </c>
      <c r="M2082" s="1">
        <v>45370.393750000003</v>
      </c>
      <c r="N2082" t="s">
        <v>2969</v>
      </c>
    </row>
    <row r="2083" spans="1:14" x14ac:dyDescent="0.25">
      <c r="A2083" s="9" t="s">
        <v>5211</v>
      </c>
      <c r="B2083" s="10">
        <v>714</v>
      </c>
      <c r="C2083" s="10" t="s">
        <v>323</v>
      </c>
      <c r="D2083" t="s">
        <v>2967</v>
      </c>
      <c r="E2083" t="s">
        <v>2968</v>
      </c>
      <c r="F2083" s="10" t="s">
        <v>29</v>
      </c>
      <c r="G2083" s="2">
        <v>124.1481</v>
      </c>
      <c r="H2083" s="13">
        <v>2</v>
      </c>
      <c r="I2083" s="13">
        <v>1</v>
      </c>
      <c r="J2083" s="13">
        <v>-1</v>
      </c>
      <c r="K2083" s="10">
        <v>2</v>
      </c>
      <c r="L2083" s="2">
        <v>248.2962</v>
      </c>
      <c r="M2083" s="1">
        <v>45370.393750000003</v>
      </c>
      <c r="N2083" t="s">
        <v>2969</v>
      </c>
    </row>
    <row r="2084" spans="1:14" x14ac:dyDescent="0.25">
      <c r="A2084" s="9" t="s">
        <v>5211</v>
      </c>
      <c r="B2084" s="10">
        <v>714</v>
      </c>
      <c r="C2084" s="10" t="s">
        <v>323</v>
      </c>
      <c r="D2084" t="s">
        <v>472</v>
      </c>
      <c r="E2084" t="s">
        <v>473</v>
      </c>
      <c r="F2084" s="10" t="s">
        <v>29</v>
      </c>
      <c r="G2084" s="2">
        <v>141.44319999999999</v>
      </c>
      <c r="H2084" s="13">
        <v>2</v>
      </c>
      <c r="I2084" s="13">
        <v>0</v>
      </c>
      <c r="J2084" s="13">
        <v>0</v>
      </c>
      <c r="K2084" s="10">
        <v>2</v>
      </c>
      <c r="L2084" s="2">
        <v>282.88639999999998</v>
      </c>
      <c r="M2084" s="1">
        <v>45370.397222222222</v>
      </c>
      <c r="N2084" t="s">
        <v>363</v>
      </c>
    </row>
    <row r="2085" spans="1:14" x14ac:dyDescent="0.25">
      <c r="A2085" s="9" t="s">
        <v>5211</v>
      </c>
      <c r="B2085" s="10">
        <v>634</v>
      </c>
      <c r="C2085" s="10" t="s">
        <v>323</v>
      </c>
      <c r="D2085" t="s">
        <v>388</v>
      </c>
      <c r="E2085" t="s">
        <v>389</v>
      </c>
      <c r="F2085" s="10" t="s">
        <v>23</v>
      </c>
      <c r="G2085" s="2">
        <v>462.18090000000001</v>
      </c>
      <c r="H2085" s="13">
        <v>2</v>
      </c>
      <c r="I2085" s="13">
        <v>-3</v>
      </c>
      <c r="J2085" s="13">
        <v>3</v>
      </c>
      <c r="K2085" s="10">
        <v>2</v>
      </c>
      <c r="L2085" s="2">
        <v>924.36180000000002</v>
      </c>
      <c r="M2085" s="1">
        <v>45390.51458333333</v>
      </c>
      <c r="N2085" t="s">
        <v>178</v>
      </c>
    </row>
    <row r="2086" spans="1:14" x14ac:dyDescent="0.25">
      <c r="A2086" s="9" t="s">
        <v>5211</v>
      </c>
      <c r="B2086" s="10">
        <v>714</v>
      </c>
      <c r="C2086" s="10" t="s">
        <v>323</v>
      </c>
      <c r="D2086" t="s">
        <v>2943</v>
      </c>
      <c r="E2086" t="s">
        <v>2944</v>
      </c>
      <c r="F2086" s="10" t="s">
        <v>29</v>
      </c>
      <c r="G2086" s="2">
        <v>338.81830000000002</v>
      </c>
      <c r="H2086" s="13">
        <v>2</v>
      </c>
      <c r="I2086" s="13">
        <v>0</v>
      </c>
      <c r="J2086" s="13">
        <v>0</v>
      </c>
      <c r="K2086" s="10">
        <v>2</v>
      </c>
      <c r="L2086" s="2">
        <v>677.63660000000004</v>
      </c>
      <c r="M2086" s="1">
        <v>45394.436805555553</v>
      </c>
      <c r="N2086" t="s">
        <v>178</v>
      </c>
    </row>
    <row r="2087" spans="1:14" x14ac:dyDescent="0.25">
      <c r="A2087" s="9" t="s">
        <v>5211</v>
      </c>
      <c r="B2087" s="10">
        <v>714</v>
      </c>
      <c r="C2087" s="10" t="s">
        <v>323</v>
      </c>
      <c r="D2087" t="s">
        <v>352</v>
      </c>
      <c r="E2087" s="6" t="s">
        <v>353</v>
      </c>
      <c r="F2087" s="11" t="s">
        <v>58</v>
      </c>
      <c r="G2087" s="2">
        <v>292.8768</v>
      </c>
      <c r="H2087" s="13">
        <v>2</v>
      </c>
      <c r="I2087" s="13">
        <v>-1</v>
      </c>
      <c r="J2087" s="13">
        <v>1</v>
      </c>
      <c r="K2087" s="10">
        <v>2</v>
      </c>
      <c r="L2087" s="2">
        <v>585.75360000000001</v>
      </c>
      <c r="M2087" s="1">
        <v>45394.436805555553</v>
      </c>
      <c r="N2087" t="s">
        <v>178</v>
      </c>
    </row>
    <row r="2088" spans="1:14" x14ac:dyDescent="0.25">
      <c r="A2088" s="9" t="s">
        <v>5211</v>
      </c>
      <c r="B2088" s="10">
        <v>636</v>
      </c>
      <c r="C2088" s="10" t="s">
        <v>323</v>
      </c>
      <c r="D2088" t="s">
        <v>4607</v>
      </c>
      <c r="E2088" t="s">
        <v>4608</v>
      </c>
      <c r="F2088" s="10" t="s">
        <v>29</v>
      </c>
      <c r="G2088" s="2">
        <v>131.43289999999999</v>
      </c>
      <c r="H2088" s="13">
        <v>2</v>
      </c>
      <c r="I2088" s="13">
        <v>-1</v>
      </c>
      <c r="J2088" s="13">
        <v>1</v>
      </c>
      <c r="K2088" s="10">
        <v>2</v>
      </c>
      <c r="L2088" s="2">
        <v>262.86579999999998</v>
      </c>
      <c r="M2088" s="1">
        <v>45394.587500000001</v>
      </c>
      <c r="N2088" t="s">
        <v>151</v>
      </c>
    </row>
    <row r="2089" spans="1:14" x14ac:dyDescent="0.25">
      <c r="A2089" s="9" t="s">
        <v>5211</v>
      </c>
      <c r="B2089" s="10">
        <v>714</v>
      </c>
      <c r="C2089" s="10" t="s">
        <v>143</v>
      </c>
      <c r="D2089" t="s">
        <v>2693</v>
      </c>
      <c r="E2089" t="s">
        <v>2694</v>
      </c>
      <c r="F2089" s="10" t="s">
        <v>29</v>
      </c>
      <c r="G2089" s="2">
        <v>70.070899999999995</v>
      </c>
      <c r="H2089" s="13">
        <v>2</v>
      </c>
      <c r="I2089" s="13">
        <v>0</v>
      </c>
      <c r="J2089" s="13">
        <v>0</v>
      </c>
      <c r="K2089" s="10">
        <v>2</v>
      </c>
      <c r="L2089" s="2">
        <v>140.14179999999999</v>
      </c>
      <c r="M2089" s="1">
        <v>45394.806250000001</v>
      </c>
      <c r="N2089" t="s">
        <v>885</v>
      </c>
    </row>
    <row r="2090" spans="1:14" x14ac:dyDescent="0.25">
      <c r="A2090" s="9" t="s">
        <v>5211</v>
      </c>
      <c r="B2090" s="10">
        <v>714</v>
      </c>
      <c r="C2090" s="10" t="s">
        <v>323</v>
      </c>
      <c r="D2090" t="s">
        <v>3278</v>
      </c>
      <c r="E2090" t="s">
        <v>3279</v>
      </c>
      <c r="F2090" s="10" t="s">
        <v>23</v>
      </c>
      <c r="G2090" s="2">
        <v>117.102</v>
      </c>
      <c r="H2090" s="13">
        <v>2</v>
      </c>
      <c r="I2090" s="13">
        <v>0</v>
      </c>
      <c r="J2090" s="13">
        <v>0</v>
      </c>
      <c r="K2090" s="10">
        <v>2</v>
      </c>
      <c r="L2090" s="2">
        <v>234.20400000000001</v>
      </c>
      <c r="M2090" s="1">
        <v>45394.806250000001</v>
      </c>
      <c r="N2090" t="s">
        <v>885</v>
      </c>
    </row>
    <row r="2091" spans="1:14" x14ac:dyDescent="0.25">
      <c r="A2091" s="9" t="s">
        <v>5211</v>
      </c>
      <c r="B2091" s="10">
        <v>636</v>
      </c>
      <c r="C2091" s="10" t="s">
        <v>323</v>
      </c>
      <c r="D2091" t="s">
        <v>1377</v>
      </c>
      <c r="E2091" s="6" t="s">
        <v>1378</v>
      </c>
      <c r="F2091" s="11" t="s">
        <v>58</v>
      </c>
      <c r="G2091" s="2">
        <v>207.66810000000001</v>
      </c>
      <c r="H2091" s="13">
        <v>2</v>
      </c>
      <c r="I2091" s="13">
        <v>0</v>
      </c>
      <c r="J2091" s="13">
        <v>0</v>
      </c>
      <c r="K2091" s="10">
        <v>2</v>
      </c>
      <c r="L2091" s="2">
        <v>415.33620000000002</v>
      </c>
      <c r="M2091" s="1">
        <v>45400.477083333331</v>
      </c>
      <c r="N2091" t="s">
        <v>1379</v>
      </c>
    </row>
    <row r="2092" spans="1:14" x14ac:dyDescent="0.25">
      <c r="A2092" s="9" t="s">
        <v>5211</v>
      </c>
      <c r="B2092" s="10">
        <v>714</v>
      </c>
      <c r="C2092" s="10" t="s">
        <v>143</v>
      </c>
      <c r="D2092" t="s">
        <v>2786</v>
      </c>
      <c r="E2092" t="s">
        <v>2787</v>
      </c>
      <c r="F2092" s="10" t="s">
        <v>29</v>
      </c>
      <c r="G2092" s="2">
        <v>171.06809999999999</v>
      </c>
      <c r="H2092" s="13">
        <v>2</v>
      </c>
      <c r="I2092" s="13">
        <v>0</v>
      </c>
      <c r="J2092" s="13">
        <v>0</v>
      </c>
      <c r="K2092" s="10">
        <v>2</v>
      </c>
      <c r="L2092" s="2">
        <v>342.13619999999997</v>
      </c>
      <c r="M2092" s="1">
        <v>45406.614583333336</v>
      </c>
      <c r="N2092" t="s">
        <v>137</v>
      </c>
    </row>
    <row r="2093" spans="1:14" x14ac:dyDescent="0.25">
      <c r="A2093" s="9" t="s">
        <v>5211</v>
      </c>
      <c r="B2093" s="10">
        <v>634</v>
      </c>
      <c r="C2093" s="10" t="s">
        <v>323</v>
      </c>
      <c r="D2093" t="s">
        <v>447</v>
      </c>
      <c r="E2093" s="6" t="s">
        <v>448</v>
      </c>
      <c r="F2093" s="11" t="s">
        <v>58</v>
      </c>
      <c r="G2093" s="2">
        <v>294.096</v>
      </c>
      <c r="H2093" s="13">
        <v>2</v>
      </c>
      <c r="I2093" s="13">
        <v>0</v>
      </c>
      <c r="J2093" s="13">
        <v>0</v>
      </c>
      <c r="K2093" s="10">
        <v>2</v>
      </c>
      <c r="L2093" s="2">
        <v>588.19200000000001</v>
      </c>
      <c r="M2093" s="1">
        <v>45412.510416666664</v>
      </c>
      <c r="N2093" t="s">
        <v>178</v>
      </c>
    </row>
    <row r="2094" spans="1:14" x14ac:dyDescent="0.25">
      <c r="A2094" s="9" t="s">
        <v>5211</v>
      </c>
      <c r="B2094" s="10">
        <v>634</v>
      </c>
      <c r="C2094" s="10" t="s">
        <v>323</v>
      </c>
      <c r="D2094" t="s">
        <v>4330</v>
      </c>
      <c r="E2094" s="6" t="s">
        <v>4331</v>
      </c>
      <c r="F2094" s="11" t="s">
        <v>58</v>
      </c>
      <c r="G2094" s="2">
        <v>262.37860000000001</v>
      </c>
      <c r="H2094" s="13">
        <v>2</v>
      </c>
      <c r="I2094" s="13">
        <v>0</v>
      </c>
      <c r="J2094" s="13">
        <v>0</v>
      </c>
      <c r="K2094" s="10">
        <v>2</v>
      </c>
      <c r="L2094" s="2">
        <v>524.75720000000001</v>
      </c>
      <c r="M2094" s="1">
        <v>45432.619444444441</v>
      </c>
      <c r="N2094" t="s">
        <v>4332</v>
      </c>
    </row>
    <row r="2095" spans="1:14" x14ac:dyDescent="0.25">
      <c r="A2095" s="9" t="s">
        <v>5211</v>
      </c>
      <c r="B2095" s="10">
        <v>714</v>
      </c>
      <c r="C2095" s="10" t="s">
        <v>323</v>
      </c>
      <c r="D2095" t="s">
        <v>2970</v>
      </c>
      <c r="E2095" t="s">
        <v>2971</v>
      </c>
      <c r="F2095" s="10" t="s">
        <v>29</v>
      </c>
      <c r="G2095" s="2">
        <v>90.407600000000002</v>
      </c>
      <c r="H2095" s="13">
        <v>2</v>
      </c>
      <c r="I2095" s="13">
        <v>0</v>
      </c>
      <c r="J2095" s="13">
        <v>0</v>
      </c>
      <c r="K2095" s="10">
        <v>2</v>
      </c>
      <c r="L2095" s="2">
        <v>180.8152</v>
      </c>
      <c r="M2095" s="1">
        <v>45434.533333333333</v>
      </c>
      <c r="N2095" t="s">
        <v>2972</v>
      </c>
    </row>
    <row r="2096" spans="1:14" x14ac:dyDescent="0.25">
      <c r="A2096" s="9" t="s">
        <v>5211</v>
      </c>
      <c r="B2096" s="10">
        <v>714</v>
      </c>
      <c r="C2096" s="10" t="s">
        <v>12</v>
      </c>
      <c r="D2096" t="s">
        <v>1922</v>
      </c>
      <c r="E2096" t="s">
        <v>1923</v>
      </c>
      <c r="F2096" s="10" t="s">
        <v>35</v>
      </c>
      <c r="G2096" s="2">
        <v>25.916899999999998</v>
      </c>
      <c r="H2096" s="13">
        <v>2</v>
      </c>
      <c r="I2096" s="13">
        <v>0</v>
      </c>
      <c r="J2096" s="13">
        <v>0</v>
      </c>
      <c r="K2096" s="10">
        <v>2</v>
      </c>
      <c r="L2096" s="2">
        <v>51.833799999999997</v>
      </c>
      <c r="M2096" s="1">
        <v>45435.474999999999</v>
      </c>
      <c r="N2096" t="s">
        <v>67</v>
      </c>
    </row>
    <row r="2097" spans="1:14" x14ac:dyDescent="0.25">
      <c r="A2097" s="9" t="s">
        <v>5211</v>
      </c>
      <c r="B2097" s="10">
        <v>714</v>
      </c>
      <c r="C2097" s="10" t="s">
        <v>12</v>
      </c>
      <c r="D2097" t="s">
        <v>4677</v>
      </c>
      <c r="E2097" t="s">
        <v>4678</v>
      </c>
      <c r="F2097" s="10" t="s">
        <v>35</v>
      </c>
      <c r="G2097" s="2">
        <v>27.2942</v>
      </c>
      <c r="H2097" s="13">
        <v>2</v>
      </c>
      <c r="I2097" s="13">
        <v>0</v>
      </c>
      <c r="J2097" s="13">
        <v>0</v>
      </c>
      <c r="K2097" s="10">
        <v>2</v>
      </c>
      <c r="L2097" s="2">
        <v>54.5884</v>
      </c>
      <c r="M2097" s="1">
        <v>45437.344444444447</v>
      </c>
      <c r="N2097" t="s">
        <v>2234</v>
      </c>
    </row>
    <row r="2098" spans="1:14" x14ac:dyDescent="0.25">
      <c r="A2098" s="9" t="s">
        <v>5211</v>
      </c>
      <c r="B2098" s="10">
        <v>714</v>
      </c>
      <c r="C2098" s="10" t="s">
        <v>143</v>
      </c>
      <c r="D2098" t="s">
        <v>2380</v>
      </c>
      <c r="E2098" s="6" t="s">
        <v>2381</v>
      </c>
      <c r="F2098" s="11" t="s">
        <v>58</v>
      </c>
      <c r="G2098" s="2">
        <v>18.482099999999999</v>
      </c>
      <c r="H2098" s="13">
        <v>2</v>
      </c>
      <c r="I2098" s="13">
        <v>0</v>
      </c>
      <c r="J2098" s="13">
        <v>0</v>
      </c>
      <c r="K2098" s="10">
        <v>2</v>
      </c>
      <c r="L2098" s="2">
        <v>36.964199999999998</v>
      </c>
      <c r="M2098" s="1">
        <v>45440.651388888888</v>
      </c>
      <c r="N2098" t="s">
        <v>26</v>
      </c>
    </row>
    <row r="2099" spans="1:14" x14ac:dyDescent="0.25">
      <c r="A2099" s="9" t="s">
        <v>5211</v>
      </c>
      <c r="B2099" s="10">
        <v>718</v>
      </c>
      <c r="C2099" s="10" t="s">
        <v>323</v>
      </c>
      <c r="D2099" t="s">
        <v>3851</v>
      </c>
      <c r="E2099" t="s">
        <v>3852</v>
      </c>
      <c r="F2099" s="10" t="s">
        <v>29</v>
      </c>
      <c r="G2099" s="2">
        <v>177.96510000000001</v>
      </c>
      <c r="H2099" s="13">
        <v>2</v>
      </c>
      <c r="I2099" s="13">
        <v>0</v>
      </c>
      <c r="J2099" s="13">
        <v>0</v>
      </c>
      <c r="K2099" s="10">
        <v>2</v>
      </c>
      <c r="L2099" s="2">
        <v>355.93020000000001</v>
      </c>
      <c r="M2099" s="1">
        <v>45442.457638888889</v>
      </c>
      <c r="N2099" t="s">
        <v>151</v>
      </c>
    </row>
    <row r="2100" spans="1:14" x14ac:dyDescent="0.25">
      <c r="A2100" s="9" t="s">
        <v>5211</v>
      </c>
      <c r="B2100" s="10">
        <v>714</v>
      </c>
      <c r="C2100" s="10" t="s">
        <v>323</v>
      </c>
      <c r="D2100" t="s">
        <v>2826</v>
      </c>
      <c r="E2100" s="6" t="s">
        <v>2827</v>
      </c>
      <c r="F2100" s="11" t="s">
        <v>58</v>
      </c>
      <c r="G2100" s="2">
        <v>11.962</v>
      </c>
      <c r="H2100" s="13">
        <v>2</v>
      </c>
      <c r="I2100" s="13">
        <v>0</v>
      </c>
      <c r="J2100" s="13">
        <v>0</v>
      </c>
      <c r="K2100" s="10">
        <v>2</v>
      </c>
      <c r="L2100" s="2">
        <v>23.923999999999999</v>
      </c>
      <c r="M2100" s="1">
        <v>45444.660416666666</v>
      </c>
      <c r="N2100" t="s">
        <v>2225</v>
      </c>
    </row>
    <row r="2101" spans="1:14" x14ac:dyDescent="0.25">
      <c r="A2101" s="9" t="s">
        <v>5211</v>
      </c>
      <c r="B2101" s="10">
        <v>634</v>
      </c>
      <c r="C2101" s="10" t="s">
        <v>70</v>
      </c>
      <c r="D2101" t="s">
        <v>4042</v>
      </c>
      <c r="E2101" t="s">
        <v>4043</v>
      </c>
      <c r="F2101" s="10" t="s">
        <v>29</v>
      </c>
      <c r="G2101" s="2">
        <v>6.7081999999999997</v>
      </c>
      <c r="H2101" s="13">
        <v>2</v>
      </c>
      <c r="I2101" s="13">
        <v>21</v>
      </c>
      <c r="J2101" s="13">
        <v>-21</v>
      </c>
      <c r="K2101" s="10">
        <v>2</v>
      </c>
      <c r="L2101" s="2">
        <v>13.416399999999999</v>
      </c>
      <c r="M2101" s="1">
        <v>45448.510416666664</v>
      </c>
      <c r="N2101" t="s">
        <v>16</v>
      </c>
    </row>
    <row r="2102" spans="1:14" x14ac:dyDescent="0.25">
      <c r="A2102" s="9" t="s">
        <v>5211</v>
      </c>
      <c r="B2102" s="10">
        <v>714</v>
      </c>
      <c r="C2102" s="10" t="s">
        <v>323</v>
      </c>
      <c r="D2102" t="s">
        <v>3225</v>
      </c>
      <c r="E2102" t="s">
        <v>3226</v>
      </c>
      <c r="F2102" s="10" t="s">
        <v>35</v>
      </c>
      <c r="G2102" s="2">
        <v>141.81819999999999</v>
      </c>
      <c r="H2102" s="13">
        <v>2</v>
      </c>
      <c r="I2102" s="13">
        <v>0</v>
      </c>
      <c r="J2102" s="13">
        <v>0</v>
      </c>
      <c r="K2102" s="10">
        <v>2</v>
      </c>
      <c r="L2102" s="2">
        <v>283.63639999999998</v>
      </c>
      <c r="M2102" s="1">
        <v>45449.695138888892</v>
      </c>
      <c r="N2102" t="s">
        <v>1379</v>
      </c>
    </row>
    <row r="2103" spans="1:14" x14ac:dyDescent="0.25">
      <c r="A2103" s="9" t="s">
        <v>5211</v>
      </c>
      <c r="B2103" s="10">
        <v>718</v>
      </c>
      <c r="C2103" s="10" t="s">
        <v>143</v>
      </c>
      <c r="D2103" t="s">
        <v>4927</v>
      </c>
      <c r="E2103" t="s">
        <v>4928</v>
      </c>
      <c r="F2103" s="10" t="s">
        <v>15</v>
      </c>
      <c r="G2103" s="2">
        <v>16.132999999999999</v>
      </c>
      <c r="H2103" s="13">
        <v>2</v>
      </c>
      <c r="I2103" s="13">
        <v>49</v>
      </c>
      <c r="J2103" s="13">
        <v>-49</v>
      </c>
      <c r="K2103" s="10">
        <v>2</v>
      </c>
      <c r="L2103" s="2">
        <v>32.265999999999998</v>
      </c>
      <c r="M2103" s="1">
        <v>45450.803472222222</v>
      </c>
      <c r="N2103" t="s">
        <v>2225</v>
      </c>
    </row>
    <row r="2104" spans="1:14" x14ac:dyDescent="0.25">
      <c r="A2104" s="9" t="s">
        <v>5211</v>
      </c>
      <c r="B2104" s="10">
        <v>634</v>
      </c>
      <c r="C2104" s="10" t="s">
        <v>143</v>
      </c>
      <c r="D2104" t="s">
        <v>953</v>
      </c>
      <c r="E2104" s="6" t="s">
        <v>954</v>
      </c>
      <c r="F2104" s="11" t="s">
        <v>58</v>
      </c>
      <c r="G2104" s="2">
        <v>12.9754</v>
      </c>
      <c r="H2104" s="13">
        <v>2</v>
      </c>
      <c r="I2104" s="13">
        <v>11</v>
      </c>
      <c r="J2104" s="13">
        <v>-11</v>
      </c>
      <c r="K2104" s="10">
        <v>2</v>
      </c>
      <c r="L2104" s="2">
        <v>25.950800000000001</v>
      </c>
      <c r="M2104" s="1">
        <v>45456.411111111112</v>
      </c>
      <c r="N2104" t="s">
        <v>162</v>
      </c>
    </row>
    <row r="2105" spans="1:14" x14ac:dyDescent="0.25">
      <c r="A2105" s="9" t="s">
        <v>5211</v>
      </c>
      <c r="B2105" s="10">
        <v>718</v>
      </c>
      <c r="C2105" s="10" t="s">
        <v>143</v>
      </c>
      <c r="D2105" t="s">
        <v>2288</v>
      </c>
      <c r="E2105" t="s">
        <v>2289</v>
      </c>
      <c r="F2105" s="10" t="s">
        <v>29</v>
      </c>
      <c r="G2105" s="2">
        <v>24.197299999999998</v>
      </c>
      <c r="H2105" s="13">
        <v>2</v>
      </c>
      <c r="I2105" s="13">
        <v>0</v>
      </c>
      <c r="J2105" s="13">
        <v>0</v>
      </c>
      <c r="K2105" s="10">
        <v>2</v>
      </c>
      <c r="L2105" s="2">
        <v>48.394599999999997</v>
      </c>
      <c r="M2105" s="1">
        <v>45497.509027777778</v>
      </c>
      <c r="N2105" t="s">
        <v>195</v>
      </c>
    </row>
    <row r="2106" spans="1:14" x14ac:dyDescent="0.25">
      <c r="A2106" s="9" t="s">
        <v>5211</v>
      </c>
      <c r="B2106" s="10">
        <v>718</v>
      </c>
      <c r="C2106" s="10" t="s">
        <v>143</v>
      </c>
      <c r="D2106" t="s">
        <v>3786</v>
      </c>
      <c r="E2106" s="6" t="s">
        <v>3787</v>
      </c>
      <c r="F2106" s="11" t="s">
        <v>58</v>
      </c>
      <c r="G2106" s="2">
        <v>12.481400000000001</v>
      </c>
      <c r="H2106" s="13">
        <v>2</v>
      </c>
      <c r="I2106" s="13">
        <v>0</v>
      </c>
      <c r="J2106" s="13">
        <v>0</v>
      </c>
      <c r="K2106" s="10">
        <v>2</v>
      </c>
      <c r="L2106" s="2">
        <v>24.962800000000001</v>
      </c>
      <c r="M2106" s="1">
        <v>45517.629166666666</v>
      </c>
      <c r="N2106" t="s">
        <v>36</v>
      </c>
    </row>
    <row r="2107" spans="1:14" x14ac:dyDescent="0.25">
      <c r="A2107" s="9" t="s">
        <v>5211</v>
      </c>
      <c r="B2107" s="10">
        <v>718</v>
      </c>
      <c r="C2107" s="10" t="s">
        <v>143</v>
      </c>
      <c r="D2107" t="s">
        <v>3717</v>
      </c>
      <c r="E2107" t="s">
        <v>3718</v>
      </c>
      <c r="F2107" s="10" t="s">
        <v>29</v>
      </c>
      <c r="G2107" s="2">
        <v>96.578500000000005</v>
      </c>
      <c r="H2107" s="13">
        <v>2</v>
      </c>
      <c r="I2107" s="13">
        <v>-1</v>
      </c>
      <c r="J2107" s="13">
        <v>1</v>
      </c>
      <c r="K2107" s="10">
        <v>2</v>
      </c>
      <c r="L2107" s="2">
        <v>193.15700000000001</v>
      </c>
      <c r="M2107" s="1">
        <v>45517.629166666666</v>
      </c>
      <c r="N2107" t="s">
        <v>36</v>
      </c>
    </row>
    <row r="2108" spans="1:14" x14ac:dyDescent="0.25">
      <c r="A2108" s="9" t="s">
        <v>5211</v>
      </c>
      <c r="B2108" s="10">
        <v>634</v>
      </c>
      <c r="C2108" s="10" t="s">
        <v>70</v>
      </c>
      <c r="D2108" t="s">
        <v>4022</v>
      </c>
      <c r="E2108" s="6" t="s">
        <v>4023</v>
      </c>
      <c r="F2108" s="11" t="s">
        <v>58</v>
      </c>
      <c r="G2108" s="2">
        <v>5.5404</v>
      </c>
      <c r="H2108" s="13">
        <v>2</v>
      </c>
      <c r="I2108" s="13">
        <v>-10</v>
      </c>
      <c r="J2108" s="13">
        <v>10</v>
      </c>
      <c r="K2108" s="10">
        <v>2</v>
      </c>
      <c r="L2108" s="2">
        <v>11.0808</v>
      </c>
      <c r="M2108" s="1">
        <v>45560.802083333336</v>
      </c>
      <c r="N2108" t="s">
        <v>26</v>
      </c>
    </row>
    <row r="2109" spans="1:14" x14ac:dyDescent="0.25">
      <c r="A2109" s="9" t="s">
        <v>5211</v>
      </c>
      <c r="B2109" s="10">
        <v>636</v>
      </c>
      <c r="C2109" s="10" t="s">
        <v>323</v>
      </c>
      <c r="D2109" t="s">
        <v>1650</v>
      </c>
      <c r="E2109" s="6" t="s">
        <v>1651</v>
      </c>
      <c r="F2109" s="11" t="s">
        <v>58</v>
      </c>
      <c r="G2109" s="2">
        <v>101.9098</v>
      </c>
      <c r="H2109" s="13">
        <v>2</v>
      </c>
      <c r="I2109" s="13">
        <v>0</v>
      </c>
      <c r="J2109" s="13">
        <v>0</v>
      </c>
      <c r="K2109" s="10">
        <v>2</v>
      </c>
      <c r="L2109" s="2">
        <v>203.81960000000001</v>
      </c>
      <c r="M2109" s="1">
        <v>45582.601388888892</v>
      </c>
      <c r="N2109" t="s">
        <v>40</v>
      </c>
    </row>
    <row r="2110" spans="1:14" x14ac:dyDescent="0.25">
      <c r="A2110" s="9" t="s">
        <v>5211</v>
      </c>
      <c r="B2110" s="10">
        <v>714</v>
      </c>
      <c r="C2110" s="10" t="s">
        <v>323</v>
      </c>
      <c r="D2110" t="s">
        <v>3321</v>
      </c>
      <c r="E2110" s="6" t="s">
        <v>3322</v>
      </c>
      <c r="F2110" s="11" t="s">
        <v>58</v>
      </c>
      <c r="G2110" s="2">
        <v>292.22469999999998</v>
      </c>
      <c r="H2110" s="13">
        <v>2</v>
      </c>
      <c r="I2110" s="13">
        <v>0</v>
      </c>
      <c r="J2110" s="13">
        <v>0</v>
      </c>
      <c r="K2110" s="10">
        <v>2</v>
      </c>
      <c r="L2110" s="2">
        <v>584.44939999999997</v>
      </c>
      <c r="M2110" s="1">
        <v>45603.438194444447</v>
      </c>
      <c r="N2110" t="s">
        <v>3323</v>
      </c>
    </row>
    <row r="2111" spans="1:14" x14ac:dyDescent="0.25">
      <c r="A2111" s="9" t="s">
        <v>5211</v>
      </c>
      <c r="B2111" s="10">
        <v>714</v>
      </c>
      <c r="C2111" s="10" t="s">
        <v>323</v>
      </c>
      <c r="D2111" t="s">
        <v>3500</v>
      </c>
      <c r="E2111" s="6" t="s">
        <v>3501</v>
      </c>
      <c r="F2111" s="11" t="s">
        <v>58</v>
      </c>
      <c r="G2111" s="2">
        <v>209.22499999999999</v>
      </c>
      <c r="H2111" s="13">
        <v>2</v>
      </c>
      <c r="I2111" s="13">
        <v>0</v>
      </c>
      <c r="J2111" s="13">
        <v>0</v>
      </c>
      <c r="K2111" s="10">
        <v>2</v>
      </c>
      <c r="L2111" s="2">
        <v>418.45</v>
      </c>
      <c r="M2111" s="1">
        <v>45612.46597222222</v>
      </c>
      <c r="N2111" t="s">
        <v>345</v>
      </c>
    </row>
    <row r="2112" spans="1:14" x14ac:dyDescent="0.25">
      <c r="A2112" s="9" t="s">
        <v>5211</v>
      </c>
      <c r="B2112" s="10">
        <v>714</v>
      </c>
      <c r="C2112" s="10" t="s">
        <v>323</v>
      </c>
      <c r="D2112" t="s">
        <v>5037</v>
      </c>
      <c r="E2112" t="s">
        <v>5038</v>
      </c>
      <c r="F2112" s="10" t="s">
        <v>23</v>
      </c>
      <c r="G2112" s="2">
        <v>127.1528</v>
      </c>
      <c r="H2112" s="13">
        <v>2</v>
      </c>
      <c r="I2112" s="13">
        <v>5</v>
      </c>
      <c r="J2112" s="13">
        <v>-5</v>
      </c>
      <c r="K2112" s="10">
        <v>2</v>
      </c>
      <c r="L2112" s="2">
        <v>254.3056</v>
      </c>
      <c r="M2112" s="1">
        <v>45707.559027777781</v>
      </c>
      <c r="N2112" t="s">
        <v>159</v>
      </c>
    </row>
    <row r="2113" spans="1:14" x14ac:dyDescent="0.25">
      <c r="A2113" s="9" t="s">
        <v>5211</v>
      </c>
      <c r="B2113" s="10">
        <v>634</v>
      </c>
      <c r="C2113" s="10" t="s">
        <v>323</v>
      </c>
      <c r="D2113" t="s">
        <v>377</v>
      </c>
      <c r="E2113" t="s">
        <v>378</v>
      </c>
      <c r="F2113" s="10" t="s">
        <v>19</v>
      </c>
      <c r="G2113" s="2">
        <v>313.18079999999998</v>
      </c>
      <c r="H2113" s="13">
        <v>2</v>
      </c>
      <c r="I2113" s="13">
        <v>0</v>
      </c>
      <c r="J2113" s="13">
        <v>0</v>
      </c>
      <c r="K2113" s="10">
        <v>2</v>
      </c>
      <c r="L2113" s="2">
        <v>626.36159999999995</v>
      </c>
      <c r="M2113" s="1">
        <v>45712.435416666667</v>
      </c>
      <c r="N2113" t="s">
        <v>159</v>
      </c>
    </row>
    <row r="2114" spans="1:14" x14ac:dyDescent="0.25">
      <c r="A2114" s="9" t="s">
        <v>5211</v>
      </c>
      <c r="B2114" s="10">
        <v>634</v>
      </c>
      <c r="C2114" s="10" t="s">
        <v>323</v>
      </c>
      <c r="D2114" t="s">
        <v>468</v>
      </c>
      <c r="E2114" t="s">
        <v>469</v>
      </c>
      <c r="F2114" s="10" t="s">
        <v>29</v>
      </c>
      <c r="G2114" s="2">
        <v>166.23679999999999</v>
      </c>
      <c r="H2114" s="13">
        <v>2</v>
      </c>
      <c r="I2114" s="13">
        <v>0</v>
      </c>
      <c r="J2114" s="13">
        <v>0</v>
      </c>
      <c r="K2114" s="10">
        <v>2</v>
      </c>
      <c r="L2114" s="2">
        <v>332.47359999999998</v>
      </c>
      <c r="M2114" s="1">
        <v>45715.536805555559</v>
      </c>
      <c r="N2114" t="s">
        <v>159</v>
      </c>
    </row>
    <row r="2115" spans="1:14" x14ac:dyDescent="0.25">
      <c r="A2115" s="9" t="s">
        <v>5211</v>
      </c>
      <c r="B2115" s="10">
        <v>636</v>
      </c>
      <c r="C2115" s="10" t="s">
        <v>323</v>
      </c>
      <c r="D2115" t="s">
        <v>1318</v>
      </c>
      <c r="E2115" t="s">
        <v>1319</v>
      </c>
      <c r="F2115" s="10" t="s">
        <v>35</v>
      </c>
      <c r="G2115" s="2">
        <v>178.17529999999999</v>
      </c>
      <c r="H2115" s="13">
        <v>2</v>
      </c>
      <c r="I2115" s="13">
        <v>1</v>
      </c>
      <c r="J2115" s="13">
        <v>-1</v>
      </c>
      <c r="K2115" s="10">
        <v>2</v>
      </c>
      <c r="L2115" s="2">
        <v>356.35059999999999</v>
      </c>
      <c r="M2115" s="1">
        <v>45721.288888888892</v>
      </c>
      <c r="N2115" t="s">
        <v>137</v>
      </c>
    </row>
    <row r="2116" spans="1:14" x14ac:dyDescent="0.25">
      <c r="A2116" s="9" t="s">
        <v>5211</v>
      </c>
      <c r="B2116" s="10">
        <v>714</v>
      </c>
      <c r="C2116" s="10" t="s">
        <v>323</v>
      </c>
      <c r="D2116" t="s">
        <v>3393</v>
      </c>
      <c r="E2116" t="s">
        <v>3394</v>
      </c>
      <c r="F2116" s="10" t="s">
        <v>29</v>
      </c>
      <c r="G2116" s="2">
        <v>196.85679999999999</v>
      </c>
      <c r="H2116" s="13">
        <v>2</v>
      </c>
      <c r="I2116" s="13">
        <v>0</v>
      </c>
      <c r="J2116" s="13">
        <v>0</v>
      </c>
      <c r="K2116" s="10">
        <v>2</v>
      </c>
      <c r="L2116" s="2">
        <v>393.71359999999999</v>
      </c>
      <c r="M2116" s="1">
        <v>45726.532638888886</v>
      </c>
      <c r="N2116" t="s">
        <v>2379</v>
      </c>
    </row>
    <row r="2117" spans="1:14" x14ac:dyDescent="0.25">
      <c r="A2117" s="9" t="s">
        <v>5211</v>
      </c>
      <c r="B2117" s="10">
        <v>714</v>
      </c>
      <c r="C2117" s="10" t="s">
        <v>323</v>
      </c>
      <c r="D2117" t="s">
        <v>5105</v>
      </c>
      <c r="E2117" t="s">
        <v>5106</v>
      </c>
      <c r="F2117" s="10" t="s">
        <v>29</v>
      </c>
      <c r="G2117" s="2">
        <v>225.8064</v>
      </c>
      <c r="H2117" s="13">
        <v>2</v>
      </c>
      <c r="I2117" s="13">
        <v>0</v>
      </c>
      <c r="J2117" s="13">
        <v>0</v>
      </c>
      <c r="K2117" s="10">
        <v>2</v>
      </c>
      <c r="L2117" s="2">
        <v>451.61279999999999</v>
      </c>
      <c r="M2117" s="1">
        <v>45726.532638888886</v>
      </c>
      <c r="N2117" t="s">
        <v>2379</v>
      </c>
    </row>
    <row r="2118" spans="1:14" x14ac:dyDescent="0.25">
      <c r="A2118" s="9" t="s">
        <v>5211</v>
      </c>
      <c r="B2118" s="10">
        <v>714</v>
      </c>
      <c r="C2118" s="10" t="s">
        <v>323</v>
      </c>
      <c r="D2118" t="s">
        <v>3037</v>
      </c>
      <c r="E2118" t="s">
        <v>3038</v>
      </c>
      <c r="F2118" s="10" t="s">
        <v>29</v>
      </c>
      <c r="G2118" s="2">
        <v>109.49120000000001</v>
      </c>
      <c r="H2118" s="13">
        <v>2</v>
      </c>
      <c r="I2118" s="13">
        <v>0</v>
      </c>
      <c r="J2118" s="13">
        <v>0</v>
      </c>
      <c r="K2118" s="10">
        <v>2</v>
      </c>
      <c r="L2118" s="2">
        <v>218.98240000000001</v>
      </c>
      <c r="M2118" s="1">
        <v>45729.45</v>
      </c>
      <c r="N2118" t="s">
        <v>2384</v>
      </c>
    </row>
    <row r="2119" spans="1:14" x14ac:dyDescent="0.25">
      <c r="A2119" s="9" t="s">
        <v>5211</v>
      </c>
      <c r="B2119" s="10">
        <v>714</v>
      </c>
      <c r="C2119" s="10" t="s">
        <v>143</v>
      </c>
      <c r="D2119" t="s">
        <v>2382</v>
      </c>
      <c r="E2119" s="6" t="s">
        <v>2383</v>
      </c>
      <c r="F2119" s="11" t="s">
        <v>58</v>
      </c>
      <c r="G2119" s="2">
        <v>102.23439999999999</v>
      </c>
      <c r="H2119" s="13">
        <v>2</v>
      </c>
      <c r="I2119" s="13">
        <v>0</v>
      </c>
      <c r="J2119" s="13">
        <v>0</v>
      </c>
      <c r="K2119" s="10">
        <v>2</v>
      </c>
      <c r="L2119" s="2">
        <v>204.46879999999999</v>
      </c>
      <c r="M2119" s="1">
        <v>45729.45</v>
      </c>
      <c r="N2119" t="s">
        <v>2384</v>
      </c>
    </row>
    <row r="2120" spans="1:14" x14ac:dyDescent="0.25">
      <c r="A2120" s="9" t="s">
        <v>5211</v>
      </c>
      <c r="B2120" s="10">
        <v>714</v>
      </c>
      <c r="C2120" s="10" t="s">
        <v>323</v>
      </c>
      <c r="D2120" t="s">
        <v>5087</v>
      </c>
      <c r="E2120" t="s">
        <v>5088</v>
      </c>
      <c r="F2120" s="10" t="s">
        <v>1047</v>
      </c>
      <c r="G2120" s="2">
        <v>165.30619999999999</v>
      </c>
      <c r="H2120" s="13">
        <v>2</v>
      </c>
      <c r="I2120" s="13">
        <v>-1</v>
      </c>
      <c r="J2120" s="13">
        <v>1</v>
      </c>
      <c r="K2120" s="10">
        <v>2</v>
      </c>
      <c r="L2120" s="2">
        <v>330.61239999999998</v>
      </c>
      <c r="M2120" s="1">
        <v>45733.640277777777</v>
      </c>
      <c r="N2120" t="s">
        <v>137</v>
      </c>
    </row>
    <row r="2121" spans="1:14" x14ac:dyDescent="0.25">
      <c r="A2121" s="9" t="s">
        <v>5211</v>
      </c>
      <c r="B2121" s="10">
        <v>714</v>
      </c>
      <c r="C2121" s="10" t="s">
        <v>323</v>
      </c>
      <c r="D2121" t="s">
        <v>3113</v>
      </c>
      <c r="E2121" t="s">
        <v>3114</v>
      </c>
      <c r="F2121" s="10" t="s">
        <v>29</v>
      </c>
      <c r="G2121" s="2">
        <v>215.8289</v>
      </c>
      <c r="H2121" s="13">
        <v>2</v>
      </c>
      <c r="I2121" s="13">
        <v>0</v>
      </c>
      <c r="J2121" s="13">
        <v>0</v>
      </c>
      <c r="K2121" s="10">
        <v>2</v>
      </c>
      <c r="L2121" s="2">
        <v>431.65780000000001</v>
      </c>
      <c r="M2121" s="1">
        <v>45733.640277777777</v>
      </c>
      <c r="N2121" t="s">
        <v>137</v>
      </c>
    </row>
    <row r="2122" spans="1:14" x14ac:dyDescent="0.25">
      <c r="A2122" s="9" t="s">
        <v>5211</v>
      </c>
      <c r="B2122" s="10">
        <v>714</v>
      </c>
      <c r="C2122" s="10" t="s">
        <v>143</v>
      </c>
      <c r="D2122" t="s">
        <v>4857</v>
      </c>
      <c r="E2122" t="s">
        <v>4858</v>
      </c>
      <c r="F2122" s="10" t="s">
        <v>29</v>
      </c>
      <c r="G2122" s="2">
        <v>22.922799999999999</v>
      </c>
      <c r="H2122" s="13">
        <v>2</v>
      </c>
      <c r="I2122" s="13">
        <v>6</v>
      </c>
      <c r="J2122" s="13">
        <v>-6</v>
      </c>
      <c r="K2122" s="10">
        <v>2</v>
      </c>
      <c r="L2122" s="2">
        <v>45.845599999999997</v>
      </c>
      <c r="M2122" s="1">
        <v>45735.504166666666</v>
      </c>
      <c r="N2122" t="s">
        <v>30</v>
      </c>
    </row>
    <row r="2123" spans="1:14" x14ac:dyDescent="0.25">
      <c r="A2123" s="9" t="s">
        <v>5211</v>
      </c>
      <c r="B2123" s="10">
        <v>714</v>
      </c>
      <c r="C2123" s="10" t="s">
        <v>143</v>
      </c>
      <c r="D2123" t="s">
        <v>4879</v>
      </c>
      <c r="E2123" t="s">
        <v>4880</v>
      </c>
      <c r="F2123" s="10" t="s">
        <v>29</v>
      </c>
      <c r="G2123" s="2">
        <v>91.442099999999996</v>
      </c>
      <c r="H2123" s="13">
        <v>2</v>
      </c>
      <c r="I2123" s="13">
        <v>0</v>
      </c>
      <c r="J2123" s="13">
        <v>0</v>
      </c>
      <c r="K2123" s="10">
        <v>2</v>
      </c>
      <c r="L2123" s="2">
        <v>182.88419999999999</v>
      </c>
      <c r="M2123" s="1">
        <v>45735.504166666666</v>
      </c>
      <c r="N2123" t="s">
        <v>30</v>
      </c>
    </row>
    <row r="2124" spans="1:14" x14ac:dyDescent="0.25">
      <c r="A2124" s="9" t="s">
        <v>5211</v>
      </c>
      <c r="B2124" s="10">
        <v>718</v>
      </c>
      <c r="C2124" s="10" t="s">
        <v>143</v>
      </c>
      <c r="D2124" t="s">
        <v>3798</v>
      </c>
      <c r="E2124" t="s">
        <v>3799</v>
      </c>
      <c r="F2124" s="10" t="s">
        <v>15</v>
      </c>
      <c r="G2124" s="2">
        <v>19.918199999999999</v>
      </c>
      <c r="H2124" s="13">
        <v>2</v>
      </c>
      <c r="I2124" s="13">
        <v>0</v>
      </c>
      <c r="J2124" s="13">
        <v>0</v>
      </c>
      <c r="K2124" s="10">
        <v>2</v>
      </c>
      <c r="L2124" s="2">
        <v>39.836399999999998</v>
      </c>
      <c r="M2124" s="1">
        <v>45735.504861111112</v>
      </c>
      <c r="N2124" t="s">
        <v>30</v>
      </c>
    </row>
    <row r="2125" spans="1:14" x14ac:dyDescent="0.25">
      <c r="A2125" s="9" t="s">
        <v>5211</v>
      </c>
      <c r="B2125" s="10">
        <v>714</v>
      </c>
      <c r="C2125" s="10" t="s">
        <v>323</v>
      </c>
      <c r="D2125" t="s">
        <v>5045</v>
      </c>
      <c r="E2125" t="s">
        <v>5046</v>
      </c>
      <c r="F2125" s="10" t="s">
        <v>19</v>
      </c>
      <c r="G2125" s="2">
        <v>130.81059999999999</v>
      </c>
      <c r="H2125" s="13">
        <v>2</v>
      </c>
      <c r="I2125" s="13">
        <v>0</v>
      </c>
      <c r="J2125" s="13">
        <v>0</v>
      </c>
      <c r="K2125" s="10">
        <v>2</v>
      </c>
      <c r="L2125" s="2">
        <v>261.62119999999999</v>
      </c>
      <c r="M2125" s="1">
        <v>45736.376388888886</v>
      </c>
      <c r="N2125" t="s">
        <v>1234</v>
      </c>
    </row>
    <row r="2126" spans="1:14" x14ac:dyDescent="0.25">
      <c r="A2126" s="9" t="s">
        <v>5211</v>
      </c>
      <c r="B2126" s="10">
        <v>714</v>
      </c>
      <c r="C2126" s="10" t="s">
        <v>143</v>
      </c>
      <c r="D2126" t="s">
        <v>2661</v>
      </c>
      <c r="E2126" s="6" t="s">
        <v>2662</v>
      </c>
      <c r="F2126" s="11" t="s">
        <v>58</v>
      </c>
      <c r="G2126" s="2">
        <v>33.799500000000002</v>
      </c>
      <c r="H2126" s="13">
        <v>2</v>
      </c>
      <c r="I2126" s="13">
        <v>0</v>
      </c>
      <c r="J2126" s="13">
        <v>0</v>
      </c>
      <c r="K2126" s="10">
        <v>2</v>
      </c>
      <c r="L2126" s="2">
        <v>67.599000000000004</v>
      </c>
      <c r="M2126" s="1">
        <v>45737.652083333334</v>
      </c>
      <c r="N2126" t="s">
        <v>216</v>
      </c>
    </row>
    <row r="2127" spans="1:14" x14ac:dyDescent="0.25">
      <c r="A2127" s="9" t="s">
        <v>5211</v>
      </c>
      <c r="B2127" s="10">
        <v>714</v>
      </c>
      <c r="C2127" s="10" t="s">
        <v>143</v>
      </c>
      <c r="D2127" t="s">
        <v>1114</v>
      </c>
      <c r="E2127" t="s">
        <v>1115</v>
      </c>
      <c r="F2127" s="10" t="s">
        <v>29</v>
      </c>
      <c r="G2127" s="2">
        <v>59.114600000000003</v>
      </c>
      <c r="H2127" s="13">
        <v>2</v>
      </c>
      <c r="I2127" s="13">
        <v>0</v>
      </c>
      <c r="J2127" s="13">
        <v>0</v>
      </c>
      <c r="K2127" s="10">
        <v>2</v>
      </c>
      <c r="L2127" s="2">
        <v>118.22920000000001</v>
      </c>
      <c r="M2127" s="1">
        <v>45740.375694444447</v>
      </c>
      <c r="N2127" t="s">
        <v>885</v>
      </c>
    </row>
    <row r="2128" spans="1:14" x14ac:dyDescent="0.25">
      <c r="A2128" s="9" t="s">
        <v>5211</v>
      </c>
      <c r="B2128" s="10">
        <v>718</v>
      </c>
      <c r="C2128" s="10" t="s">
        <v>143</v>
      </c>
      <c r="D2128" t="s">
        <v>2715</v>
      </c>
      <c r="E2128" t="s">
        <v>2716</v>
      </c>
      <c r="F2128" s="10" t="s">
        <v>23</v>
      </c>
      <c r="G2128" s="2">
        <v>31.3504</v>
      </c>
      <c r="H2128" s="13">
        <v>2</v>
      </c>
      <c r="I2128" s="13">
        <v>0</v>
      </c>
      <c r="J2128" s="13">
        <v>0</v>
      </c>
      <c r="K2128" s="10">
        <v>2</v>
      </c>
      <c r="L2128" s="2">
        <v>62.700800000000001</v>
      </c>
      <c r="M2128" s="1">
        <v>45741.429166666669</v>
      </c>
      <c r="N2128" t="s">
        <v>1870</v>
      </c>
    </row>
    <row r="2129" spans="1:14" x14ac:dyDescent="0.25">
      <c r="A2129" s="9" t="s">
        <v>5211</v>
      </c>
      <c r="B2129" s="10">
        <v>718</v>
      </c>
      <c r="C2129" s="10" t="s">
        <v>323</v>
      </c>
      <c r="D2129" t="s">
        <v>3950</v>
      </c>
      <c r="E2129" s="6" t="s">
        <v>3951</v>
      </c>
      <c r="F2129" s="11" t="s">
        <v>58</v>
      </c>
      <c r="G2129" s="2">
        <v>103.4637</v>
      </c>
      <c r="H2129" s="13">
        <v>2</v>
      </c>
      <c r="I2129" s="13">
        <v>0</v>
      </c>
      <c r="J2129" s="13">
        <v>0</v>
      </c>
      <c r="K2129" s="10">
        <v>2</v>
      </c>
      <c r="L2129" s="2">
        <v>206.92740000000001</v>
      </c>
      <c r="M2129" s="1">
        <v>45745.640277777777</v>
      </c>
      <c r="N2129" t="s">
        <v>67</v>
      </c>
    </row>
    <row r="2130" spans="1:14" x14ac:dyDescent="0.25">
      <c r="A2130" s="9" t="s">
        <v>5211</v>
      </c>
      <c r="B2130" s="10">
        <v>718</v>
      </c>
      <c r="C2130" s="10" t="s">
        <v>323</v>
      </c>
      <c r="D2130" t="s">
        <v>3845</v>
      </c>
      <c r="E2130" t="s">
        <v>3846</v>
      </c>
      <c r="F2130" s="10" t="s">
        <v>29</v>
      </c>
      <c r="G2130" s="2">
        <v>93.764499999999998</v>
      </c>
      <c r="H2130" s="13">
        <v>2</v>
      </c>
      <c r="I2130" s="13">
        <v>0</v>
      </c>
      <c r="J2130" s="13">
        <v>0</v>
      </c>
      <c r="K2130" s="10">
        <v>2</v>
      </c>
      <c r="L2130" s="2">
        <v>187.529</v>
      </c>
      <c r="M2130" s="1">
        <v>45747.67291666667</v>
      </c>
      <c r="N2130" t="s">
        <v>2358</v>
      </c>
    </row>
    <row r="2131" spans="1:14" x14ac:dyDescent="0.25">
      <c r="A2131" s="9" t="s">
        <v>5211</v>
      </c>
      <c r="B2131" s="10">
        <v>718</v>
      </c>
      <c r="C2131" s="10" t="s">
        <v>323</v>
      </c>
      <c r="D2131" t="s">
        <v>3871</v>
      </c>
      <c r="E2131" s="6" t="s">
        <v>3872</v>
      </c>
      <c r="F2131" s="11" t="s">
        <v>58</v>
      </c>
      <c r="G2131" s="2">
        <v>208.8391</v>
      </c>
      <c r="H2131" s="13">
        <v>2</v>
      </c>
      <c r="I2131" s="13">
        <v>0</v>
      </c>
      <c r="J2131" s="13">
        <v>0</v>
      </c>
      <c r="K2131" s="10">
        <v>2</v>
      </c>
      <c r="L2131" s="2">
        <v>417.6782</v>
      </c>
      <c r="M2131" s="1">
        <v>45747.67291666667</v>
      </c>
      <c r="N2131" t="s">
        <v>2358</v>
      </c>
    </row>
    <row r="2132" spans="1:14" x14ac:dyDescent="0.25">
      <c r="A2132" s="9" t="s">
        <v>5211</v>
      </c>
      <c r="B2132" s="10">
        <v>718</v>
      </c>
      <c r="C2132" s="10" t="s">
        <v>143</v>
      </c>
      <c r="D2132" t="s">
        <v>2786</v>
      </c>
      <c r="E2132" t="s">
        <v>2787</v>
      </c>
      <c r="F2132" s="10" t="s">
        <v>19</v>
      </c>
      <c r="G2132" s="2">
        <v>177.9331</v>
      </c>
      <c r="H2132" s="13">
        <v>2</v>
      </c>
      <c r="I2132" s="13">
        <v>0</v>
      </c>
      <c r="J2132" s="13">
        <v>0</v>
      </c>
      <c r="K2132" s="10">
        <v>2</v>
      </c>
      <c r="L2132" s="2">
        <v>355.86619999999999</v>
      </c>
      <c r="M2132" s="1">
        <v>45747.695138888892</v>
      </c>
      <c r="N2132" t="s">
        <v>137</v>
      </c>
    </row>
    <row r="2133" spans="1:14" x14ac:dyDescent="0.25">
      <c r="A2133" s="9" t="s">
        <v>5211</v>
      </c>
      <c r="B2133" s="10">
        <v>714</v>
      </c>
      <c r="C2133" s="10" t="s">
        <v>323</v>
      </c>
      <c r="D2133" t="s">
        <v>3458</v>
      </c>
      <c r="E2133" t="s">
        <v>3459</v>
      </c>
      <c r="F2133" s="10" t="s">
        <v>29</v>
      </c>
      <c r="G2133" s="2">
        <v>94.157499999999999</v>
      </c>
      <c r="H2133" s="13">
        <v>2</v>
      </c>
      <c r="I2133" s="13">
        <v>-4</v>
      </c>
      <c r="J2133" s="13">
        <v>4</v>
      </c>
      <c r="K2133" s="10">
        <v>2</v>
      </c>
      <c r="L2133" s="2">
        <v>188.315</v>
      </c>
      <c r="M2133" s="1">
        <v>45749.481944444444</v>
      </c>
      <c r="N2133" t="s">
        <v>2423</v>
      </c>
    </row>
    <row r="2134" spans="1:14" x14ac:dyDescent="0.25">
      <c r="A2134" s="9" t="s">
        <v>5211</v>
      </c>
      <c r="B2134" s="10">
        <v>714</v>
      </c>
      <c r="C2134" s="10" t="s">
        <v>143</v>
      </c>
      <c r="D2134" t="s">
        <v>2356</v>
      </c>
      <c r="E2134" t="s">
        <v>2357</v>
      </c>
      <c r="F2134" s="10" t="s">
        <v>29</v>
      </c>
      <c r="G2134" s="2">
        <v>39.3842</v>
      </c>
      <c r="H2134" s="13">
        <v>2</v>
      </c>
      <c r="I2134" s="13">
        <v>0</v>
      </c>
      <c r="J2134" s="13">
        <v>0</v>
      </c>
      <c r="K2134" s="10">
        <v>2</v>
      </c>
      <c r="L2134" s="2">
        <v>78.7684</v>
      </c>
      <c r="M2134" s="1">
        <v>45749.493750000001</v>
      </c>
      <c r="N2134" t="s">
        <v>2358</v>
      </c>
    </row>
    <row r="2135" spans="1:14" x14ac:dyDescent="0.25">
      <c r="A2135" s="9" t="s">
        <v>5211</v>
      </c>
      <c r="B2135" s="10">
        <v>714</v>
      </c>
      <c r="C2135" s="10" t="s">
        <v>323</v>
      </c>
      <c r="D2135" t="s">
        <v>3407</v>
      </c>
      <c r="E2135" t="s">
        <v>3408</v>
      </c>
      <c r="F2135" s="10" t="s">
        <v>23</v>
      </c>
      <c r="G2135" s="2">
        <v>119.6156</v>
      </c>
      <c r="H2135" s="13">
        <v>2</v>
      </c>
      <c r="I2135" s="13">
        <v>0</v>
      </c>
      <c r="J2135" s="13">
        <v>0</v>
      </c>
      <c r="K2135" s="10">
        <v>2</v>
      </c>
      <c r="L2135" s="2">
        <v>239.2312</v>
      </c>
      <c r="M2135" s="1">
        <v>45749.506249999999</v>
      </c>
      <c r="N2135" t="s">
        <v>137</v>
      </c>
    </row>
    <row r="2136" spans="1:14" x14ac:dyDescent="0.25">
      <c r="A2136" s="9" t="s">
        <v>5211</v>
      </c>
      <c r="B2136" s="10">
        <v>718</v>
      </c>
      <c r="C2136" s="10" t="s">
        <v>323</v>
      </c>
      <c r="D2136" t="s">
        <v>3865</v>
      </c>
      <c r="E2136" s="6" t="s">
        <v>3866</v>
      </c>
      <c r="F2136" s="11" t="s">
        <v>58</v>
      </c>
      <c r="G2136" s="2">
        <v>43.3459</v>
      </c>
      <c r="H2136" s="13">
        <v>2</v>
      </c>
      <c r="I2136" s="13">
        <v>0</v>
      </c>
      <c r="J2136" s="13">
        <v>0</v>
      </c>
      <c r="K2136" s="10">
        <v>2</v>
      </c>
      <c r="L2136" s="2">
        <v>86.691800000000001</v>
      </c>
      <c r="M2136" s="1">
        <v>45749.648611111108</v>
      </c>
      <c r="N2136" t="s">
        <v>162</v>
      </c>
    </row>
    <row r="2137" spans="1:14" x14ac:dyDescent="0.25">
      <c r="A2137" s="9" t="s">
        <v>5211</v>
      </c>
      <c r="B2137" s="10">
        <v>718</v>
      </c>
      <c r="C2137" s="10" t="s">
        <v>323</v>
      </c>
      <c r="D2137" t="s">
        <v>3869</v>
      </c>
      <c r="E2137" s="6" t="s">
        <v>3870</v>
      </c>
      <c r="F2137" s="11" t="s">
        <v>58</v>
      </c>
      <c r="G2137" s="2">
        <v>350.21640000000002</v>
      </c>
      <c r="H2137" s="13">
        <v>2</v>
      </c>
      <c r="I2137" s="13">
        <v>0</v>
      </c>
      <c r="J2137" s="13">
        <v>0</v>
      </c>
      <c r="K2137" s="10">
        <v>2</v>
      </c>
      <c r="L2137" s="2">
        <v>700.43280000000004</v>
      </c>
      <c r="M2137" s="1">
        <v>45751.377083333333</v>
      </c>
      <c r="N2137" t="s">
        <v>178</v>
      </c>
    </row>
    <row r="2138" spans="1:14" x14ac:dyDescent="0.25">
      <c r="A2138" s="9" t="s">
        <v>5211</v>
      </c>
      <c r="B2138" s="10">
        <v>636</v>
      </c>
      <c r="C2138" s="10" t="s">
        <v>143</v>
      </c>
      <c r="D2138" t="s">
        <v>1013</v>
      </c>
      <c r="E2138" s="6" t="s">
        <v>1014</v>
      </c>
      <c r="F2138" s="11" t="s">
        <v>58</v>
      </c>
      <c r="G2138" s="2">
        <v>142.10040000000001</v>
      </c>
      <c r="H2138" s="13">
        <v>2</v>
      </c>
      <c r="I2138" s="13">
        <v>0</v>
      </c>
      <c r="J2138" s="13">
        <v>0</v>
      </c>
      <c r="K2138" s="10">
        <v>2</v>
      </c>
      <c r="L2138" s="2">
        <v>284.20080000000002</v>
      </c>
      <c r="M2138" s="1">
        <v>45755.318055555559</v>
      </c>
      <c r="N2138" t="s">
        <v>178</v>
      </c>
    </row>
    <row r="2139" spans="1:14" x14ac:dyDescent="0.25">
      <c r="A2139" s="9" t="s">
        <v>5211</v>
      </c>
      <c r="B2139" s="10">
        <v>636</v>
      </c>
      <c r="C2139" s="10" t="s">
        <v>1749</v>
      </c>
      <c r="D2139" t="s">
        <v>1760</v>
      </c>
      <c r="E2139" t="s">
        <v>1761</v>
      </c>
      <c r="F2139" s="10" t="s">
        <v>29</v>
      </c>
      <c r="G2139" s="2">
        <v>21.516200000000001</v>
      </c>
      <c r="H2139" s="13">
        <v>2</v>
      </c>
      <c r="I2139" s="13">
        <v>-31</v>
      </c>
      <c r="J2139" s="13">
        <v>31</v>
      </c>
      <c r="K2139" s="10">
        <v>2</v>
      </c>
      <c r="L2139" s="2">
        <v>43.032400000000003</v>
      </c>
      <c r="M2139" s="1">
        <v>45761.496527777781</v>
      </c>
      <c r="N2139" t="s">
        <v>599</v>
      </c>
    </row>
    <row r="2140" spans="1:14" x14ac:dyDescent="0.25">
      <c r="A2140" s="9" t="s">
        <v>5211</v>
      </c>
      <c r="B2140" s="10">
        <v>718</v>
      </c>
      <c r="C2140" s="10" t="s">
        <v>323</v>
      </c>
      <c r="D2140" t="s">
        <v>3954</v>
      </c>
      <c r="E2140" t="s">
        <v>3955</v>
      </c>
      <c r="F2140" s="10" t="s">
        <v>29</v>
      </c>
      <c r="G2140" s="2">
        <v>129.16900000000001</v>
      </c>
      <c r="H2140" s="13">
        <v>2</v>
      </c>
      <c r="I2140" s="13">
        <v>-1</v>
      </c>
      <c r="J2140" s="13">
        <v>1</v>
      </c>
      <c r="K2140" s="10">
        <v>2</v>
      </c>
      <c r="L2140" s="2">
        <v>258.33800000000002</v>
      </c>
      <c r="M2140" s="1">
        <v>45761.745833333334</v>
      </c>
      <c r="N2140" t="s">
        <v>2898</v>
      </c>
    </row>
    <row r="2141" spans="1:14" x14ac:dyDescent="0.25">
      <c r="A2141" s="9" t="s">
        <v>5211</v>
      </c>
      <c r="B2141" s="10">
        <v>718</v>
      </c>
      <c r="C2141" s="10" t="s">
        <v>323</v>
      </c>
      <c r="D2141" t="s">
        <v>3020</v>
      </c>
      <c r="E2141" s="6" t="s">
        <v>3021</v>
      </c>
      <c r="F2141" s="11" t="s">
        <v>58</v>
      </c>
      <c r="G2141" s="2">
        <v>129.16900000000001</v>
      </c>
      <c r="H2141" s="13">
        <v>2</v>
      </c>
      <c r="I2141" s="13">
        <v>0</v>
      </c>
      <c r="J2141" s="13">
        <v>0</v>
      </c>
      <c r="K2141" s="10">
        <v>2</v>
      </c>
      <c r="L2141" s="2">
        <v>258.33800000000002</v>
      </c>
      <c r="M2141" s="1">
        <v>45761.745833333334</v>
      </c>
      <c r="N2141" t="s">
        <v>2898</v>
      </c>
    </row>
    <row r="2142" spans="1:14" x14ac:dyDescent="0.25">
      <c r="A2142" s="9" t="s">
        <v>5211</v>
      </c>
      <c r="B2142" s="10">
        <v>636</v>
      </c>
      <c r="C2142" s="10" t="s">
        <v>323</v>
      </c>
      <c r="D2142" t="s">
        <v>1737</v>
      </c>
      <c r="E2142" s="6" t="s">
        <v>1738</v>
      </c>
      <c r="F2142" s="11" t="s">
        <v>58</v>
      </c>
      <c r="G2142" s="2">
        <v>309.72640000000001</v>
      </c>
      <c r="H2142" s="13">
        <v>2</v>
      </c>
      <c r="I2142" s="13">
        <v>0</v>
      </c>
      <c r="J2142" s="13">
        <v>0</v>
      </c>
      <c r="K2142" s="10">
        <v>2</v>
      </c>
      <c r="L2142" s="2">
        <v>619.45280000000002</v>
      </c>
      <c r="M2142" s="1">
        <v>45763.408333333333</v>
      </c>
      <c r="N2142" t="s">
        <v>178</v>
      </c>
    </row>
    <row r="2143" spans="1:14" x14ac:dyDescent="0.25">
      <c r="A2143" s="9" t="s">
        <v>5211</v>
      </c>
      <c r="B2143" s="10">
        <v>714</v>
      </c>
      <c r="C2143" s="10" t="s">
        <v>12</v>
      </c>
      <c r="D2143" t="s">
        <v>1918</v>
      </c>
      <c r="E2143" s="6" t="s">
        <v>1919</v>
      </c>
      <c r="F2143" s="11" t="s">
        <v>58</v>
      </c>
      <c r="G2143" s="2">
        <v>24.682200000000002</v>
      </c>
      <c r="H2143" s="13">
        <v>2</v>
      </c>
      <c r="I2143" s="13">
        <v>0</v>
      </c>
      <c r="J2143" s="13">
        <v>0</v>
      </c>
      <c r="K2143" s="10">
        <v>2</v>
      </c>
      <c r="L2143" s="2">
        <v>49.364400000000003</v>
      </c>
      <c r="M2143" s="1">
        <v>45764.464583333334</v>
      </c>
      <c r="N2143" t="s">
        <v>67</v>
      </c>
    </row>
    <row r="2144" spans="1:14" x14ac:dyDescent="0.25">
      <c r="A2144" s="9" t="s">
        <v>5211</v>
      </c>
      <c r="B2144" s="10">
        <v>718</v>
      </c>
      <c r="C2144" s="10" t="s">
        <v>323</v>
      </c>
      <c r="D2144" t="s">
        <v>2989</v>
      </c>
      <c r="E2144" s="6" t="s">
        <v>2990</v>
      </c>
      <c r="F2144" s="11" t="s">
        <v>58</v>
      </c>
      <c r="G2144" s="2">
        <v>246.0179</v>
      </c>
      <c r="H2144" s="13">
        <v>2</v>
      </c>
      <c r="I2144" s="13">
        <v>1</v>
      </c>
      <c r="J2144" s="13">
        <v>-1</v>
      </c>
      <c r="K2144" s="10">
        <v>2</v>
      </c>
      <c r="L2144" s="2">
        <v>492.03579999999999</v>
      </c>
      <c r="M2144" s="1">
        <v>45764.611111111109</v>
      </c>
      <c r="N2144" t="s">
        <v>159</v>
      </c>
    </row>
    <row r="2145" spans="1:14" x14ac:dyDescent="0.25">
      <c r="A2145" s="9" t="s">
        <v>5211</v>
      </c>
      <c r="B2145" s="10">
        <v>634</v>
      </c>
      <c r="C2145" s="10" t="s">
        <v>323</v>
      </c>
      <c r="D2145" t="s">
        <v>4310</v>
      </c>
      <c r="E2145" t="s">
        <v>4311</v>
      </c>
      <c r="F2145" s="10" t="s">
        <v>19</v>
      </c>
      <c r="G2145" s="2">
        <v>209.5496</v>
      </c>
      <c r="H2145" s="13">
        <v>2</v>
      </c>
      <c r="I2145" s="13">
        <v>5</v>
      </c>
      <c r="J2145" s="13">
        <v>-5</v>
      </c>
      <c r="K2145" s="10">
        <v>2</v>
      </c>
      <c r="L2145" s="2">
        <v>419.0992</v>
      </c>
      <c r="M2145" s="1">
        <v>45764.655555555553</v>
      </c>
      <c r="N2145" t="s">
        <v>151</v>
      </c>
    </row>
    <row r="2146" spans="1:14" x14ac:dyDescent="0.25">
      <c r="A2146" s="9" t="s">
        <v>5211</v>
      </c>
      <c r="B2146" s="10">
        <v>714</v>
      </c>
      <c r="C2146" s="10" t="s">
        <v>323</v>
      </c>
      <c r="D2146" t="s">
        <v>3357</v>
      </c>
      <c r="E2146" t="s">
        <v>3358</v>
      </c>
      <c r="F2146" s="10" t="s">
        <v>29</v>
      </c>
      <c r="G2146" s="2">
        <v>191.84880000000001</v>
      </c>
      <c r="H2146" s="13">
        <v>2</v>
      </c>
      <c r="I2146" s="13">
        <v>0</v>
      </c>
      <c r="J2146" s="13">
        <v>0</v>
      </c>
      <c r="K2146" s="10">
        <v>2</v>
      </c>
      <c r="L2146" s="2">
        <v>383.69760000000002</v>
      </c>
      <c r="M2146" s="1">
        <v>45766.383333333331</v>
      </c>
      <c r="N2146" t="s">
        <v>2271</v>
      </c>
    </row>
    <row r="2147" spans="1:14" x14ac:dyDescent="0.25">
      <c r="A2147" s="9" t="s">
        <v>5211</v>
      </c>
      <c r="B2147" s="10">
        <v>714</v>
      </c>
      <c r="C2147" s="10" t="s">
        <v>143</v>
      </c>
      <c r="D2147" t="s">
        <v>2269</v>
      </c>
      <c r="E2147" s="6" t="s">
        <v>2270</v>
      </c>
      <c r="F2147" s="11" t="s">
        <v>58</v>
      </c>
      <c r="G2147" s="2">
        <v>141.6027</v>
      </c>
      <c r="H2147" s="13">
        <v>2</v>
      </c>
      <c r="I2147" s="13">
        <v>0</v>
      </c>
      <c r="J2147" s="13">
        <v>0</v>
      </c>
      <c r="K2147" s="10">
        <v>2</v>
      </c>
      <c r="L2147" s="2">
        <v>283.2054</v>
      </c>
      <c r="M2147" s="1">
        <v>45766.383333333331</v>
      </c>
      <c r="N2147" t="s">
        <v>2271</v>
      </c>
    </row>
    <row r="2148" spans="1:14" x14ac:dyDescent="0.25">
      <c r="A2148" s="9" t="s">
        <v>5211</v>
      </c>
      <c r="B2148" s="10">
        <v>714</v>
      </c>
      <c r="C2148" s="10" t="s">
        <v>323</v>
      </c>
      <c r="D2148" t="s">
        <v>3274</v>
      </c>
      <c r="E2148" t="s">
        <v>3275</v>
      </c>
      <c r="F2148" s="10" t="s">
        <v>29</v>
      </c>
      <c r="G2148" s="2">
        <v>312.80930000000001</v>
      </c>
      <c r="H2148" s="13">
        <v>2</v>
      </c>
      <c r="I2148" s="13">
        <v>-2</v>
      </c>
      <c r="J2148" s="13">
        <v>2</v>
      </c>
      <c r="K2148" s="10">
        <v>2</v>
      </c>
      <c r="L2148" s="2">
        <v>625.61860000000001</v>
      </c>
      <c r="M2148" s="1">
        <v>45766.421527777777</v>
      </c>
      <c r="N2148" t="s">
        <v>178</v>
      </c>
    </row>
    <row r="2149" spans="1:14" x14ac:dyDescent="0.25">
      <c r="A2149" s="9" t="s">
        <v>5211</v>
      </c>
      <c r="B2149" s="10">
        <v>714</v>
      </c>
      <c r="C2149" s="10" t="s">
        <v>323</v>
      </c>
      <c r="D2149" t="s">
        <v>3145</v>
      </c>
      <c r="E2149" t="s">
        <v>3146</v>
      </c>
      <c r="F2149" s="10" t="s">
        <v>19</v>
      </c>
      <c r="G2149" s="2">
        <v>301.0052</v>
      </c>
      <c r="H2149" s="13">
        <v>2</v>
      </c>
      <c r="I2149" s="13">
        <v>0</v>
      </c>
      <c r="J2149" s="13">
        <v>0</v>
      </c>
      <c r="K2149" s="10">
        <v>2</v>
      </c>
      <c r="L2149" s="2">
        <v>602.0104</v>
      </c>
      <c r="M2149" s="1">
        <v>45766.421527777777</v>
      </c>
      <c r="N2149" t="s">
        <v>178</v>
      </c>
    </row>
    <row r="2150" spans="1:14" x14ac:dyDescent="0.25">
      <c r="A2150" s="9" t="s">
        <v>5211</v>
      </c>
      <c r="B2150" s="10">
        <v>714</v>
      </c>
      <c r="C2150" s="10" t="s">
        <v>323</v>
      </c>
      <c r="D2150" t="s">
        <v>3039</v>
      </c>
      <c r="E2150" s="6" t="s">
        <v>3040</v>
      </c>
      <c r="F2150" s="11" t="s">
        <v>58</v>
      </c>
      <c r="G2150" s="2">
        <v>157.8047</v>
      </c>
      <c r="H2150" s="13">
        <v>2</v>
      </c>
      <c r="I2150" s="13">
        <v>0</v>
      </c>
      <c r="J2150" s="13">
        <v>0</v>
      </c>
      <c r="K2150" s="10">
        <v>2</v>
      </c>
      <c r="L2150" s="2">
        <v>315.60939999999999</v>
      </c>
      <c r="M2150" s="1">
        <v>45769.462500000001</v>
      </c>
      <c r="N2150" t="s">
        <v>1870</v>
      </c>
    </row>
    <row r="2151" spans="1:14" x14ac:dyDescent="0.25">
      <c r="A2151" s="9" t="s">
        <v>5211</v>
      </c>
      <c r="B2151" s="10">
        <v>714</v>
      </c>
      <c r="C2151" s="10" t="s">
        <v>12</v>
      </c>
      <c r="D2151" t="s">
        <v>1865</v>
      </c>
      <c r="E2151" t="s">
        <v>1866</v>
      </c>
      <c r="F2151" s="10" t="s">
        <v>35</v>
      </c>
      <c r="G2151" s="2">
        <v>29.894300000000001</v>
      </c>
      <c r="H2151" s="13">
        <v>2</v>
      </c>
      <c r="I2151" s="13">
        <v>0</v>
      </c>
      <c r="J2151" s="13">
        <v>0</v>
      </c>
      <c r="K2151" s="10">
        <v>2</v>
      </c>
      <c r="L2151" s="2">
        <v>59.788600000000002</v>
      </c>
      <c r="M2151" s="1">
        <v>45769.556250000001</v>
      </c>
      <c r="N2151" t="s">
        <v>1867</v>
      </c>
    </row>
    <row r="2152" spans="1:14" x14ac:dyDescent="0.25">
      <c r="A2152" s="9" t="s">
        <v>5211</v>
      </c>
      <c r="B2152" s="10">
        <v>714</v>
      </c>
      <c r="C2152" s="10" t="s">
        <v>143</v>
      </c>
      <c r="D2152" t="s">
        <v>2251</v>
      </c>
      <c r="E2152" t="s">
        <v>2252</v>
      </c>
      <c r="F2152" s="10" t="s">
        <v>15</v>
      </c>
      <c r="G2152" s="2">
        <v>14.5067</v>
      </c>
      <c r="H2152" s="13">
        <v>2</v>
      </c>
      <c r="I2152" s="13">
        <v>0</v>
      </c>
      <c r="J2152" s="13">
        <v>0</v>
      </c>
      <c r="K2152" s="10">
        <v>2</v>
      </c>
      <c r="L2152" s="2">
        <v>29.013400000000001</v>
      </c>
      <c r="M2152" s="1">
        <v>45775.64166666667</v>
      </c>
      <c r="N2152" t="s">
        <v>40</v>
      </c>
    </row>
    <row r="2153" spans="1:14" x14ac:dyDescent="0.25">
      <c r="A2153" s="9" t="s">
        <v>5211</v>
      </c>
      <c r="B2153" s="10">
        <v>634</v>
      </c>
      <c r="C2153" s="10" t="s">
        <v>143</v>
      </c>
      <c r="D2153" t="s">
        <v>225</v>
      </c>
      <c r="E2153" t="s">
        <v>226</v>
      </c>
      <c r="F2153" s="10" t="s">
        <v>29</v>
      </c>
      <c r="G2153" s="2">
        <v>27.988299999999999</v>
      </c>
      <c r="H2153" s="13">
        <v>2</v>
      </c>
      <c r="I2153" s="13">
        <v>0</v>
      </c>
      <c r="J2153" s="13">
        <v>0</v>
      </c>
      <c r="K2153" s="10">
        <v>2</v>
      </c>
      <c r="L2153" s="2">
        <v>55.976599999999998</v>
      </c>
      <c r="M2153" s="1">
        <v>45776.305555555555</v>
      </c>
      <c r="N2153" t="s">
        <v>159</v>
      </c>
    </row>
    <row r="2154" spans="1:14" x14ac:dyDescent="0.25">
      <c r="A2154" s="9" t="s">
        <v>5211</v>
      </c>
      <c r="B2154" s="10">
        <v>634</v>
      </c>
      <c r="C2154" s="10" t="s">
        <v>143</v>
      </c>
      <c r="D2154" t="s">
        <v>298</v>
      </c>
      <c r="E2154" t="s">
        <v>299</v>
      </c>
      <c r="F2154" s="10" t="s">
        <v>29</v>
      </c>
      <c r="G2154" s="2">
        <v>75.801599999999993</v>
      </c>
      <c r="H2154" s="13">
        <v>2</v>
      </c>
      <c r="I2154" s="13">
        <v>1</v>
      </c>
      <c r="J2154" s="13">
        <v>-1</v>
      </c>
      <c r="K2154" s="10">
        <v>2</v>
      </c>
      <c r="L2154" s="2">
        <v>151.60319999999999</v>
      </c>
      <c r="M2154" s="1">
        <v>45776.305555555555</v>
      </c>
      <c r="N2154" t="s">
        <v>159</v>
      </c>
    </row>
    <row r="2155" spans="1:14" x14ac:dyDescent="0.25">
      <c r="A2155" s="9" t="s">
        <v>5211</v>
      </c>
      <c r="B2155" s="10">
        <v>714</v>
      </c>
      <c r="C2155" s="10" t="s">
        <v>323</v>
      </c>
      <c r="D2155" t="s">
        <v>3087</v>
      </c>
      <c r="E2155" t="s">
        <v>3088</v>
      </c>
      <c r="F2155" s="10" t="s">
        <v>29</v>
      </c>
      <c r="G2155" s="2">
        <v>85.047700000000006</v>
      </c>
      <c r="H2155" s="13">
        <v>2</v>
      </c>
      <c r="I2155" s="13">
        <v>0</v>
      </c>
      <c r="J2155" s="13">
        <v>0</v>
      </c>
      <c r="K2155" s="10">
        <v>2</v>
      </c>
      <c r="L2155" s="2">
        <v>170.09540000000001</v>
      </c>
      <c r="M2155" s="1">
        <v>45776.32708333333</v>
      </c>
      <c r="N2155" t="s">
        <v>2898</v>
      </c>
    </row>
    <row r="2156" spans="1:14" x14ac:dyDescent="0.25">
      <c r="A2156" s="9" t="s">
        <v>5211</v>
      </c>
      <c r="B2156" s="10">
        <v>714</v>
      </c>
      <c r="C2156" s="10" t="s">
        <v>70</v>
      </c>
      <c r="D2156" t="s">
        <v>115</v>
      </c>
      <c r="E2156" t="s">
        <v>116</v>
      </c>
      <c r="F2156" s="10" t="s">
        <v>35</v>
      </c>
      <c r="G2156" s="2">
        <v>6.234</v>
      </c>
      <c r="H2156" s="13">
        <v>2</v>
      </c>
      <c r="I2156" s="13">
        <v>0</v>
      </c>
      <c r="J2156" s="13">
        <v>0</v>
      </c>
      <c r="K2156" s="10">
        <v>2</v>
      </c>
      <c r="L2156" s="2">
        <v>12.468</v>
      </c>
      <c r="M2156" s="1">
        <v>45776.404166666667</v>
      </c>
      <c r="N2156" t="s">
        <v>26</v>
      </c>
    </row>
    <row r="2157" spans="1:14" x14ac:dyDescent="0.25">
      <c r="A2157" s="9" t="s">
        <v>5211</v>
      </c>
      <c r="B2157" s="10">
        <v>714</v>
      </c>
      <c r="C2157" s="10" t="s">
        <v>323</v>
      </c>
      <c r="D2157" t="s">
        <v>4583</v>
      </c>
      <c r="E2157" s="6" t="s">
        <v>4584</v>
      </c>
      <c r="F2157" s="11" t="s">
        <v>58</v>
      </c>
      <c r="G2157" s="2">
        <v>212.33359999999999</v>
      </c>
      <c r="H2157" s="13">
        <v>2</v>
      </c>
      <c r="I2157" s="13">
        <v>2</v>
      </c>
      <c r="J2157" s="13">
        <v>-2</v>
      </c>
      <c r="K2157" s="10">
        <v>2</v>
      </c>
      <c r="L2157" s="2">
        <v>424.66719999999998</v>
      </c>
      <c r="M2157" s="1">
        <v>45776.645833333336</v>
      </c>
      <c r="N2157" t="s">
        <v>501</v>
      </c>
    </row>
    <row r="2158" spans="1:14" x14ac:dyDescent="0.25">
      <c r="A2158" s="9" t="s">
        <v>5211</v>
      </c>
      <c r="B2158" s="10">
        <v>634</v>
      </c>
      <c r="C2158" s="10" t="s">
        <v>12</v>
      </c>
      <c r="D2158" t="s">
        <v>33</v>
      </c>
      <c r="E2158" t="s">
        <v>34</v>
      </c>
      <c r="F2158" s="10" t="s">
        <v>35</v>
      </c>
      <c r="G2158" s="2">
        <v>9.7100000000000009</v>
      </c>
      <c r="H2158" s="13">
        <v>2</v>
      </c>
      <c r="I2158" s="13">
        <v>0</v>
      </c>
      <c r="J2158" s="13">
        <v>0</v>
      </c>
      <c r="K2158" s="10">
        <v>2</v>
      </c>
      <c r="L2158" s="2">
        <v>19.420000000000002</v>
      </c>
      <c r="M2158" s="1">
        <v>45777.59652777778</v>
      </c>
      <c r="N2158" t="s">
        <v>36</v>
      </c>
    </row>
    <row r="2159" spans="1:14" x14ac:dyDescent="0.25">
      <c r="A2159" s="9" t="s">
        <v>5211</v>
      </c>
      <c r="B2159" s="10">
        <v>714</v>
      </c>
      <c r="C2159" s="10" t="s">
        <v>143</v>
      </c>
      <c r="D2159" t="s">
        <v>2501</v>
      </c>
      <c r="E2159" s="6" t="s">
        <v>2502</v>
      </c>
      <c r="F2159" s="11" t="s">
        <v>58</v>
      </c>
      <c r="G2159" s="2">
        <v>12.8813</v>
      </c>
      <c r="H2159" s="13">
        <v>2</v>
      </c>
      <c r="I2159" s="13">
        <v>0</v>
      </c>
      <c r="J2159" s="13">
        <v>0</v>
      </c>
      <c r="K2159" s="10">
        <v>2</v>
      </c>
      <c r="L2159" s="2">
        <v>25.762599999999999</v>
      </c>
      <c r="M2159" s="1">
        <v>45779.469444444447</v>
      </c>
      <c r="N2159" t="s">
        <v>162</v>
      </c>
    </row>
    <row r="2160" spans="1:14" x14ac:dyDescent="0.25">
      <c r="A2160" s="9" t="s">
        <v>5211</v>
      </c>
      <c r="B2160" s="10">
        <v>718</v>
      </c>
      <c r="C2160" s="10" t="s">
        <v>323</v>
      </c>
      <c r="D2160" t="s">
        <v>3879</v>
      </c>
      <c r="E2160" s="6" t="s">
        <v>3880</v>
      </c>
      <c r="F2160" s="11" t="s">
        <v>58</v>
      </c>
      <c r="G2160" s="2">
        <v>467.5</v>
      </c>
      <c r="H2160" s="13">
        <v>2</v>
      </c>
      <c r="I2160" s="13">
        <v>0</v>
      </c>
      <c r="J2160" s="13">
        <v>0</v>
      </c>
      <c r="K2160" s="10">
        <v>2</v>
      </c>
      <c r="L2160" s="2">
        <v>935</v>
      </c>
      <c r="M2160" s="1">
        <v>45782.546527777777</v>
      </c>
      <c r="N2160" t="s">
        <v>2930</v>
      </c>
    </row>
    <row r="2161" spans="1:14" x14ac:dyDescent="0.25">
      <c r="A2161" s="9" t="s">
        <v>5211</v>
      </c>
      <c r="B2161" s="10">
        <v>714</v>
      </c>
      <c r="C2161" s="10" t="s">
        <v>12</v>
      </c>
      <c r="D2161" t="s">
        <v>4697</v>
      </c>
      <c r="E2161" t="s">
        <v>4698</v>
      </c>
      <c r="F2161" s="10" t="s">
        <v>39</v>
      </c>
      <c r="G2161" s="2">
        <v>12.176</v>
      </c>
      <c r="H2161" s="13">
        <v>2</v>
      </c>
      <c r="I2161" s="13">
        <v>-20</v>
      </c>
      <c r="J2161" s="13">
        <v>20</v>
      </c>
      <c r="K2161" s="10">
        <v>2</v>
      </c>
      <c r="L2161" s="2">
        <v>24.352</v>
      </c>
      <c r="M2161" s="1">
        <v>45783.49722222222</v>
      </c>
      <c r="N2161" t="s">
        <v>26</v>
      </c>
    </row>
    <row r="2162" spans="1:14" x14ac:dyDescent="0.25">
      <c r="A2162" s="9" t="s">
        <v>5211</v>
      </c>
      <c r="B2162" s="10">
        <v>714</v>
      </c>
      <c r="C2162" s="10" t="s">
        <v>12</v>
      </c>
      <c r="D2162" t="s">
        <v>1828</v>
      </c>
      <c r="E2162" t="s">
        <v>1829</v>
      </c>
      <c r="F2162" s="10" t="s">
        <v>123</v>
      </c>
      <c r="G2162" s="2">
        <v>13.0754</v>
      </c>
      <c r="H2162" s="13">
        <v>2</v>
      </c>
      <c r="I2162" s="13">
        <v>0</v>
      </c>
      <c r="J2162" s="13">
        <v>0</v>
      </c>
      <c r="K2162" s="10">
        <v>2</v>
      </c>
      <c r="L2162" s="2">
        <v>26.1508</v>
      </c>
      <c r="M2162" s="1">
        <v>45784.373611111114</v>
      </c>
      <c r="N2162" t="s">
        <v>67</v>
      </c>
    </row>
    <row r="2163" spans="1:14" x14ac:dyDescent="0.25">
      <c r="A2163" s="9" t="s">
        <v>5211</v>
      </c>
      <c r="B2163" s="10">
        <v>714</v>
      </c>
      <c r="C2163" s="10" t="s">
        <v>323</v>
      </c>
      <c r="D2163" t="s">
        <v>5019</v>
      </c>
      <c r="E2163" t="s">
        <v>5020</v>
      </c>
      <c r="F2163" s="10" t="s">
        <v>19</v>
      </c>
      <c r="G2163" s="2">
        <v>138.19800000000001</v>
      </c>
      <c r="H2163" s="13">
        <v>2</v>
      </c>
      <c r="I2163" s="13">
        <v>0</v>
      </c>
      <c r="J2163" s="13">
        <v>0</v>
      </c>
      <c r="K2163" s="10">
        <v>2</v>
      </c>
      <c r="L2163" s="2">
        <v>276.39600000000002</v>
      </c>
      <c r="M2163" s="1">
        <v>45785.349305555559</v>
      </c>
      <c r="N2163" t="s">
        <v>2457</v>
      </c>
    </row>
    <row r="2164" spans="1:14" x14ac:dyDescent="0.25">
      <c r="A2164" s="9" t="s">
        <v>5211</v>
      </c>
      <c r="B2164" s="10">
        <v>714</v>
      </c>
      <c r="C2164" s="10" t="s">
        <v>323</v>
      </c>
      <c r="D2164" t="s">
        <v>5115</v>
      </c>
      <c r="E2164" t="s">
        <v>5116</v>
      </c>
      <c r="F2164" s="10" t="s">
        <v>19</v>
      </c>
      <c r="G2164" s="2">
        <v>238.0488</v>
      </c>
      <c r="H2164" s="13">
        <v>2</v>
      </c>
      <c r="I2164" s="13">
        <v>7</v>
      </c>
      <c r="J2164" s="13">
        <v>-7</v>
      </c>
      <c r="K2164" s="10">
        <v>2</v>
      </c>
      <c r="L2164" s="2">
        <v>476.0976</v>
      </c>
      <c r="M2164" s="1">
        <v>45785.349305555559</v>
      </c>
      <c r="N2164" t="s">
        <v>2457</v>
      </c>
    </row>
    <row r="2165" spans="1:14" x14ac:dyDescent="0.25">
      <c r="A2165" s="9" t="s">
        <v>5211</v>
      </c>
      <c r="B2165" s="10">
        <v>636</v>
      </c>
      <c r="C2165" s="10" t="s">
        <v>323</v>
      </c>
      <c r="D2165" t="s">
        <v>1664</v>
      </c>
      <c r="E2165" s="6" t="s">
        <v>1665</v>
      </c>
      <c r="F2165" s="11" t="s">
        <v>58</v>
      </c>
      <c r="G2165" s="2">
        <v>57.2194</v>
      </c>
      <c r="H2165" s="13">
        <v>2</v>
      </c>
      <c r="I2165" s="13">
        <v>0</v>
      </c>
      <c r="J2165" s="13">
        <v>0</v>
      </c>
      <c r="K2165" s="10">
        <v>2</v>
      </c>
      <c r="L2165" s="2">
        <v>114.4388</v>
      </c>
      <c r="M2165" s="1">
        <v>45791.495138888888</v>
      </c>
      <c r="N2165" t="s">
        <v>40</v>
      </c>
    </row>
    <row r="2166" spans="1:14" x14ac:dyDescent="0.25">
      <c r="A2166" s="9" t="s">
        <v>5211</v>
      </c>
      <c r="B2166" s="10">
        <v>718</v>
      </c>
      <c r="C2166" s="10" t="s">
        <v>143</v>
      </c>
      <c r="D2166" t="s">
        <v>2466</v>
      </c>
      <c r="E2166" t="s">
        <v>2467</v>
      </c>
      <c r="F2166" s="10" t="s">
        <v>15</v>
      </c>
      <c r="G2166" s="2">
        <v>17.8551</v>
      </c>
      <c r="H2166" s="13">
        <v>2</v>
      </c>
      <c r="I2166" s="13">
        <v>0</v>
      </c>
      <c r="J2166" s="13">
        <v>0</v>
      </c>
      <c r="K2166" s="10">
        <v>2</v>
      </c>
      <c r="L2166" s="2">
        <v>35.7102</v>
      </c>
      <c r="M2166" s="1">
        <v>45793.486111111109</v>
      </c>
      <c r="N2166" t="s">
        <v>2468</v>
      </c>
    </row>
    <row r="2167" spans="1:14" x14ac:dyDescent="0.25">
      <c r="A2167" s="9" t="s">
        <v>5211</v>
      </c>
      <c r="B2167" s="10">
        <v>714</v>
      </c>
      <c r="C2167" s="10" t="s">
        <v>143</v>
      </c>
      <c r="D2167" t="s">
        <v>4805</v>
      </c>
      <c r="E2167" t="s">
        <v>4806</v>
      </c>
      <c r="F2167" s="10" t="s">
        <v>29</v>
      </c>
      <c r="G2167" s="2">
        <v>113.9374</v>
      </c>
      <c r="H2167" s="13">
        <v>2</v>
      </c>
      <c r="I2167" s="13">
        <v>0</v>
      </c>
      <c r="J2167" s="13">
        <v>0</v>
      </c>
      <c r="K2167" s="10">
        <v>2</v>
      </c>
      <c r="L2167" s="2">
        <v>227.87479999999999</v>
      </c>
      <c r="M2167" s="1">
        <v>45793.530555555553</v>
      </c>
      <c r="N2167" t="s">
        <v>1062</v>
      </c>
    </row>
    <row r="2168" spans="1:14" x14ac:dyDescent="0.25">
      <c r="A2168" s="9" t="s">
        <v>5211</v>
      </c>
      <c r="B2168" s="10">
        <v>714</v>
      </c>
      <c r="C2168" s="10" t="s">
        <v>323</v>
      </c>
      <c r="D2168" t="s">
        <v>4982</v>
      </c>
      <c r="E2168" s="6" t="s">
        <v>4983</v>
      </c>
      <c r="F2168" s="11" t="s">
        <v>58</v>
      </c>
      <c r="G2168" s="2">
        <v>626.91030000000001</v>
      </c>
      <c r="H2168" s="13">
        <v>2</v>
      </c>
      <c r="I2168" s="13">
        <v>0</v>
      </c>
      <c r="J2168" s="13">
        <v>0</v>
      </c>
      <c r="K2168" s="10">
        <v>2</v>
      </c>
      <c r="L2168" s="2">
        <v>1253.8206</v>
      </c>
      <c r="M2168" s="1">
        <v>45797.415277777778</v>
      </c>
      <c r="N2168" t="s">
        <v>890</v>
      </c>
    </row>
    <row r="2169" spans="1:14" x14ac:dyDescent="0.25">
      <c r="A2169" s="9" t="s">
        <v>5211</v>
      </c>
      <c r="B2169" s="10">
        <v>714</v>
      </c>
      <c r="C2169" s="10" t="s">
        <v>323</v>
      </c>
      <c r="D2169" t="s">
        <v>3462</v>
      </c>
      <c r="E2169" s="6" t="s">
        <v>3463</v>
      </c>
      <c r="F2169" s="11" t="s">
        <v>58</v>
      </c>
      <c r="G2169" s="2">
        <v>674.77269999999999</v>
      </c>
      <c r="H2169" s="13">
        <v>2</v>
      </c>
      <c r="I2169" s="13">
        <v>0</v>
      </c>
      <c r="J2169" s="13">
        <v>0</v>
      </c>
      <c r="K2169" s="10">
        <v>2</v>
      </c>
      <c r="L2169" s="2">
        <v>1349.5454</v>
      </c>
      <c r="M2169" s="1">
        <v>45797.421527777777</v>
      </c>
      <c r="N2169" t="s">
        <v>885</v>
      </c>
    </row>
    <row r="2170" spans="1:14" x14ac:dyDescent="0.25">
      <c r="A2170" s="9" t="s">
        <v>5211</v>
      </c>
      <c r="B2170" s="10">
        <v>634</v>
      </c>
      <c r="C2170" s="10" t="s">
        <v>143</v>
      </c>
      <c r="D2170" t="s">
        <v>4146</v>
      </c>
      <c r="E2170" t="s">
        <v>4147</v>
      </c>
      <c r="F2170" s="10" t="s">
        <v>39</v>
      </c>
      <c r="G2170" s="2">
        <v>14.7858</v>
      </c>
      <c r="H2170" s="13">
        <v>2</v>
      </c>
      <c r="I2170" s="13">
        <v>12</v>
      </c>
      <c r="J2170" s="13">
        <v>-12</v>
      </c>
      <c r="K2170" s="10">
        <v>2</v>
      </c>
      <c r="L2170" s="2">
        <v>29.5716</v>
      </c>
      <c r="M2170" s="1">
        <v>45800.536805555559</v>
      </c>
      <c r="N2170" t="s">
        <v>40</v>
      </c>
    </row>
    <row r="2171" spans="1:14" x14ac:dyDescent="0.25">
      <c r="A2171" s="9" t="s">
        <v>5211</v>
      </c>
      <c r="B2171" s="10">
        <v>714</v>
      </c>
      <c r="C2171" s="10" t="s">
        <v>143</v>
      </c>
      <c r="D2171" t="s">
        <v>2545</v>
      </c>
      <c r="E2171" t="s">
        <v>2546</v>
      </c>
      <c r="F2171" s="10" t="s">
        <v>29</v>
      </c>
      <c r="G2171" s="2">
        <v>127.1078</v>
      </c>
      <c r="H2171" s="13">
        <v>2</v>
      </c>
      <c r="I2171" s="13">
        <v>0</v>
      </c>
      <c r="J2171" s="13">
        <v>0</v>
      </c>
      <c r="K2171" s="10">
        <v>2</v>
      </c>
      <c r="L2171" s="2">
        <v>254.21559999999999</v>
      </c>
      <c r="M2171" s="1">
        <v>45804.446527777778</v>
      </c>
      <c r="N2171" t="s">
        <v>67</v>
      </c>
    </row>
    <row r="2172" spans="1:14" x14ac:dyDescent="0.25">
      <c r="A2172" s="9" t="s">
        <v>5211</v>
      </c>
      <c r="B2172" s="10">
        <v>634</v>
      </c>
      <c r="C2172" s="10" t="s">
        <v>323</v>
      </c>
      <c r="D2172" t="s">
        <v>4353</v>
      </c>
      <c r="E2172" t="s">
        <v>4354</v>
      </c>
      <c r="F2172" s="10" t="s">
        <v>29</v>
      </c>
      <c r="G2172" s="2">
        <v>221.31460000000001</v>
      </c>
      <c r="H2172" s="13">
        <v>2</v>
      </c>
      <c r="I2172" s="13">
        <v>17</v>
      </c>
      <c r="J2172" s="13">
        <v>-17</v>
      </c>
      <c r="K2172" s="10">
        <v>2</v>
      </c>
      <c r="L2172" s="2">
        <v>442.62920000000003</v>
      </c>
      <c r="M2172" s="1">
        <v>45804.506944444445</v>
      </c>
      <c r="N2172" t="s">
        <v>411</v>
      </c>
    </row>
    <row r="2173" spans="1:14" x14ac:dyDescent="0.25">
      <c r="A2173" s="9" t="s">
        <v>5211</v>
      </c>
      <c r="B2173" s="10">
        <v>636</v>
      </c>
      <c r="C2173" s="10" t="s">
        <v>143</v>
      </c>
      <c r="D2173" t="s">
        <v>4543</v>
      </c>
      <c r="E2173" t="s">
        <v>4544</v>
      </c>
      <c r="F2173" s="10" t="s">
        <v>29</v>
      </c>
      <c r="G2173" s="2">
        <v>72.013800000000003</v>
      </c>
      <c r="H2173" s="13">
        <v>2</v>
      </c>
      <c r="I2173" s="13">
        <v>0</v>
      </c>
      <c r="J2173" s="13">
        <v>0</v>
      </c>
      <c r="K2173" s="10">
        <v>2</v>
      </c>
      <c r="L2173" s="2">
        <v>144.02760000000001</v>
      </c>
      <c r="M2173" s="1">
        <v>45804.532638888886</v>
      </c>
      <c r="N2173" t="s">
        <v>137</v>
      </c>
    </row>
    <row r="2174" spans="1:14" x14ac:dyDescent="0.25">
      <c r="A2174" s="9" t="s">
        <v>5211</v>
      </c>
      <c r="B2174" s="10">
        <v>718</v>
      </c>
      <c r="C2174" s="10" t="s">
        <v>323</v>
      </c>
      <c r="D2174" t="s">
        <v>5021</v>
      </c>
      <c r="E2174" t="s">
        <v>5022</v>
      </c>
      <c r="F2174" s="10" t="s">
        <v>29</v>
      </c>
      <c r="G2174" s="2">
        <v>73.980599999999995</v>
      </c>
      <c r="H2174" s="13">
        <v>2</v>
      </c>
      <c r="I2174" s="13">
        <v>7</v>
      </c>
      <c r="J2174" s="13">
        <v>-7</v>
      </c>
      <c r="K2174" s="10">
        <v>2</v>
      </c>
      <c r="L2174" s="2">
        <v>147.96119999999999</v>
      </c>
      <c r="M2174" s="1">
        <v>45807.381249999999</v>
      </c>
      <c r="N2174" t="s">
        <v>366</v>
      </c>
    </row>
    <row r="2175" spans="1:14" x14ac:dyDescent="0.25">
      <c r="A2175" s="9" t="s">
        <v>5211</v>
      </c>
      <c r="B2175" s="10">
        <v>718</v>
      </c>
      <c r="C2175" s="10" t="s">
        <v>323</v>
      </c>
      <c r="D2175" t="s">
        <v>5198</v>
      </c>
      <c r="E2175" s="6" t="s">
        <v>5199</v>
      </c>
      <c r="F2175" s="11" t="s">
        <v>58</v>
      </c>
      <c r="G2175" s="2">
        <v>186.01230000000001</v>
      </c>
      <c r="H2175" s="13">
        <v>2</v>
      </c>
      <c r="I2175" s="13">
        <v>3</v>
      </c>
      <c r="J2175" s="13">
        <v>-3</v>
      </c>
      <c r="K2175" s="10">
        <v>2</v>
      </c>
      <c r="L2175" s="2">
        <v>372.02460000000002</v>
      </c>
      <c r="M2175" s="1">
        <v>45807.407638888886</v>
      </c>
      <c r="N2175" t="s">
        <v>2271</v>
      </c>
    </row>
    <row r="2176" spans="1:14" x14ac:dyDescent="0.25">
      <c r="A2176" s="9" t="s">
        <v>5211</v>
      </c>
      <c r="B2176" s="10">
        <v>714</v>
      </c>
      <c r="C2176" s="10" t="s">
        <v>323</v>
      </c>
      <c r="D2176" t="s">
        <v>2926</v>
      </c>
      <c r="E2176" s="6" t="s">
        <v>2927</v>
      </c>
      <c r="F2176" s="11" t="s">
        <v>58</v>
      </c>
      <c r="G2176" s="2">
        <v>171.05119999999999</v>
      </c>
      <c r="H2176" s="13">
        <v>2</v>
      </c>
      <c r="I2176" s="13">
        <v>0</v>
      </c>
      <c r="J2176" s="13">
        <v>0</v>
      </c>
      <c r="K2176" s="10">
        <v>2</v>
      </c>
      <c r="L2176" s="2">
        <v>342.10239999999999</v>
      </c>
      <c r="M2176" s="1">
        <v>45811.341666666667</v>
      </c>
      <c r="N2176" t="s">
        <v>1062</v>
      </c>
    </row>
    <row r="2177" spans="1:14" x14ac:dyDescent="0.25">
      <c r="A2177" s="9" t="s">
        <v>5211</v>
      </c>
      <c r="B2177" s="10">
        <v>714</v>
      </c>
      <c r="C2177" s="10" t="s">
        <v>323</v>
      </c>
      <c r="D2177" t="s">
        <v>5049</v>
      </c>
      <c r="E2177" s="6" t="s">
        <v>5050</v>
      </c>
      <c r="F2177" s="11" t="s">
        <v>58</v>
      </c>
      <c r="G2177" s="2">
        <v>212.62479999999999</v>
      </c>
      <c r="H2177" s="13">
        <v>2</v>
      </c>
      <c r="I2177" s="13">
        <v>5</v>
      </c>
      <c r="J2177" s="13">
        <v>-5</v>
      </c>
      <c r="K2177" s="10">
        <v>2</v>
      </c>
      <c r="L2177" s="2">
        <v>425.24959999999999</v>
      </c>
      <c r="M2177" s="1">
        <v>45812.44027777778</v>
      </c>
      <c r="N2177" t="s">
        <v>3384</v>
      </c>
    </row>
    <row r="2178" spans="1:14" x14ac:dyDescent="0.25">
      <c r="A2178" s="9" t="s">
        <v>5211</v>
      </c>
      <c r="B2178" s="10">
        <v>714</v>
      </c>
      <c r="C2178" s="10" t="s">
        <v>143</v>
      </c>
      <c r="D2178" t="s">
        <v>2455</v>
      </c>
      <c r="E2178" t="s">
        <v>2456</v>
      </c>
      <c r="F2178" s="10" t="s">
        <v>35</v>
      </c>
      <c r="G2178" s="2">
        <v>17.512699999999999</v>
      </c>
      <c r="H2178" s="13">
        <v>2</v>
      </c>
      <c r="I2178" s="13">
        <v>0</v>
      </c>
      <c r="J2178" s="13">
        <v>0</v>
      </c>
      <c r="K2178" s="10">
        <v>2</v>
      </c>
      <c r="L2178" s="2">
        <v>35.025399999999998</v>
      </c>
      <c r="M2178" s="1">
        <v>45812.615277777775</v>
      </c>
      <c r="N2178" t="s">
        <v>162</v>
      </c>
    </row>
    <row r="2179" spans="1:14" x14ac:dyDescent="0.25">
      <c r="A2179" s="9" t="s">
        <v>5211</v>
      </c>
      <c r="B2179" s="10">
        <v>714</v>
      </c>
      <c r="C2179" s="10" t="s">
        <v>323</v>
      </c>
      <c r="D2179" t="s">
        <v>3085</v>
      </c>
      <c r="E2179" s="6" t="s">
        <v>3086</v>
      </c>
      <c r="F2179" s="11" t="s">
        <v>58</v>
      </c>
      <c r="G2179" s="2">
        <v>125.69450000000001</v>
      </c>
      <c r="H2179" s="13">
        <v>2</v>
      </c>
      <c r="I2179" s="13">
        <v>0</v>
      </c>
      <c r="J2179" s="13">
        <v>0</v>
      </c>
      <c r="K2179" s="10">
        <v>2</v>
      </c>
      <c r="L2179" s="2">
        <v>251.38900000000001</v>
      </c>
      <c r="M2179" s="1">
        <v>45814.331944444442</v>
      </c>
      <c r="N2179" t="s">
        <v>1841</v>
      </c>
    </row>
    <row r="2180" spans="1:14" x14ac:dyDescent="0.25">
      <c r="A2180" s="9" t="s">
        <v>5211</v>
      </c>
      <c r="B2180" s="10">
        <v>718</v>
      </c>
      <c r="C2180" s="10" t="s">
        <v>323</v>
      </c>
      <c r="D2180" t="s">
        <v>3972</v>
      </c>
      <c r="E2180" t="s">
        <v>3973</v>
      </c>
      <c r="F2180" s="10" t="s">
        <v>29</v>
      </c>
      <c r="G2180" s="2">
        <v>81.082400000000007</v>
      </c>
      <c r="H2180" s="13">
        <v>2</v>
      </c>
      <c r="I2180" s="13">
        <v>0</v>
      </c>
      <c r="J2180" s="13">
        <v>0</v>
      </c>
      <c r="K2180" s="10">
        <v>2</v>
      </c>
      <c r="L2180" s="2">
        <v>162.16480000000001</v>
      </c>
      <c r="M2180" s="1">
        <v>45821.585416666669</v>
      </c>
      <c r="N2180" t="s">
        <v>3384</v>
      </c>
    </row>
    <row r="2181" spans="1:14" x14ac:dyDescent="0.25">
      <c r="A2181" s="9" t="s">
        <v>5211</v>
      </c>
      <c r="B2181" s="10">
        <v>634</v>
      </c>
      <c r="C2181" s="10" t="s">
        <v>143</v>
      </c>
      <c r="D2181" t="s">
        <v>4140</v>
      </c>
      <c r="E2181" s="6" t="s">
        <v>4141</v>
      </c>
      <c r="F2181" s="11" t="s">
        <v>58</v>
      </c>
      <c r="G2181" s="2">
        <v>16.823799999999999</v>
      </c>
      <c r="H2181" s="13">
        <v>2</v>
      </c>
      <c r="I2181" s="13">
        <v>9</v>
      </c>
      <c r="J2181" s="13">
        <v>-9</v>
      </c>
      <c r="K2181" s="10">
        <v>2</v>
      </c>
      <c r="L2181" s="2">
        <v>33.647599999999997</v>
      </c>
      <c r="M2181" s="1">
        <v>45824.40625</v>
      </c>
      <c r="N2181" t="s">
        <v>26</v>
      </c>
    </row>
    <row r="2182" spans="1:14" x14ac:dyDescent="0.25">
      <c r="A2182" s="9" t="s">
        <v>5211</v>
      </c>
      <c r="B2182" s="10">
        <v>718</v>
      </c>
      <c r="C2182" s="10" t="s">
        <v>323</v>
      </c>
      <c r="D2182" t="s">
        <v>3836</v>
      </c>
      <c r="E2182" t="s">
        <v>3837</v>
      </c>
      <c r="F2182" s="10" t="s">
        <v>29</v>
      </c>
      <c r="G2182" s="2">
        <v>166.49029999999999</v>
      </c>
      <c r="H2182" s="13">
        <v>2</v>
      </c>
      <c r="I2182" s="13">
        <v>0</v>
      </c>
      <c r="J2182" s="13">
        <v>0</v>
      </c>
      <c r="K2182" s="10">
        <v>2</v>
      </c>
      <c r="L2182" s="2">
        <v>332.98059999999998</v>
      </c>
      <c r="M2182" s="1">
        <v>45827.370138888888</v>
      </c>
      <c r="N2182" t="s">
        <v>3009</v>
      </c>
    </row>
    <row r="2183" spans="1:14" x14ac:dyDescent="0.25">
      <c r="A2183" s="9" t="s">
        <v>5211</v>
      </c>
      <c r="B2183" s="10">
        <v>714</v>
      </c>
      <c r="C2183" s="10" t="s">
        <v>12</v>
      </c>
      <c r="D2183" t="s">
        <v>1949</v>
      </c>
      <c r="E2183" t="s">
        <v>1950</v>
      </c>
      <c r="F2183" s="10" t="s">
        <v>35</v>
      </c>
      <c r="G2183" s="2">
        <v>43.7102</v>
      </c>
      <c r="H2183" s="13">
        <v>2</v>
      </c>
      <c r="I2183" s="13">
        <v>0</v>
      </c>
      <c r="J2183" s="13">
        <v>0</v>
      </c>
      <c r="K2183" s="10">
        <v>2</v>
      </c>
      <c r="L2183" s="2">
        <v>87.420400000000001</v>
      </c>
      <c r="M2183" s="1">
        <v>45835.335416666669</v>
      </c>
      <c r="N2183" t="s">
        <v>36</v>
      </c>
    </row>
    <row r="2184" spans="1:14" x14ac:dyDescent="0.25">
      <c r="A2184" s="9" t="s">
        <v>5211</v>
      </c>
      <c r="B2184" s="10">
        <v>714</v>
      </c>
      <c r="C2184" s="10" t="s">
        <v>126</v>
      </c>
      <c r="D2184" t="s">
        <v>135</v>
      </c>
      <c r="E2184" t="s">
        <v>136</v>
      </c>
      <c r="F2184" s="10" t="s">
        <v>455</v>
      </c>
      <c r="G2184" s="2">
        <v>489.36380000000003</v>
      </c>
      <c r="H2184" s="13">
        <v>2</v>
      </c>
      <c r="I2184" s="13">
        <v>0</v>
      </c>
      <c r="J2184" s="13">
        <v>0</v>
      </c>
      <c r="K2184" s="10">
        <v>2</v>
      </c>
      <c r="L2184" s="2">
        <v>978.72760000000005</v>
      </c>
      <c r="M2184" s="1">
        <v>45835.557638888888</v>
      </c>
      <c r="N2184" t="s">
        <v>137</v>
      </c>
    </row>
    <row r="2185" spans="1:14" x14ac:dyDescent="0.25">
      <c r="A2185" s="9" t="s">
        <v>5211</v>
      </c>
      <c r="B2185" s="10">
        <v>636</v>
      </c>
      <c r="C2185" s="10" t="s">
        <v>143</v>
      </c>
      <c r="D2185" t="s">
        <v>1098</v>
      </c>
      <c r="E2185" s="6" t="s">
        <v>1099</v>
      </c>
      <c r="F2185" s="11" t="s">
        <v>58</v>
      </c>
      <c r="G2185" s="2">
        <v>46.7532</v>
      </c>
      <c r="H2185" s="13">
        <v>2</v>
      </c>
      <c r="I2185" s="13">
        <v>0</v>
      </c>
      <c r="J2185" s="13">
        <v>0</v>
      </c>
      <c r="K2185" s="10">
        <v>2</v>
      </c>
      <c r="L2185" s="2">
        <v>93.506399999999999</v>
      </c>
      <c r="M2185" s="1">
        <v>45845.314583333333</v>
      </c>
      <c r="N2185" t="s">
        <v>26</v>
      </c>
    </row>
    <row r="2186" spans="1:14" x14ac:dyDescent="0.25">
      <c r="A2186" s="9" t="s">
        <v>5211</v>
      </c>
      <c r="B2186" s="10">
        <v>718</v>
      </c>
      <c r="C2186" s="10" t="s">
        <v>143</v>
      </c>
      <c r="D2186" t="s">
        <v>3753</v>
      </c>
      <c r="E2186" t="s">
        <v>3754</v>
      </c>
      <c r="F2186" s="10" t="s">
        <v>35</v>
      </c>
      <c r="G2186" s="2">
        <v>38.907400000000003</v>
      </c>
      <c r="H2186" s="13">
        <v>2</v>
      </c>
      <c r="I2186" s="13">
        <v>0</v>
      </c>
      <c r="J2186" s="13">
        <v>0</v>
      </c>
      <c r="K2186" s="10">
        <v>2</v>
      </c>
      <c r="L2186" s="2">
        <v>77.814800000000005</v>
      </c>
      <c r="M2186" s="1">
        <v>45849.415972222225</v>
      </c>
      <c r="N2186" t="s">
        <v>26</v>
      </c>
    </row>
    <row r="2187" spans="1:14" x14ac:dyDescent="0.25">
      <c r="A2187" s="9" t="s">
        <v>5211</v>
      </c>
      <c r="B2187" s="10">
        <v>636</v>
      </c>
      <c r="C2187" s="10" t="s">
        <v>323</v>
      </c>
      <c r="D2187" t="s">
        <v>1371</v>
      </c>
      <c r="E2187" s="6" t="s">
        <v>1372</v>
      </c>
      <c r="F2187" s="11" t="s">
        <v>58</v>
      </c>
      <c r="G2187" s="2">
        <v>81.270600000000002</v>
      </c>
      <c r="H2187" s="13">
        <v>2</v>
      </c>
      <c r="I2187" s="13">
        <v>0</v>
      </c>
      <c r="J2187" s="13">
        <v>0</v>
      </c>
      <c r="K2187" s="10">
        <v>2</v>
      </c>
      <c r="L2187" s="2">
        <v>162.5412</v>
      </c>
      <c r="M2187" s="1">
        <v>45862.438888888886</v>
      </c>
      <c r="N2187" t="s">
        <v>40</v>
      </c>
    </row>
    <row r="2188" spans="1:14" x14ac:dyDescent="0.25">
      <c r="A2188" s="9" t="s">
        <v>5211</v>
      </c>
      <c r="B2188" s="10">
        <v>636</v>
      </c>
      <c r="C2188" s="10" t="s">
        <v>143</v>
      </c>
      <c r="D2188" t="s">
        <v>4561</v>
      </c>
      <c r="E2188" t="s">
        <v>4562</v>
      </c>
      <c r="F2188" s="10" t="s">
        <v>15</v>
      </c>
      <c r="G2188" s="2">
        <v>25.3841</v>
      </c>
      <c r="H2188" s="13">
        <v>2</v>
      </c>
      <c r="I2188" s="13">
        <v>1</v>
      </c>
      <c r="J2188" s="13">
        <v>-1</v>
      </c>
      <c r="K2188" s="10">
        <v>2</v>
      </c>
      <c r="L2188" s="2">
        <v>50.7682</v>
      </c>
      <c r="M2188" s="1">
        <v>45862.438888888886</v>
      </c>
      <c r="N2188" t="s">
        <v>40</v>
      </c>
    </row>
    <row r="2189" spans="1:14" x14ac:dyDescent="0.25">
      <c r="A2189" s="9" t="s">
        <v>5211</v>
      </c>
      <c r="B2189" s="10">
        <v>636</v>
      </c>
      <c r="C2189" s="10" t="s">
        <v>143</v>
      </c>
      <c r="D2189" t="s">
        <v>4493</v>
      </c>
      <c r="E2189" t="s">
        <v>4494</v>
      </c>
      <c r="F2189" s="10" t="s">
        <v>35</v>
      </c>
      <c r="G2189" s="2">
        <v>24.1661</v>
      </c>
      <c r="H2189" s="13">
        <v>2</v>
      </c>
      <c r="I2189" s="13">
        <v>0</v>
      </c>
      <c r="J2189" s="13">
        <v>0</v>
      </c>
      <c r="K2189" s="10">
        <v>2</v>
      </c>
      <c r="L2189" s="2">
        <v>48.3322</v>
      </c>
      <c r="M2189" s="1">
        <v>45862.438888888886</v>
      </c>
      <c r="N2189" t="s">
        <v>40</v>
      </c>
    </row>
    <row r="2190" spans="1:14" x14ac:dyDescent="0.25">
      <c r="A2190" s="9" t="s">
        <v>5211</v>
      </c>
      <c r="B2190" s="10">
        <v>718</v>
      </c>
      <c r="C2190" s="10" t="s">
        <v>70</v>
      </c>
      <c r="D2190" t="s">
        <v>2131</v>
      </c>
      <c r="E2190" t="s">
        <v>2132</v>
      </c>
      <c r="F2190" s="10" t="s">
        <v>35</v>
      </c>
      <c r="G2190" s="2">
        <v>7.8583999999999996</v>
      </c>
      <c r="H2190" s="13">
        <v>2</v>
      </c>
      <c r="I2190" s="13">
        <v>-6</v>
      </c>
      <c r="J2190" s="13">
        <v>6</v>
      </c>
      <c r="K2190" s="10">
        <v>2</v>
      </c>
      <c r="L2190" s="2">
        <v>15.716799999999999</v>
      </c>
      <c r="M2190" s="1">
        <v>45868.541666666664</v>
      </c>
      <c r="N2190" t="s">
        <v>40</v>
      </c>
    </row>
    <row r="2191" spans="1:14" x14ac:dyDescent="0.25">
      <c r="A2191" s="9" t="s">
        <v>5211</v>
      </c>
      <c r="B2191" s="10">
        <v>636</v>
      </c>
      <c r="C2191" s="10" t="s">
        <v>323</v>
      </c>
      <c r="D2191" t="s">
        <v>4619</v>
      </c>
      <c r="E2191" t="s">
        <v>4620</v>
      </c>
      <c r="F2191" s="10" t="s">
        <v>29</v>
      </c>
      <c r="G2191" s="2">
        <v>47.079099999999997</v>
      </c>
      <c r="H2191" s="13">
        <v>2</v>
      </c>
      <c r="I2191" s="13">
        <v>2</v>
      </c>
      <c r="J2191" s="13">
        <v>-2</v>
      </c>
      <c r="K2191" s="10">
        <v>2</v>
      </c>
      <c r="L2191" s="2">
        <v>94.158199999999994</v>
      </c>
      <c r="M2191" s="1">
        <v>45909.477083333331</v>
      </c>
      <c r="N2191" t="s">
        <v>175</v>
      </c>
    </row>
    <row r="2192" spans="1:14" x14ac:dyDescent="0.25">
      <c r="A2192" s="9" t="s">
        <v>5211</v>
      </c>
      <c r="B2192" s="10">
        <v>636</v>
      </c>
      <c r="C2192" s="10" t="s">
        <v>143</v>
      </c>
      <c r="D2192" t="s">
        <v>4527</v>
      </c>
      <c r="E2192" s="6" t="s">
        <v>4528</v>
      </c>
      <c r="F2192" s="11" t="s">
        <v>58</v>
      </c>
      <c r="G2192" s="2">
        <v>12.9269</v>
      </c>
      <c r="H2192" s="13">
        <v>2</v>
      </c>
      <c r="I2192" s="13">
        <v>10</v>
      </c>
      <c r="J2192" s="13">
        <v>-10</v>
      </c>
      <c r="K2192" s="10">
        <v>2</v>
      </c>
      <c r="L2192" s="2">
        <v>25.8538</v>
      </c>
      <c r="M2192" s="1">
        <v>45910.511111111111</v>
      </c>
      <c r="N2192" t="s">
        <v>40</v>
      </c>
    </row>
    <row r="2193" spans="1:14" x14ac:dyDescent="0.25">
      <c r="A2193" s="9" t="s">
        <v>5211</v>
      </c>
      <c r="B2193" s="10">
        <v>714</v>
      </c>
      <c r="C2193" s="10" t="s">
        <v>143</v>
      </c>
      <c r="D2193" t="s">
        <v>2235</v>
      </c>
      <c r="E2193" t="s">
        <v>2236</v>
      </c>
      <c r="F2193" s="10" t="s">
        <v>29</v>
      </c>
      <c r="G2193" s="2">
        <v>129.51310000000001</v>
      </c>
      <c r="H2193" s="13">
        <v>2</v>
      </c>
      <c r="I2193" s="13">
        <v>-5</v>
      </c>
      <c r="J2193" s="13">
        <v>5</v>
      </c>
      <c r="K2193" s="10">
        <v>2</v>
      </c>
      <c r="L2193" s="2">
        <v>259.02620000000002</v>
      </c>
      <c r="M2193" s="1">
        <v>45915.457638888889</v>
      </c>
      <c r="N2193" t="s">
        <v>137</v>
      </c>
    </row>
    <row r="2194" spans="1:14" x14ac:dyDescent="0.25">
      <c r="A2194" s="9" t="s">
        <v>5211</v>
      </c>
      <c r="B2194" s="10">
        <v>714</v>
      </c>
      <c r="C2194" s="10" t="s">
        <v>143</v>
      </c>
      <c r="D2194" t="s">
        <v>2497</v>
      </c>
      <c r="E2194" t="s">
        <v>2498</v>
      </c>
      <c r="F2194" s="10" t="s">
        <v>15</v>
      </c>
      <c r="G2194" s="2">
        <v>14.472799999999999</v>
      </c>
      <c r="H2194" s="13">
        <v>2</v>
      </c>
      <c r="I2194" s="13">
        <v>0</v>
      </c>
      <c r="J2194" s="13">
        <v>0</v>
      </c>
      <c r="K2194" s="10">
        <v>2</v>
      </c>
      <c r="L2194" s="2">
        <v>28.945599999999999</v>
      </c>
      <c r="M2194" s="1">
        <v>45919.670138888891</v>
      </c>
      <c r="N2194" t="s">
        <v>40</v>
      </c>
    </row>
    <row r="2195" spans="1:14" x14ac:dyDescent="0.25">
      <c r="A2195" s="9" t="s">
        <v>5211</v>
      </c>
      <c r="B2195" s="10">
        <v>714</v>
      </c>
      <c r="C2195" s="10" t="s">
        <v>323</v>
      </c>
      <c r="D2195" t="s">
        <v>3374</v>
      </c>
      <c r="E2195" t="s">
        <v>3375</v>
      </c>
      <c r="F2195" s="10" t="s">
        <v>15</v>
      </c>
      <c r="G2195" s="2">
        <v>238.4228</v>
      </c>
      <c r="H2195" s="13">
        <v>2</v>
      </c>
      <c r="I2195" s="13">
        <v>0</v>
      </c>
      <c r="J2195" s="13">
        <v>0</v>
      </c>
      <c r="K2195" s="10">
        <v>2</v>
      </c>
      <c r="L2195" s="2">
        <v>476.84559999999999</v>
      </c>
      <c r="M2195" s="1">
        <v>45922.579861111109</v>
      </c>
      <c r="N2195" t="s">
        <v>2423</v>
      </c>
    </row>
    <row r="2196" spans="1:14" x14ac:dyDescent="0.25">
      <c r="A2196" s="9" t="s">
        <v>5211</v>
      </c>
      <c r="B2196" s="10">
        <v>714</v>
      </c>
      <c r="C2196" s="10" t="s">
        <v>323</v>
      </c>
      <c r="D2196" t="s">
        <v>5051</v>
      </c>
      <c r="E2196" t="s">
        <v>5052</v>
      </c>
      <c r="F2196" s="10" t="s">
        <v>29</v>
      </c>
      <c r="G2196" s="2">
        <v>135.65180000000001</v>
      </c>
      <c r="H2196" s="13">
        <v>2</v>
      </c>
      <c r="I2196" s="13">
        <v>0</v>
      </c>
      <c r="J2196" s="13">
        <v>0</v>
      </c>
      <c r="K2196" s="10">
        <v>2</v>
      </c>
      <c r="L2196" s="2">
        <v>271.30360000000002</v>
      </c>
      <c r="M2196" s="1">
        <v>45923.463194444441</v>
      </c>
      <c r="N2196" t="s">
        <v>137</v>
      </c>
    </row>
    <row r="2197" spans="1:14" x14ac:dyDescent="0.25">
      <c r="A2197" s="9" t="s">
        <v>5211</v>
      </c>
      <c r="B2197" s="10">
        <v>634</v>
      </c>
      <c r="C2197" s="10" t="s">
        <v>126</v>
      </c>
      <c r="D2197" t="s">
        <v>4056</v>
      </c>
      <c r="E2197" t="s">
        <v>4057</v>
      </c>
      <c r="F2197" s="10" t="s">
        <v>158</v>
      </c>
      <c r="G2197" s="2">
        <v>247.29949999999999</v>
      </c>
      <c r="H2197" s="13">
        <v>2</v>
      </c>
      <c r="I2197" s="13">
        <v>3</v>
      </c>
      <c r="J2197" s="13">
        <v>-3</v>
      </c>
      <c r="K2197" s="10">
        <v>2</v>
      </c>
      <c r="L2197" s="2">
        <v>494.59899999999999</v>
      </c>
      <c r="M2197" s="1">
        <v>45924.581250000003</v>
      </c>
      <c r="N2197" t="s">
        <v>865</v>
      </c>
    </row>
    <row r="2198" spans="1:14" x14ac:dyDescent="0.25">
      <c r="A2198" s="9" t="s">
        <v>5211</v>
      </c>
      <c r="B2198" s="10">
        <v>714</v>
      </c>
      <c r="C2198" s="10" t="s">
        <v>323</v>
      </c>
      <c r="D2198" t="s">
        <v>3178</v>
      </c>
      <c r="E2198" t="s">
        <v>3179</v>
      </c>
      <c r="F2198" s="10" t="s">
        <v>29</v>
      </c>
      <c r="G2198" s="2">
        <v>89.373900000000006</v>
      </c>
      <c r="H2198" s="13">
        <v>2</v>
      </c>
      <c r="I2198" s="13">
        <v>0</v>
      </c>
      <c r="J2198" s="13">
        <v>0</v>
      </c>
      <c r="K2198" s="10">
        <v>2</v>
      </c>
      <c r="L2198" s="2">
        <v>178.74780000000001</v>
      </c>
      <c r="M2198" s="1">
        <v>45924.586805555555</v>
      </c>
      <c r="N2198" t="s">
        <v>36</v>
      </c>
    </row>
    <row r="2199" spans="1:14" x14ac:dyDescent="0.25">
      <c r="A2199" s="9" t="s">
        <v>5211</v>
      </c>
      <c r="B2199" s="10">
        <v>714</v>
      </c>
      <c r="C2199" s="10" t="s">
        <v>143</v>
      </c>
      <c r="D2199" t="s">
        <v>2449</v>
      </c>
      <c r="E2199" t="s">
        <v>2450</v>
      </c>
      <c r="F2199" s="10" t="s">
        <v>35</v>
      </c>
      <c r="G2199" s="2">
        <v>27.540600000000001</v>
      </c>
      <c r="H2199" s="13">
        <v>2</v>
      </c>
      <c r="I2199" s="13">
        <v>0</v>
      </c>
      <c r="J2199" s="13">
        <v>0</v>
      </c>
      <c r="K2199" s="10">
        <v>2</v>
      </c>
      <c r="L2199" s="2">
        <v>55.081200000000003</v>
      </c>
      <c r="M2199" s="1">
        <v>45929.468055555553</v>
      </c>
      <c r="N2199" t="s">
        <v>26</v>
      </c>
    </row>
    <row r="2200" spans="1:14" x14ac:dyDescent="0.25">
      <c r="A2200" s="9" t="s">
        <v>5211</v>
      </c>
      <c r="B2200" s="10">
        <v>714</v>
      </c>
      <c r="C2200" s="10" t="s">
        <v>143</v>
      </c>
      <c r="D2200" t="s">
        <v>4773</v>
      </c>
      <c r="E2200" t="s">
        <v>4774</v>
      </c>
      <c r="F2200" s="10" t="s">
        <v>19</v>
      </c>
      <c r="G2200" s="2">
        <v>28.830500000000001</v>
      </c>
      <c r="H2200" s="13">
        <v>2</v>
      </c>
      <c r="I2200" s="13">
        <v>17</v>
      </c>
      <c r="J2200" s="13">
        <v>-17</v>
      </c>
      <c r="K2200" s="10">
        <v>2</v>
      </c>
      <c r="L2200" s="2">
        <v>57.661000000000001</v>
      </c>
      <c r="M2200" s="1">
        <v>45933.449305555558</v>
      </c>
      <c r="N2200" t="s">
        <v>903</v>
      </c>
    </row>
    <row r="2201" spans="1:14" x14ac:dyDescent="0.25">
      <c r="A2201" s="9" t="s">
        <v>5211</v>
      </c>
      <c r="B2201" s="10">
        <v>636</v>
      </c>
      <c r="C2201" s="10" t="s">
        <v>143</v>
      </c>
      <c r="D2201" t="s">
        <v>4531</v>
      </c>
      <c r="E2201" t="s">
        <v>4532</v>
      </c>
      <c r="F2201" s="10" t="s">
        <v>15</v>
      </c>
      <c r="G2201" s="2">
        <v>15.1868</v>
      </c>
      <c r="H2201" s="13">
        <v>2</v>
      </c>
      <c r="I2201" s="13">
        <v>32</v>
      </c>
      <c r="J2201" s="13">
        <v>-32</v>
      </c>
      <c r="K2201" s="10">
        <v>2</v>
      </c>
      <c r="L2201" s="2">
        <v>30.3736</v>
      </c>
      <c r="M2201" s="1">
        <v>45933.799305555556</v>
      </c>
      <c r="N2201" t="s">
        <v>26</v>
      </c>
    </row>
    <row r="2202" spans="1:14" x14ac:dyDescent="0.25">
      <c r="A2202" s="9" t="s">
        <v>5211</v>
      </c>
      <c r="B2202" s="10">
        <v>714</v>
      </c>
      <c r="C2202" s="10" t="s">
        <v>323</v>
      </c>
      <c r="D2202" t="s">
        <v>5061</v>
      </c>
      <c r="E2202" t="s">
        <v>5062</v>
      </c>
      <c r="F2202" s="10" t="s">
        <v>19</v>
      </c>
      <c r="G2202" s="2">
        <v>228.45609999999999</v>
      </c>
      <c r="H2202" s="13">
        <v>2</v>
      </c>
      <c r="I2202" s="13">
        <v>0</v>
      </c>
      <c r="J2202" s="13">
        <v>0</v>
      </c>
      <c r="K2202" s="10">
        <v>2</v>
      </c>
      <c r="L2202" s="2">
        <v>456.91219999999998</v>
      </c>
      <c r="M2202" s="1">
        <v>45936.338194444441</v>
      </c>
      <c r="N2202" t="s">
        <v>2379</v>
      </c>
    </row>
    <row r="2203" spans="1:14" x14ac:dyDescent="0.25">
      <c r="A2203" s="9" t="s">
        <v>5211</v>
      </c>
      <c r="B2203" s="10">
        <v>714</v>
      </c>
      <c r="C2203" s="10" t="s">
        <v>143</v>
      </c>
      <c r="D2203" t="s">
        <v>4919</v>
      </c>
      <c r="E2203" t="s">
        <v>4920</v>
      </c>
      <c r="F2203" s="10" t="s">
        <v>23</v>
      </c>
      <c r="G2203" s="2">
        <v>50.794800000000002</v>
      </c>
      <c r="H2203" s="13">
        <v>2</v>
      </c>
      <c r="I2203" s="13">
        <v>11</v>
      </c>
      <c r="J2203" s="13">
        <v>-11</v>
      </c>
      <c r="K2203" s="10">
        <v>2</v>
      </c>
      <c r="L2203" s="2">
        <v>101.5896</v>
      </c>
      <c r="M2203" s="1">
        <v>45937.511111111111</v>
      </c>
      <c r="N2203" t="s">
        <v>261</v>
      </c>
    </row>
    <row r="2204" spans="1:14" x14ac:dyDescent="0.25">
      <c r="A2204" s="9" t="s">
        <v>5211</v>
      </c>
      <c r="B2204" s="10">
        <v>714</v>
      </c>
      <c r="C2204" s="10" t="s">
        <v>323</v>
      </c>
      <c r="D2204" t="s">
        <v>2999</v>
      </c>
      <c r="E2204" t="s">
        <v>3000</v>
      </c>
      <c r="F2204" s="10" t="s">
        <v>19</v>
      </c>
      <c r="G2204" s="2">
        <v>75</v>
      </c>
      <c r="H2204" s="13">
        <v>2</v>
      </c>
      <c r="I2204" s="13">
        <v>0</v>
      </c>
      <c r="J2204" s="13">
        <v>0</v>
      </c>
      <c r="K2204" s="10">
        <v>2</v>
      </c>
      <c r="L2204" s="2">
        <v>150</v>
      </c>
      <c r="M2204" s="1">
        <v>45947.566666666666</v>
      </c>
      <c r="N2204" t="s">
        <v>1224</v>
      </c>
    </row>
    <row r="2205" spans="1:14" x14ac:dyDescent="0.25">
      <c r="A2205" s="9" t="s">
        <v>5211</v>
      </c>
      <c r="B2205" s="10">
        <v>718</v>
      </c>
      <c r="C2205" s="10" t="s">
        <v>143</v>
      </c>
      <c r="D2205" t="s">
        <v>5158</v>
      </c>
      <c r="E2205" t="s">
        <v>5159</v>
      </c>
      <c r="F2205" s="10" t="s">
        <v>23</v>
      </c>
      <c r="G2205" s="2">
        <v>19.842700000000001</v>
      </c>
      <c r="H2205" s="13">
        <v>2</v>
      </c>
      <c r="I2205" s="13">
        <v>13</v>
      </c>
      <c r="J2205" s="13">
        <v>-13</v>
      </c>
      <c r="K2205" s="10">
        <v>2</v>
      </c>
      <c r="L2205" s="2">
        <v>39.685400000000001</v>
      </c>
      <c r="M2205" s="1">
        <v>45953.431250000001</v>
      </c>
      <c r="N2205" t="s">
        <v>878</v>
      </c>
    </row>
    <row r="2206" spans="1:14" x14ac:dyDescent="0.25">
      <c r="A2206" s="9" t="s">
        <v>5211</v>
      </c>
      <c r="B2206" s="10">
        <v>636</v>
      </c>
      <c r="C2206" s="10" t="s">
        <v>4453</v>
      </c>
      <c r="D2206" t="s">
        <v>4454</v>
      </c>
      <c r="E2206" t="s">
        <v>4455</v>
      </c>
      <c r="F2206" s="10" t="s">
        <v>39</v>
      </c>
      <c r="G2206" s="2">
        <v>15.8414</v>
      </c>
      <c r="H2206" s="13">
        <v>2</v>
      </c>
      <c r="I2206" s="13">
        <v>10</v>
      </c>
      <c r="J2206" s="13">
        <v>-10</v>
      </c>
      <c r="K2206" s="10">
        <v>2</v>
      </c>
      <c r="L2206" s="2">
        <v>31.6828</v>
      </c>
      <c r="M2206" s="1">
        <v>45954.34652777778</v>
      </c>
      <c r="N2206" t="s">
        <v>4456</v>
      </c>
    </row>
    <row r="2207" spans="1:14" x14ac:dyDescent="0.25">
      <c r="A2207" s="9" t="s">
        <v>5211</v>
      </c>
      <c r="B2207" s="10">
        <v>636</v>
      </c>
      <c r="C2207" s="10" t="s">
        <v>323</v>
      </c>
      <c r="D2207" t="s">
        <v>1322</v>
      </c>
      <c r="E2207" t="s">
        <v>1323</v>
      </c>
      <c r="F2207" s="10" t="s">
        <v>19</v>
      </c>
      <c r="G2207" s="2">
        <v>296.57339999999999</v>
      </c>
      <c r="H2207" s="13">
        <v>2</v>
      </c>
      <c r="I2207" s="13">
        <v>1</v>
      </c>
      <c r="J2207" s="13">
        <v>-1</v>
      </c>
      <c r="K2207" s="10">
        <v>2</v>
      </c>
      <c r="L2207" s="2">
        <v>593.14679999999998</v>
      </c>
      <c r="M2207" s="1">
        <v>45957.623611111114</v>
      </c>
      <c r="N2207" t="s">
        <v>486</v>
      </c>
    </row>
    <row r="2208" spans="1:14" x14ac:dyDescent="0.25">
      <c r="A2208" s="9" t="s">
        <v>5211</v>
      </c>
      <c r="B2208" s="10">
        <v>714</v>
      </c>
      <c r="C2208" s="10" t="s">
        <v>323</v>
      </c>
      <c r="D2208" t="s">
        <v>3239</v>
      </c>
      <c r="E2208" t="s">
        <v>3240</v>
      </c>
      <c r="F2208" s="10" t="s">
        <v>1047</v>
      </c>
      <c r="G2208" s="2">
        <v>98.183199999999999</v>
      </c>
      <c r="H2208" s="13">
        <v>2</v>
      </c>
      <c r="I2208" s="13">
        <v>0</v>
      </c>
      <c r="J2208" s="13">
        <v>0</v>
      </c>
      <c r="K2208" s="10">
        <v>2</v>
      </c>
      <c r="L2208" s="2">
        <v>196.3664</v>
      </c>
      <c r="M2208" s="1">
        <v>45959.618055555555</v>
      </c>
      <c r="N2208" t="s">
        <v>1224</v>
      </c>
    </row>
    <row r="2209" spans="1:14" x14ac:dyDescent="0.25">
      <c r="A2209" s="9" t="s">
        <v>5211</v>
      </c>
      <c r="B2209" s="10">
        <v>636</v>
      </c>
      <c r="C2209" s="10" t="s">
        <v>323</v>
      </c>
      <c r="D2209" t="s">
        <v>1490</v>
      </c>
      <c r="E2209" t="s">
        <v>1491</v>
      </c>
      <c r="F2209" s="10" t="s">
        <v>29</v>
      </c>
      <c r="G2209" s="2">
        <v>365.34609999999998</v>
      </c>
      <c r="H2209" s="13">
        <v>2</v>
      </c>
      <c r="I2209" s="13">
        <v>0</v>
      </c>
      <c r="J2209" s="13">
        <v>0</v>
      </c>
      <c r="K2209" s="10">
        <v>2</v>
      </c>
      <c r="L2209" s="2">
        <v>730.69219999999996</v>
      </c>
      <c r="M2209" s="1">
        <v>45964.586805555555</v>
      </c>
      <c r="N2209" t="s">
        <v>486</v>
      </c>
    </row>
    <row r="2210" spans="1:14" x14ac:dyDescent="0.25">
      <c r="A2210" s="9" t="s">
        <v>5211</v>
      </c>
      <c r="B2210" s="10">
        <v>714</v>
      </c>
      <c r="C2210" s="10" t="s">
        <v>323</v>
      </c>
      <c r="D2210" t="s">
        <v>5113</v>
      </c>
      <c r="E2210" t="s">
        <v>5114</v>
      </c>
      <c r="F2210" s="10" t="s">
        <v>29</v>
      </c>
      <c r="G2210" s="2">
        <v>120.0296</v>
      </c>
      <c r="H2210" s="13">
        <v>2</v>
      </c>
      <c r="I2210" s="13">
        <v>3</v>
      </c>
      <c r="J2210" s="13">
        <v>-3</v>
      </c>
      <c r="K2210" s="10">
        <v>2</v>
      </c>
      <c r="L2210" s="2">
        <v>240.0592</v>
      </c>
      <c r="M2210" s="1">
        <v>45965.344444444447</v>
      </c>
      <c r="N2210" t="s">
        <v>1234</v>
      </c>
    </row>
    <row r="2211" spans="1:14" x14ac:dyDescent="0.25">
      <c r="A2211" s="9" t="s">
        <v>5211</v>
      </c>
      <c r="B2211" s="10">
        <v>714</v>
      </c>
      <c r="C2211" s="10" t="s">
        <v>323</v>
      </c>
      <c r="D2211" t="s">
        <v>4328</v>
      </c>
      <c r="E2211" t="s">
        <v>4329</v>
      </c>
      <c r="F2211" s="10" t="s">
        <v>158</v>
      </c>
      <c r="G2211" s="2">
        <v>84.926199999999994</v>
      </c>
      <c r="H2211" s="13">
        <v>2</v>
      </c>
      <c r="I2211" s="13">
        <v>86</v>
      </c>
      <c r="J2211" s="13">
        <v>-86</v>
      </c>
      <c r="K2211" s="10">
        <v>2</v>
      </c>
      <c r="L2211" s="2">
        <v>169.85239999999999</v>
      </c>
      <c r="M2211" s="1">
        <v>45966.630555555559</v>
      </c>
      <c r="N2211" t="s">
        <v>2225</v>
      </c>
    </row>
    <row r="2212" spans="1:14" x14ac:dyDescent="0.25">
      <c r="A2212" s="9" t="s">
        <v>5211</v>
      </c>
      <c r="B2212" s="10">
        <v>636</v>
      </c>
      <c r="C2212" s="10" t="s">
        <v>143</v>
      </c>
      <c r="D2212" t="s">
        <v>4501</v>
      </c>
      <c r="E2212" t="s">
        <v>4502</v>
      </c>
      <c r="F2212" s="10" t="s">
        <v>19</v>
      </c>
      <c r="G2212" s="2">
        <v>203.73820000000001</v>
      </c>
      <c r="H2212" s="13">
        <v>2</v>
      </c>
      <c r="I2212" s="13">
        <v>0</v>
      </c>
      <c r="J2212" s="13">
        <v>0</v>
      </c>
      <c r="K2212" s="10">
        <v>2</v>
      </c>
      <c r="L2212" s="2">
        <v>407.47640000000001</v>
      </c>
      <c r="M2212" s="1">
        <v>45971.493750000001</v>
      </c>
      <c r="N2212" t="s">
        <v>165</v>
      </c>
    </row>
    <row r="2213" spans="1:14" x14ac:dyDescent="0.25">
      <c r="A2213" s="9" t="s">
        <v>5211</v>
      </c>
      <c r="B2213" s="10">
        <v>636</v>
      </c>
      <c r="C2213" s="10" t="s">
        <v>143</v>
      </c>
      <c r="D2213" t="s">
        <v>1150</v>
      </c>
      <c r="E2213" t="s">
        <v>1151</v>
      </c>
      <c r="F2213" s="10" t="s">
        <v>19</v>
      </c>
      <c r="G2213" s="2">
        <v>203.73820000000001</v>
      </c>
      <c r="H2213" s="13">
        <v>2</v>
      </c>
      <c r="I2213" s="13">
        <v>0</v>
      </c>
      <c r="J2213" s="13">
        <v>0</v>
      </c>
      <c r="K2213" s="10">
        <v>2</v>
      </c>
      <c r="L2213" s="2">
        <v>407.47640000000001</v>
      </c>
      <c r="M2213" s="1">
        <v>45971.493750000001</v>
      </c>
      <c r="N2213" t="s">
        <v>165</v>
      </c>
    </row>
    <row r="2214" spans="1:14" x14ac:dyDescent="0.25">
      <c r="A2214" s="9" t="s">
        <v>5211</v>
      </c>
      <c r="B2214" s="10">
        <v>636</v>
      </c>
      <c r="C2214" s="10" t="s">
        <v>143</v>
      </c>
      <c r="D2214" t="s">
        <v>4471</v>
      </c>
      <c r="E2214" t="s">
        <v>4472</v>
      </c>
      <c r="F2214" s="10" t="s">
        <v>23</v>
      </c>
      <c r="G2214" s="2">
        <v>90.601399999999998</v>
      </c>
      <c r="H2214" s="13">
        <v>2</v>
      </c>
      <c r="I2214" s="13">
        <v>11</v>
      </c>
      <c r="J2214" s="13">
        <v>-11</v>
      </c>
      <c r="K2214" s="10">
        <v>2</v>
      </c>
      <c r="L2214" s="2">
        <v>181.2028</v>
      </c>
      <c r="M2214" s="1">
        <v>45973.455555555556</v>
      </c>
      <c r="N2214" t="s">
        <v>40</v>
      </c>
    </row>
    <row r="2215" spans="1:14" x14ac:dyDescent="0.25">
      <c r="A2215" s="9" t="s">
        <v>5211</v>
      </c>
      <c r="B2215" s="10">
        <v>714</v>
      </c>
      <c r="C2215" s="10" t="s">
        <v>323</v>
      </c>
      <c r="D2215" t="s">
        <v>5023</v>
      </c>
      <c r="E2215" t="s">
        <v>5024</v>
      </c>
      <c r="F2215" s="10" t="s">
        <v>19</v>
      </c>
      <c r="G2215" s="2">
        <v>77.607799999999997</v>
      </c>
      <c r="H2215" s="13">
        <v>2</v>
      </c>
      <c r="I2215" s="13">
        <v>5</v>
      </c>
      <c r="J2215" s="13">
        <v>-5</v>
      </c>
      <c r="K2215" s="10">
        <v>2</v>
      </c>
      <c r="L2215" s="2">
        <v>155.21559999999999</v>
      </c>
      <c r="M2215" s="1">
        <v>45979.523611111108</v>
      </c>
      <c r="N2215" t="s">
        <v>40</v>
      </c>
    </row>
    <row r="2216" spans="1:14" x14ac:dyDescent="0.25">
      <c r="A2216" s="9" t="s">
        <v>5211</v>
      </c>
      <c r="B2216" s="10">
        <v>636</v>
      </c>
      <c r="C2216" s="10" t="s">
        <v>143</v>
      </c>
      <c r="D2216" t="s">
        <v>991</v>
      </c>
      <c r="E2216" t="s">
        <v>992</v>
      </c>
      <c r="F2216" s="10" t="s">
        <v>29</v>
      </c>
      <c r="G2216" s="2">
        <v>15.5746</v>
      </c>
      <c r="H2216" s="13">
        <v>2</v>
      </c>
      <c r="I2216" s="13">
        <v>0</v>
      </c>
      <c r="J2216" s="13">
        <v>0</v>
      </c>
      <c r="K2216" s="10">
        <v>2</v>
      </c>
      <c r="L2216" s="2">
        <v>31.1492</v>
      </c>
      <c r="M2216" s="1">
        <v>45980.417361111111</v>
      </c>
      <c r="N2216" t="s">
        <v>40</v>
      </c>
    </row>
    <row r="2217" spans="1:14" x14ac:dyDescent="0.25">
      <c r="A2217" s="9" t="s">
        <v>5211</v>
      </c>
      <c r="B2217" s="10">
        <v>636</v>
      </c>
      <c r="C2217" s="10" t="s">
        <v>855</v>
      </c>
      <c r="D2217" t="s">
        <v>4457</v>
      </c>
      <c r="E2217" t="s">
        <v>4458</v>
      </c>
      <c r="F2217" s="10" t="s">
        <v>23</v>
      </c>
      <c r="G2217" s="2">
        <v>7.5156000000000001</v>
      </c>
      <c r="H2217" s="13">
        <v>2</v>
      </c>
      <c r="I2217" s="13">
        <v>82</v>
      </c>
      <c r="J2217" s="13">
        <v>-82</v>
      </c>
      <c r="K2217" s="10">
        <v>2</v>
      </c>
      <c r="L2217" s="2">
        <v>15.0312</v>
      </c>
      <c r="M2217" s="1">
        <v>45987.39166666667</v>
      </c>
      <c r="N2217" t="s">
        <v>4456</v>
      </c>
    </row>
    <row r="2218" spans="1:14" x14ac:dyDescent="0.25">
      <c r="A2218" s="9" t="s">
        <v>5211</v>
      </c>
      <c r="B2218" s="10">
        <v>636</v>
      </c>
      <c r="C2218" s="10" t="s">
        <v>323</v>
      </c>
      <c r="D2218" t="s">
        <v>480</v>
      </c>
      <c r="E2218" t="s">
        <v>481</v>
      </c>
      <c r="F2218" s="10" t="s">
        <v>35</v>
      </c>
      <c r="G2218" s="2">
        <v>137.0967</v>
      </c>
      <c r="H2218" s="13">
        <v>2</v>
      </c>
      <c r="I2218" s="13">
        <v>0</v>
      </c>
      <c r="J2218" s="13">
        <v>0</v>
      </c>
      <c r="K2218" s="10">
        <v>2</v>
      </c>
      <c r="L2218" s="2">
        <v>274.1934</v>
      </c>
      <c r="M2218" s="1">
        <v>46069.413194444445</v>
      </c>
      <c r="N2218" t="s">
        <v>151</v>
      </c>
    </row>
    <row r="2219" spans="1:14" x14ac:dyDescent="0.25">
      <c r="A2219" s="9" t="s">
        <v>5211</v>
      </c>
      <c r="B2219" s="10">
        <v>636</v>
      </c>
      <c r="C2219" s="10" t="s">
        <v>323</v>
      </c>
      <c r="D2219" t="s">
        <v>3391</v>
      </c>
      <c r="E2219" t="s">
        <v>3392</v>
      </c>
      <c r="F2219" s="10" t="s">
        <v>23</v>
      </c>
      <c r="G2219" s="2">
        <v>164.6592</v>
      </c>
      <c r="H2219" s="13">
        <v>2</v>
      </c>
      <c r="I2219" s="13">
        <v>0</v>
      </c>
      <c r="J2219" s="13">
        <v>0</v>
      </c>
      <c r="K2219" s="10">
        <v>2</v>
      </c>
      <c r="L2219" s="2">
        <v>329.3184</v>
      </c>
      <c r="M2219" s="1">
        <v>46069.413194444445</v>
      </c>
      <c r="N2219" t="s">
        <v>151</v>
      </c>
    </row>
    <row r="2220" spans="1:14" x14ac:dyDescent="0.25">
      <c r="A2220" s="9" t="s">
        <v>5211</v>
      </c>
      <c r="B2220" s="10">
        <v>636</v>
      </c>
      <c r="C2220" s="10" t="s">
        <v>323</v>
      </c>
      <c r="D2220" t="s">
        <v>1227</v>
      </c>
      <c r="E2220" t="s">
        <v>1228</v>
      </c>
      <c r="F2220" s="10" t="s">
        <v>455</v>
      </c>
      <c r="G2220" s="2">
        <v>558.46270000000004</v>
      </c>
      <c r="H2220" s="13">
        <v>2</v>
      </c>
      <c r="I2220" s="13">
        <v>0</v>
      </c>
      <c r="J2220" s="13">
        <v>0</v>
      </c>
      <c r="K2220" s="10">
        <v>2</v>
      </c>
      <c r="L2220" s="2">
        <v>1116.9254000000001</v>
      </c>
      <c r="M2220" s="1">
        <v>46072.503472222219</v>
      </c>
      <c r="N2220" t="s">
        <v>1229</v>
      </c>
    </row>
    <row r="2221" spans="1:14" x14ac:dyDescent="0.25">
      <c r="A2221" s="9" t="s">
        <v>5211</v>
      </c>
      <c r="B2221" s="10">
        <v>714</v>
      </c>
      <c r="C2221" s="10" t="s">
        <v>323</v>
      </c>
      <c r="D2221" t="s">
        <v>476</v>
      </c>
      <c r="E2221" t="s">
        <v>477</v>
      </c>
      <c r="F2221" s="10" t="s">
        <v>19</v>
      </c>
      <c r="G2221" s="2">
        <v>169.38589999999999</v>
      </c>
      <c r="H2221" s="13">
        <v>2</v>
      </c>
      <c r="I2221" s="13">
        <v>0</v>
      </c>
      <c r="J2221" s="13">
        <v>0</v>
      </c>
      <c r="K2221" s="10">
        <v>2</v>
      </c>
      <c r="L2221" s="2">
        <v>338.77179999999998</v>
      </c>
      <c r="M2221" s="1">
        <v>46078.525694444441</v>
      </c>
      <c r="N2221" t="s">
        <v>354</v>
      </c>
    </row>
    <row r="2222" spans="1:14" x14ac:dyDescent="0.25">
      <c r="A2222" s="9" t="s">
        <v>5211</v>
      </c>
      <c r="B2222" s="10">
        <v>634</v>
      </c>
      <c r="C2222" s="10" t="s">
        <v>323</v>
      </c>
      <c r="D2222" t="s">
        <v>4343</v>
      </c>
      <c r="E2222" t="s">
        <v>4344</v>
      </c>
      <c r="F2222" s="10" t="s">
        <v>29</v>
      </c>
      <c r="G2222" s="2">
        <v>183.1061</v>
      </c>
      <c r="H2222" s="13">
        <v>2</v>
      </c>
      <c r="I2222" s="13">
        <v>26</v>
      </c>
      <c r="J2222" s="13">
        <v>-26</v>
      </c>
      <c r="K2222" s="10">
        <v>2</v>
      </c>
      <c r="L2222" s="2">
        <v>366.2122</v>
      </c>
      <c r="M2222" s="1">
        <v>46080.318749999999</v>
      </c>
      <c r="N2222" t="s">
        <v>151</v>
      </c>
    </row>
    <row r="2223" spans="1:14" x14ac:dyDescent="0.25">
      <c r="A2223" s="9" t="s">
        <v>5211</v>
      </c>
      <c r="B2223" s="10">
        <v>714</v>
      </c>
      <c r="C2223" s="10" t="s">
        <v>323</v>
      </c>
      <c r="D2223" t="s">
        <v>4349</v>
      </c>
      <c r="E2223" t="s">
        <v>4350</v>
      </c>
      <c r="F2223" s="10" t="s">
        <v>158</v>
      </c>
      <c r="G2223" s="2">
        <v>202.5737</v>
      </c>
      <c r="H2223" s="13">
        <v>2</v>
      </c>
      <c r="I2223" s="13">
        <v>1</v>
      </c>
      <c r="J2223" s="13">
        <v>-1</v>
      </c>
      <c r="K2223" s="10">
        <v>2</v>
      </c>
      <c r="L2223" s="2">
        <v>405.1474</v>
      </c>
      <c r="M2223" s="1">
        <v>46080.489583333336</v>
      </c>
      <c r="N2223" t="s">
        <v>151</v>
      </c>
    </row>
    <row r="2224" spans="1:14" x14ac:dyDescent="0.25">
      <c r="A2224" s="9" t="s">
        <v>5211</v>
      </c>
      <c r="B2224" s="10">
        <v>634</v>
      </c>
      <c r="C2224" s="10" t="s">
        <v>323</v>
      </c>
      <c r="D2224" t="s">
        <v>1505</v>
      </c>
      <c r="E2224" t="s">
        <v>1506</v>
      </c>
      <c r="F2224" s="10" t="s">
        <v>23</v>
      </c>
      <c r="G2224" s="2">
        <v>151.0444</v>
      </c>
      <c r="H2224" s="13">
        <v>2</v>
      </c>
      <c r="I2224" s="13">
        <v>2</v>
      </c>
      <c r="J2224" s="13">
        <v>-2</v>
      </c>
      <c r="K2224" s="10">
        <v>2</v>
      </c>
      <c r="L2224" s="2">
        <v>302.08879999999999</v>
      </c>
      <c r="M2224" s="1">
        <v>46080.504166666666</v>
      </c>
      <c r="N2224" t="s">
        <v>151</v>
      </c>
    </row>
    <row r="2225" spans="1:14" x14ac:dyDescent="0.25">
      <c r="A2225" s="9" t="s">
        <v>5211</v>
      </c>
      <c r="B2225" s="10">
        <v>634</v>
      </c>
      <c r="C2225" s="10" t="s">
        <v>323</v>
      </c>
      <c r="D2225" t="s">
        <v>337</v>
      </c>
      <c r="E2225" t="s">
        <v>338</v>
      </c>
      <c r="F2225" s="10" t="s">
        <v>19</v>
      </c>
      <c r="G2225" s="2">
        <v>234.59950000000001</v>
      </c>
      <c r="H2225" s="13">
        <v>2</v>
      </c>
      <c r="I2225" s="13">
        <v>0</v>
      </c>
      <c r="J2225" s="13">
        <v>0</v>
      </c>
      <c r="K2225" s="10">
        <v>2</v>
      </c>
      <c r="L2225" s="2">
        <v>469.19900000000001</v>
      </c>
      <c r="M2225" s="1">
        <v>46083.431250000001</v>
      </c>
      <c r="N2225" t="s">
        <v>151</v>
      </c>
    </row>
    <row r="2226" spans="1:14" x14ac:dyDescent="0.25">
      <c r="A2226" s="9" t="s">
        <v>5211</v>
      </c>
      <c r="B2226" s="10">
        <v>714</v>
      </c>
      <c r="C2226" s="10" t="s">
        <v>323</v>
      </c>
      <c r="D2226" t="s">
        <v>3184</v>
      </c>
      <c r="E2226" t="s">
        <v>3185</v>
      </c>
      <c r="F2226" s="10" t="s">
        <v>29</v>
      </c>
      <c r="G2226" s="2">
        <v>145.99709999999999</v>
      </c>
      <c r="H2226" s="13">
        <v>2</v>
      </c>
      <c r="I2226" s="13">
        <v>0</v>
      </c>
      <c r="J2226" s="13">
        <v>0</v>
      </c>
      <c r="K2226" s="10">
        <v>2</v>
      </c>
      <c r="L2226" s="2">
        <v>291.99419999999998</v>
      </c>
      <c r="M2226" s="1">
        <v>46083.444444444445</v>
      </c>
      <c r="N2226" t="s">
        <v>137</v>
      </c>
    </row>
    <row r="2227" spans="1:14" x14ac:dyDescent="0.25">
      <c r="A2227" s="9" t="s">
        <v>5211</v>
      </c>
      <c r="B2227" s="10">
        <v>714</v>
      </c>
      <c r="C2227" s="10" t="s">
        <v>323</v>
      </c>
      <c r="D2227" t="s">
        <v>4314</v>
      </c>
      <c r="E2227" t="s">
        <v>4315</v>
      </c>
      <c r="F2227" s="10" t="s">
        <v>43</v>
      </c>
      <c r="G2227" s="2">
        <v>136.9359</v>
      </c>
      <c r="H2227" s="13">
        <v>2</v>
      </c>
      <c r="I2227" s="13">
        <v>8</v>
      </c>
      <c r="J2227" s="13">
        <v>-8</v>
      </c>
      <c r="K2227" s="10">
        <v>2</v>
      </c>
      <c r="L2227" s="2">
        <v>273.87180000000001</v>
      </c>
      <c r="M2227" s="1">
        <v>46083.444444444445</v>
      </c>
      <c r="N2227" t="s">
        <v>137</v>
      </c>
    </row>
    <row r="2228" spans="1:14" x14ac:dyDescent="0.25">
      <c r="A2228" s="9" t="s">
        <v>5211</v>
      </c>
      <c r="B2228" s="10">
        <v>636</v>
      </c>
      <c r="C2228" s="10" t="s">
        <v>126</v>
      </c>
      <c r="D2228" t="s">
        <v>4463</v>
      </c>
      <c r="E2228" t="s">
        <v>4464</v>
      </c>
      <c r="F2228" s="10" t="s">
        <v>19</v>
      </c>
      <c r="G2228" s="2">
        <v>495.0317</v>
      </c>
      <c r="H2228" s="13">
        <v>2</v>
      </c>
      <c r="I2228" s="13">
        <v>2</v>
      </c>
      <c r="J2228" s="13">
        <v>-2</v>
      </c>
      <c r="K2228" s="10">
        <v>2</v>
      </c>
      <c r="L2228" s="2">
        <v>990.0634</v>
      </c>
      <c r="M2228" s="1">
        <v>46083.459722222222</v>
      </c>
      <c r="N2228" t="s">
        <v>137</v>
      </c>
    </row>
    <row r="2229" spans="1:14" x14ac:dyDescent="0.25">
      <c r="A2229" s="9" t="s">
        <v>5211</v>
      </c>
      <c r="B2229" s="10">
        <v>636</v>
      </c>
      <c r="C2229" s="10" t="s">
        <v>323</v>
      </c>
      <c r="D2229" t="s">
        <v>1676</v>
      </c>
      <c r="E2229" t="s">
        <v>1677</v>
      </c>
      <c r="F2229" s="10" t="s">
        <v>19</v>
      </c>
      <c r="G2229" s="2">
        <v>875.5874</v>
      </c>
      <c r="H2229" s="13">
        <v>2</v>
      </c>
      <c r="I2229" s="13">
        <v>0</v>
      </c>
      <c r="J2229" s="13">
        <v>0</v>
      </c>
      <c r="K2229" s="10">
        <v>2</v>
      </c>
      <c r="L2229" s="2">
        <v>1751.1748</v>
      </c>
      <c r="M2229" s="1">
        <v>46083.459722222222</v>
      </c>
      <c r="N2229" t="s">
        <v>137</v>
      </c>
    </row>
    <row r="2230" spans="1:14" x14ac:dyDescent="0.25">
      <c r="A2230" s="9" t="s">
        <v>5211</v>
      </c>
      <c r="B2230" s="10">
        <v>636</v>
      </c>
      <c r="C2230" s="10" t="s">
        <v>323</v>
      </c>
      <c r="D2230" t="s">
        <v>1450</v>
      </c>
      <c r="E2230" t="s">
        <v>1451</v>
      </c>
      <c r="F2230" s="10" t="s">
        <v>29</v>
      </c>
      <c r="G2230" s="2">
        <v>309.39479999999998</v>
      </c>
      <c r="H2230" s="13">
        <v>2</v>
      </c>
      <c r="I2230" s="13">
        <v>0</v>
      </c>
      <c r="J2230" s="13">
        <v>0</v>
      </c>
      <c r="K2230" s="10">
        <v>2</v>
      </c>
      <c r="L2230" s="2">
        <v>618.78959999999995</v>
      </c>
      <c r="M2230" s="1">
        <v>46083.459722222222</v>
      </c>
      <c r="N2230" t="s">
        <v>137</v>
      </c>
    </row>
    <row r="2231" spans="1:14" x14ac:dyDescent="0.25">
      <c r="A2231" s="9" t="s">
        <v>5211</v>
      </c>
      <c r="B2231" s="10">
        <v>636</v>
      </c>
      <c r="C2231" s="10" t="s">
        <v>126</v>
      </c>
      <c r="D2231" t="s">
        <v>135</v>
      </c>
      <c r="E2231" t="s">
        <v>136</v>
      </c>
      <c r="F2231" s="10" t="s">
        <v>19</v>
      </c>
      <c r="G2231" s="2">
        <v>495.0317</v>
      </c>
      <c r="H2231" s="13">
        <v>2</v>
      </c>
      <c r="I2231" s="13">
        <v>0</v>
      </c>
      <c r="J2231" s="13">
        <v>0</v>
      </c>
      <c r="K2231" s="10">
        <v>2</v>
      </c>
      <c r="L2231" s="2">
        <v>990.0634</v>
      </c>
      <c r="M2231" s="1">
        <v>46083.459722222222</v>
      </c>
      <c r="N2231" t="s">
        <v>137</v>
      </c>
    </row>
    <row r="2232" spans="1:14" x14ac:dyDescent="0.25">
      <c r="A2232" s="9" t="s">
        <v>5211</v>
      </c>
      <c r="B2232" s="10">
        <v>636</v>
      </c>
      <c r="C2232" s="10" t="s">
        <v>323</v>
      </c>
      <c r="D2232" t="s">
        <v>3861</v>
      </c>
      <c r="E2232" t="s">
        <v>3862</v>
      </c>
      <c r="F2232" s="10" t="s">
        <v>158</v>
      </c>
      <c r="G2232" s="2">
        <v>235.2619</v>
      </c>
      <c r="H2232" s="13">
        <v>2</v>
      </c>
      <c r="I2232" s="13">
        <v>1</v>
      </c>
      <c r="J2232" s="13">
        <v>-1</v>
      </c>
      <c r="K2232" s="10">
        <v>2</v>
      </c>
      <c r="L2232" s="2">
        <v>470.52379999999999</v>
      </c>
      <c r="M2232" s="1">
        <v>46084.367361111108</v>
      </c>
      <c r="N2232" t="s">
        <v>151</v>
      </c>
    </row>
    <row r="2233" spans="1:14" x14ac:dyDescent="0.25">
      <c r="A2233" s="9" t="s">
        <v>5211</v>
      </c>
      <c r="B2233" s="10">
        <v>718</v>
      </c>
      <c r="C2233" s="10" t="s">
        <v>126</v>
      </c>
      <c r="D2233" t="s">
        <v>4463</v>
      </c>
      <c r="E2233" t="s">
        <v>4464</v>
      </c>
      <c r="F2233" s="10" t="s">
        <v>23</v>
      </c>
      <c r="G2233" s="2">
        <v>511.25830000000002</v>
      </c>
      <c r="H2233" s="13">
        <v>2</v>
      </c>
      <c r="I2233" s="13">
        <v>2</v>
      </c>
      <c r="J2233" s="13">
        <v>-2</v>
      </c>
      <c r="K2233" s="10">
        <v>2</v>
      </c>
      <c r="L2233" s="2">
        <v>1022.5166</v>
      </c>
      <c r="M2233" s="1">
        <v>46084.40347222222</v>
      </c>
      <c r="N2233" t="s">
        <v>137</v>
      </c>
    </row>
    <row r="2234" spans="1:14" x14ac:dyDescent="0.25">
      <c r="A2234" s="9" t="s">
        <v>5211</v>
      </c>
      <c r="B2234" s="10">
        <v>718</v>
      </c>
      <c r="C2234" s="10" t="s">
        <v>323</v>
      </c>
      <c r="D2234" t="s">
        <v>3948</v>
      </c>
      <c r="E2234" t="s">
        <v>3949</v>
      </c>
      <c r="F2234" s="10" t="s">
        <v>29</v>
      </c>
      <c r="G2234" s="2">
        <v>201.07419999999999</v>
      </c>
      <c r="H2234" s="13">
        <v>2</v>
      </c>
      <c r="I2234" s="13">
        <v>0</v>
      </c>
      <c r="J2234" s="13">
        <v>0</v>
      </c>
      <c r="K2234" s="10">
        <v>2</v>
      </c>
      <c r="L2234" s="2">
        <v>402.14839999999998</v>
      </c>
      <c r="M2234" s="1">
        <v>46084.40347222222</v>
      </c>
      <c r="N2234" t="s">
        <v>137</v>
      </c>
    </row>
    <row r="2235" spans="1:14" x14ac:dyDescent="0.25">
      <c r="A2235" s="9" t="s">
        <v>5211</v>
      </c>
      <c r="B2235" s="10">
        <v>636</v>
      </c>
      <c r="C2235" s="10" t="s">
        <v>323</v>
      </c>
      <c r="D2235" t="s">
        <v>1359</v>
      </c>
      <c r="E2235" t="s">
        <v>1360</v>
      </c>
      <c r="F2235" s="10" t="s">
        <v>19</v>
      </c>
      <c r="G2235" s="2">
        <v>492.0881</v>
      </c>
      <c r="H2235" s="13">
        <v>2</v>
      </c>
      <c r="I2235" s="13">
        <v>0</v>
      </c>
      <c r="J2235" s="13">
        <v>0</v>
      </c>
      <c r="K2235" s="10">
        <v>2</v>
      </c>
      <c r="L2235" s="2">
        <v>984.17619999999999</v>
      </c>
      <c r="M2235" s="1">
        <v>46085.617361111108</v>
      </c>
      <c r="N2235" t="s">
        <v>159</v>
      </c>
    </row>
    <row r="2236" spans="1:14" x14ac:dyDescent="0.25">
      <c r="A2236" s="9" t="s">
        <v>5211</v>
      </c>
      <c r="B2236" s="10">
        <v>636</v>
      </c>
      <c r="C2236" s="10" t="s">
        <v>323</v>
      </c>
      <c r="D2236" t="s">
        <v>3159</v>
      </c>
      <c r="E2236" t="s">
        <v>3160</v>
      </c>
      <c r="F2236" s="10" t="s">
        <v>29</v>
      </c>
      <c r="G2236" s="2">
        <v>248.68219999999999</v>
      </c>
      <c r="H2236" s="13">
        <v>2</v>
      </c>
      <c r="I2236" s="13">
        <v>0</v>
      </c>
      <c r="J2236" s="13">
        <v>0</v>
      </c>
      <c r="K2236" s="10">
        <v>2</v>
      </c>
      <c r="L2236" s="2">
        <v>497.36439999999999</v>
      </c>
      <c r="M2236" s="1">
        <v>46086.3125</v>
      </c>
      <c r="N2236" t="s">
        <v>1229</v>
      </c>
    </row>
    <row r="2237" spans="1:14" x14ac:dyDescent="0.25">
      <c r="A2237" s="9" t="s">
        <v>5211</v>
      </c>
      <c r="B2237" s="10">
        <v>636</v>
      </c>
      <c r="C2237" s="10" t="s">
        <v>323</v>
      </c>
      <c r="D2237" t="s">
        <v>1498</v>
      </c>
      <c r="E2237" t="s">
        <v>1499</v>
      </c>
      <c r="F2237" s="10" t="s">
        <v>29</v>
      </c>
      <c r="G2237" s="2">
        <v>177.25219999999999</v>
      </c>
      <c r="H2237" s="13">
        <v>2</v>
      </c>
      <c r="I2237" s="13">
        <v>0</v>
      </c>
      <c r="J2237" s="13">
        <v>0</v>
      </c>
      <c r="K2237" s="10">
        <v>2</v>
      </c>
      <c r="L2237" s="2">
        <v>354.50439999999998</v>
      </c>
      <c r="M2237" s="1">
        <v>46086.3125</v>
      </c>
      <c r="N2237" t="s">
        <v>1229</v>
      </c>
    </row>
    <row r="2238" spans="1:14" x14ac:dyDescent="0.25">
      <c r="A2238" s="9" t="s">
        <v>5211</v>
      </c>
      <c r="B2238" s="10">
        <v>636</v>
      </c>
      <c r="C2238" s="10" t="s">
        <v>323</v>
      </c>
      <c r="D2238" t="s">
        <v>1725</v>
      </c>
      <c r="E2238" t="s">
        <v>1726</v>
      </c>
      <c r="F2238" s="10" t="s">
        <v>29</v>
      </c>
      <c r="G2238" s="2">
        <v>185.18889999999999</v>
      </c>
      <c r="H2238" s="13">
        <v>2</v>
      </c>
      <c r="I2238" s="13">
        <v>0</v>
      </c>
      <c r="J2238" s="13">
        <v>0</v>
      </c>
      <c r="K2238" s="10">
        <v>2</v>
      </c>
      <c r="L2238" s="2">
        <v>370.37779999999998</v>
      </c>
      <c r="M2238" s="1">
        <v>46086.3125</v>
      </c>
      <c r="N2238" t="s">
        <v>1229</v>
      </c>
    </row>
    <row r="2239" spans="1:14" x14ac:dyDescent="0.25">
      <c r="A2239" s="9" t="s">
        <v>5211</v>
      </c>
      <c r="B2239" s="10">
        <v>636</v>
      </c>
      <c r="C2239" s="10" t="s">
        <v>323</v>
      </c>
      <c r="D2239" t="s">
        <v>1324</v>
      </c>
      <c r="E2239" t="s">
        <v>1325</v>
      </c>
      <c r="F2239" s="10" t="s">
        <v>19</v>
      </c>
      <c r="G2239" s="2">
        <v>353.1816</v>
      </c>
      <c r="H2239" s="13">
        <v>2</v>
      </c>
      <c r="I2239" s="13">
        <v>0</v>
      </c>
      <c r="J2239" s="13">
        <v>0</v>
      </c>
      <c r="K2239" s="10">
        <v>2</v>
      </c>
      <c r="L2239" s="2">
        <v>706.36320000000001</v>
      </c>
      <c r="M2239" s="1">
        <v>46086.3125</v>
      </c>
      <c r="N2239" t="s">
        <v>1229</v>
      </c>
    </row>
    <row r="2240" spans="1:14" x14ac:dyDescent="0.25">
      <c r="A2240" s="9" t="s">
        <v>5211</v>
      </c>
      <c r="B2240" s="10">
        <v>636</v>
      </c>
      <c r="C2240" s="10" t="s">
        <v>323</v>
      </c>
      <c r="D2240" t="s">
        <v>1501</v>
      </c>
      <c r="E2240" t="s">
        <v>1502</v>
      </c>
      <c r="F2240" s="10" t="s">
        <v>158</v>
      </c>
      <c r="G2240" s="2">
        <v>236.78870000000001</v>
      </c>
      <c r="H2240" s="13">
        <v>2</v>
      </c>
      <c r="I2240" s="13">
        <v>0</v>
      </c>
      <c r="J2240" s="13">
        <v>0</v>
      </c>
      <c r="K2240" s="10">
        <v>2</v>
      </c>
      <c r="L2240" s="2">
        <v>473.57740000000001</v>
      </c>
      <c r="M2240" s="1">
        <v>46086.521527777775</v>
      </c>
      <c r="N2240" t="s">
        <v>151</v>
      </c>
    </row>
    <row r="2241" spans="1:14" x14ac:dyDescent="0.25">
      <c r="A2241" s="9" t="s">
        <v>5211</v>
      </c>
      <c r="B2241" s="10">
        <v>718</v>
      </c>
      <c r="C2241" s="10" t="s">
        <v>323</v>
      </c>
      <c r="D2241" t="s">
        <v>418</v>
      </c>
      <c r="E2241" t="s">
        <v>419</v>
      </c>
      <c r="F2241" s="10" t="s">
        <v>23</v>
      </c>
      <c r="G2241" s="2">
        <v>156.89570000000001</v>
      </c>
      <c r="H2241" s="13">
        <v>2</v>
      </c>
      <c r="I2241" s="13">
        <v>3</v>
      </c>
      <c r="J2241" s="13">
        <v>-3</v>
      </c>
      <c r="K2241" s="10">
        <v>2</v>
      </c>
      <c r="L2241" s="2">
        <v>313.79140000000001</v>
      </c>
      <c r="M2241" s="1">
        <v>46091.34652777778</v>
      </c>
      <c r="N2241" t="s">
        <v>159</v>
      </c>
    </row>
    <row r="2242" spans="1:14" x14ac:dyDescent="0.25">
      <c r="A2242" s="9" t="s">
        <v>5211</v>
      </c>
      <c r="B2242" s="10">
        <v>718</v>
      </c>
      <c r="C2242" s="10" t="s">
        <v>323</v>
      </c>
      <c r="D2242" t="s">
        <v>3233</v>
      </c>
      <c r="E2242" t="s">
        <v>3234</v>
      </c>
      <c r="F2242" s="10" t="s">
        <v>23</v>
      </c>
      <c r="G2242" s="2">
        <v>203.64580000000001</v>
      </c>
      <c r="H2242" s="13">
        <v>2</v>
      </c>
      <c r="I2242" s="13">
        <v>0</v>
      </c>
      <c r="J2242" s="13">
        <v>0</v>
      </c>
      <c r="K2242" s="10">
        <v>2</v>
      </c>
      <c r="L2242" s="2">
        <v>407.29160000000002</v>
      </c>
      <c r="M2242" s="1">
        <v>46091.34652777778</v>
      </c>
      <c r="N2242" t="s">
        <v>159</v>
      </c>
    </row>
    <row r="2243" spans="1:14" x14ac:dyDescent="0.25">
      <c r="A2243" s="9" t="s">
        <v>5211</v>
      </c>
      <c r="B2243" s="10">
        <v>636</v>
      </c>
      <c r="C2243" s="10" t="s">
        <v>323</v>
      </c>
      <c r="D2243" t="s">
        <v>1338</v>
      </c>
      <c r="E2243" t="s">
        <v>1339</v>
      </c>
      <c r="F2243" s="10" t="s">
        <v>19</v>
      </c>
      <c r="G2243" s="2">
        <v>243.75630000000001</v>
      </c>
      <c r="H2243" s="13">
        <v>2</v>
      </c>
      <c r="I2243" s="13">
        <v>0</v>
      </c>
      <c r="J2243" s="13">
        <v>0</v>
      </c>
      <c r="K2243" s="10">
        <v>2</v>
      </c>
      <c r="L2243" s="2">
        <v>487.51260000000002</v>
      </c>
      <c r="M2243" s="1">
        <v>46092.434027777781</v>
      </c>
      <c r="N2243" t="s">
        <v>357</v>
      </c>
    </row>
    <row r="2244" spans="1:14" x14ac:dyDescent="0.25">
      <c r="A2244" s="9" t="s">
        <v>5211</v>
      </c>
      <c r="B2244" s="10">
        <v>718</v>
      </c>
      <c r="C2244" s="10" t="s">
        <v>323</v>
      </c>
      <c r="D2244" t="s">
        <v>4585</v>
      </c>
      <c r="E2244" t="s">
        <v>4586</v>
      </c>
      <c r="F2244" s="10" t="s">
        <v>23</v>
      </c>
      <c r="G2244" s="2">
        <v>171.64179999999999</v>
      </c>
      <c r="H2244" s="13">
        <v>2</v>
      </c>
      <c r="I2244" s="13">
        <v>2</v>
      </c>
      <c r="J2244" s="13">
        <v>-2</v>
      </c>
      <c r="K2244" s="10">
        <v>2</v>
      </c>
      <c r="L2244" s="2">
        <v>343.28359999999998</v>
      </c>
      <c r="M2244" s="1">
        <v>46092.524305555555</v>
      </c>
      <c r="N2244" t="s">
        <v>2257</v>
      </c>
    </row>
    <row r="2245" spans="1:14" x14ac:dyDescent="0.25">
      <c r="A2245" s="9" t="s">
        <v>5211</v>
      </c>
      <c r="B2245" s="10">
        <v>718</v>
      </c>
      <c r="C2245" s="10" t="s">
        <v>143</v>
      </c>
      <c r="D2245" t="s">
        <v>2255</v>
      </c>
      <c r="E2245" t="s">
        <v>2256</v>
      </c>
      <c r="F2245" s="10" t="s">
        <v>19</v>
      </c>
      <c r="G2245" s="2">
        <v>157.91040000000001</v>
      </c>
      <c r="H2245" s="13">
        <v>2</v>
      </c>
      <c r="I2245" s="13">
        <v>0</v>
      </c>
      <c r="J2245" s="13">
        <v>0</v>
      </c>
      <c r="K2245" s="10">
        <v>2</v>
      </c>
      <c r="L2245" s="2">
        <v>315.82080000000002</v>
      </c>
      <c r="M2245" s="1">
        <v>46092.524305555555</v>
      </c>
      <c r="N2245" t="s">
        <v>2257</v>
      </c>
    </row>
    <row r="2246" spans="1:14" x14ac:dyDescent="0.25">
      <c r="A2246" s="9" t="s">
        <v>5211</v>
      </c>
      <c r="B2246" s="10">
        <v>714</v>
      </c>
      <c r="C2246" s="10" t="s">
        <v>323</v>
      </c>
      <c r="D2246" t="s">
        <v>2935</v>
      </c>
      <c r="E2246" t="s">
        <v>2936</v>
      </c>
      <c r="F2246" s="10" t="s">
        <v>29</v>
      </c>
      <c r="G2246" s="2">
        <v>91.452200000000005</v>
      </c>
      <c r="H2246" s="13">
        <v>2</v>
      </c>
      <c r="I2246" s="13">
        <v>0</v>
      </c>
      <c r="J2246" s="13">
        <v>0</v>
      </c>
      <c r="K2246" s="10">
        <v>2</v>
      </c>
      <c r="L2246" s="2">
        <v>182.90440000000001</v>
      </c>
      <c r="M2246" s="1">
        <v>46098.381249999999</v>
      </c>
      <c r="N2246" t="s">
        <v>885</v>
      </c>
    </row>
    <row r="2247" spans="1:14" x14ac:dyDescent="0.25">
      <c r="A2247" s="9" t="s">
        <v>5211</v>
      </c>
      <c r="B2247" s="10">
        <v>714</v>
      </c>
      <c r="C2247" s="10" t="s">
        <v>143</v>
      </c>
      <c r="D2247" t="s">
        <v>2553</v>
      </c>
      <c r="E2247" t="s">
        <v>2554</v>
      </c>
      <c r="F2247" s="10" t="s">
        <v>29</v>
      </c>
      <c r="G2247" s="2">
        <v>30.6571</v>
      </c>
      <c r="H2247" s="13">
        <v>2</v>
      </c>
      <c r="I2247" s="13">
        <v>0</v>
      </c>
      <c r="J2247" s="13">
        <v>0</v>
      </c>
      <c r="K2247" s="10">
        <v>2</v>
      </c>
      <c r="L2247" s="2">
        <v>61.3142</v>
      </c>
      <c r="M2247" s="1">
        <v>46098.381249999999</v>
      </c>
      <c r="N2247" t="s">
        <v>885</v>
      </c>
    </row>
    <row r="2248" spans="1:14" x14ac:dyDescent="0.25">
      <c r="A2248" s="9" t="s">
        <v>5211</v>
      </c>
      <c r="B2248" s="10">
        <v>714</v>
      </c>
      <c r="C2248" s="10" t="s">
        <v>143</v>
      </c>
      <c r="D2248" t="s">
        <v>296</v>
      </c>
      <c r="E2248" t="s">
        <v>297</v>
      </c>
      <c r="F2248" s="10" t="s">
        <v>158</v>
      </c>
      <c r="G2248" s="2">
        <v>118.70480000000001</v>
      </c>
      <c r="H2248" s="13">
        <v>2</v>
      </c>
      <c r="I2248" s="13">
        <v>0</v>
      </c>
      <c r="J2248" s="13">
        <v>0</v>
      </c>
      <c r="K2248" s="10">
        <v>2</v>
      </c>
      <c r="L2248" s="2">
        <v>237.40960000000001</v>
      </c>
      <c r="M2248" s="1">
        <v>46098.385416666664</v>
      </c>
      <c r="N2248" t="s">
        <v>137</v>
      </c>
    </row>
    <row r="2249" spans="1:14" x14ac:dyDescent="0.25">
      <c r="A2249" s="9" t="s">
        <v>5211</v>
      </c>
      <c r="B2249" s="10">
        <v>634</v>
      </c>
      <c r="C2249" s="10" t="s">
        <v>323</v>
      </c>
      <c r="D2249" t="s">
        <v>398</v>
      </c>
      <c r="E2249" t="s">
        <v>399</v>
      </c>
      <c r="F2249" s="10" t="s">
        <v>158</v>
      </c>
      <c r="G2249" s="2">
        <v>162.03219999999999</v>
      </c>
      <c r="H2249" s="13">
        <v>2</v>
      </c>
      <c r="I2249" s="13">
        <v>0</v>
      </c>
      <c r="J2249" s="13">
        <v>0</v>
      </c>
      <c r="K2249" s="10">
        <v>2</v>
      </c>
      <c r="L2249" s="2">
        <v>324.06439999999998</v>
      </c>
      <c r="M2249" s="1">
        <v>46099.42083333333</v>
      </c>
      <c r="N2249" t="s">
        <v>137</v>
      </c>
    </row>
    <row r="2250" spans="1:14" x14ac:dyDescent="0.25">
      <c r="A2250" s="9" t="s">
        <v>5211</v>
      </c>
      <c r="B2250" s="10">
        <v>634</v>
      </c>
      <c r="C2250" s="10" t="s">
        <v>323</v>
      </c>
      <c r="D2250" t="s">
        <v>372</v>
      </c>
      <c r="E2250" t="s">
        <v>373</v>
      </c>
      <c r="F2250" s="10" t="s">
        <v>19</v>
      </c>
      <c r="G2250" s="2">
        <v>262.59679999999997</v>
      </c>
      <c r="H2250" s="13">
        <v>2</v>
      </c>
      <c r="I2250" s="13">
        <v>-1</v>
      </c>
      <c r="J2250" s="13">
        <v>1</v>
      </c>
      <c r="K2250" s="10">
        <v>2</v>
      </c>
      <c r="L2250" s="2">
        <v>525.19359999999995</v>
      </c>
      <c r="M2250" s="1">
        <v>46099.42083333333</v>
      </c>
      <c r="N2250" t="s">
        <v>137</v>
      </c>
    </row>
    <row r="2251" spans="1:14" x14ac:dyDescent="0.25">
      <c r="A2251" s="9" t="s">
        <v>5211</v>
      </c>
      <c r="B2251" s="10">
        <v>634</v>
      </c>
      <c r="C2251" s="10" t="s">
        <v>323</v>
      </c>
      <c r="D2251" t="s">
        <v>466</v>
      </c>
      <c r="E2251" t="s">
        <v>467</v>
      </c>
      <c r="F2251" s="10" t="s">
        <v>29</v>
      </c>
      <c r="G2251" s="2">
        <v>217.3475</v>
      </c>
      <c r="H2251" s="13">
        <v>2</v>
      </c>
      <c r="I2251" s="13">
        <v>0</v>
      </c>
      <c r="J2251" s="13">
        <v>0</v>
      </c>
      <c r="K2251" s="10">
        <v>2</v>
      </c>
      <c r="L2251" s="2">
        <v>434.69499999999999</v>
      </c>
      <c r="M2251" s="1">
        <v>46099.42083333333</v>
      </c>
      <c r="N2251" t="s">
        <v>137</v>
      </c>
    </row>
    <row r="2252" spans="1:14" x14ac:dyDescent="0.25">
      <c r="A2252" s="9" t="s">
        <v>5211</v>
      </c>
      <c r="B2252" s="10">
        <v>636</v>
      </c>
      <c r="C2252" s="10" t="s">
        <v>323</v>
      </c>
      <c r="D2252" t="s">
        <v>1717</v>
      </c>
      <c r="E2252" t="s">
        <v>1718</v>
      </c>
      <c r="F2252" s="10" t="s">
        <v>19</v>
      </c>
      <c r="G2252" s="2">
        <v>333.27249999999998</v>
      </c>
      <c r="H2252" s="13">
        <v>2</v>
      </c>
      <c r="I2252" s="13">
        <v>0</v>
      </c>
      <c r="J2252" s="13">
        <v>0</v>
      </c>
      <c r="K2252" s="10">
        <v>2</v>
      </c>
      <c r="L2252" s="2">
        <v>666.54499999999996</v>
      </c>
      <c r="M2252" s="1">
        <v>46100.392361111109</v>
      </c>
      <c r="N2252" t="s">
        <v>137</v>
      </c>
    </row>
    <row r="2253" spans="1:14" x14ac:dyDescent="0.25">
      <c r="A2253" s="9" t="s">
        <v>5211</v>
      </c>
      <c r="B2253" s="10">
        <v>714</v>
      </c>
      <c r="C2253" s="10" t="s">
        <v>323</v>
      </c>
      <c r="D2253" t="s">
        <v>2856</v>
      </c>
      <c r="E2253" t="s">
        <v>2857</v>
      </c>
      <c r="F2253" s="10" t="s">
        <v>19</v>
      </c>
      <c r="G2253" s="2">
        <v>162.51009999999999</v>
      </c>
      <c r="H2253" s="13">
        <v>2</v>
      </c>
      <c r="I2253" s="13">
        <v>0</v>
      </c>
      <c r="J2253" s="13">
        <v>0</v>
      </c>
      <c r="K2253" s="10">
        <v>2</v>
      </c>
      <c r="L2253" s="2">
        <v>325.02019999999999</v>
      </c>
      <c r="M2253" s="1">
        <v>46101.384722222225</v>
      </c>
      <c r="N2253" t="s">
        <v>2257</v>
      </c>
    </row>
    <row r="2254" spans="1:14" x14ac:dyDescent="0.25">
      <c r="A2254" s="9" t="s">
        <v>5211</v>
      </c>
      <c r="B2254" s="10">
        <v>714</v>
      </c>
      <c r="C2254" s="10" t="s">
        <v>323</v>
      </c>
      <c r="D2254" t="s">
        <v>2862</v>
      </c>
      <c r="E2254" t="s">
        <v>2863</v>
      </c>
      <c r="F2254" s="10" t="s">
        <v>29</v>
      </c>
      <c r="G2254" s="2">
        <v>265.03460000000001</v>
      </c>
      <c r="H2254" s="13">
        <v>2</v>
      </c>
      <c r="I2254" s="13">
        <v>0</v>
      </c>
      <c r="J2254" s="13">
        <v>0</v>
      </c>
      <c r="K2254" s="10">
        <v>2</v>
      </c>
      <c r="L2254" s="2">
        <v>530.06920000000002</v>
      </c>
      <c r="M2254" s="1">
        <v>46104.46597222222</v>
      </c>
      <c r="N2254" t="s">
        <v>137</v>
      </c>
    </row>
    <row r="2255" spans="1:14" x14ac:dyDescent="0.25">
      <c r="A2255" s="9" t="s">
        <v>5211</v>
      </c>
      <c r="B2255" s="10">
        <v>636</v>
      </c>
      <c r="C2255" s="10" t="s">
        <v>323</v>
      </c>
      <c r="D2255" t="s">
        <v>1476</v>
      </c>
      <c r="E2255" t="s">
        <v>1477</v>
      </c>
      <c r="F2255" s="10" t="s">
        <v>29</v>
      </c>
      <c r="G2255" s="2">
        <v>359.20490000000001</v>
      </c>
      <c r="H2255" s="13">
        <v>2</v>
      </c>
      <c r="I2255" s="13">
        <v>0</v>
      </c>
      <c r="J2255" s="13">
        <v>0</v>
      </c>
      <c r="K2255" s="10">
        <v>2</v>
      </c>
      <c r="L2255" s="2">
        <v>718.40980000000002</v>
      </c>
      <c r="M2255" s="1">
        <v>46104.520833333336</v>
      </c>
      <c r="N2255" t="s">
        <v>137</v>
      </c>
    </row>
    <row r="2256" spans="1:14" x14ac:dyDescent="0.25">
      <c r="A2256" s="9" t="s">
        <v>5211</v>
      </c>
      <c r="B2256" s="10">
        <v>636</v>
      </c>
      <c r="C2256" s="10" t="s">
        <v>143</v>
      </c>
      <c r="D2256" t="s">
        <v>152</v>
      </c>
      <c r="E2256" t="s">
        <v>153</v>
      </c>
      <c r="F2256" s="10" t="s">
        <v>23</v>
      </c>
      <c r="G2256" s="2">
        <v>86.209199999999996</v>
      </c>
      <c r="H2256" s="13">
        <v>2</v>
      </c>
      <c r="I2256" s="13">
        <v>0</v>
      </c>
      <c r="J2256" s="13">
        <v>0</v>
      </c>
      <c r="K2256" s="10">
        <v>2</v>
      </c>
      <c r="L2256" s="2">
        <v>172.41839999999999</v>
      </c>
      <c r="M2256" s="1">
        <v>46104.520833333336</v>
      </c>
      <c r="N2256" t="s">
        <v>137</v>
      </c>
    </row>
    <row r="2257" spans="1:14" x14ac:dyDescent="0.25">
      <c r="A2257" s="9" t="s">
        <v>5211</v>
      </c>
      <c r="B2257" s="10">
        <v>636</v>
      </c>
      <c r="C2257" s="10" t="s">
        <v>323</v>
      </c>
      <c r="D2257" t="s">
        <v>1614</v>
      </c>
      <c r="E2257" t="s">
        <v>1615</v>
      </c>
      <c r="F2257" s="10" t="s">
        <v>29</v>
      </c>
      <c r="G2257" s="2">
        <v>335.25790000000001</v>
      </c>
      <c r="H2257" s="13">
        <v>2</v>
      </c>
      <c r="I2257" s="13">
        <v>0</v>
      </c>
      <c r="J2257" s="13">
        <v>0</v>
      </c>
      <c r="K2257" s="10">
        <v>2</v>
      </c>
      <c r="L2257" s="2">
        <v>670.51580000000001</v>
      </c>
      <c r="M2257" s="1">
        <v>46104.520833333336</v>
      </c>
      <c r="N2257" t="s">
        <v>137</v>
      </c>
    </row>
    <row r="2258" spans="1:14" x14ac:dyDescent="0.25">
      <c r="A2258" s="9" t="s">
        <v>5211</v>
      </c>
      <c r="B2258" s="10">
        <v>636</v>
      </c>
      <c r="C2258" s="10" t="s">
        <v>323</v>
      </c>
      <c r="D2258" t="s">
        <v>1735</v>
      </c>
      <c r="E2258" t="s">
        <v>1736</v>
      </c>
      <c r="F2258" s="10" t="s">
        <v>19</v>
      </c>
      <c r="G2258" s="2">
        <v>138.89259999999999</v>
      </c>
      <c r="H2258" s="13">
        <v>2</v>
      </c>
      <c r="I2258" s="13">
        <v>0</v>
      </c>
      <c r="J2258" s="13">
        <v>0</v>
      </c>
      <c r="K2258" s="10">
        <v>2</v>
      </c>
      <c r="L2258" s="2">
        <v>277.78519999999997</v>
      </c>
      <c r="M2258" s="1">
        <v>46104.520833333336</v>
      </c>
      <c r="N2258" t="s">
        <v>137</v>
      </c>
    </row>
    <row r="2259" spans="1:14" x14ac:dyDescent="0.25">
      <c r="A2259" s="9" t="s">
        <v>5211</v>
      </c>
      <c r="B2259" s="10">
        <v>718</v>
      </c>
      <c r="C2259" s="10" t="s">
        <v>323</v>
      </c>
      <c r="D2259" t="s">
        <v>3215</v>
      </c>
      <c r="E2259" t="s">
        <v>3216</v>
      </c>
      <c r="F2259" s="10" t="s">
        <v>29</v>
      </c>
      <c r="G2259" s="2">
        <v>164.0771</v>
      </c>
      <c r="H2259" s="13">
        <v>2</v>
      </c>
      <c r="I2259" s="13">
        <v>0</v>
      </c>
      <c r="J2259" s="13">
        <v>0</v>
      </c>
      <c r="K2259" s="10">
        <v>2</v>
      </c>
      <c r="L2259" s="2">
        <v>328.1542</v>
      </c>
      <c r="M2259" s="1">
        <v>46104.570138888892</v>
      </c>
      <c r="N2259" t="s">
        <v>137</v>
      </c>
    </row>
    <row r="2260" spans="1:14" x14ac:dyDescent="0.25">
      <c r="A2260" s="9" t="s">
        <v>5211</v>
      </c>
      <c r="B2260" s="10">
        <v>634</v>
      </c>
      <c r="C2260" s="10" t="s">
        <v>143</v>
      </c>
      <c r="D2260" t="s">
        <v>4128</v>
      </c>
      <c r="E2260" t="s">
        <v>4129</v>
      </c>
      <c r="F2260" s="10" t="s">
        <v>23</v>
      </c>
      <c r="G2260" s="2">
        <v>58.203000000000003</v>
      </c>
      <c r="H2260" s="13">
        <v>2</v>
      </c>
      <c r="I2260" s="13">
        <v>52</v>
      </c>
      <c r="J2260" s="13">
        <v>-52</v>
      </c>
      <c r="K2260" s="10">
        <v>2</v>
      </c>
      <c r="L2260" s="2">
        <v>116.40600000000001</v>
      </c>
      <c r="M2260" s="1">
        <v>46105.386805555558</v>
      </c>
      <c r="N2260" t="s">
        <v>175</v>
      </c>
    </row>
    <row r="2261" spans="1:14" x14ac:dyDescent="0.25">
      <c r="A2261" s="9" t="s">
        <v>5211</v>
      </c>
      <c r="B2261" s="10">
        <v>714</v>
      </c>
      <c r="C2261" s="10" t="s">
        <v>143</v>
      </c>
      <c r="D2261" t="s">
        <v>4797</v>
      </c>
      <c r="E2261" t="s">
        <v>4798</v>
      </c>
      <c r="F2261" s="10" t="s">
        <v>23</v>
      </c>
      <c r="G2261" s="2">
        <v>56.953299999999999</v>
      </c>
      <c r="H2261" s="13">
        <v>2</v>
      </c>
      <c r="I2261" s="13">
        <v>5</v>
      </c>
      <c r="J2261" s="13">
        <v>-5</v>
      </c>
      <c r="K2261" s="10">
        <v>2</v>
      </c>
      <c r="L2261" s="2">
        <v>113.9066</v>
      </c>
      <c r="M2261" s="1">
        <v>46105.490972222222</v>
      </c>
      <c r="N2261" t="s">
        <v>310</v>
      </c>
    </row>
    <row r="2262" spans="1:14" x14ac:dyDescent="0.25">
      <c r="A2262" s="9" t="s">
        <v>5211</v>
      </c>
      <c r="B2262" s="10">
        <v>714</v>
      </c>
      <c r="C2262" s="10" t="s">
        <v>143</v>
      </c>
      <c r="D2262" t="s">
        <v>4088</v>
      </c>
      <c r="E2262" t="s">
        <v>4089</v>
      </c>
      <c r="F2262" s="10" t="s">
        <v>23</v>
      </c>
      <c r="G2262" s="2">
        <v>68.663799999999995</v>
      </c>
      <c r="H2262" s="13">
        <v>2</v>
      </c>
      <c r="I2262" s="13">
        <v>3</v>
      </c>
      <c r="J2262" s="13">
        <v>-3</v>
      </c>
      <c r="K2262" s="10">
        <v>2</v>
      </c>
      <c r="L2262" s="2">
        <v>137.32759999999999</v>
      </c>
      <c r="M2262" s="1">
        <v>46105.490972222222</v>
      </c>
      <c r="N2262" t="s">
        <v>310</v>
      </c>
    </row>
    <row r="2263" spans="1:14" x14ac:dyDescent="0.25">
      <c r="A2263" s="9" t="s">
        <v>5211</v>
      </c>
      <c r="B2263" s="10">
        <v>636</v>
      </c>
      <c r="C2263" s="10" t="s">
        <v>323</v>
      </c>
      <c r="D2263" t="s">
        <v>1401</v>
      </c>
      <c r="E2263" t="s">
        <v>1402</v>
      </c>
      <c r="F2263" s="10" t="s">
        <v>29</v>
      </c>
      <c r="G2263" s="2">
        <v>279.34399999999999</v>
      </c>
      <c r="H2263" s="13">
        <v>2</v>
      </c>
      <c r="I2263" s="13">
        <v>1</v>
      </c>
      <c r="J2263" s="13">
        <v>-1</v>
      </c>
      <c r="K2263" s="10">
        <v>2</v>
      </c>
      <c r="L2263" s="2">
        <v>558.68799999999999</v>
      </c>
      <c r="M2263" s="1">
        <v>46105.497916666667</v>
      </c>
      <c r="N2263" t="s">
        <v>165</v>
      </c>
    </row>
    <row r="2264" spans="1:14" x14ac:dyDescent="0.25">
      <c r="A2264" s="9" t="s">
        <v>5211</v>
      </c>
      <c r="B2264" s="10">
        <v>636</v>
      </c>
      <c r="C2264" s="10" t="s">
        <v>323</v>
      </c>
      <c r="D2264" t="s">
        <v>1709</v>
      </c>
      <c r="E2264" t="s">
        <v>1710</v>
      </c>
      <c r="F2264" s="10" t="s">
        <v>19</v>
      </c>
      <c r="G2264" s="2">
        <v>226.31540000000001</v>
      </c>
      <c r="H2264" s="13">
        <v>2</v>
      </c>
      <c r="I2264" s="13">
        <v>0</v>
      </c>
      <c r="J2264" s="13">
        <v>0</v>
      </c>
      <c r="K2264" s="10">
        <v>2</v>
      </c>
      <c r="L2264" s="2">
        <v>452.63080000000002</v>
      </c>
      <c r="M2264" s="1">
        <v>46106.444444444445</v>
      </c>
      <c r="N2264" t="s">
        <v>357</v>
      </c>
    </row>
    <row r="2265" spans="1:14" x14ac:dyDescent="0.25">
      <c r="A2265" s="9" t="s">
        <v>5211</v>
      </c>
      <c r="B2265" s="10">
        <v>634</v>
      </c>
      <c r="C2265" s="10" t="s">
        <v>323</v>
      </c>
      <c r="D2265" t="s">
        <v>438</v>
      </c>
      <c r="E2265" t="s">
        <v>439</v>
      </c>
      <c r="F2265" s="10" t="s">
        <v>39</v>
      </c>
      <c r="G2265" s="2">
        <v>58.029299999999999</v>
      </c>
      <c r="H2265" s="13">
        <v>2</v>
      </c>
      <c r="I2265" s="13">
        <v>0</v>
      </c>
      <c r="J2265" s="13">
        <v>0</v>
      </c>
      <c r="K2265" s="10">
        <v>2</v>
      </c>
      <c r="L2265" s="2">
        <v>116.0586</v>
      </c>
      <c r="M2265" s="1">
        <v>46106.45</v>
      </c>
      <c r="N2265" t="s">
        <v>268</v>
      </c>
    </row>
    <row r="2266" spans="1:14" x14ac:dyDescent="0.25">
      <c r="A2266" s="9" t="s">
        <v>5211</v>
      </c>
      <c r="B2266" s="10">
        <v>636</v>
      </c>
      <c r="C2266" s="10" t="s">
        <v>323</v>
      </c>
      <c r="D2266" t="s">
        <v>1388</v>
      </c>
      <c r="E2266" t="s">
        <v>1389</v>
      </c>
      <c r="F2266" s="10" t="s">
        <v>19</v>
      </c>
      <c r="G2266" s="2">
        <v>316.0394</v>
      </c>
      <c r="H2266" s="13">
        <v>2</v>
      </c>
      <c r="I2266" s="13">
        <v>0</v>
      </c>
      <c r="J2266" s="13">
        <v>0</v>
      </c>
      <c r="K2266" s="10">
        <v>2</v>
      </c>
      <c r="L2266" s="2">
        <v>632.0788</v>
      </c>
      <c r="M2266" s="1">
        <v>46107.522222222222</v>
      </c>
      <c r="N2266" t="s">
        <v>178</v>
      </c>
    </row>
    <row r="2267" spans="1:14" x14ac:dyDescent="0.25">
      <c r="A2267" s="9" t="s">
        <v>5211</v>
      </c>
      <c r="B2267" s="10">
        <v>636</v>
      </c>
      <c r="C2267" s="10" t="s">
        <v>323</v>
      </c>
      <c r="D2267" t="s">
        <v>1747</v>
      </c>
      <c r="E2267" t="s">
        <v>1748</v>
      </c>
      <c r="F2267" s="10" t="s">
        <v>29</v>
      </c>
      <c r="G2267" s="2">
        <v>304.11340000000001</v>
      </c>
      <c r="H2267" s="13">
        <v>2</v>
      </c>
      <c r="I2267" s="13">
        <v>0</v>
      </c>
      <c r="J2267" s="13">
        <v>0</v>
      </c>
      <c r="K2267" s="10">
        <v>2</v>
      </c>
      <c r="L2267" s="2">
        <v>608.22680000000003</v>
      </c>
      <c r="M2267" s="1">
        <v>46107.522222222222</v>
      </c>
      <c r="N2267" t="s">
        <v>178</v>
      </c>
    </row>
    <row r="2268" spans="1:14" x14ac:dyDescent="0.25">
      <c r="A2268" s="9" t="s">
        <v>5211</v>
      </c>
      <c r="B2268" s="10">
        <v>636</v>
      </c>
      <c r="C2268" s="10" t="s">
        <v>323</v>
      </c>
      <c r="D2268" t="s">
        <v>1668</v>
      </c>
      <c r="E2268" t="s">
        <v>1669</v>
      </c>
      <c r="F2268" s="10" t="s">
        <v>29</v>
      </c>
      <c r="G2268" s="2">
        <v>411.44760000000002</v>
      </c>
      <c r="H2268" s="13">
        <v>2</v>
      </c>
      <c r="I2268" s="13">
        <v>0</v>
      </c>
      <c r="J2268" s="13">
        <v>0</v>
      </c>
      <c r="K2268" s="10">
        <v>2</v>
      </c>
      <c r="L2268" s="2">
        <v>822.89520000000005</v>
      </c>
      <c r="M2268" s="1">
        <v>46107.522222222222</v>
      </c>
      <c r="N2268" t="s">
        <v>178</v>
      </c>
    </row>
    <row r="2269" spans="1:14" x14ac:dyDescent="0.25">
      <c r="A2269" s="9" t="s">
        <v>5211</v>
      </c>
      <c r="B2269" s="10">
        <v>714</v>
      </c>
      <c r="C2269" s="10" t="s">
        <v>143</v>
      </c>
      <c r="D2269" t="s">
        <v>2417</v>
      </c>
      <c r="E2269" t="s">
        <v>2418</v>
      </c>
      <c r="F2269" s="10" t="s">
        <v>39</v>
      </c>
      <c r="G2269" s="2">
        <v>20.362400000000001</v>
      </c>
      <c r="H2269" s="13">
        <v>2</v>
      </c>
      <c r="I2269" s="13">
        <v>0</v>
      </c>
      <c r="J2269" s="13">
        <v>0</v>
      </c>
      <c r="K2269" s="10">
        <v>2</v>
      </c>
      <c r="L2269" s="2">
        <v>40.724800000000002</v>
      </c>
      <c r="M2269" s="1">
        <v>46109.364583333336</v>
      </c>
      <c r="N2269" t="s">
        <v>30</v>
      </c>
    </row>
    <row r="2270" spans="1:14" x14ac:dyDescent="0.25">
      <c r="A2270" s="9" t="s">
        <v>5211</v>
      </c>
      <c r="B2270" s="10">
        <v>714</v>
      </c>
      <c r="C2270" s="10" t="s">
        <v>143</v>
      </c>
      <c r="D2270" t="s">
        <v>2677</v>
      </c>
      <c r="E2270" t="s">
        <v>2678</v>
      </c>
      <c r="F2270" s="10" t="s">
        <v>29</v>
      </c>
      <c r="G2270" s="2">
        <v>90.088099999999997</v>
      </c>
      <c r="H2270" s="13">
        <v>2</v>
      </c>
      <c r="I2270" s="13">
        <v>0</v>
      </c>
      <c r="J2270" s="13">
        <v>0</v>
      </c>
      <c r="K2270" s="10">
        <v>2</v>
      </c>
      <c r="L2270" s="2">
        <v>180.17619999999999</v>
      </c>
      <c r="M2270" s="1">
        <v>46111.46597222222</v>
      </c>
      <c r="N2270" t="s">
        <v>2358</v>
      </c>
    </row>
    <row r="2271" spans="1:14" x14ac:dyDescent="0.25">
      <c r="A2271" s="9" t="s">
        <v>5211</v>
      </c>
      <c r="B2271" s="10">
        <v>714</v>
      </c>
      <c r="C2271" s="10" t="s">
        <v>323</v>
      </c>
      <c r="D2271" t="s">
        <v>3105</v>
      </c>
      <c r="E2271" t="s">
        <v>3106</v>
      </c>
      <c r="F2271" s="10" t="s">
        <v>29</v>
      </c>
      <c r="G2271" s="2">
        <v>68.260199999999998</v>
      </c>
      <c r="H2271" s="13">
        <v>2</v>
      </c>
      <c r="I2271" s="13">
        <v>0</v>
      </c>
      <c r="J2271" s="13">
        <v>0</v>
      </c>
      <c r="K2271" s="10">
        <v>2</v>
      </c>
      <c r="L2271" s="2">
        <v>136.5204</v>
      </c>
      <c r="M2271" s="1">
        <v>46111.46597222222</v>
      </c>
      <c r="N2271" t="s">
        <v>2358</v>
      </c>
    </row>
    <row r="2272" spans="1:14" x14ac:dyDescent="0.25">
      <c r="A2272" s="9" t="s">
        <v>5211</v>
      </c>
      <c r="B2272" s="10">
        <v>636</v>
      </c>
      <c r="C2272" s="10" t="s">
        <v>143</v>
      </c>
      <c r="D2272" t="s">
        <v>978</v>
      </c>
      <c r="E2272" t="s">
        <v>979</v>
      </c>
      <c r="F2272" s="10" t="s">
        <v>29</v>
      </c>
      <c r="G2272" s="2">
        <v>55.654200000000003</v>
      </c>
      <c r="H2272" s="13">
        <v>2</v>
      </c>
      <c r="I2272" s="13">
        <v>0</v>
      </c>
      <c r="J2272" s="13">
        <v>0</v>
      </c>
      <c r="K2272" s="10">
        <v>2</v>
      </c>
      <c r="L2272" s="2">
        <v>111.30840000000001</v>
      </c>
      <c r="M2272" s="1">
        <v>46112.343055555553</v>
      </c>
      <c r="N2272" t="s">
        <v>137</v>
      </c>
    </row>
    <row r="2273" spans="1:14" x14ac:dyDescent="0.25">
      <c r="A2273" s="9" t="s">
        <v>5211</v>
      </c>
      <c r="B2273" s="10">
        <v>636</v>
      </c>
      <c r="C2273" s="10" t="s">
        <v>323</v>
      </c>
      <c r="D2273" t="s">
        <v>1701</v>
      </c>
      <c r="E2273" t="s">
        <v>1702</v>
      </c>
      <c r="F2273" s="10" t="s">
        <v>29</v>
      </c>
      <c r="G2273" s="2">
        <v>419.93639999999999</v>
      </c>
      <c r="H2273" s="13">
        <v>2</v>
      </c>
      <c r="I2273" s="13">
        <v>0</v>
      </c>
      <c r="J2273" s="13">
        <v>0</v>
      </c>
      <c r="K2273" s="10">
        <v>2</v>
      </c>
      <c r="L2273" s="2">
        <v>839.87279999999998</v>
      </c>
      <c r="M2273" s="1">
        <v>46112.343055555553</v>
      </c>
      <c r="N2273" t="s">
        <v>137</v>
      </c>
    </row>
    <row r="2274" spans="1:14" x14ac:dyDescent="0.25">
      <c r="A2274" s="9" t="s">
        <v>5211</v>
      </c>
      <c r="B2274" s="10">
        <v>636</v>
      </c>
      <c r="C2274" s="10" t="s">
        <v>323</v>
      </c>
      <c r="D2274" t="s">
        <v>1257</v>
      </c>
      <c r="E2274" t="s">
        <v>1258</v>
      </c>
      <c r="F2274" s="10" t="s">
        <v>19</v>
      </c>
      <c r="G2274" s="2">
        <v>177.08160000000001</v>
      </c>
      <c r="H2274" s="13">
        <v>2</v>
      </c>
      <c r="I2274" s="13">
        <v>0</v>
      </c>
      <c r="J2274" s="13">
        <v>0</v>
      </c>
      <c r="K2274" s="10">
        <v>2</v>
      </c>
      <c r="L2274" s="2">
        <v>354.16320000000002</v>
      </c>
      <c r="M2274" s="1">
        <v>46112.343055555553</v>
      </c>
      <c r="N2274" t="s">
        <v>137</v>
      </c>
    </row>
    <row r="2275" spans="1:14" x14ac:dyDescent="0.25">
      <c r="A2275" s="9" t="s">
        <v>5211</v>
      </c>
      <c r="B2275" s="10">
        <v>636</v>
      </c>
      <c r="C2275" s="10" t="s">
        <v>323</v>
      </c>
      <c r="D2275" t="s">
        <v>1570</v>
      </c>
      <c r="E2275" t="s">
        <v>1571</v>
      </c>
      <c r="F2275" s="10" t="s">
        <v>29</v>
      </c>
      <c r="G2275" s="2">
        <v>188.8871</v>
      </c>
      <c r="H2275" s="13">
        <v>2</v>
      </c>
      <c r="I2275" s="13">
        <v>0</v>
      </c>
      <c r="J2275" s="13">
        <v>0</v>
      </c>
      <c r="K2275" s="10">
        <v>2</v>
      </c>
      <c r="L2275" s="2">
        <v>377.77420000000001</v>
      </c>
      <c r="M2275" s="1">
        <v>46112.343055555553</v>
      </c>
      <c r="N2275" t="s">
        <v>137</v>
      </c>
    </row>
    <row r="2276" spans="1:14" x14ac:dyDescent="0.25">
      <c r="A2276" s="9" t="s">
        <v>5211</v>
      </c>
      <c r="B2276" s="10">
        <v>718</v>
      </c>
      <c r="C2276" s="10" t="s">
        <v>143</v>
      </c>
      <c r="D2276" t="s">
        <v>2471</v>
      </c>
      <c r="E2276" t="s">
        <v>2472</v>
      </c>
      <c r="F2276" s="10" t="s">
        <v>39</v>
      </c>
      <c r="G2276" s="2">
        <v>33.372999999999998</v>
      </c>
      <c r="H2276" s="13">
        <v>2</v>
      </c>
      <c r="I2276" s="13">
        <v>0</v>
      </c>
      <c r="J2276" s="13">
        <v>0</v>
      </c>
      <c r="K2276" s="10">
        <v>2</v>
      </c>
      <c r="L2276" s="2">
        <v>66.745999999999995</v>
      </c>
      <c r="M2276" s="1">
        <v>46112.350694444445</v>
      </c>
      <c r="N2276" t="s">
        <v>36</v>
      </c>
    </row>
    <row r="2277" spans="1:14" x14ac:dyDescent="0.25">
      <c r="A2277" s="9" t="s">
        <v>5211</v>
      </c>
      <c r="B2277" s="10">
        <v>718</v>
      </c>
      <c r="C2277" s="10" t="s">
        <v>323</v>
      </c>
      <c r="D2277" t="s">
        <v>3121</v>
      </c>
      <c r="E2277" t="s">
        <v>3122</v>
      </c>
      <c r="F2277" s="10" t="s">
        <v>39</v>
      </c>
      <c r="G2277" s="2">
        <v>76.915899999999993</v>
      </c>
      <c r="H2277" s="13">
        <v>2</v>
      </c>
      <c r="I2277" s="13">
        <v>0</v>
      </c>
      <c r="J2277" s="13">
        <v>0</v>
      </c>
      <c r="K2277" s="10">
        <v>2</v>
      </c>
      <c r="L2277" s="2">
        <v>153.83179999999999</v>
      </c>
      <c r="M2277" s="1">
        <v>46112.350694444445</v>
      </c>
      <c r="N2277" t="s">
        <v>36</v>
      </c>
    </row>
    <row r="2278" spans="1:14" x14ac:dyDescent="0.25">
      <c r="A2278" s="9" t="s">
        <v>5211</v>
      </c>
      <c r="B2278" s="10">
        <v>718</v>
      </c>
      <c r="C2278" s="10" t="s">
        <v>323</v>
      </c>
      <c r="D2278" t="s">
        <v>3903</v>
      </c>
      <c r="E2278" s="6" t="s">
        <v>3904</v>
      </c>
      <c r="F2278" s="11" t="s">
        <v>58</v>
      </c>
      <c r="G2278" s="2">
        <v>214.57429999999999</v>
      </c>
      <c r="H2278" s="13">
        <v>2</v>
      </c>
      <c r="I2278" s="13">
        <v>0</v>
      </c>
      <c r="J2278" s="13">
        <v>0</v>
      </c>
      <c r="K2278" s="10">
        <v>2</v>
      </c>
      <c r="L2278" s="2">
        <v>429.14859999999999</v>
      </c>
      <c r="M2278" s="1">
        <v>46112.350694444445</v>
      </c>
      <c r="N2278" t="s">
        <v>36</v>
      </c>
    </row>
    <row r="2279" spans="1:14" x14ac:dyDescent="0.25">
      <c r="A2279" s="9" t="s">
        <v>5211</v>
      </c>
      <c r="B2279" s="10">
        <v>634</v>
      </c>
      <c r="C2279" s="10" t="s">
        <v>323</v>
      </c>
      <c r="D2279" t="s">
        <v>358</v>
      </c>
      <c r="E2279" t="s">
        <v>359</v>
      </c>
      <c r="F2279" s="10" t="s">
        <v>29</v>
      </c>
      <c r="G2279" s="2">
        <v>260.55869999999999</v>
      </c>
      <c r="H2279" s="13">
        <v>2</v>
      </c>
      <c r="I2279" s="13">
        <v>0</v>
      </c>
      <c r="J2279" s="13">
        <v>0</v>
      </c>
      <c r="K2279" s="10">
        <v>2</v>
      </c>
      <c r="L2279" s="2">
        <v>521.11739999999998</v>
      </c>
      <c r="M2279" s="1">
        <v>46112.445833333331</v>
      </c>
      <c r="N2279" t="s">
        <v>360</v>
      </c>
    </row>
    <row r="2280" spans="1:14" x14ac:dyDescent="0.25">
      <c r="A2280" s="9" t="s">
        <v>5211</v>
      </c>
      <c r="B2280" s="10">
        <v>636</v>
      </c>
      <c r="C2280" s="10" t="s">
        <v>323</v>
      </c>
      <c r="D2280" t="s">
        <v>4657</v>
      </c>
      <c r="E2280" t="s">
        <v>4658</v>
      </c>
      <c r="F2280" s="10" t="s">
        <v>455</v>
      </c>
      <c r="G2280" s="2">
        <v>259.0256</v>
      </c>
      <c r="H2280" s="13">
        <v>2</v>
      </c>
      <c r="I2280" s="13">
        <v>14</v>
      </c>
      <c r="J2280" s="13">
        <v>-14</v>
      </c>
      <c r="K2280" s="10">
        <v>2</v>
      </c>
      <c r="L2280" s="2">
        <v>518.05119999999999</v>
      </c>
      <c r="M2280" s="1">
        <v>46112.467361111114</v>
      </c>
      <c r="N2280" t="s">
        <v>151</v>
      </c>
    </row>
    <row r="2281" spans="1:14" x14ac:dyDescent="0.25">
      <c r="A2281" s="9" t="s">
        <v>5211</v>
      </c>
      <c r="B2281" s="10">
        <v>636</v>
      </c>
      <c r="C2281" s="10" t="s">
        <v>323</v>
      </c>
      <c r="D2281" t="s">
        <v>1351</v>
      </c>
      <c r="E2281" t="s">
        <v>1352</v>
      </c>
      <c r="F2281" s="10" t="s">
        <v>29</v>
      </c>
      <c r="G2281" s="2">
        <v>293.5444</v>
      </c>
      <c r="H2281" s="13">
        <v>2</v>
      </c>
      <c r="I2281" s="13">
        <v>0</v>
      </c>
      <c r="J2281" s="13">
        <v>0</v>
      </c>
      <c r="K2281" s="10">
        <v>2</v>
      </c>
      <c r="L2281" s="2">
        <v>587.08879999999999</v>
      </c>
      <c r="M2281" s="1">
        <v>46113.468055555553</v>
      </c>
      <c r="N2281" t="s">
        <v>486</v>
      </c>
    </row>
    <row r="2282" spans="1:14" x14ac:dyDescent="0.25">
      <c r="A2282" s="9" t="s">
        <v>5211</v>
      </c>
      <c r="B2282" s="10">
        <v>634</v>
      </c>
      <c r="C2282" s="10" t="s">
        <v>143</v>
      </c>
      <c r="D2282" t="s">
        <v>152</v>
      </c>
      <c r="E2282" t="s">
        <v>153</v>
      </c>
      <c r="F2282" s="10" t="s">
        <v>19</v>
      </c>
      <c r="G2282" s="2">
        <v>87.831999999999994</v>
      </c>
      <c r="H2282" s="13">
        <v>2</v>
      </c>
      <c r="I2282" s="13">
        <v>0</v>
      </c>
      <c r="J2282" s="13">
        <v>0</v>
      </c>
      <c r="K2282" s="10">
        <v>2</v>
      </c>
      <c r="L2282" s="2">
        <v>175.66399999999999</v>
      </c>
      <c r="M2282" s="1">
        <v>46113.665277777778</v>
      </c>
      <c r="N2282" t="s">
        <v>137</v>
      </c>
    </row>
    <row r="2283" spans="1:14" x14ac:dyDescent="0.25">
      <c r="A2283" s="9" t="s">
        <v>5211</v>
      </c>
      <c r="B2283" s="10">
        <v>634</v>
      </c>
      <c r="C2283" s="10" t="s">
        <v>323</v>
      </c>
      <c r="D2283" t="s">
        <v>386</v>
      </c>
      <c r="E2283" t="s">
        <v>387</v>
      </c>
      <c r="F2283" s="10" t="s">
        <v>29</v>
      </c>
      <c r="G2283" s="2">
        <v>214.70050000000001</v>
      </c>
      <c r="H2283" s="13">
        <v>2</v>
      </c>
      <c r="I2283" s="13">
        <v>0</v>
      </c>
      <c r="J2283" s="13">
        <v>0</v>
      </c>
      <c r="K2283" s="10">
        <v>2</v>
      </c>
      <c r="L2283" s="2">
        <v>429.40100000000001</v>
      </c>
      <c r="M2283" s="1">
        <v>46113.665277777778</v>
      </c>
      <c r="N2283" t="s">
        <v>137</v>
      </c>
    </row>
    <row r="2284" spans="1:14" x14ac:dyDescent="0.25">
      <c r="A2284" s="9" t="s">
        <v>5211</v>
      </c>
      <c r="B2284" s="10">
        <v>636</v>
      </c>
      <c r="C2284" s="10" t="s">
        <v>323</v>
      </c>
      <c r="D2284" t="s">
        <v>1713</v>
      </c>
      <c r="E2284" t="s">
        <v>1714</v>
      </c>
      <c r="F2284" s="10" t="s">
        <v>29</v>
      </c>
      <c r="G2284" s="2">
        <v>522.26239999999996</v>
      </c>
      <c r="H2284" s="13">
        <v>2</v>
      </c>
      <c r="I2284" s="13">
        <v>0</v>
      </c>
      <c r="J2284" s="13">
        <v>0</v>
      </c>
      <c r="K2284" s="10">
        <v>2</v>
      </c>
      <c r="L2284" s="2">
        <v>1044.5247999999999</v>
      </c>
      <c r="M2284" s="1">
        <v>46114.394444444442</v>
      </c>
      <c r="N2284" t="s">
        <v>486</v>
      </c>
    </row>
    <row r="2285" spans="1:14" x14ac:dyDescent="0.25">
      <c r="A2285" s="9" t="s">
        <v>5211</v>
      </c>
      <c r="B2285" s="10">
        <v>636</v>
      </c>
      <c r="C2285" s="10" t="s">
        <v>323</v>
      </c>
      <c r="D2285" t="s">
        <v>1286</v>
      </c>
      <c r="E2285" t="s">
        <v>1287</v>
      </c>
      <c r="F2285" s="10" t="s">
        <v>29</v>
      </c>
      <c r="G2285" s="2">
        <v>161.5641</v>
      </c>
      <c r="H2285" s="13">
        <v>2</v>
      </c>
      <c r="I2285" s="13">
        <v>0</v>
      </c>
      <c r="J2285" s="13">
        <v>0</v>
      </c>
      <c r="K2285" s="10">
        <v>2</v>
      </c>
      <c r="L2285" s="2">
        <v>323.12819999999999</v>
      </c>
      <c r="M2285" s="1">
        <v>46114.597916666666</v>
      </c>
      <c r="N2285" t="s">
        <v>797</v>
      </c>
    </row>
    <row r="2286" spans="1:14" x14ac:dyDescent="0.25">
      <c r="A2286" s="9" t="s">
        <v>5211</v>
      </c>
      <c r="B2286" s="10">
        <v>636</v>
      </c>
      <c r="C2286" s="10" t="s">
        <v>323</v>
      </c>
      <c r="D2286" t="s">
        <v>1509</v>
      </c>
      <c r="E2286" t="s">
        <v>1510</v>
      </c>
      <c r="F2286" s="10" t="s">
        <v>1047</v>
      </c>
      <c r="G2286" s="2">
        <v>250.8142</v>
      </c>
      <c r="H2286" s="13">
        <v>2</v>
      </c>
      <c r="I2286" s="13">
        <v>0</v>
      </c>
      <c r="J2286" s="13">
        <v>0</v>
      </c>
      <c r="K2286" s="10">
        <v>2</v>
      </c>
      <c r="L2286" s="2">
        <v>501.6284</v>
      </c>
      <c r="M2286" s="1">
        <v>46114.597916666666</v>
      </c>
      <c r="N2286" t="s">
        <v>797</v>
      </c>
    </row>
    <row r="2287" spans="1:14" x14ac:dyDescent="0.25">
      <c r="A2287" s="9" t="s">
        <v>5211</v>
      </c>
      <c r="B2287" s="10">
        <v>636</v>
      </c>
      <c r="C2287" s="10" t="s">
        <v>1749</v>
      </c>
      <c r="D2287" t="s">
        <v>1780</v>
      </c>
      <c r="E2287" t="s">
        <v>1781</v>
      </c>
      <c r="F2287" s="10" t="s">
        <v>23</v>
      </c>
      <c r="G2287" s="2">
        <v>36.184699999999999</v>
      </c>
      <c r="H2287" s="13">
        <v>2</v>
      </c>
      <c r="I2287" s="13">
        <v>0</v>
      </c>
      <c r="J2287" s="13">
        <v>0</v>
      </c>
      <c r="K2287" s="10">
        <v>2</v>
      </c>
      <c r="L2287" s="2">
        <v>72.369399999999999</v>
      </c>
      <c r="M2287" s="1">
        <v>46114.597916666666</v>
      </c>
      <c r="N2287" t="s">
        <v>797</v>
      </c>
    </row>
    <row r="2288" spans="1:14" x14ac:dyDescent="0.25">
      <c r="A2288" s="9" t="s">
        <v>5211</v>
      </c>
      <c r="B2288" s="10">
        <v>636</v>
      </c>
      <c r="C2288" s="10" t="s">
        <v>1749</v>
      </c>
      <c r="D2288" t="s">
        <v>1774</v>
      </c>
      <c r="E2288" t="s">
        <v>1775</v>
      </c>
      <c r="F2288" s="10" t="s">
        <v>39</v>
      </c>
      <c r="G2288" s="2">
        <v>16.995899999999999</v>
      </c>
      <c r="H2288" s="13">
        <v>2</v>
      </c>
      <c r="I2288" s="13">
        <v>0</v>
      </c>
      <c r="J2288" s="13">
        <v>0</v>
      </c>
      <c r="K2288" s="10">
        <v>2</v>
      </c>
      <c r="L2288" s="2">
        <v>33.991799999999998</v>
      </c>
      <c r="M2288" s="1">
        <v>46114.597916666666</v>
      </c>
      <c r="N2288" t="s">
        <v>797</v>
      </c>
    </row>
    <row r="2289" spans="1:14" x14ac:dyDescent="0.25">
      <c r="A2289" s="9" t="s">
        <v>5211</v>
      </c>
      <c r="B2289" s="10">
        <v>636</v>
      </c>
      <c r="C2289" s="10" t="s">
        <v>1749</v>
      </c>
      <c r="D2289" t="s">
        <v>1756</v>
      </c>
      <c r="E2289" t="s">
        <v>1757</v>
      </c>
      <c r="F2289" s="10" t="s">
        <v>39</v>
      </c>
      <c r="G2289" s="2">
        <v>48.155099999999997</v>
      </c>
      <c r="H2289" s="13">
        <v>2</v>
      </c>
      <c r="I2289" s="13">
        <v>0</v>
      </c>
      <c r="J2289" s="13">
        <v>0</v>
      </c>
      <c r="K2289" s="10">
        <v>2</v>
      </c>
      <c r="L2289" s="2">
        <v>96.310199999999995</v>
      </c>
      <c r="M2289" s="1">
        <v>46114.597916666666</v>
      </c>
      <c r="N2289" t="s">
        <v>797</v>
      </c>
    </row>
    <row r="2290" spans="1:14" x14ac:dyDescent="0.25">
      <c r="A2290" s="9" t="s">
        <v>5211</v>
      </c>
      <c r="B2290" s="10">
        <v>636</v>
      </c>
      <c r="C2290" s="10" t="s">
        <v>323</v>
      </c>
      <c r="D2290" t="s">
        <v>1468</v>
      </c>
      <c r="E2290" t="s">
        <v>1469</v>
      </c>
      <c r="F2290" s="10" t="s">
        <v>29</v>
      </c>
      <c r="G2290" s="2">
        <v>31.796500000000002</v>
      </c>
      <c r="H2290" s="13">
        <v>2</v>
      </c>
      <c r="I2290" s="13">
        <v>0</v>
      </c>
      <c r="J2290" s="13">
        <v>0</v>
      </c>
      <c r="K2290" s="10">
        <v>2</v>
      </c>
      <c r="L2290" s="2">
        <v>63.593000000000004</v>
      </c>
      <c r="M2290" s="1">
        <v>46114.597916666666</v>
      </c>
      <c r="N2290" t="s">
        <v>797</v>
      </c>
    </row>
    <row r="2291" spans="1:14" x14ac:dyDescent="0.25">
      <c r="A2291" s="9" t="s">
        <v>5211</v>
      </c>
      <c r="B2291" s="10">
        <v>636</v>
      </c>
      <c r="C2291" s="10" t="s">
        <v>1749</v>
      </c>
      <c r="D2291" t="s">
        <v>1794</v>
      </c>
      <c r="E2291" t="s">
        <v>1795</v>
      </c>
      <c r="F2291" s="10" t="s">
        <v>29</v>
      </c>
      <c r="G2291" s="2">
        <v>15.2255</v>
      </c>
      <c r="H2291" s="13">
        <v>2</v>
      </c>
      <c r="I2291" s="13">
        <v>0</v>
      </c>
      <c r="J2291" s="13">
        <v>0</v>
      </c>
      <c r="K2291" s="10">
        <v>2</v>
      </c>
      <c r="L2291" s="2">
        <v>30.451000000000001</v>
      </c>
      <c r="M2291" s="1">
        <v>46114.597916666666</v>
      </c>
      <c r="N2291" t="s">
        <v>797</v>
      </c>
    </row>
    <row r="2292" spans="1:14" x14ac:dyDescent="0.25">
      <c r="A2292" s="9" t="s">
        <v>5211</v>
      </c>
      <c r="B2292" s="10">
        <v>636</v>
      </c>
      <c r="C2292" s="10" t="s">
        <v>1749</v>
      </c>
      <c r="D2292" t="s">
        <v>1762</v>
      </c>
      <c r="E2292" t="s">
        <v>1763</v>
      </c>
      <c r="F2292" s="10" t="s">
        <v>29</v>
      </c>
      <c r="G2292" s="2">
        <v>21.244900000000001</v>
      </c>
      <c r="H2292" s="13">
        <v>2</v>
      </c>
      <c r="I2292" s="13">
        <v>0</v>
      </c>
      <c r="J2292" s="13">
        <v>0</v>
      </c>
      <c r="K2292" s="10">
        <v>2</v>
      </c>
      <c r="L2292" s="2">
        <v>42.489800000000002</v>
      </c>
      <c r="M2292" s="1">
        <v>46114.597916666666</v>
      </c>
      <c r="N2292" t="s">
        <v>797</v>
      </c>
    </row>
    <row r="2293" spans="1:14" x14ac:dyDescent="0.25">
      <c r="A2293" s="9" t="s">
        <v>5211</v>
      </c>
      <c r="B2293" s="10">
        <v>636</v>
      </c>
      <c r="C2293" s="10" t="s">
        <v>323</v>
      </c>
      <c r="D2293" t="s">
        <v>1288</v>
      </c>
      <c r="E2293" t="s">
        <v>1289</v>
      </c>
      <c r="F2293" s="10" t="s">
        <v>158</v>
      </c>
      <c r="G2293" s="2">
        <v>181.05889999999999</v>
      </c>
      <c r="H2293" s="13">
        <v>2</v>
      </c>
      <c r="I2293" s="13">
        <v>0</v>
      </c>
      <c r="J2293" s="13">
        <v>0</v>
      </c>
      <c r="K2293" s="10">
        <v>2</v>
      </c>
      <c r="L2293" s="2">
        <v>362.11779999999999</v>
      </c>
      <c r="M2293" s="1">
        <v>46115.425694444442</v>
      </c>
      <c r="N2293" t="s">
        <v>1234</v>
      </c>
    </row>
    <row r="2294" spans="1:14" x14ac:dyDescent="0.25">
      <c r="A2294" s="9" t="s">
        <v>5211</v>
      </c>
      <c r="B2294" s="10">
        <v>714</v>
      </c>
      <c r="C2294" s="10" t="s">
        <v>323</v>
      </c>
      <c r="D2294" t="s">
        <v>5075</v>
      </c>
      <c r="E2294" t="s">
        <v>5076</v>
      </c>
      <c r="F2294" s="10" t="s">
        <v>23</v>
      </c>
      <c r="G2294" s="2">
        <v>155.09059999999999</v>
      </c>
      <c r="H2294" s="13">
        <v>2</v>
      </c>
      <c r="I2294" s="13">
        <v>3</v>
      </c>
      <c r="J2294" s="13">
        <v>-3</v>
      </c>
      <c r="K2294" s="10">
        <v>2</v>
      </c>
      <c r="L2294" s="2">
        <v>310.18119999999999</v>
      </c>
      <c r="M2294" s="1">
        <v>46115.573611111111</v>
      </c>
      <c r="N2294" t="s">
        <v>1062</v>
      </c>
    </row>
    <row r="2295" spans="1:14" x14ac:dyDescent="0.25">
      <c r="A2295" s="9" t="s">
        <v>5211</v>
      </c>
      <c r="B2295" s="10">
        <v>634</v>
      </c>
      <c r="C2295" s="10" t="s">
        <v>323</v>
      </c>
      <c r="D2295" t="s">
        <v>394</v>
      </c>
      <c r="E2295" t="s">
        <v>395</v>
      </c>
      <c r="F2295" s="10" t="s">
        <v>29</v>
      </c>
      <c r="G2295" s="2">
        <v>257.09460000000001</v>
      </c>
      <c r="H2295" s="13">
        <v>2</v>
      </c>
      <c r="I2295" s="13">
        <v>0</v>
      </c>
      <c r="J2295" s="13">
        <v>0</v>
      </c>
      <c r="K2295" s="10">
        <v>2</v>
      </c>
      <c r="L2295" s="2">
        <v>514.18920000000003</v>
      </c>
      <c r="M2295" s="1">
        <v>46115.618055555555</v>
      </c>
      <c r="N2295" t="s">
        <v>295</v>
      </c>
    </row>
    <row r="2296" spans="1:14" x14ac:dyDescent="0.25">
      <c r="A2296" s="9" t="s">
        <v>5211</v>
      </c>
      <c r="B2296" s="10">
        <v>634</v>
      </c>
      <c r="C2296" s="10" t="s">
        <v>323</v>
      </c>
      <c r="D2296" t="s">
        <v>381</v>
      </c>
      <c r="E2296" t="s">
        <v>382</v>
      </c>
      <c r="F2296" s="10" t="s">
        <v>23</v>
      </c>
      <c r="G2296" s="2">
        <v>212.078</v>
      </c>
      <c r="H2296" s="13">
        <v>2</v>
      </c>
      <c r="I2296" s="13">
        <v>0</v>
      </c>
      <c r="J2296" s="13">
        <v>0</v>
      </c>
      <c r="K2296" s="10">
        <v>2</v>
      </c>
      <c r="L2296" s="2">
        <v>424.15600000000001</v>
      </c>
      <c r="M2296" s="1">
        <v>46115.618055555555</v>
      </c>
      <c r="N2296" t="s">
        <v>295</v>
      </c>
    </row>
    <row r="2297" spans="1:14" x14ac:dyDescent="0.25">
      <c r="A2297" s="9" t="s">
        <v>5211</v>
      </c>
      <c r="B2297" s="10">
        <v>714</v>
      </c>
      <c r="C2297" s="10" t="s">
        <v>323</v>
      </c>
      <c r="D2297" t="s">
        <v>3496</v>
      </c>
      <c r="E2297" t="s">
        <v>3497</v>
      </c>
      <c r="F2297" s="10" t="s">
        <v>158</v>
      </c>
      <c r="G2297" s="2">
        <v>120.34520000000001</v>
      </c>
      <c r="H2297" s="13">
        <v>2</v>
      </c>
      <c r="I2297" s="13">
        <v>-4</v>
      </c>
      <c r="J2297" s="13">
        <v>4</v>
      </c>
      <c r="K2297" s="10">
        <v>2</v>
      </c>
      <c r="L2297" s="2">
        <v>240.69040000000001</v>
      </c>
      <c r="M2297" s="1">
        <v>46118.304861111108</v>
      </c>
      <c r="N2297" t="s">
        <v>2423</v>
      </c>
    </row>
    <row r="2298" spans="1:14" x14ac:dyDescent="0.25">
      <c r="A2298" s="9" t="s">
        <v>5211</v>
      </c>
      <c r="B2298" s="10">
        <v>714</v>
      </c>
      <c r="C2298" s="10" t="s">
        <v>323</v>
      </c>
      <c r="D2298" t="s">
        <v>3470</v>
      </c>
      <c r="E2298" t="s">
        <v>3471</v>
      </c>
      <c r="F2298" s="10" t="s">
        <v>29</v>
      </c>
      <c r="G2298" s="2">
        <v>232.4556</v>
      </c>
      <c r="H2298" s="13">
        <v>2</v>
      </c>
      <c r="I2298" s="13">
        <v>0</v>
      </c>
      <c r="J2298" s="13">
        <v>0</v>
      </c>
      <c r="K2298" s="10">
        <v>2</v>
      </c>
      <c r="L2298" s="2">
        <v>464.91120000000001</v>
      </c>
      <c r="M2298" s="1">
        <v>46118.304861111108</v>
      </c>
      <c r="N2298" t="s">
        <v>2423</v>
      </c>
    </row>
    <row r="2299" spans="1:14" x14ac:dyDescent="0.25">
      <c r="A2299" s="9" t="s">
        <v>5211</v>
      </c>
      <c r="B2299" s="10">
        <v>718</v>
      </c>
      <c r="C2299" s="10" t="s">
        <v>143</v>
      </c>
      <c r="D2299" t="s">
        <v>4793</v>
      </c>
      <c r="E2299" t="s">
        <v>4794</v>
      </c>
      <c r="F2299" s="10" t="s">
        <v>23</v>
      </c>
      <c r="G2299" s="2">
        <v>122.85380000000001</v>
      </c>
      <c r="H2299" s="13">
        <v>2</v>
      </c>
      <c r="I2299" s="13">
        <v>9</v>
      </c>
      <c r="J2299" s="13">
        <v>-9</v>
      </c>
      <c r="K2299" s="10">
        <v>2</v>
      </c>
      <c r="L2299" s="2">
        <v>245.70760000000001</v>
      </c>
      <c r="M2299" s="1">
        <v>46118.523611111108</v>
      </c>
      <c r="N2299" t="s">
        <v>137</v>
      </c>
    </row>
    <row r="2300" spans="1:14" x14ac:dyDescent="0.25">
      <c r="A2300" s="9" t="s">
        <v>5211</v>
      </c>
      <c r="B2300" s="10">
        <v>718</v>
      </c>
      <c r="C2300" s="10" t="s">
        <v>143</v>
      </c>
      <c r="D2300" t="s">
        <v>3767</v>
      </c>
      <c r="E2300" t="s">
        <v>3768</v>
      </c>
      <c r="F2300" s="10" t="s">
        <v>29</v>
      </c>
      <c r="G2300" s="2">
        <v>275.19260000000003</v>
      </c>
      <c r="H2300" s="13">
        <v>2</v>
      </c>
      <c r="I2300" s="13">
        <v>0</v>
      </c>
      <c r="J2300" s="13">
        <v>0</v>
      </c>
      <c r="K2300" s="10">
        <v>2</v>
      </c>
      <c r="L2300" s="2">
        <v>550.38520000000005</v>
      </c>
      <c r="M2300" s="1">
        <v>46118.523611111108</v>
      </c>
      <c r="N2300" t="s">
        <v>137</v>
      </c>
    </row>
    <row r="2301" spans="1:14" x14ac:dyDescent="0.25">
      <c r="A2301" s="9" t="s">
        <v>5211</v>
      </c>
      <c r="B2301" s="10">
        <v>634</v>
      </c>
      <c r="C2301" s="10" t="s">
        <v>323</v>
      </c>
      <c r="D2301" t="s">
        <v>1540</v>
      </c>
      <c r="E2301" t="s">
        <v>1541</v>
      </c>
      <c r="F2301" s="10" t="s">
        <v>29</v>
      </c>
      <c r="G2301" s="2">
        <v>469.70069999999998</v>
      </c>
      <c r="H2301" s="13">
        <v>2</v>
      </c>
      <c r="I2301" s="13">
        <v>-1</v>
      </c>
      <c r="J2301" s="13">
        <v>1</v>
      </c>
      <c r="K2301" s="10">
        <v>2</v>
      </c>
      <c r="L2301" s="2">
        <v>939.40139999999997</v>
      </c>
      <c r="M2301" s="1">
        <v>46119.536111111112</v>
      </c>
      <c r="N2301" t="s">
        <v>486</v>
      </c>
    </row>
    <row r="2302" spans="1:14" x14ac:dyDescent="0.25">
      <c r="A2302" s="9" t="s">
        <v>5211</v>
      </c>
      <c r="B2302" s="10">
        <v>634</v>
      </c>
      <c r="C2302" s="10" t="s">
        <v>323</v>
      </c>
      <c r="D2302" t="s">
        <v>409</v>
      </c>
      <c r="E2302" t="s">
        <v>410</v>
      </c>
      <c r="F2302" s="10" t="s">
        <v>23</v>
      </c>
      <c r="G2302" s="2">
        <v>148.34030000000001</v>
      </c>
      <c r="H2302" s="13">
        <v>2</v>
      </c>
      <c r="I2302" s="13">
        <v>0</v>
      </c>
      <c r="J2302" s="13">
        <v>0</v>
      </c>
      <c r="K2302" s="10">
        <v>2</v>
      </c>
      <c r="L2302" s="2">
        <v>296.68060000000003</v>
      </c>
      <c r="M2302" s="1">
        <v>46119.536805555559</v>
      </c>
      <c r="N2302" t="s">
        <v>371</v>
      </c>
    </row>
    <row r="2303" spans="1:14" x14ac:dyDescent="0.25">
      <c r="A2303" s="9" t="s">
        <v>5211</v>
      </c>
      <c r="B2303" s="10">
        <v>634</v>
      </c>
      <c r="C2303" s="10" t="s">
        <v>323</v>
      </c>
      <c r="D2303" t="s">
        <v>3512</v>
      </c>
      <c r="E2303" t="s">
        <v>3513</v>
      </c>
      <c r="F2303" s="10" t="s">
        <v>158</v>
      </c>
      <c r="G2303" s="2">
        <v>170.2688</v>
      </c>
      <c r="H2303" s="13">
        <v>2</v>
      </c>
      <c r="I2303" s="13">
        <v>-1</v>
      </c>
      <c r="J2303" s="13">
        <v>1</v>
      </c>
      <c r="K2303" s="10">
        <v>2</v>
      </c>
      <c r="L2303" s="2">
        <v>340.5376</v>
      </c>
      <c r="M2303" s="1">
        <v>46119.536805555559</v>
      </c>
      <c r="N2303" t="s">
        <v>371</v>
      </c>
    </row>
    <row r="2304" spans="1:14" x14ac:dyDescent="0.25">
      <c r="A2304" s="9" t="s">
        <v>5211</v>
      </c>
      <c r="B2304" s="10">
        <v>714</v>
      </c>
      <c r="C2304" s="10" t="s">
        <v>143</v>
      </c>
      <c r="D2304" t="s">
        <v>2614</v>
      </c>
      <c r="E2304" t="s">
        <v>2615</v>
      </c>
      <c r="F2304" s="10" t="s">
        <v>29</v>
      </c>
      <c r="G2304" s="2">
        <v>154.45439999999999</v>
      </c>
      <c r="H2304" s="13">
        <v>2</v>
      </c>
      <c r="I2304" s="13">
        <v>0</v>
      </c>
      <c r="J2304" s="13">
        <v>0</v>
      </c>
      <c r="K2304" s="10">
        <v>2</v>
      </c>
      <c r="L2304" s="2">
        <v>308.90879999999999</v>
      </c>
      <c r="M2304" s="1">
        <v>46119.573611111111</v>
      </c>
      <c r="N2304" t="s">
        <v>137</v>
      </c>
    </row>
    <row r="2305" spans="1:14" x14ac:dyDescent="0.25">
      <c r="A2305" s="9" t="s">
        <v>5211</v>
      </c>
      <c r="B2305" s="10">
        <v>714</v>
      </c>
      <c r="C2305" s="10" t="s">
        <v>143</v>
      </c>
      <c r="D2305" t="s">
        <v>2581</v>
      </c>
      <c r="E2305" t="s">
        <v>2582</v>
      </c>
      <c r="F2305" s="10" t="s">
        <v>29</v>
      </c>
      <c r="G2305" s="2">
        <v>222.88910000000001</v>
      </c>
      <c r="H2305" s="13">
        <v>2</v>
      </c>
      <c r="I2305" s="13">
        <v>0</v>
      </c>
      <c r="J2305" s="13">
        <v>0</v>
      </c>
      <c r="K2305" s="10">
        <v>2</v>
      </c>
      <c r="L2305" s="2">
        <v>445.77820000000003</v>
      </c>
      <c r="M2305" s="1">
        <v>46119.573611111111</v>
      </c>
      <c r="N2305" t="s">
        <v>137</v>
      </c>
    </row>
    <row r="2306" spans="1:14" x14ac:dyDescent="0.25">
      <c r="A2306" s="9" t="s">
        <v>5211</v>
      </c>
      <c r="B2306" s="10">
        <v>714</v>
      </c>
      <c r="C2306" s="10" t="s">
        <v>143</v>
      </c>
      <c r="D2306" t="s">
        <v>2549</v>
      </c>
      <c r="E2306" t="s">
        <v>2550</v>
      </c>
      <c r="F2306" s="10" t="s">
        <v>23</v>
      </c>
      <c r="G2306" s="2">
        <v>126.64149999999999</v>
      </c>
      <c r="H2306" s="13">
        <v>2</v>
      </c>
      <c r="I2306" s="13">
        <v>0</v>
      </c>
      <c r="J2306" s="13">
        <v>0</v>
      </c>
      <c r="K2306" s="10">
        <v>2</v>
      </c>
      <c r="L2306" s="2">
        <v>253.28299999999999</v>
      </c>
      <c r="M2306" s="1">
        <v>46119.573611111111</v>
      </c>
      <c r="N2306" t="s">
        <v>137</v>
      </c>
    </row>
    <row r="2307" spans="1:14" x14ac:dyDescent="0.25">
      <c r="A2307" s="9" t="s">
        <v>5211</v>
      </c>
      <c r="B2307" s="10">
        <v>714</v>
      </c>
      <c r="C2307" s="10" t="s">
        <v>323</v>
      </c>
      <c r="D2307" t="s">
        <v>3057</v>
      </c>
      <c r="E2307" t="s">
        <v>3058</v>
      </c>
      <c r="F2307" s="10" t="s">
        <v>29</v>
      </c>
      <c r="G2307" s="2">
        <v>263.4144</v>
      </c>
      <c r="H2307" s="13">
        <v>2</v>
      </c>
      <c r="I2307" s="13">
        <v>0</v>
      </c>
      <c r="J2307" s="13">
        <v>0</v>
      </c>
      <c r="K2307" s="10">
        <v>2</v>
      </c>
      <c r="L2307" s="2">
        <v>526.8288</v>
      </c>
      <c r="M2307" s="1">
        <v>46119.573611111111</v>
      </c>
      <c r="N2307" t="s">
        <v>137</v>
      </c>
    </row>
    <row r="2308" spans="1:14" x14ac:dyDescent="0.25">
      <c r="A2308" s="9" t="s">
        <v>5211</v>
      </c>
      <c r="B2308" s="10">
        <v>714</v>
      </c>
      <c r="C2308" s="10" t="s">
        <v>323</v>
      </c>
      <c r="D2308" t="s">
        <v>1674</v>
      </c>
      <c r="E2308" t="s">
        <v>1675</v>
      </c>
      <c r="F2308" s="10" t="s">
        <v>29</v>
      </c>
      <c r="G2308" s="2">
        <v>283.67700000000002</v>
      </c>
      <c r="H2308" s="13">
        <v>2</v>
      </c>
      <c r="I2308" s="13">
        <v>0</v>
      </c>
      <c r="J2308" s="13">
        <v>0</v>
      </c>
      <c r="K2308" s="10">
        <v>2</v>
      </c>
      <c r="L2308" s="2">
        <v>567.35400000000004</v>
      </c>
      <c r="M2308" s="1">
        <v>46119.573611111111</v>
      </c>
      <c r="N2308" t="s">
        <v>137</v>
      </c>
    </row>
    <row r="2309" spans="1:14" x14ac:dyDescent="0.25">
      <c r="A2309" s="9" t="s">
        <v>5211</v>
      </c>
      <c r="B2309" s="10">
        <v>634</v>
      </c>
      <c r="C2309" s="10" t="s">
        <v>143</v>
      </c>
      <c r="D2309" t="s">
        <v>4082</v>
      </c>
      <c r="E2309" t="s">
        <v>4083</v>
      </c>
      <c r="F2309" s="10" t="s">
        <v>19</v>
      </c>
      <c r="G2309" s="2">
        <v>100.1491</v>
      </c>
      <c r="H2309" s="13">
        <v>2</v>
      </c>
      <c r="I2309" s="13">
        <v>2</v>
      </c>
      <c r="J2309" s="13">
        <v>-2</v>
      </c>
      <c r="K2309" s="10">
        <v>2</v>
      </c>
      <c r="L2309" s="2">
        <v>200.29820000000001</v>
      </c>
      <c r="M2309" s="1">
        <v>46119.597222222219</v>
      </c>
      <c r="N2309" t="s">
        <v>236</v>
      </c>
    </row>
    <row r="2310" spans="1:14" x14ac:dyDescent="0.25">
      <c r="A2310" s="9" t="s">
        <v>5211</v>
      </c>
      <c r="B2310" s="10">
        <v>634</v>
      </c>
      <c r="C2310" s="10" t="s">
        <v>143</v>
      </c>
      <c r="D2310" t="s">
        <v>210</v>
      </c>
      <c r="E2310" t="s">
        <v>211</v>
      </c>
      <c r="F2310" s="10" t="s">
        <v>19</v>
      </c>
      <c r="G2310" s="2">
        <v>166.82589999999999</v>
      </c>
      <c r="H2310" s="13">
        <v>2</v>
      </c>
      <c r="I2310" s="13">
        <v>0</v>
      </c>
      <c r="J2310" s="13">
        <v>0</v>
      </c>
      <c r="K2310" s="10">
        <v>2</v>
      </c>
      <c r="L2310" s="2">
        <v>333.65179999999998</v>
      </c>
      <c r="M2310" s="1">
        <v>46119.724999999999</v>
      </c>
      <c r="N2310" t="s">
        <v>165</v>
      </c>
    </row>
    <row r="2311" spans="1:14" x14ac:dyDescent="0.25">
      <c r="A2311" s="9" t="s">
        <v>5211</v>
      </c>
      <c r="B2311" s="10">
        <v>634</v>
      </c>
      <c r="C2311" s="10" t="s">
        <v>143</v>
      </c>
      <c r="D2311" t="s">
        <v>311</v>
      </c>
      <c r="E2311" t="s">
        <v>312</v>
      </c>
      <c r="F2311" s="10" t="s">
        <v>29</v>
      </c>
      <c r="G2311" s="2">
        <v>157.29300000000001</v>
      </c>
      <c r="H2311" s="13">
        <v>2</v>
      </c>
      <c r="I2311" s="13">
        <v>0</v>
      </c>
      <c r="J2311" s="13">
        <v>0</v>
      </c>
      <c r="K2311" s="10">
        <v>2</v>
      </c>
      <c r="L2311" s="2">
        <v>314.58600000000001</v>
      </c>
      <c r="M2311" s="1">
        <v>46119.724999999999</v>
      </c>
      <c r="N2311" t="s">
        <v>165</v>
      </c>
    </row>
    <row r="2312" spans="1:14" x14ac:dyDescent="0.25">
      <c r="A2312" s="9" t="s">
        <v>5211</v>
      </c>
      <c r="B2312" s="10">
        <v>636</v>
      </c>
      <c r="C2312" s="10" t="s">
        <v>323</v>
      </c>
      <c r="D2312" t="s">
        <v>1419</v>
      </c>
      <c r="E2312" t="s">
        <v>1420</v>
      </c>
      <c r="F2312" s="10" t="s">
        <v>19</v>
      </c>
      <c r="G2312" s="2">
        <v>260.00670000000002</v>
      </c>
      <c r="H2312" s="13">
        <v>2</v>
      </c>
      <c r="I2312" s="13">
        <v>0</v>
      </c>
      <c r="J2312" s="13">
        <v>0</v>
      </c>
      <c r="K2312" s="10">
        <v>2</v>
      </c>
      <c r="L2312" s="2">
        <v>520.01340000000005</v>
      </c>
      <c r="M2312" s="1">
        <v>46120.310416666667</v>
      </c>
      <c r="N2312" t="s">
        <v>137</v>
      </c>
    </row>
    <row r="2313" spans="1:14" x14ac:dyDescent="0.25">
      <c r="A2313" s="9" t="s">
        <v>5211</v>
      </c>
      <c r="B2313" s="10">
        <v>634</v>
      </c>
      <c r="C2313" s="10" t="s">
        <v>143</v>
      </c>
      <c r="D2313" t="s">
        <v>257</v>
      </c>
      <c r="E2313" t="s">
        <v>258</v>
      </c>
      <c r="F2313" s="10" t="s">
        <v>39</v>
      </c>
      <c r="G2313" s="2">
        <v>17.583600000000001</v>
      </c>
      <c r="H2313" s="13">
        <v>2</v>
      </c>
      <c r="I2313" s="13">
        <v>0</v>
      </c>
      <c r="J2313" s="13">
        <v>0</v>
      </c>
      <c r="K2313" s="10">
        <v>2</v>
      </c>
      <c r="L2313" s="2">
        <v>35.167200000000001</v>
      </c>
      <c r="M2313" s="1">
        <v>46120.659722222219</v>
      </c>
      <c r="N2313" t="s">
        <v>30</v>
      </c>
    </row>
    <row r="2314" spans="1:14" x14ac:dyDescent="0.25">
      <c r="A2314" s="9" t="s">
        <v>5211</v>
      </c>
      <c r="B2314" s="10">
        <v>718</v>
      </c>
      <c r="C2314" s="10" t="s">
        <v>143</v>
      </c>
      <c r="D2314" t="s">
        <v>4214</v>
      </c>
      <c r="E2314" t="s">
        <v>4215</v>
      </c>
      <c r="F2314" s="10" t="s">
        <v>23</v>
      </c>
      <c r="G2314" s="2">
        <v>58.118299999999998</v>
      </c>
      <c r="H2314" s="13">
        <v>2</v>
      </c>
      <c r="I2314" s="13">
        <v>11</v>
      </c>
      <c r="J2314" s="13">
        <v>-11</v>
      </c>
      <c r="K2314" s="10">
        <v>2</v>
      </c>
      <c r="L2314" s="2">
        <v>116.2366</v>
      </c>
      <c r="M2314" s="1">
        <v>46121.324999999997</v>
      </c>
      <c r="N2314" t="s">
        <v>903</v>
      </c>
    </row>
    <row r="2315" spans="1:14" x14ac:dyDescent="0.25">
      <c r="A2315" s="9" t="s">
        <v>5211</v>
      </c>
      <c r="B2315" s="10">
        <v>634</v>
      </c>
      <c r="C2315" s="10" t="s">
        <v>323</v>
      </c>
      <c r="D2315" t="s">
        <v>462</v>
      </c>
      <c r="E2315" t="s">
        <v>463</v>
      </c>
      <c r="F2315" s="10" t="s">
        <v>29</v>
      </c>
      <c r="G2315" s="2">
        <v>30.223199999999999</v>
      </c>
      <c r="H2315" s="13">
        <v>2</v>
      </c>
      <c r="I2315" s="13">
        <v>0</v>
      </c>
      <c r="J2315" s="13">
        <v>0</v>
      </c>
      <c r="K2315" s="10">
        <v>2</v>
      </c>
      <c r="L2315" s="2">
        <v>60.446399999999997</v>
      </c>
      <c r="M2315" s="1">
        <v>46121.577777777777</v>
      </c>
      <c r="N2315" t="s">
        <v>40</v>
      </c>
    </row>
    <row r="2316" spans="1:14" x14ac:dyDescent="0.25">
      <c r="A2316" s="9" t="s">
        <v>5211</v>
      </c>
      <c r="B2316" s="10">
        <v>714</v>
      </c>
      <c r="C2316" s="10" t="s">
        <v>323</v>
      </c>
      <c r="D2316" t="s">
        <v>482</v>
      </c>
      <c r="E2316" t="s">
        <v>483</v>
      </c>
      <c r="F2316" s="10" t="s">
        <v>23</v>
      </c>
      <c r="G2316" s="2">
        <v>140.78139999999999</v>
      </c>
      <c r="H2316" s="13">
        <v>2</v>
      </c>
      <c r="I2316" s="13">
        <v>-1</v>
      </c>
      <c r="J2316" s="13">
        <v>1</v>
      </c>
      <c r="K2316" s="10">
        <v>2</v>
      </c>
      <c r="L2316" s="2">
        <v>281.56279999999998</v>
      </c>
      <c r="M2316" s="1">
        <v>46121.672222222223</v>
      </c>
      <c r="N2316" t="s">
        <v>1234</v>
      </c>
    </row>
    <row r="2317" spans="1:14" x14ac:dyDescent="0.25">
      <c r="A2317" s="9" t="s">
        <v>5211</v>
      </c>
      <c r="B2317" s="10">
        <v>714</v>
      </c>
      <c r="C2317" s="10" t="s">
        <v>323</v>
      </c>
      <c r="D2317" t="s">
        <v>4953</v>
      </c>
      <c r="E2317" t="s">
        <v>4954</v>
      </c>
      <c r="F2317" s="10" t="s">
        <v>158</v>
      </c>
      <c r="G2317" s="2">
        <v>163.18950000000001</v>
      </c>
      <c r="H2317" s="13">
        <v>2</v>
      </c>
      <c r="I2317" s="13">
        <v>14</v>
      </c>
      <c r="J2317" s="13">
        <v>-14</v>
      </c>
      <c r="K2317" s="10">
        <v>2</v>
      </c>
      <c r="L2317" s="2">
        <v>326.37900000000002</v>
      </c>
      <c r="M2317" s="1">
        <v>46122.433333333334</v>
      </c>
      <c r="N2317" t="s">
        <v>2225</v>
      </c>
    </row>
    <row r="2318" spans="1:14" x14ac:dyDescent="0.25">
      <c r="A2318" s="9" t="s">
        <v>5211</v>
      </c>
      <c r="B2318" s="10">
        <v>634</v>
      </c>
      <c r="C2318" s="10" t="s">
        <v>323</v>
      </c>
      <c r="D2318" t="s">
        <v>396</v>
      </c>
      <c r="E2318" t="s">
        <v>397</v>
      </c>
      <c r="F2318" s="10" t="s">
        <v>19</v>
      </c>
      <c r="G2318" s="2">
        <v>141.81020000000001</v>
      </c>
      <c r="H2318" s="13">
        <v>2</v>
      </c>
      <c r="I2318" s="13">
        <v>0</v>
      </c>
      <c r="J2318" s="13">
        <v>0</v>
      </c>
      <c r="K2318" s="10">
        <v>2</v>
      </c>
      <c r="L2318" s="2">
        <v>283.62040000000002</v>
      </c>
      <c r="M2318" s="1">
        <v>46122.515277777777</v>
      </c>
      <c r="N2318" t="s">
        <v>354</v>
      </c>
    </row>
    <row r="2319" spans="1:14" x14ac:dyDescent="0.25">
      <c r="A2319" s="9" t="s">
        <v>5211</v>
      </c>
      <c r="B2319" s="10">
        <v>714</v>
      </c>
      <c r="C2319" s="10" t="s">
        <v>323</v>
      </c>
      <c r="D2319" t="s">
        <v>4599</v>
      </c>
      <c r="E2319" t="s">
        <v>4600</v>
      </c>
      <c r="F2319" s="10" t="s">
        <v>29</v>
      </c>
      <c r="G2319" s="2">
        <v>116.2723</v>
      </c>
      <c r="H2319" s="13">
        <v>2</v>
      </c>
      <c r="I2319" s="13">
        <v>-4</v>
      </c>
      <c r="J2319" s="13">
        <v>4</v>
      </c>
      <c r="K2319" s="10">
        <v>2</v>
      </c>
      <c r="L2319" s="2">
        <v>232.5446</v>
      </c>
      <c r="M2319" s="1">
        <v>46125.352083333331</v>
      </c>
      <c r="N2319" t="s">
        <v>903</v>
      </c>
    </row>
    <row r="2320" spans="1:14" x14ac:dyDescent="0.25">
      <c r="A2320" s="9" t="s">
        <v>5211</v>
      </c>
      <c r="B2320" s="10">
        <v>636</v>
      </c>
      <c r="C2320" s="10" t="s">
        <v>323</v>
      </c>
      <c r="D2320" t="s">
        <v>1263</v>
      </c>
      <c r="E2320" t="s">
        <v>1264</v>
      </c>
      <c r="F2320" s="10" t="s">
        <v>19</v>
      </c>
      <c r="G2320" s="2">
        <v>201.3193</v>
      </c>
      <c r="H2320" s="13">
        <v>2</v>
      </c>
      <c r="I2320" s="13">
        <v>0</v>
      </c>
      <c r="J2320" s="13">
        <v>0</v>
      </c>
      <c r="K2320" s="10">
        <v>2</v>
      </c>
      <c r="L2320" s="2">
        <v>402.6386</v>
      </c>
      <c r="M2320" s="1">
        <v>46125.407638888886</v>
      </c>
      <c r="N2320" t="s">
        <v>295</v>
      </c>
    </row>
    <row r="2321" spans="1:14" x14ac:dyDescent="0.25">
      <c r="A2321" s="9" t="s">
        <v>5211</v>
      </c>
      <c r="B2321" s="10">
        <v>636</v>
      </c>
      <c r="C2321" s="10" t="s">
        <v>323</v>
      </c>
      <c r="D2321" t="s">
        <v>4663</v>
      </c>
      <c r="E2321" t="s">
        <v>4664</v>
      </c>
      <c r="F2321" s="10" t="s">
        <v>29</v>
      </c>
      <c r="G2321" s="2">
        <v>253.9341</v>
      </c>
      <c r="H2321" s="13">
        <v>2</v>
      </c>
      <c r="I2321" s="13">
        <v>9</v>
      </c>
      <c r="J2321" s="13">
        <v>-9</v>
      </c>
      <c r="K2321" s="10">
        <v>2</v>
      </c>
      <c r="L2321" s="2">
        <v>507.8682</v>
      </c>
      <c r="M2321" s="1">
        <v>46125.407638888886</v>
      </c>
      <c r="N2321" t="s">
        <v>295</v>
      </c>
    </row>
    <row r="2322" spans="1:14" x14ac:dyDescent="0.25">
      <c r="A2322" s="9" t="s">
        <v>5211</v>
      </c>
      <c r="B2322" s="10">
        <v>718</v>
      </c>
      <c r="C2322" s="10" t="s">
        <v>323</v>
      </c>
      <c r="D2322" t="s">
        <v>1401</v>
      </c>
      <c r="E2322" t="s">
        <v>1402</v>
      </c>
      <c r="F2322" s="10" t="s">
        <v>19</v>
      </c>
      <c r="G2322" s="2">
        <v>244</v>
      </c>
      <c r="H2322" s="13">
        <v>2</v>
      </c>
      <c r="I2322" s="13">
        <v>1</v>
      </c>
      <c r="J2322" s="13">
        <v>-1</v>
      </c>
      <c r="K2322" s="10">
        <v>2</v>
      </c>
      <c r="L2322" s="2">
        <v>488</v>
      </c>
      <c r="M2322" s="1">
        <v>46125.690972222219</v>
      </c>
      <c r="N2322" t="s">
        <v>2423</v>
      </c>
    </row>
    <row r="2323" spans="1:14" x14ac:dyDescent="0.25">
      <c r="A2323" s="9" t="s">
        <v>5211</v>
      </c>
      <c r="B2323" s="10">
        <v>714</v>
      </c>
      <c r="C2323" s="10" t="s">
        <v>323</v>
      </c>
      <c r="D2323" t="s">
        <v>3153</v>
      </c>
      <c r="E2323" t="s">
        <v>3154</v>
      </c>
      <c r="F2323" s="10" t="s">
        <v>29</v>
      </c>
      <c r="G2323" s="2">
        <v>207.78890000000001</v>
      </c>
      <c r="H2323" s="13">
        <v>2</v>
      </c>
      <c r="I2323" s="13">
        <v>0</v>
      </c>
      <c r="J2323" s="13">
        <v>0</v>
      </c>
      <c r="K2323" s="10">
        <v>2</v>
      </c>
      <c r="L2323" s="2">
        <v>415.57780000000002</v>
      </c>
      <c r="M2323" s="1">
        <v>46126.29791666667</v>
      </c>
      <c r="N2323" t="s">
        <v>2379</v>
      </c>
    </row>
    <row r="2324" spans="1:14" x14ac:dyDescent="0.25">
      <c r="A2324" s="9" t="s">
        <v>5211</v>
      </c>
      <c r="B2324" s="10">
        <v>714</v>
      </c>
      <c r="C2324" s="10" t="s">
        <v>143</v>
      </c>
      <c r="D2324" t="s">
        <v>1177</v>
      </c>
      <c r="E2324" t="s">
        <v>1178</v>
      </c>
      <c r="F2324" s="10" t="s">
        <v>19</v>
      </c>
      <c r="G2324" s="2">
        <v>100.7495</v>
      </c>
      <c r="H2324" s="13">
        <v>2</v>
      </c>
      <c r="I2324" s="13">
        <v>0</v>
      </c>
      <c r="J2324" s="13">
        <v>0</v>
      </c>
      <c r="K2324" s="10">
        <v>2</v>
      </c>
      <c r="L2324" s="2">
        <v>201.499</v>
      </c>
      <c r="M2324" s="1">
        <v>46126.649305555555</v>
      </c>
      <c r="N2324" t="s">
        <v>67</v>
      </c>
    </row>
    <row r="2325" spans="1:14" x14ac:dyDescent="0.25">
      <c r="A2325" s="9" t="s">
        <v>5211</v>
      </c>
      <c r="B2325" s="10">
        <v>714</v>
      </c>
      <c r="C2325" s="10" t="s">
        <v>143</v>
      </c>
      <c r="D2325" t="s">
        <v>2304</v>
      </c>
      <c r="E2325" t="s">
        <v>2305</v>
      </c>
      <c r="F2325" s="10" t="s">
        <v>29</v>
      </c>
      <c r="G2325" s="2">
        <v>82.711500000000001</v>
      </c>
      <c r="H2325" s="13">
        <v>2</v>
      </c>
      <c r="I2325" s="13">
        <v>1</v>
      </c>
      <c r="J2325" s="13">
        <v>-1</v>
      </c>
      <c r="K2325" s="10">
        <v>2</v>
      </c>
      <c r="L2325" s="2">
        <v>165.423</v>
      </c>
      <c r="M2325" s="1">
        <v>46126.649305555555</v>
      </c>
      <c r="N2325" t="s">
        <v>67</v>
      </c>
    </row>
    <row r="2326" spans="1:14" x14ac:dyDescent="0.25">
      <c r="A2326" s="9" t="s">
        <v>5211</v>
      </c>
      <c r="B2326" s="10">
        <v>714</v>
      </c>
      <c r="C2326" s="10" t="s">
        <v>12</v>
      </c>
      <c r="D2326" t="s">
        <v>4685</v>
      </c>
      <c r="E2326" t="s">
        <v>4686</v>
      </c>
      <c r="F2326" s="10" t="s">
        <v>23</v>
      </c>
      <c r="G2326" s="2">
        <v>31.666799999999999</v>
      </c>
      <c r="H2326" s="13">
        <v>2</v>
      </c>
      <c r="I2326" s="13">
        <v>3</v>
      </c>
      <c r="J2326" s="13">
        <v>-3</v>
      </c>
      <c r="K2326" s="10">
        <v>2</v>
      </c>
      <c r="L2326" s="2">
        <v>63.333599999999997</v>
      </c>
      <c r="M2326" s="1">
        <v>46126.649305555555</v>
      </c>
      <c r="N2326" t="s">
        <v>67</v>
      </c>
    </row>
    <row r="2327" spans="1:14" x14ac:dyDescent="0.25">
      <c r="A2327" s="9" t="s">
        <v>5211</v>
      </c>
      <c r="B2327" s="10">
        <v>634</v>
      </c>
      <c r="C2327" s="10" t="s">
        <v>143</v>
      </c>
      <c r="D2327" t="s">
        <v>181</v>
      </c>
      <c r="E2327" t="s">
        <v>182</v>
      </c>
      <c r="F2327" s="10" t="s">
        <v>23</v>
      </c>
      <c r="G2327" s="2">
        <v>46.491900000000001</v>
      </c>
      <c r="H2327" s="13">
        <v>2</v>
      </c>
      <c r="I2327" s="13">
        <v>0</v>
      </c>
      <c r="J2327" s="13">
        <v>0</v>
      </c>
      <c r="K2327" s="10">
        <v>2</v>
      </c>
      <c r="L2327" s="2">
        <v>92.983800000000002</v>
      </c>
      <c r="M2327" s="1">
        <v>46126.656944444447</v>
      </c>
      <c r="N2327" t="s">
        <v>26</v>
      </c>
    </row>
    <row r="2328" spans="1:14" x14ac:dyDescent="0.25">
      <c r="A2328" s="9" t="s">
        <v>5211</v>
      </c>
      <c r="B2328" s="10">
        <v>714</v>
      </c>
      <c r="C2328" s="10" t="s">
        <v>323</v>
      </c>
      <c r="D2328" t="s">
        <v>3460</v>
      </c>
      <c r="E2328" t="s">
        <v>3461</v>
      </c>
      <c r="F2328" s="10" t="s">
        <v>29</v>
      </c>
      <c r="G2328" s="2">
        <v>350.07420000000002</v>
      </c>
      <c r="H2328" s="13">
        <v>2</v>
      </c>
      <c r="I2328" s="13">
        <v>0</v>
      </c>
      <c r="J2328" s="13">
        <v>0</v>
      </c>
      <c r="K2328" s="10">
        <v>2</v>
      </c>
      <c r="L2328" s="2">
        <v>700.14840000000004</v>
      </c>
      <c r="M2328" s="1">
        <v>46126.695833333331</v>
      </c>
      <c r="N2328" t="s">
        <v>178</v>
      </c>
    </row>
    <row r="2329" spans="1:14" x14ac:dyDescent="0.25">
      <c r="A2329" s="9" t="s">
        <v>5211</v>
      </c>
      <c r="B2329" s="10">
        <v>714</v>
      </c>
      <c r="C2329" s="10" t="s">
        <v>323</v>
      </c>
      <c r="D2329" t="s">
        <v>4972</v>
      </c>
      <c r="E2329" t="s">
        <v>4973</v>
      </c>
      <c r="F2329" s="10" t="s">
        <v>158</v>
      </c>
      <c r="G2329" s="2">
        <v>408.54</v>
      </c>
      <c r="H2329" s="13">
        <v>2</v>
      </c>
      <c r="I2329" s="13">
        <v>0</v>
      </c>
      <c r="J2329" s="13">
        <v>0</v>
      </c>
      <c r="K2329" s="10">
        <v>2</v>
      </c>
      <c r="L2329" s="2">
        <v>817.08</v>
      </c>
      <c r="M2329" s="1">
        <v>46126.695833333331</v>
      </c>
      <c r="N2329" t="s">
        <v>178</v>
      </c>
    </row>
    <row r="2330" spans="1:14" x14ac:dyDescent="0.25">
      <c r="A2330" s="9" t="s">
        <v>5211</v>
      </c>
      <c r="B2330" s="10">
        <v>714</v>
      </c>
      <c r="C2330" s="10" t="s">
        <v>323</v>
      </c>
      <c r="D2330" t="s">
        <v>5007</v>
      </c>
      <c r="E2330" t="s">
        <v>5008</v>
      </c>
      <c r="F2330" s="10" t="s">
        <v>29</v>
      </c>
      <c r="G2330" s="2">
        <v>587.41250000000002</v>
      </c>
      <c r="H2330" s="13">
        <v>2</v>
      </c>
      <c r="I2330" s="13">
        <v>4</v>
      </c>
      <c r="J2330" s="13">
        <v>-4</v>
      </c>
      <c r="K2330" s="10">
        <v>2</v>
      </c>
      <c r="L2330" s="2">
        <v>1174.825</v>
      </c>
      <c r="M2330" s="1">
        <v>46126.695833333331</v>
      </c>
      <c r="N2330" t="s">
        <v>178</v>
      </c>
    </row>
    <row r="2331" spans="1:14" x14ac:dyDescent="0.25">
      <c r="A2331" s="9" t="s">
        <v>5211</v>
      </c>
      <c r="B2331" s="10">
        <v>714</v>
      </c>
      <c r="C2331" s="10" t="s">
        <v>323</v>
      </c>
      <c r="D2331" t="s">
        <v>3029</v>
      </c>
      <c r="E2331" t="s">
        <v>3030</v>
      </c>
      <c r="F2331" s="10" t="s">
        <v>29</v>
      </c>
      <c r="G2331" s="2">
        <v>383.404</v>
      </c>
      <c r="H2331" s="13">
        <v>2</v>
      </c>
      <c r="I2331" s="13">
        <v>0</v>
      </c>
      <c r="J2331" s="13">
        <v>0</v>
      </c>
      <c r="K2331" s="10">
        <v>2</v>
      </c>
      <c r="L2331" s="2">
        <v>766.80799999999999</v>
      </c>
      <c r="M2331" s="1">
        <v>46126.711805555555</v>
      </c>
      <c r="N2331" t="s">
        <v>178</v>
      </c>
    </row>
    <row r="2332" spans="1:14" x14ac:dyDescent="0.25">
      <c r="A2332" s="9" t="s">
        <v>5211</v>
      </c>
      <c r="B2332" s="10">
        <v>714</v>
      </c>
      <c r="C2332" s="10" t="s">
        <v>323</v>
      </c>
      <c r="D2332" t="s">
        <v>2840</v>
      </c>
      <c r="E2332" t="s">
        <v>2841</v>
      </c>
      <c r="F2332" s="10" t="s">
        <v>29</v>
      </c>
      <c r="G2332" s="2">
        <v>444.26179999999999</v>
      </c>
      <c r="H2332" s="13">
        <v>2</v>
      </c>
      <c r="I2332" s="13">
        <v>0</v>
      </c>
      <c r="J2332" s="13">
        <v>0</v>
      </c>
      <c r="K2332" s="10">
        <v>2</v>
      </c>
      <c r="L2332" s="2">
        <v>888.52359999999999</v>
      </c>
      <c r="M2332" s="1">
        <v>46126.711805555555</v>
      </c>
      <c r="N2332" t="s">
        <v>178</v>
      </c>
    </row>
    <row r="2333" spans="1:14" x14ac:dyDescent="0.25">
      <c r="A2333" s="9" t="s">
        <v>5211</v>
      </c>
      <c r="B2333" s="10">
        <v>718</v>
      </c>
      <c r="C2333" s="10" t="s">
        <v>323</v>
      </c>
      <c r="D2333" t="s">
        <v>3939</v>
      </c>
      <c r="E2333" t="s">
        <v>3940</v>
      </c>
      <c r="F2333" s="10" t="s">
        <v>112</v>
      </c>
      <c r="G2333" s="2">
        <v>34.172600000000003</v>
      </c>
      <c r="H2333" s="13">
        <v>2</v>
      </c>
      <c r="I2333" s="13">
        <v>0</v>
      </c>
      <c r="J2333" s="13">
        <v>0</v>
      </c>
      <c r="K2333" s="10">
        <v>2</v>
      </c>
      <c r="L2333" s="2">
        <v>68.345200000000006</v>
      </c>
      <c r="M2333" s="1">
        <v>46127.477777777778</v>
      </c>
      <c r="N2333" t="s">
        <v>878</v>
      </c>
    </row>
    <row r="2334" spans="1:14" x14ac:dyDescent="0.25">
      <c r="A2334" s="9" t="s">
        <v>5211</v>
      </c>
      <c r="B2334" s="10">
        <v>718</v>
      </c>
      <c r="C2334" s="10" t="s">
        <v>143</v>
      </c>
      <c r="D2334" t="s">
        <v>3818</v>
      </c>
      <c r="E2334" t="s">
        <v>3819</v>
      </c>
      <c r="F2334" s="10" t="s">
        <v>112</v>
      </c>
      <c r="G2334" s="2">
        <v>45.280900000000003</v>
      </c>
      <c r="H2334" s="13">
        <v>2</v>
      </c>
      <c r="I2334" s="13">
        <v>0</v>
      </c>
      <c r="J2334" s="13">
        <v>0</v>
      </c>
      <c r="K2334" s="10">
        <v>2</v>
      </c>
      <c r="L2334" s="2">
        <v>90.561800000000005</v>
      </c>
      <c r="M2334" s="1">
        <v>46127.664583333331</v>
      </c>
      <c r="N2334" t="s">
        <v>140</v>
      </c>
    </row>
    <row r="2335" spans="1:14" x14ac:dyDescent="0.25">
      <c r="A2335" s="9" t="s">
        <v>5211</v>
      </c>
      <c r="B2335" s="10">
        <v>718</v>
      </c>
      <c r="C2335" s="10" t="s">
        <v>143</v>
      </c>
      <c r="D2335" t="s">
        <v>3806</v>
      </c>
      <c r="E2335" t="s">
        <v>3807</v>
      </c>
      <c r="F2335" s="10" t="s">
        <v>23</v>
      </c>
      <c r="G2335" s="2">
        <v>15.9947</v>
      </c>
      <c r="H2335" s="13">
        <v>2</v>
      </c>
      <c r="I2335" s="13">
        <v>0</v>
      </c>
      <c r="J2335" s="13">
        <v>0</v>
      </c>
      <c r="K2335" s="10">
        <v>2</v>
      </c>
      <c r="L2335" s="2">
        <v>31.9894</v>
      </c>
      <c r="M2335" s="1">
        <v>46127.664583333331</v>
      </c>
      <c r="N2335" t="s">
        <v>140</v>
      </c>
    </row>
    <row r="2336" spans="1:14" x14ac:dyDescent="0.25">
      <c r="A2336" s="9" t="s">
        <v>5211</v>
      </c>
      <c r="B2336" s="10">
        <v>714</v>
      </c>
      <c r="C2336" s="10" t="s">
        <v>323</v>
      </c>
      <c r="D2336" t="s">
        <v>5101</v>
      </c>
      <c r="E2336" t="s">
        <v>5102</v>
      </c>
      <c r="F2336" s="10" t="s">
        <v>29</v>
      </c>
      <c r="G2336" s="2">
        <v>190.47630000000001</v>
      </c>
      <c r="H2336" s="13">
        <v>2</v>
      </c>
      <c r="I2336" s="13">
        <v>2</v>
      </c>
      <c r="J2336" s="13">
        <v>-2</v>
      </c>
      <c r="K2336" s="10">
        <v>2</v>
      </c>
      <c r="L2336" s="2">
        <v>380.95260000000002</v>
      </c>
      <c r="M2336" s="1">
        <v>46127.706250000003</v>
      </c>
      <c r="N2336" t="s">
        <v>1229</v>
      </c>
    </row>
    <row r="2337" spans="1:14" x14ac:dyDescent="0.25">
      <c r="A2337" s="9" t="s">
        <v>5211</v>
      </c>
      <c r="B2337" s="10">
        <v>636</v>
      </c>
      <c r="C2337" s="10" t="s">
        <v>323</v>
      </c>
      <c r="D2337" t="s">
        <v>1733</v>
      </c>
      <c r="E2337" t="s">
        <v>1734</v>
      </c>
      <c r="F2337" s="10" t="s">
        <v>29</v>
      </c>
      <c r="G2337" s="2">
        <v>636.71479999999997</v>
      </c>
      <c r="H2337" s="13">
        <v>2</v>
      </c>
      <c r="I2337" s="13">
        <v>0</v>
      </c>
      <c r="J2337" s="13">
        <v>0</v>
      </c>
      <c r="K2337" s="10">
        <v>2</v>
      </c>
      <c r="L2337" s="2">
        <v>1273.4295999999999</v>
      </c>
      <c r="M2337" s="1">
        <v>46128.310416666667</v>
      </c>
      <c r="N2337" t="s">
        <v>178</v>
      </c>
    </row>
    <row r="2338" spans="1:14" x14ac:dyDescent="0.25">
      <c r="A2338" s="9" t="s">
        <v>5211</v>
      </c>
      <c r="B2338" s="10">
        <v>636</v>
      </c>
      <c r="C2338" s="10" t="s">
        <v>323</v>
      </c>
      <c r="D2338" t="s">
        <v>1265</v>
      </c>
      <c r="E2338" t="s">
        <v>1266</v>
      </c>
      <c r="F2338" s="10" t="s">
        <v>29</v>
      </c>
      <c r="G2338" s="2">
        <v>262.86399999999998</v>
      </c>
      <c r="H2338" s="13">
        <v>2</v>
      </c>
      <c r="I2338" s="13">
        <v>0</v>
      </c>
      <c r="J2338" s="13">
        <v>0</v>
      </c>
      <c r="K2338" s="10">
        <v>2</v>
      </c>
      <c r="L2338" s="2">
        <v>525.72799999999995</v>
      </c>
      <c r="M2338" s="1">
        <v>46128.310416666667</v>
      </c>
      <c r="N2338" t="s">
        <v>178</v>
      </c>
    </row>
    <row r="2339" spans="1:14" x14ac:dyDescent="0.25">
      <c r="A2339" s="9" t="s">
        <v>5211</v>
      </c>
      <c r="B2339" s="10">
        <v>636</v>
      </c>
      <c r="C2339" s="10" t="s">
        <v>323</v>
      </c>
      <c r="D2339" t="s">
        <v>1612</v>
      </c>
      <c r="E2339" t="s">
        <v>1613</v>
      </c>
      <c r="F2339" s="10" t="s">
        <v>29</v>
      </c>
      <c r="G2339" s="2">
        <v>297.91250000000002</v>
      </c>
      <c r="H2339" s="13">
        <v>2</v>
      </c>
      <c r="I2339" s="13">
        <v>0</v>
      </c>
      <c r="J2339" s="13">
        <v>0</v>
      </c>
      <c r="K2339" s="10">
        <v>2</v>
      </c>
      <c r="L2339" s="2">
        <v>595.82500000000005</v>
      </c>
      <c r="M2339" s="1">
        <v>46128.310416666667</v>
      </c>
      <c r="N2339" t="s">
        <v>178</v>
      </c>
    </row>
    <row r="2340" spans="1:14" x14ac:dyDescent="0.25">
      <c r="A2340" s="9" t="s">
        <v>5211</v>
      </c>
      <c r="B2340" s="10">
        <v>634</v>
      </c>
      <c r="C2340" s="10" t="s">
        <v>143</v>
      </c>
      <c r="D2340" t="s">
        <v>4184</v>
      </c>
      <c r="E2340" t="s">
        <v>4185</v>
      </c>
      <c r="F2340" s="10" t="s">
        <v>39</v>
      </c>
      <c r="G2340" s="2">
        <v>14.8581</v>
      </c>
      <c r="H2340" s="13">
        <v>2</v>
      </c>
      <c r="I2340" s="13">
        <v>21</v>
      </c>
      <c r="J2340" s="13">
        <v>-21</v>
      </c>
      <c r="K2340" s="10">
        <v>2</v>
      </c>
      <c r="L2340" s="2">
        <v>29.716200000000001</v>
      </c>
      <c r="M2340" s="1">
        <v>46128.40347222222</v>
      </c>
      <c r="N2340" t="s">
        <v>40</v>
      </c>
    </row>
    <row r="2341" spans="1:14" x14ac:dyDescent="0.25">
      <c r="A2341" s="9" t="s">
        <v>5211</v>
      </c>
      <c r="B2341" s="10">
        <v>634</v>
      </c>
      <c r="C2341" s="10" t="s">
        <v>143</v>
      </c>
      <c r="D2341" t="s">
        <v>4078</v>
      </c>
      <c r="E2341" t="s">
        <v>4079</v>
      </c>
      <c r="F2341" s="10" t="s">
        <v>158</v>
      </c>
      <c r="G2341" s="2">
        <v>80.592500000000001</v>
      </c>
      <c r="H2341" s="13">
        <v>2</v>
      </c>
      <c r="I2341" s="13">
        <v>45</v>
      </c>
      <c r="J2341" s="13">
        <v>-45</v>
      </c>
      <c r="K2341" s="10">
        <v>2</v>
      </c>
      <c r="L2341" s="2">
        <v>161.185</v>
      </c>
      <c r="M2341" s="1">
        <v>46128.623611111114</v>
      </c>
      <c r="N2341" t="s">
        <v>175</v>
      </c>
    </row>
    <row r="2342" spans="1:14" x14ac:dyDescent="0.25">
      <c r="A2342" s="9" t="s">
        <v>5211</v>
      </c>
      <c r="B2342" s="10">
        <v>718</v>
      </c>
      <c r="C2342" s="10" t="s">
        <v>323</v>
      </c>
      <c r="D2342" t="s">
        <v>3964</v>
      </c>
      <c r="E2342" t="s">
        <v>3965</v>
      </c>
      <c r="F2342" s="10" t="s">
        <v>29</v>
      </c>
      <c r="G2342" s="2">
        <v>374.46679999999998</v>
      </c>
      <c r="H2342" s="13">
        <v>2</v>
      </c>
      <c r="I2342" s="13">
        <v>0</v>
      </c>
      <c r="J2342" s="13">
        <v>0</v>
      </c>
      <c r="K2342" s="10">
        <v>2</v>
      </c>
      <c r="L2342" s="2">
        <v>748.93359999999996</v>
      </c>
      <c r="M2342" s="1">
        <v>46128.680555555555</v>
      </c>
      <c r="N2342" t="s">
        <v>178</v>
      </c>
    </row>
    <row r="2343" spans="1:14" x14ac:dyDescent="0.25">
      <c r="A2343" s="9" t="s">
        <v>5211</v>
      </c>
      <c r="B2343" s="10">
        <v>718</v>
      </c>
      <c r="C2343" s="10" t="s">
        <v>323</v>
      </c>
      <c r="D2343" t="s">
        <v>3887</v>
      </c>
      <c r="E2343" t="s">
        <v>3888</v>
      </c>
      <c r="F2343" s="10" t="s">
        <v>29</v>
      </c>
      <c r="G2343" s="2">
        <v>422.01819999999998</v>
      </c>
      <c r="H2343" s="13">
        <v>2</v>
      </c>
      <c r="I2343" s="13">
        <v>0</v>
      </c>
      <c r="J2343" s="13">
        <v>0</v>
      </c>
      <c r="K2343" s="10">
        <v>2</v>
      </c>
      <c r="L2343" s="2">
        <v>844.03639999999996</v>
      </c>
      <c r="M2343" s="1">
        <v>46128.680555555555</v>
      </c>
      <c r="N2343" t="s">
        <v>178</v>
      </c>
    </row>
    <row r="2344" spans="1:14" x14ac:dyDescent="0.25">
      <c r="A2344" s="9" t="s">
        <v>5211</v>
      </c>
      <c r="B2344" s="10">
        <v>718</v>
      </c>
      <c r="C2344" s="10" t="s">
        <v>143</v>
      </c>
      <c r="D2344" t="s">
        <v>1204</v>
      </c>
      <c r="E2344" t="s">
        <v>1205</v>
      </c>
      <c r="F2344" s="10" t="s">
        <v>29</v>
      </c>
      <c r="G2344" s="2">
        <v>279.36410000000001</v>
      </c>
      <c r="H2344" s="13">
        <v>2</v>
      </c>
      <c r="I2344" s="13">
        <v>0</v>
      </c>
      <c r="J2344" s="13">
        <v>0</v>
      </c>
      <c r="K2344" s="10">
        <v>2</v>
      </c>
      <c r="L2344" s="2">
        <v>558.72820000000002</v>
      </c>
      <c r="M2344" s="1">
        <v>46128.680555555555</v>
      </c>
      <c r="N2344" t="s">
        <v>178</v>
      </c>
    </row>
    <row r="2345" spans="1:14" x14ac:dyDescent="0.25">
      <c r="A2345" s="9" t="s">
        <v>5211</v>
      </c>
      <c r="B2345" s="10">
        <v>636</v>
      </c>
      <c r="C2345" s="10" t="s">
        <v>143</v>
      </c>
      <c r="D2345" t="s">
        <v>904</v>
      </c>
      <c r="E2345" t="s">
        <v>905</v>
      </c>
      <c r="F2345" s="10" t="s">
        <v>29</v>
      </c>
      <c r="G2345" s="2">
        <v>26.1158</v>
      </c>
      <c r="H2345" s="13">
        <v>2</v>
      </c>
      <c r="I2345" s="13">
        <v>0</v>
      </c>
      <c r="J2345" s="13">
        <v>0</v>
      </c>
      <c r="K2345" s="10">
        <v>2</v>
      </c>
      <c r="L2345" s="2">
        <v>52.2316</v>
      </c>
      <c r="M2345" s="1">
        <v>46129.474999999999</v>
      </c>
      <c r="N2345" t="s">
        <v>40</v>
      </c>
    </row>
    <row r="2346" spans="1:14" x14ac:dyDescent="0.25">
      <c r="A2346" s="9" t="s">
        <v>5211</v>
      </c>
      <c r="B2346" s="10">
        <v>636</v>
      </c>
      <c r="C2346" s="10" t="s">
        <v>323</v>
      </c>
      <c r="D2346" t="s">
        <v>1598</v>
      </c>
      <c r="E2346" t="s">
        <v>1599</v>
      </c>
      <c r="F2346" s="10" t="s">
        <v>19</v>
      </c>
      <c r="G2346" s="2">
        <v>483.39159999999998</v>
      </c>
      <c r="H2346" s="13">
        <v>2</v>
      </c>
      <c r="I2346" s="13">
        <v>0</v>
      </c>
      <c r="J2346" s="13">
        <v>0</v>
      </c>
      <c r="K2346" s="10">
        <v>2</v>
      </c>
      <c r="L2346" s="2">
        <v>966.78319999999997</v>
      </c>
      <c r="M2346" s="1">
        <v>46132.304166666669</v>
      </c>
      <c r="N2346" t="s">
        <v>178</v>
      </c>
    </row>
    <row r="2347" spans="1:14" x14ac:dyDescent="0.25">
      <c r="A2347" s="9" t="s">
        <v>5211</v>
      </c>
      <c r="B2347" s="10">
        <v>636</v>
      </c>
      <c r="C2347" s="10" t="s">
        <v>143</v>
      </c>
      <c r="D2347" t="s">
        <v>928</v>
      </c>
      <c r="E2347" t="s">
        <v>929</v>
      </c>
      <c r="F2347" s="10" t="s">
        <v>29</v>
      </c>
      <c r="G2347" s="2">
        <v>378.55970000000002</v>
      </c>
      <c r="H2347" s="13">
        <v>2</v>
      </c>
      <c r="I2347" s="13">
        <v>0</v>
      </c>
      <c r="J2347" s="13">
        <v>0</v>
      </c>
      <c r="K2347" s="10">
        <v>2</v>
      </c>
      <c r="L2347" s="2">
        <v>757.11940000000004</v>
      </c>
      <c r="M2347" s="1">
        <v>46132.304166666669</v>
      </c>
      <c r="N2347" t="s">
        <v>178</v>
      </c>
    </row>
    <row r="2348" spans="1:14" x14ac:dyDescent="0.25">
      <c r="A2348" s="9" t="s">
        <v>5211</v>
      </c>
      <c r="B2348" s="10">
        <v>714</v>
      </c>
      <c r="C2348" s="10" t="s">
        <v>323</v>
      </c>
      <c r="D2348" t="s">
        <v>2890</v>
      </c>
      <c r="E2348" t="s">
        <v>2891</v>
      </c>
      <c r="F2348" s="10" t="s">
        <v>19</v>
      </c>
      <c r="G2348" s="2">
        <v>244.74780000000001</v>
      </c>
      <c r="H2348" s="13">
        <v>2</v>
      </c>
      <c r="I2348" s="13">
        <v>0</v>
      </c>
      <c r="J2348" s="13">
        <v>0</v>
      </c>
      <c r="K2348" s="10">
        <v>2</v>
      </c>
      <c r="L2348" s="2">
        <v>489.49560000000002</v>
      </c>
      <c r="M2348" s="1">
        <v>46132.39166666667</v>
      </c>
      <c r="N2348" t="s">
        <v>2423</v>
      </c>
    </row>
    <row r="2349" spans="1:14" x14ac:dyDescent="0.25">
      <c r="A2349" s="9" t="s">
        <v>5211</v>
      </c>
      <c r="B2349" s="10">
        <v>714</v>
      </c>
      <c r="C2349" s="10" t="s">
        <v>323</v>
      </c>
      <c r="D2349" t="s">
        <v>1401</v>
      </c>
      <c r="E2349" t="s">
        <v>1402</v>
      </c>
      <c r="F2349" s="10" t="s">
        <v>158</v>
      </c>
      <c r="G2349" s="2">
        <v>228.38929999999999</v>
      </c>
      <c r="H2349" s="13">
        <v>2</v>
      </c>
      <c r="I2349" s="13">
        <v>1</v>
      </c>
      <c r="J2349" s="13">
        <v>-1</v>
      </c>
      <c r="K2349" s="10">
        <v>2</v>
      </c>
      <c r="L2349" s="2">
        <v>456.77859999999998</v>
      </c>
      <c r="M2349" s="1">
        <v>46132.39166666667</v>
      </c>
      <c r="N2349" t="s">
        <v>2423</v>
      </c>
    </row>
    <row r="2350" spans="1:14" x14ac:dyDescent="0.25">
      <c r="A2350" s="9" t="s">
        <v>5211</v>
      </c>
      <c r="B2350" s="10">
        <v>718</v>
      </c>
      <c r="C2350" s="10" t="s">
        <v>143</v>
      </c>
      <c r="D2350" t="s">
        <v>4841</v>
      </c>
      <c r="E2350" t="s">
        <v>4842</v>
      </c>
      <c r="F2350" s="10" t="s">
        <v>23</v>
      </c>
      <c r="G2350" s="2">
        <v>55.698599999999999</v>
      </c>
      <c r="H2350" s="13">
        <v>2</v>
      </c>
      <c r="I2350" s="13">
        <v>1</v>
      </c>
      <c r="J2350" s="13">
        <v>-1</v>
      </c>
      <c r="K2350" s="10">
        <v>2</v>
      </c>
      <c r="L2350" s="2">
        <v>111.3972</v>
      </c>
      <c r="M2350" s="1">
        <v>46132.583333333336</v>
      </c>
      <c r="N2350" t="s">
        <v>1535</v>
      </c>
    </row>
    <row r="2351" spans="1:14" x14ac:dyDescent="0.25">
      <c r="A2351" s="9" t="s">
        <v>5211</v>
      </c>
      <c r="B2351" s="10">
        <v>636</v>
      </c>
      <c r="C2351" s="10" t="s">
        <v>143</v>
      </c>
      <c r="D2351" t="s">
        <v>1196</v>
      </c>
      <c r="E2351" t="s">
        <v>1197</v>
      </c>
      <c r="F2351" s="10" t="s">
        <v>158</v>
      </c>
      <c r="G2351" s="2">
        <v>182.95840000000001</v>
      </c>
      <c r="H2351" s="13">
        <v>2</v>
      </c>
      <c r="I2351" s="13">
        <v>0</v>
      </c>
      <c r="J2351" s="13">
        <v>0</v>
      </c>
      <c r="K2351" s="10">
        <v>2</v>
      </c>
      <c r="L2351" s="2">
        <v>365.91680000000002</v>
      </c>
      <c r="M2351" s="1">
        <v>46133.45</v>
      </c>
      <c r="N2351" t="s">
        <v>137</v>
      </c>
    </row>
    <row r="2352" spans="1:14" x14ac:dyDescent="0.25">
      <c r="A2352" s="9" t="s">
        <v>5211</v>
      </c>
      <c r="B2352" s="10">
        <v>636</v>
      </c>
      <c r="C2352" s="10" t="s">
        <v>126</v>
      </c>
      <c r="D2352" t="s">
        <v>4062</v>
      </c>
      <c r="E2352" t="s">
        <v>4063</v>
      </c>
      <c r="F2352" s="10" t="s">
        <v>23</v>
      </c>
      <c r="G2352" s="2">
        <v>15.0197</v>
      </c>
      <c r="H2352" s="13">
        <v>2</v>
      </c>
      <c r="I2352" s="13">
        <v>3</v>
      </c>
      <c r="J2352" s="13">
        <v>-3</v>
      </c>
      <c r="K2352" s="10">
        <v>2</v>
      </c>
      <c r="L2352" s="2">
        <v>30.039400000000001</v>
      </c>
      <c r="M2352" s="1">
        <v>46134.359722222223</v>
      </c>
      <c r="N2352" t="s">
        <v>140</v>
      </c>
    </row>
    <row r="2353" spans="1:14" x14ac:dyDescent="0.25">
      <c r="A2353" s="9" t="s">
        <v>5211</v>
      </c>
      <c r="B2353" s="10">
        <v>636</v>
      </c>
      <c r="C2353" s="10" t="s">
        <v>858</v>
      </c>
      <c r="D2353" t="s">
        <v>859</v>
      </c>
      <c r="E2353" t="s">
        <v>860</v>
      </c>
      <c r="F2353" s="10" t="s">
        <v>29</v>
      </c>
      <c r="G2353" s="2">
        <v>0</v>
      </c>
      <c r="H2353" s="13">
        <v>2</v>
      </c>
      <c r="I2353" s="13">
        <v>0</v>
      </c>
      <c r="J2353" s="13">
        <v>0</v>
      </c>
      <c r="K2353" s="10">
        <v>2</v>
      </c>
      <c r="L2353" s="2">
        <v>0</v>
      </c>
      <c r="M2353" s="1">
        <v>46134.359722222223</v>
      </c>
      <c r="N2353" t="s">
        <v>140</v>
      </c>
    </row>
    <row r="2354" spans="1:14" x14ac:dyDescent="0.25">
      <c r="A2354" s="9" t="s">
        <v>5211</v>
      </c>
      <c r="B2354" s="10">
        <v>718</v>
      </c>
      <c r="C2354" s="10" t="s">
        <v>323</v>
      </c>
      <c r="D2354" t="s">
        <v>3022</v>
      </c>
      <c r="E2354" t="s">
        <v>3023</v>
      </c>
      <c r="F2354" s="10" t="s">
        <v>19</v>
      </c>
      <c r="G2354" s="2">
        <v>154.81120000000001</v>
      </c>
      <c r="H2354" s="13">
        <v>2</v>
      </c>
      <c r="I2354" s="13">
        <v>0</v>
      </c>
      <c r="J2354" s="13">
        <v>0</v>
      </c>
      <c r="K2354" s="10">
        <v>2</v>
      </c>
      <c r="L2354" s="2">
        <v>309.62240000000003</v>
      </c>
      <c r="M2354" s="1">
        <v>46134.417361111111</v>
      </c>
      <c r="N2354" t="s">
        <v>3024</v>
      </c>
    </row>
    <row r="2355" spans="1:14" x14ac:dyDescent="0.25">
      <c r="A2355" s="9" t="s">
        <v>5211</v>
      </c>
      <c r="B2355" s="10">
        <v>718</v>
      </c>
      <c r="C2355" s="10" t="s">
        <v>323</v>
      </c>
      <c r="D2355" t="s">
        <v>3925</v>
      </c>
      <c r="E2355" t="s">
        <v>3926</v>
      </c>
      <c r="F2355" s="10" t="s">
        <v>23</v>
      </c>
      <c r="G2355" s="2">
        <v>249.04409999999999</v>
      </c>
      <c r="H2355" s="13">
        <v>2</v>
      </c>
      <c r="I2355" s="13">
        <v>0</v>
      </c>
      <c r="J2355" s="13">
        <v>0</v>
      </c>
      <c r="K2355" s="10">
        <v>2</v>
      </c>
      <c r="L2355" s="2">
        <v>498.08819999999997</v>
      </c>
      <c r="M2355" s="1">
        <v>46134.417361111111</v>
      </c>
      <c r="N2355" t="s">
        <v>3024</v>
      </c>
    </row>
    <row r="2356" spans="1:14" x14ac:dyDescent="0.25">
      <c r="A2356" s="9" t="s">
        <v>5211</v>
      </c>
      <c r="B2356" s="10">
        <v>718</v>
      </c>
      <c r="C2356" s="10" t="s">
        <v>143</v>
      </c>
      <c r="D2356" t="s">
        <v>4781</v>
      </c>
      <c r="E2356" t="s">
        <v>4782</v>
      </c>
      <c r="F2356" s="10" t="s">
        <v>39</v>
      </c>
      <c r="G2356" s="2">
        <v>47.385899999999999</v>
      </c>
      <c r="H2356" s="13">
        <v>2</v>
      </c>
      <c r="I2356" s="13">
        <v>3</v>
      </c>
      <c r="J2356" s="13">
        <v>-3</v>
      </c>
      <c r="K2356" s="10">
        <v>2</v>
      </c>
      <c r="L2356" s="2">
        <v>94.771799999999999</v>
      </c>
      <c r="M2356" s="1">
        <v>46134.458333333336</v>
      </c>
      <c r="N2356" t="s">
        <v>195</v>
      </c>
    </row>
    <row r="2357" spans="1:14" x14ac:dyDescent="0.25">
      <c r="A2357" s="9" t="s">
        <v>5211</v>
      </c>
      <c r="B2357" s="10">
        <v>634</v>
      </c>
      <c r="C2357" s="10" t="s">
        <v>143</v>
      </c>
      <c r="D2357" t="s">
        <v>4072</v>
      </c>
      <c r="E2357" t="s">
        <v>4073</v>
      </c>
      <c r="F2357" s="10" t="s">
        <v>23</v>
      </c>
      <c r="G2357" s="2">
        <v>28.853000000000002</v>
      </c>
      <c r="H2357" s="13">
        <v>2</v>
      </c>
      <c r="I2357" s="13">
        <v>2</v>
      </c>
      <c r="J2357" s="13">
        <v>-2</v>
      </c>
      <c r="K2357" s="10">
        <v>2</v>
      </c>
      <c r="L2357" s="2">
        <v>57.706000000000003</v>
      </c>
      <c r="M2357" s="1">
        <v>46134.53125</v>
      </c>
      <c r="N2357" t="s">
        <v>40</v>
      </c>
    </row>
    <row r="2358" spans="1:14" x14ac:dyDescent="0.25">
      <c r="A2358" s="9" t="s">
        <v>5211</v>
      </c>
      <c r="B2358" s="10">
        <v>634</v>
      </c>
      <c r="C2358" s="10" t="s">
        <v>143</v>
      </c>
      <c r="D2358" t="s">
        <v>198</v>
      </c>
      <c r="E2358" t="s">
        <v>199</v>
      </c>
      <c r="F2358" s="10" t="s">
        <v>29</v>
      </c>
      <c r="G2358" s="2">
        <v>19.984100000000002</v>
      </c>
      <c r="H2358" s="13">
        <v>2</v>
      </c>
      <c r="I2358" s="13">
        <v>0</v>
      </c>
      <c r="J2358" s="13">
        <v>0</v>
      </c>
      <c r="K2358" s="10">
        <v>2</v>
      </c>
      <c r="L2358" s="2">
        <v>39.968200000000003</v>
      </c>
      <c r="M2358" s="1">
        <v>46134.53125</v>
      </c>
      <c r="N2358" t="s">
        <v>40</v>
      </c>
    </row>
    <row r="2359" spans="1:14" x14ac:dyDescent="0.25">
      <c r="A2359" s="9" t="s">
        <v>5211</v>
      </c>
      <c r="B2359" s="10">
        <v>634</v>
      </c>
      <c r="C2359" s="10" t="s">
        <v>143</v>
      </c>
      <c r="D2359" t="s">
        <v>204</v>
      </c>
      <c r="E2359" t="s">
        <v>205</v>
      </c>
      <c r="F2359" s="10" t="s">
        <v>29</v>
      </c>
      <c r="G2359" s="2">
        <v>25.265599999999999</v>
      </c>
      <c r="H2359" s="13">
        <v>2</v>
      </c>
      <c r="I2359" s="13">
        <v>0</v>
      </c>
      <c r="J2359" s="13">
        <v>0</v>
      </c>
      <c r="K2359" s="10">
        <v>2</v>
      </c>
      <c r="L2359" s="2">
        <v>50.531199999999998</v>
      </c>
      <c r="M2359" s="1">
        <v>46134.53125</v>
      </c>
      <c r="N2359" t="s">
        <v>40</v>
      </c>
    </row>
    <row r="2360" spans="1:14" x14ac:dyDescent="0.25">
      <c r="A2360" s="9" t="s">
        <v>5211</v>
      </c>
      <c r="B2360" s="10">
        <v>718</v>
      </c>
      <c r="C2360" s="10" t="s">
        <v>323</v>
      </c>
      <c r="D2360" t="s">
        <v>3960</v>
      </c>
      <c r="E2360" t="s">
        <v>3961</v>
      </c>
      <c r="F2360" s="10" t="s">
        <v>19</v>
      </c>
      <c r="G2360" s="2">
        <v>126.199</v>
      </c>
      <c r="H2360" s="13">
        <v>2</v>
      </c>
      <c r="I2360" s="13">
        <v>0</v>
      </c>
      <c r="J2360" s="13">
        <v>0</v>
      </c>
      <c r="K2360" s="10">
        <v>2</v>
      </c>
      <c r="L2360" s="2">
        <v>252.398</v>
      </c>
      <c r="M2360" s="1">
        <v>46135.509027777778</v>
      </c>
      <c r="N2360" t="s">
        <v>2423</v>
      </c>
    </row>
    <row r="2361" spans="1:14" x14ac:dyDescent="0.25">
      <c r="A2361" s="9" t="s">
        <v>5211</v>
      </c>
      <c r="B2361" s="10">
        <v>636</v>
      </c>
      <c r="C2361" s="10" t="s">
        <v>143</v>
      </c>
      <c r="D2361" t="s">
        <v>4533</v>
      </c>
      <c r="E2361" t="s">
        <v>4534</v>
      </c>
      <c r="F2361" s="10" t="s">
        <v>43</v>
      </c>
      <c r="G2361" s="2">
        <v>150.4032</v>
      </c>
      <c r="H2361" s="13">
        <v>2</v>
      </c>
      <c r="I2361" s="13">
        <v>0</v>
      </c>
      <c r="J2361" s="13">
        <v>0</v>
      </c>
      <c r="K2361" s="10">
        <v>2</v>
      </c>
      <c r="L2361" s="2">
        <v>300.8064</v>
      </c>
      <c r="M2361" s="1">
        <v>46135.534722222219</v>
      </c>
      <c r="N2361" t="s">
        <v>1179</v>
      </c>
    </row>
    <row r="2362" spans="1:14" x14ac:dyDescent="0.25">
      <c r="A2362" s="9" t="s">
        <v>5211</v>
      </c>
      <c r="B2362" s="10">
        <v>636</v>
      </c>
      <c r="C2362" s="10" t="s">
        <v>143</v>
      </c>
      <c r="D2362" t="s">
        <v>1019</v>
      </c>
      <c r="E2362" t="s">
        <v>1020</v>
      </c>
      <c r="F2362" s="10" t="s">
        <v>39</v>
      </c>
      <c r="G2362" s="2">
        <v>21.125499999999999</v>
      </c>
      <c r="H2362" s="13">
        <v>2</v>
      </c>
      <c r="I2362" s="13">
        <v>0</v>
      </c>
      <c r="J2362" s="13">
        <v>0</v>
      </c>
      <c r="K2362" s="10">
        <v>2</v>
      </c>
      <c r="L2362" s="2">
        <v>42.250999999999998</v>
      </c>
      <c r="M2362" s="1">
        <v>46135.595833333333</v>
      </c>
      <c r="N2362" t="s">
        <v>599</v>
      </c>
    </row>
    <row r="2363" spans="1:14" x14ac:dyDescent="0.25">
      <c r="A2363" s="9" t="s">
        <v>5211</v>
      </c>
      <c r="B2363" s="10">
        <v>718</v>
      </c>
      <c r="C2363" s="10" t="s">
        <v>323</v>
      </c>
      <c r="D2363" t="s">
        <v>5208</v>
      </c>
      <c r="E2363" t="s">
        <v>5209</v>
      </c>
      <c r="F2363" s="10" t="s">
        <v>19</v>
      </c>
      <c r="G2363" s="2">
        <v>160.88679999999999</v>
      </c>
      <c r="H2363" s="13">
        <v>2</v>
      </c>
      <c r="I2363" s="13">
        <v>0</v>
      </c>
      <c r="J2363" s="13">
        <v>0</v>
      </c>
      <c r="K2363" s="10">
        <v>2</v>
      </c>
      <c r="L2363" s="2">
        <v>321.77359999999999</v>
      </c>
      <c r="M2363" s="1">
        <v>46136.458333333336</v>
      </c>
      <c r="N2363" t="s">
        <v>1234</v>
      </c>
    </row>
    <row r="2364" spans="1:14" x14ac:dyDescent="0.25">
      <c r="A2364" s="9" t="s">
        <v>5211</v>
      </c>
      <c r="B2364" s="10">
        <v>636</v>
      </c>
      <c r="C2364" s="10" t="s">
        <v>70</v>
      </c>
      <c r="D2364" t="s">
        <v>577</v>
      </c>
      <c r="E2364" t="s">
        <v>578</v>
      </c>
      <c r="F2364" s="10" t="s">
        <v>39</v>
      </c>
      <c r="G2364" s="2">
        <v>5.6195000000000004</v>
      </c>
      <c r="H2364" s="13">
        <v>2</v>
      </c>
      <c r="I2364" s="13">
        <v>0</v>
      </c>
      <c r="J2364" s="13">
        <v>0</v>
      </c>
      <c r="K2364" s="10">
        <v>2</v>
      </c>
      <c r="L2364" s="2">
        <v>11.239000000000001</v>
      </c>
      <c r="M2364" s="1">
        <v>46136.597916666666</v>
      </c>
      <c r="N2364" t="s">
        <v>40</v>
      </c>
    </row>
    <row r="2365" spans="1:14" x14ac:dyDescent="0.25">
      <c r="A2365" s="9" t="s">
        <v>5211</v>
      </c>
      <c r="B2365" s="10">
        <v>714</v>
      </c>
      <c r="C2365" s="10" t="s">
        <v>323</v>
      </c>
      <c r="D2365" t="s">
        <v>3351</v>
      </c>
      <c r="E2365" t="s">
        <v>3352</v>
      </c>
      <c r="F2365" s="10" t="s">
        <v>158</v>
      </c>
      <c r="G2365" s="2">
        <v>207.79249999999999</v>
      </c>
      <c r="H2365" s="13">
        <v>2</v>
      </c>
      <c r="I2365" s="13">
        <v>0</v>
      </c>
      <c r="J2365" s="13">
        <v>0</v>
      </c>
      <c r="K2365" s="10">
        <v>2</v>
      </c>
      <c r="L2365" s="2">
        <v>415.58499999999998</v>
      </c>
      <c r="M2365" s="1">
        <v>46137.425000000003</v>
      </c>
      <c r="N2365" t="s">
        <v>903</v>
      </c>
    </row>
    <row r="2366" spans="1:14" x14ac:dyDescent="0.25">
      <c r="A2366" s="9" t="s">
        <v>5211</v>
      </c>
      <c r="B2366" s="10">
        <v>714</v>
      </c>
      <c r="C2366" s="10" t="s">
        <v>12</v>
      </c>
      <c r="D2366" t="s">
        <v>4687</v>
      </c>
      <c r="E2366" t="s">
        <v>4688</v>
      </c>
      <c r="F2366" s="10" t="s">
        <v>39</v>
      </c>
      <c r="G2366" s="2">
        <v>36.479700000000001</v>
      </c>
      <c r="H2366" s="13">
        <v>2</v>
      </c>
      <c r="I2366" s="13">
        <v>3</v>
      </c>
      <c r="J2366" s="13">
        <v>-3</v>
      </c>
      <c r="K2366" s="10">
        <v>2</v>
      </c>
      <c r="L2366" s="2">
        <v>72.959400000000002</v>
      </c>
      <c r="M2366" s="1">
        <v>46139.432638888888</v>
      </c>
      <c r="N2366" t="s">
        <v>30</v>
      </c>
    </row>
    <row r="2367" spans="1:14" x14ac:dyDescent="0.25">
      <c r="A2367" s="9" t="s">
        <v>5211</v>
      </c>
      <c r="B2367" s="10">
        <v>714</v>
      </c>
      <c r="C2367" s="10" t="s">
        <v>323</v>
      </c>
      <c r="D2367" t="s">
        <v>3059</v>
      </c>
      <c r="E2367" t="s">
        <v>3060</v>
      </c>
      <c r="F2367" s="10" t="s">
        <v>158</v>
      </c>
      <c r="G2367" s="2">
        <v>82.138099999999994</v>
      </c>
      <c r="H2367" s="13">
        <v>2</v>
      </c>
      <c r="I2367" s="13">
        <v>0</v>
      </c>
      <c r="J2367" s="13">
        <v>0</v>
      </c>
      <c r="K2367" s="10">
        <v>2</v>
      </c>
      <c r="L2367" s="2">
        <v>164.27619999999999</v>
      </c>
      <c r="M2367" s="1">
        <v>46139.432638888888</v>
      </c>
      <c r="N2367" t="s">
        <v>30</v>
      </c>
    </row>
    <row r="2368" spans="1:14" x14ac:dyDescent="0.25">
      <c r="A2368" s="9" t="s">
        <v>5211</v>
      </c>
      <c r="B2368" s="10">
        <v>636</v>
      </c>
      <c r="C2368" s="10" t="s">
        <v>323</v>
      </c>
      <c r="D2368" t="s">
        <v>1415</v>
      </c>
      <c r="E2368" t="s">
        <v>1416</v>
      </c>
      <c r="F2368" s="10" t="s">
        <v>19</v>
      </c>
      <c r="G2368" s="2">
        <v>132.3895</v>
      </c>
      <c r="H2368" s="13">
        <v>2</v>
      </c>
      <c r="I2368" s="13">
        <v>0</v>
      </c>
      <c r="J2368" s="13">
        <v>0</v>
      </c>
      <c r="K2368" s="10">
        <v>2</v>
      </c>
      <c r="L2368" s="2">
        <v>264.779</v>
      </c>
      <c r="M2368" s="1">
        <v>46140.29583333333</v>
      </c>
      <c r="N2368" t="s">
        <v>501</v>
      </c>
    </row>
    <row r="2369" spans="1:14" x14ac:dyDescent="0.25">
      <c r="A2369" s="9" t="s">
        <v>5211</v>
      </c>
      <c r="B2369" s="10">
        <v>636</v>
      </c>
      <c r="C2369" s="10" t="s">
        <v>323</v>
      </c>
      <c r="D2369" t="s">
        <v>1261</v>
      </c>
      <c r="E2369" t="s">
        <v>1262</v>
      </c>
      <c r="F2369" s="10" t="s">
        <v>29</v>
      </c>
      <c r="G2369" s="2">
        <v>226.76609999999999</v>
      </c>
      <c r="H2369" s="13">
        <v>2</v>
      </c>
      <c r="I2369" s="13">
        <v>0</v>
      </c>
      <c r="J2369" s="13">
        <v>0</v>
      </c>
      <c r="K2369" s="10">
        <v>2</v>
      </c>
      <c r="L2369" s="2">
        <v>453.53219999999999</v>
      </c>
      <c r="M2369" s="1">
        <v>46140.29583333333</v>
      </c>
      <c r="N2369" t="s">
        <v>501</v>
      </c>
    </row>
    <row r="2370" spans="1:14" x14ac:dyDescent="0.25">
      <c r="A2370" s="9" t="s">
        <v>5211</v>
      </c>
      <c r="B2370" s="10">
        <v>636</v>
      </c>
      <c r="C2370" s="10" t="s">
        <v>323</v>
      </c>
      <c r="D2370" t="s">
        <v>1521</v>
      </c>
      <c r="E2370" t="s">
        <v>1522</v>
      </c>
      <c r="F2370" s="10" t="s">
        <v>29</v>
      </c>
      <c r="G2370" s="2">
        <v>233.32</v>
      </c>
      <c r="H2370" s="13">
        <v>2</v>
      </c>
      <c r="I2370" s="13">
        <v>0</v>
      </c>
      <c r="J2370" s="13">
        <v>0</v>
      </c>
      <c r="K2370" s="10">
        <v>2</v>
      </c>
      <c r="L2370" s="2">
        <v>466.64</v>
      </c>
      <c r="M2370" s="1">
        <v>46140.29583333333</v>
      </c>
      <c r="N2370" t="s">
        <v>501</v>
      </c>
    </row>
    <row r="2371" spans="1:14" x14ac:dyDescent="0.25">
      <c r="A2371" s="9" t="s">
        <v>5211</v>
      </c>
      <c r="B2371" s="10">
        <v>636</v>
      </c>
      <c r="C2371" s="10" t="s">
        <v>558</v>
      </c>
      <c r="D2371" t="s">
        <v>563</v>
      </c>
      <c r="E2371" t="s">
        <v>564</v>
      </c>
      <c r="F2371" s="10" t="s">
        <v>29</v>
      </c>
      <c r="G2371" s="2">
        <v>119</v>
      </c>
      <c r="H2371" s="13">
        <v>2</v>
      </c>
      <c r="I2371" s="13">
        <v>0</v>
      </c>
      <c r="J2371" s="13">
        <v>0</v>
      </c>
      <c r="K2371" s="10">
        <v>2</v>
      </c>
      <c r="L2371" s="2">
        <v>238</v>
      </c>
      <c r="M2371" s="1">
        <v>46140.29583333333</v>
      </c>
      <c r="N2371" t="s">
        <v>501</v>
      </c>
    </row>
    <row r="2372" spans="1:14" x14ac:dyDescent="0.25">
      <c r="A2372" s="9" t="s">
        <v>5211</v>
      </c>
      <c r="B2372" s="10">
        <v>636</v>
      </c>
      <c r="C2372" s="10" t="s">
        <v>323</v>
      </c>
      <c r="D2372" t="s">
        <v>1533</v>
      </c>
      <c r="E2372" t="s">
        <v>1534</v>
      </c>
      <c r="F2372" s="10" t="s">
        <v>19</v>
      </c>
      <c r="G2372" s="2">
        <v>169.0915</v>
      </c>
      <c r="H2372" s="13">
        <v>2</v>
      </c>
      <c r="I2372" s="13">
        <v>0</v>
      </c>
      <c r="J2372" s="13">
        <v>0</v>
      </c>
      <c r="K2372" s="10">
        <v>2</v>
      </c>
      <c r="L2372" s="2">
        <v>338.18299999999999</v>
      </c>
      <c r="M2372" s="1">
        <v>46140.29583333333</v>
      </c>
      <c r="N2372" t="s">
        <v>501</v>
      </c>
    </row>
    <row r="2373" spans="1:14" x14ac:dyDescent="0.25">
      <c r="A2373" s="9" t="s">
        <v>5211</v>
      </c>
      <c r="B2373" s="10">
        <v>636</v>
      </c>
      <c r="C2373" s="10" t="s">
        <v>143</v>
      </c>
      <c r="D2373" t="s">
        <v>289</v>
      </c>
      <c r="E2373" t="s">
        <v>290</v>
      </c>
      <c r="F2373" s="10" t="s">
        <v>23</v>
      </c>
      <c r="G2373" s="2">
        <v>181.4153</v>
      </c>
      <c r="H2373" s="13">
        <v>2</v>
      </c>
      <c r="I2373" s="13">
        <v>0</v>
      </c>
      <c r="J2373" s="13">
        <v>0</v>
      </c>
      <c r="K2373" s="10">
        <v>2</v>
      </c>
      <c r="L2373" s="2">
        <v>362.8306</v>
      </c>
      <c r="M2373" s="1">
        <v>46140.534722222219</v>
      </c>
      <c r="N2373" t="s">
        <v>137</v>
      </c>
    </row>
    <row r="2374" spans="1:14" x14ac:dyDescent="0.25">
      <c r="A2374" s="9" t="s">
        <v>5211</v>
      </c>
      <c r="B2374" s="10">
        <v>636</v>
      </c>
      <c r="C2374" s="10" t="s">
        <v>323</v>
      </c>
      <c r="D2374" t="s">
        <v>1290</v>
      </c>
      <c r="E2374" t="s">
        <v>1291</v>
      </c>
      <c r="F2374" s="10" t="s">
        <v>29</v>
      </c>
      <c r="G2374" s="2">
        <v>237.3169</v>
      </c>
      <c r="H2374" s="13">
        <v>2</v>
      </c>
      <c r="I2374" s="13">
        <v>0</v>
      </c>
      <c r="J2374" s="13">
        <v>0</v>
      </c>
      <c r="K2374" s="10">
        <v>2</v>
      </c>
      <c r="L2374" s="2">
        <v>474.63380000000001</v>
      </c>
      <c r="M2374" s="1">
        <v>46140.540972222225</v>
      </c>
      <c r="N2374" t="s">
        <v>885</v>
      </c>
    </row>
    <row r="2375" spans="1:14" x14ac:dyDescent="0.25">
      <c r="A2375" s="9" t="s">
        <v>5211</v>
      </c>
      <c r="B2375" s="10">
        <v>636</v>
      </c>
      <c r="C2375" s="10" t="s">
        <v>323</v>
      </c>
      <c r="D2375" t="s">
        <v>1638</v>
      </c>
      <c r="E2375" t="s">
        <v>1639</v>
      </c>
      <c r="F2375" s="10" t="s">
        <v>29</v>
      </c>
      <c r="G2375" s="2">
        <v>575.89030000000002</v>
      </c>
      <c r="H2375" s="13">
        <v>2</v>
      </c>
      <c r="I2375" s="13">
        <v>0</v>
      </c>
      <c r="J2375" s="13">
        <v>0</v>
      </c>
      <c r="K2375" s="10">
        <v>2</v>
      </c>
      <c r="L2375" s="2">
        <v>1151.7806</v>
      </c>
      <c r="M2375" s="1">
        <v>46140.540972222225</v>
      </c>
      <c r="N2375" t="s">
        <v>885</v>
      </c>
    </row>
    <row r="2376" spans="1:14" x14ac:dyDescent="0.25">
      <c r="A2376" s="9" t="s">
        <v>5211</v>
      </c>
      <c r="B2376" s="10">
        <v>718</v>
      </c>
      <c r="C2376" s="10" t="s">
        <v>323</v>
      </c>
      <c r="D2376" t="s">
        <v>3306</v>
      </c>
      <c r="E2376" t="s">
        <v>3307</v>
      </c>
      <c r="F2376" s="10" t="s">
        <v>29</v>
      </c>
      <c r="G2376" s="2">
        <v>234.43520000000001</v>
      </c>
      <c r="H2376" s="13">
        <v>2</v>
      </c>
      <c r="I2376" s="13">
        <v>0</v>
      </c>
      <c r="J2376" s="13">
        <v>0</v>
      </c>
      <c r="K2376" s="10">
        <v>2</v>
      </c>
      <c r="L2376" s="2">
        <v>468.87040000000002</v>
      </c>
      <c r="M2376" s="1">
        <v>46140.54583333333</v>
      </c>
      <c r="N2376" t="s">
        <v>137</v>
      </c>
    </row>
    <row r="2377" spans="1:14" x14ac:dyDescent="0.25">
      <c r="A2377" s="9" t="s">
        <v>5211</v>
      </c>
      <c r="B2377" s="10">
        <v>718</v>
      </c>
      <c r="C2377" s="10" t="s">
        <v>12</v>
      </c>
      <c r="D2377" t="s">
        <v>1837</v>
      </c>
      <c r="E2377" t="s">
        <v>1838</v>
      </c>
      <c r="F2377" s="10" t="s">
        <v>29</v>
      </c>
      <c r="G2377" s="2">
        <v>46.738300000000002</v>
      </c>
      <c r="H2377" s="13">
        <v>2</v>
      </c>
      <c r="I2377" s="13">
        <v>0</v>
      </c>
      <c r="J2377" s="13">
        <v>0</v>
      </c>
      <c r="K2377" s="10">
        <v>2</v>
      </c>
      <c r="L2377" s="2">
        <v>93.476600000000005</v>
      </c>
      <c r="M2377" s="1">
        <v>46140.671527777777</v>
      </c>
      <c r="N2377" t="s">
        <v>36</v>
      </c>
    </row>
    <row r="2378" spans="1:14" x14ac:dyDescent="0.25">
      <c r="A2378" s="9" t="s">
        <v>5211</v>
      </c>
      <c r="B2378" s="10">
        <v>636</v>
      </c>
      <c r="C2378" s="10" t="s">
        <v>143</v>
      </c>
      <c r="D2378" t="s">
        <v>1060</v>
      </c>
      <c r="E2378" t="s">
        <v>1061</v>
      </c>
      <c r="F2378" s="10" t="s">
        <v>39</v>
      </c>
      <c r="G2378" s="2">
        <v>22.353899999999999</v>
      </c>
      <c r="H2378" s="13">
        <v>2</v>
      </c>
      <c r="I2378" s="13">
        <v>0</v>
      </c>
      <c r="J2378" s="13">
        <v>0</v>
      </c>
      <c r="K2378" s="10">
        <v>2</v>
      </c>
      <c r="L2378" s="2">
        <v>44.707799999999999</v>
      </c>
      <c r="M2378" s="1">
        <v>46142.382638888892</v>
      </c>
      <c r="N2378" t="s">
        <v>1062</v>
      </c>
    </row>
    <row r="2379" spans="1:14" x14ac:dyDescent="0.25">
      <c r="A2379" s="9" t="s">
        <v>5211</v>
      </c>
      <c r="B2379" s="10">
        <v>636</v>
      </c>
      <c r="C2379" s="10" t="s">
        <v>12</v>
      </c>
      <c r="D2379" t="s">
        <v>4397</v>
      </c>
      <c r="E2379" t="s">
        <v>4398</v>
      </c>
      <c r="F2379" s="10" t="s">
        <v>23</v>
      </c>
      <c r="G2379" s="2">
        <v>6.9316000000000004</v>
      </c>
      <c r="H2379" s="13">
        <v>2</v>
      </c>
      <c r="I2379" s="13">
        <v>-55</v>
      </c>
      <c r="J2379" s="13">
        <v>55</v>
      </c>
      <c r="K2379" s="10">
        <v>2</v>
      </c>
      <c r="L2379" s="2">
        <v>13.863200000000001</v>
      </c>
      <c r="M2379" s="1">
        <v>46142.430555555555</v>
      </c>
      <c r="N2379" t="s">
        <v>16</v>
      </c>
    </row>
    <row r="2380" spans="1:14" x14ac:dyDescent="0.25">
      <c r="A2380" s="9" t="s">
        <v>5211</v>
      </c>
      <c r="B2380" s="10">
        <v>636</v>
      </c>
      <c r="C2380" s="10" t="s">
        <v>143</v>
      </c>
      <c r="D2380" t="s">
        <v>966</v>
      </c>
      <c r="E2380" t="s">
        <v>967</v>
      </c>
      <c r="F2380" s="10" t="s">
        <v>23</v>
      </c>
      <c r="G2380" s="2">
        <v>57.834299999999999</v>
      </c>
      <c r="H2380" s="13">
        <v>2</v>
      </c>
      <c r="I2380" s="13">
        <v>0</v>
      </c>
      <c r="J2380" s="13">
        <v>0</v>
      </c>
      <c r="K2380" s="10">
        <v>2</v>
      </c>
      <c r="L2380" s="2">
        <v>115.6686</v>
      </c>
      <c r="M2380" s="1">
        <v>46142.609027777777</v>
      </c>
      <c r="N2380" t="s">
        <v>137</v>
      </c>
    </row>
    <row r="2381" spans="1:14" x14ac:dyDescent="0.25">
      <c r="A2381" s="9" t="s">
        <v>5211</v>
      </c>
      <c r="B2381" s="10">
        <v>636</v>
      </c>
      <c r="C2381" s="10" t="s">
        <v>323</v>
      </c>
      <c r="D2381" t="s">
        <v>1620</v>
      </c>
      <c r="E2381" t="s">
        <v>1621</v>
      </c>
      <c r="F2381" s="10" t="s">
        <v>29</v>
      </c>
      <c r="G2381" s="2">
        <v>346.72320000000002</v>
      </c>
      <c r="H2381" s="13">
        <v>2</v>
      </c>
      <c r="I2381" s="13">
        <v>0</v>
      </c>
      <c r="J2381" s="13">
        <v>0</v>
      </c>
      <c r="K2381" s="10">
        <v>2</v>
      </c>
      <c r="L2381" s="2">
        <v>693.44640000000004</v>
      </c>
      <c r="M2381" s="1">
        <v>46142.609027777777</v>
      </c>
      <c r="N2381" t="s">
        <v>137</v>
      </c>
    </row>
    <row r="2382" spans="1:14" x14ac:dyDescent="0.25">
      <c r="A2382" s="9" t="s">
        <v>5211</v>
      </c>
      <c r="B2382" s="10">
        <v>714</v>
      </c>
      <c r="C2382" s="10" t="s">
        <v>12</v>
      </c>
      <c r="D2382" t="s">
        <v>1930</v>
      </c>
      <c r="E2382" t="s">
        <v>1931</v>
      </c>
      <c r="F2382" s="10" t="s">
        <v>29</v>
      </c>
      <c r="G2382" s="2">
        <v>45.209099999999999</v>
      </c>
      <c r="H2382" s="13">
        <v>2</v>
      </c>
      <c r="I2382" s="13">
        <v>0</v>
      </c>
      <c r="J2382" s="13">
        <v>0</v>
      </c>
      <c r="K2382" s="10">
        <v>2</v>
      </c>
      <c r="L2382" s="2">
        <v>90.418199999999999</v>
      </c>
      <c r="M2382" s="1">
        <v>46143.318749999999</v>
      </c>
      <c r="N2382" t="s">
        <v>36</v>
      </c>
    </row>
    <row r="2383" spans="1:14" x14ac:dyDescent="0.25">
      <c r="A2383" s="9" t="s">
        <v>5211</v>
      </c>
      <c r="B2383" s="10">
        <v>714</v>
      </c>
      <c r="C2383" s="10" t="s">
        <v>323</v>
      </c>
      <c r="D2383" t="s">
        <v>3530</v>
      </c>
      <c r="E2383" t="s">
        <v>3531</v>
      </c>
      <c r="F2383" s="10" t="s">
        <v>455</v>
      </c>
      <c r="G2383" s="2">
        <v>299.25</v>
      </c>
      <c r="H2383" s="13">
        <v>2</v>
      </c>
      <c r="I2383" s="13">
        <v>0</v>
      </c>
      <c r="J2383" s="13">
        <v>0</v>
      </c>
      <c r="K2383" s="10">
        <v>2</v>
      </c>
      <c r="L2383" s="2">
        <v>598.5</v>
      </c>
      <c r="M2383" s="1">
        <v>46143.36041666667</v>
      </c>
      <c r="N2383" t="s">
        <v>2719</v>
      </c>
    </row>
    <row r="2384" spans="1:14" x14ac:dyDescent="0.25">
      <c r="A2384" s="9" t="s">
        <v>5211</v>
      </c>
      <c r="B2384" s="10">
        <v>636</v>
      </c>
      <c r="C2384" s="10" t="s">
        <v>126</v>
      </c>
      <c r="D2384" t="s">
        <v>872</v>
      </c>
      <c r="E2384" t="s">
        <v>873</v>
      </c>
      <c r="F2384" s="10" t="s">
        <v>29</v>
      </c>
      <c r="G2384" s="2">
        <v>26.267199999999999</v>
      </c>
      <c r="H2384" s="13">
        <v>2</v>
      </c>
      <c r="I2384" s="13">
        <v>0</v>
      </c>
      <c r="J2384" s="13">
        <v>0</v>
      </c>
      <c r="K2384" s="10">
        <v>2</v>
      </c>
      <c r="L2384" s="2">
        <v>52.534399999999998</v>
      </c>
      <c r="M2384" s="1">
        <v>46143.447916666664</v>
      </c>
      <c r="N2384" t="s">
        <v>140</v>
      </c>
    </row>
    <row r="2385" spans="1:14" x14ac:dyDescent="0.25">
      <c r="A2385" s="9" t="s">
        <v>5211</v>
      </c>
      <c r="B2385" s="10">
        <v>636</v>
      </c>
      <c r="C2385" s="10" t="s">
        <v>126</v>
      </c>
      <c r="D2385" t="s">
        <v>4465</v>
      </c>
      <c r="E2385" t="s">
        <v>4466</v>
      </c>
      <c r="F2385" s="10" t="s">
        <v>29</v>
      </c>
      <c r="G2385" s="2">
        <v>26.267199999999999</v>
      </c>
      <c r="H2385" s="13">
        <v>2</v>
      </c>
      <c r="I2385" s="13">
        <v>2</v>
      </c>
      <c r="J2385" s="13">
        <v>-2</v>
      </c>
      <c r="K2385" s="10">
        <v>2</v>
      </c>
      <c r="L2385" s="2">
        <v>52.534399999999998</v>
      </c>
      <c r="M2385" s="1">
        <v>46143.447916666664</v>
      </c>
      <c r="N2385" t="s">
        <v>140</v>
      </c>
    </row>
    <row r="2386" spans="1:14" x14ac:dyDescent="0.25">
      <c r="A2386" s="9" t="s">
        <v>5211</v>
      </c>
      <c r="B2386" s="10">
        <v>718</v>
      </c>
      <c r="C2386" s="10" t="s">
        <v>12</v>
      </c>
      <c r="D2386" t="s">
        <v>3623</v>
      </c>
      <c r="E2386" t="s">
        <v>3624</v>
      </c>
      <c r="F2386" s="10" t="s">
        <v>39</v>
      </c>
      <c r="G2386" s="2">
        <v>8.0696999999999992</v>
      </c>
      <c r="H2386" s="13">
        <v>2</v>
      </c>
      <c r="I2386" s="13">
        <v>0</v>
      </c>
      <c r="J2386" s="13">
        <v>0</v>
      </c>
      <c r="K2386" s="10">
        <v>2</v>
      </c>
      <c r="L2386" s="2">
        <v>16.139399999999998</v>
      </c>
      <c r="M2386" s="1">
        <v>46143.493750000001</v>
      </c>
      <c r="N2386" t="s">
        <v>40</v>
      </c>
    </row>
    <row r="2387" spans="1:14" x14ac:dyDescent="0.25">
      <c r="A2387" s="9" t="s">
        <v>5211</v>
      </c>
      <c r="B2387" s="10">
        <v>634</v>
      </c>
      <c r="C2387" s="10" t="s">
        <v>126</v>
      </c>
      <c r="D2387" t="s">
        <v>3705</v>
      </c>
      <c r="E2387" t="s">
        <v>3706</v>
      </c>
      <c r="F2387" s="10" t="s">
        <v>112</v>
      </c>
      <c r="G2387" s="2">
        <v>16.910399999999999</v>
      </c>
      <c r="H2387" s="13">
        <v>2</v>
      </c>
      <c r="I2387" s="13">
        <v>8</v>
      </c>
      <c r="J2387" s="13">
        <v>-8</v>
      </c>
      <c r="K2387" s="10">
        <v>2</v>
      </c>
      <c r="L2387" s="2">
        <v>33.820799999999998</v>
      </c>
      <c r="M2387" s="1">
        <v>46143.52847222222</v>
      </c>
      <c r="N2387" t="s">
        <v>140</v>
      </c>
    </row>
    <row r="2388" spans="1:14" x14ac:dyDescent="0.25">
      <c r="A2388" s="9" t="s">
        <v>5211</v>
      </c>
      <c r="B2388" s="10">
        <v>636</v>
      </c>
      <c r="C2388" s="10" t="s">
        <v>323</v>
      </c>
      <c r="D2388" t="s">
        <v>4667</v>
      </c>
      <c r="E2388" t="s">
        <v>4668</v>
      </c>
      <c r="F2388" s="10" t="s">
        <v>158</v>
      </c>
      <c r="G2388" s="2">
        <v>273.25119999999998</v>
      </c>
      <c r="H2388" s="13">
        <v>2</v>
      </c>
      <c r="I2388" s="13">
        <v>2</v>
      </c>
      <c r="J2388" s="13">
        <v>-2</v>
      </c>
      <c r="K2388" s="10">
        <v>2</v>
      </c>
      <c r="L2388" s="2">
        <v>546.50239999999997</v>
      </c>
      <c r="M2388" s="1">
        <v>46143.609722222223</v>
      </c>
      <c r="N2388" t="s">
        <v>151</v>
      </c>
    </row>
    <row r="2389" spans="1:14" x14ac:dyDescent="0.25">
      <c r="A2389" s="9" t="s">
        <v>5211</v>
      </c>
      <c r="B2389" s="10">
        <v>636</v>
      </c>
      <c r="C2389" s="10" t="s">
        <v>126</v>
      </c>
      <c r="D2389" t="s">
        <v>876</v>
      </c>
      <c r="E2389" t="s">
        <v>877</v>
      </c>
      <c r="F2389" s="10" t="s">
        <v>29</v>
      </c>
      <c r="G2389" s="2">
        <v>33.888300000000001</v>
      </c>
      <c r="H2389" s="13">
        <v>2</v>
      </c>
      <c r="I2389" s="13">
        <v>0</v>
      </c>
      <c r="J2389" s="13">
        <v>0</v>
      </c>
      <c r="K2389" s="10">
        <v>2</v>
      </c>
      <c r="L2389" s="2">
        <v>67.776600000000002</v>
      </c>
      <c r="M2389" s="1">
        <v>46147.606249999997</v>
      </c>
      <c r="N2389" t="s">
        <v>878</v>
      </c>
    </row>
    <row r="2390" spans="1:14" x14ac:dyDescent="0.25">
      <c r="A2390" s="9" t="s">
        <v>5211</v>
      </c>
      <c r="B2390" s="10">
        <v>718</v>
      </c>
      <c r="C2390" s="10" t="s">
        <v>323</v>
      </c>
      <c r="D2390" t="s">
        <v>3915</v>
      </c>
      <c r="E2390" t="s">
        <v>3916</v>
      </c>
      <c r="F2390" s="10" t="s">
        <v>29</v>
      </c>
      <c r="G2390" s="2">
        <v>257.911</v>
      </c>
      <c r="H2390" s="13">
        <v>2</v>
      </c>
      <c r="I2390" s="13">
        <v>0</v>
      </c>
      <c r="J2390" s="13">
        <v>0</v>
      </c>
      <c r="K2390" s="10">
        <v>2</v>
      </c>
      <c r="L2390" s="2">
        <v>515.822</v>
      </c>
      <c r="M2390" s="1">
        <v>46147.668749999997</v>
      </c>
      <c r="N2390" t="s">
        <v>1062</v>
      </c>
    </row>
    <row r="2391" spans="1:14" x14ac:dyDescent="0.25">
      <c r="A2391" s="9" t="s">
        <v>5211</v>
      </c>
      <c r="B2391" s="10">
        <v>718</v>
      </c>
      <c r="C2391" s="10" t="s">
        <v>323</v>
      </c>
      <c r="D2391" t="s">
        <v>3919</v>
      </c>
      <c r="E2391" t="s">
        <v>3920</v>
      </c>
      <c r="F2391" s="10" t="s">
        <v>29</v>
      </c>
      <c r="G2391" s="2">
        <v>197.3698</v>
      </c>
      <c r="H2391" s="13">
        <v>2</v>
      </c>
      <c r="I2391" s="13">
        <v>0</v>
      </c>
      <c r="J2391" s="13">
        <v>0</v>
      </c>
      <c r="K2391" s="10">
        <v>2</v>
      </c>
      <c r="L2391" s="2">
        <v>394.7396</v>
      </c>
      <c r="M2391" s="1">
        <v>46147.688194444447</v>
      </c>
      <c r="N2391" t="s">
        <v>2066</v>
      </c>
    </row>
    <row r="2392" spans="1:14" x14ac:dyDescent="0.25">
      <c r="A2392" s="9" t="s">
        <v>5211</v>
      </c>
      <c r="B2392" s="10">
        <v>718</v>
      </c>
      <c r="C2392" s="10" t="s">
        <v>323</v>
      </c>
      <c r="D2392" t="s">
        <v>3885</v>
      </c>
      <c r="E2392" t="s">
        <v>3886</v>
      </c>
      <c r="F2392" s="10" t="s">
        <v>29</v>
      </c>
      <c r="G2392" s="2">
        <v>156.8837</v>
      </c>
      <c r="H2392" s="13">
        <v>2</v>
      </c>
      <c r="I2392" s="13">
        <v>0</v>
      </c>
      <c r="J2392" s="13">
        <v>0</v>
      </c>
      <c r="K2392" s="10">
        <v>2</v>
      </c>
      <c r="L2392" s="2">
        <v>313.76740000000001</v>
      </c>
      <c r="M2392" s="1">
        <v>46147.688194444447</v>
      </c>
      <c r="N2392" t="s">
        <v>2066</v>
      </c>
    </row>
    <row r="2393" spans="1:14" x14ac:dyDescent="0.25">
      <c r="A2393" s="9" t="s">
        <v>5211</v>
      </c>
      <c r="B2393" s="10">
        <v>718</v>
      </c>
      <c r="C2393" s="10" t="s">
        <v>323</v>
      </c>
      <c r="D2393" t="s">
        <v>3946</v>
      </c>
      <c r="E2393" t="s">
        <v>3947</v>
      </c>
      <c r="F2393" s="10" t="s">
        <v>29</v>
      </c>
      <c r="G2393" s="2">
        <v>86.370400000000004</v>
      </c>
      <c r="H2393" s="13">
        <v>2</v>
      </c>
      <c r="I2393" s="13">
        <v>0</v>
      </c>
      <c r="J2393" s="13">
        <v>0</v>
      </c>
      <c r="K2393" s="10">
        <v>2</v>
      </c>
      <c r="L2393" s="2">
        <v>172.74080000000001</v>
      </c>
      <c r="M2393" s="1">
        <v>46147.688194444447</v>
      </c>
      <c r="N2393" t="s">
        <v>2066</v>
      </c>
    </row>
    <row r="2394" spans="1:14" x14ac:dyDescent="0.25">
      <c r="A2394" s="9" t="s">
        <v>5211</v>
      </c>
      <c r="B2394" s="10">
        <v>718</v>
      </c>
      <c r="C2394" s="10" t="s">
        <v>323</v>
      </c>
      <c r="D2394" t="s">
        <v>2828</v>
      </c>
      <c r="E2394" t="s">
        <v>2829</v>
      </c>
      <c r="F2394" s="10" t="s">
        <v>23</v>
      </c>
      <c r="G2394" s="2">
        <v>76.101600000000005</v>
      </c>
      <c r="H2394" s="13">
        <v>2</v>
      </c>
      <c r="I2394" s="13">
        <v>2</v>
      </c>
      <c r="J2394" s="13">
        <v>-2</v>
      </c>
      <c r="K2394" s="10">
        <v>2</v>
      </c>
      <c r="L2394" s="2">
        <v>152.20320000000001</v>
      </c>
      <c r="M2394" s="1">
        <v>46147.727777777778</v>
      </c>
      <c r="N2394" t="s">
        <v>1870</v>
      </c>
    </row>
    <row r="2395" spans="1:14" x14ac:dyDescent="0.25">
      <c r="A2395" s="9" t="s">
        <v>5211</v>
      </c>
      <c r="B2395" s="10">
        <v>634</v>
      </c>
      <c r="C2395" s="10" t="s">
        <v>323</v>
      </c>
      <c r="D2395" t="s">
        <v>4306</v>
      </c>
      <c r="E2395" t="s">
        <v>4307</v>
      </c>
      <c r="F2395" s="10" t="s">
        <v>43</v>
      </c>
      <c r="G2395" s="2">
        <v>186.97730000000001</v>
      </c>
      <c r="H2395" s="13">
        <v>2</v>
      </c>
      <c r="I2395" s="13">
        <v>47</v>
      </c>
      <c r="J2395" s="13">
        <v>-47</v>
      </c>
      <c r="K2395" s="10">
        <v>2</v>
      </c>
      <c r="L2395" s="2">
        <v>373.95460000000003</v>
      </c>
      <c r="M2395" s="1">
        <v>46148.435416666667</v>
      </c>
      <c r="N2395" t="s">
        <v>411</v>
      </c>
    </row>
    <row r="2396" spans="1:14" x14ac:dyDescent="0.25">
      <c r="A2396" s="9" t="s">
        <v>5211</v>
      </c>
      <c r="B2396" s="10">
        <v>714</v>
      </c>
      <c r="C2396" s="10" t="s">
        <v>323</v>
      </c>
      <c r="D2396" t="s">
        <v>3415</v>
      </c>
      <c r="E2396" t="s">
        <v>3416</v>
      </c>
      <c r="F2396" s="10" t="s">
        <v>19</v>
      </c>
      <c r="G2396" s="2">
        <v>182.6353</v>
      </c>
      <c r="H2396" s="13">
        <v>2</v>
      </c>
      <c r="I2396" s="13">
        <v>0</v>
      </c>
      <c r="J2396" s="13">
        <v>0</v>
      </c>
      <c r="K2396" s="10">
        <v>2</v>
      </c>
      <c r="L2396" s="2">
        <v>365.2706</v>
      </c>
      <c r="M2396" s="1">
        <v>46148.463888888888</v>
      </c>
      <c r="N2396" t="s">
        <v>137</v>
      </c>
    </row>
    <row r="2397" spans="1:14" x14ac:dyDescent="0.25">
      <c r="A2397" s="9" t="s">
        <v>5211</v>
      </c>
      <c r="B2397" s="10">
        <v>714</v>
      </c>
      <c r="C2397" s="10" t="s">
        <v>70</v>
      </c>
      <c r="D2397" t="s">
        <v>2103</v>
      </c>
      <c r="E2397" t="s">
        <v>2104</v>
      </c>
      <c r="F2397" s="10" t="s">
        <v>39</v>
      </c>
      <c r="G2397" s="2">
        <v>6.1222000000000003</v>
      </c>
      <c r="H2397" s="13">
        <v>2</v>
      </c>
      <c r="I2397" s="13">
        <v>0</v>
      </c>
      <c r="J2397" s="13">
        <v>0</v>
      </c>
      <c r="K2397" s="10">
        <v>2</v>
      </c>
      <c r="L2397" s="2">
        <v>12.244400000000001</v>
      </c>
      <c r="M2397" s="1">
        <v>46148.615972222222</v>
      </c>
      <c r="N2397" t="s">
        <v>542</v>
      </c>
    </row>
    <row r="2398" spans="1:14" x14ac:dyDescent="0.25">
      <c r="A2398" s="9" t="s">
        <v>5211</v>
      </c>
      <c r="B2398" s="10">
        <v>714</v>
      </c>
      <c r="C2398" s="10" t="s">
        <v>323</v>
      </c>
      <c r="D2398" t="s">
        <v>5063</v>
      </c>
      <c r="E2398" t="s">
        <v>5064</v>
      </c>
      <c r="F2398" s="10" t="s">
        <v>19</v>
      </c>
      <c r="G2398" s="2">
        <v>259.00529999999998</v>
      </c>
      <c r="H2398" s="13">
        <v>2</v>
      </c>
      <c r="I2398" s="13">
        <v>0</v>
      </c>
      <c r="J2398" s="13">
        <v>0</v>
      </c>
      <c r="K2398" s="10">
        <v>2</v>
      </c>
      <c r="L2398" s="2">
        <v>518.01059999999995</v>
      </c>
      <c r="M2398" s="1">
        <v>46149.3125</v>
      </c>
      <c r="N2398" t="s">
        <v>137</v>
      </c>
    </row>
    <row r="2399" spans="1:14" x14ac:dyDescent="0.25">
      <c r="A2399" s="9" t="s">
        <v>5211</v>
      </c>
      <c r="B2399" s="10">
        <v>714</v>
      </c>
      <c r="C2399" s="10" t="s">
        <v>143</v>
      </c>
      <c r="D2399" t="s">
        <v>924</v>
      </c>
      <c r="E2399" t="s">
        <v>925</v>
      </c>
      <c r="F2399" s="10" t="s">
        <v>29</v>
      </c>
      <c r="G2399" s="2">
        <v>74.827100000000002</v>
      </c>
      <c r="H2399" s="13">
        <v>2</v>
      </c>
      <c r="I2399" s="13">
        <v>0</v>
      </c>
      <c r="J2399" s="13">
        <v>0</v>
      </c>
      <c r="K2399" s="10">
        <v>2</v>
      </c>
      <c r="L2399" s="2">
        <v>149.6542</v>
      </c>
      <c r="M2399" s="1">
        <v>46149.3125</v>
      </c>
      <c r="N2399" t="s">
        <v>137</v>
      </c>
    </row>
    <row r="2400" spans="1:14" x14ac:dyDescent="0.25">
      <c r="A2400" s="9" t="s">
        <v>5211</v>
      </c>
      <c r="B2400" s="10">
        <v>714</v>
      </c>
      <c r="C2400" s="10" t="s">
        <v>143</v>
      </c>
      <c r="D2400" t="s">
        <v>2340</v>
      </c>
      <c r="E2400" t="s">
        <v>2341</v>
      </c>
      <c r="F2400" s="10" t="s">
        <v>19</v>
      </c>
      <c r="G2400" s="2">
        <v>390.72559999999999</v>
      </c>
      <c r="H2400" s="13">
        <v>2</v>
      </c>
      <c r="I2400" s="13">
        <v>0</v>
      </c>
      <c r="J2400" s="13">
        <v>0</v>
      </c>
      <c r="K2400" s="10">
        <v>2</v>
      </c>
      <c r="L2400" s="2">
        <v>781.45119999999997</v>
      </c>
      <c r="M2400" s="1">
        <v>46149.3125</v>
      </c>
      <c r="N2400" t="s">
        <v>137</v>
      </c>
    </row>
    <row r="2401" spans="1:14" x14ac:dyDescent="0.25">
      <c r="A2401" s="9" t="s">
        <v>5211</v>
      </c>
      <c r="B2401" s="10">
        <v>714</v>
      </c>
      <c r="C2401" s="10" t="s">
        <v>143</v>
      </c>
      <c r="D2401" t="s">
        <v>4793</v>
      </c>
      <c r="E2401" t="s">
        <v>4794</v>
      </c>
      <c r="F2401" s="10" t="s">
        <v>23</v>
      </c>
      <c r="G2401" s="2">
        <v>125.4888</v>
      </c>
      <c r="H2401" s="13">
        <v>2</v>
      </c>
      <c r="I2401" s="13">
        <v>9</v>
      </c>
      <c r="J2401" s="13">
        <v>-9</v>
      </c>
      <c r="K2401" s="10">
        <v>2</v>
      </c>
      <c r="L2401" s="2">
        <v>250.9776</v>
      </c>
      <c r="M2401" s="1">
        <v>46149.3125</v>
      </c>
      <c r="N2401" t="s">
        <v>137</v>
      </c>
    </row>
    <row r="2402" spans="1:14" x14ac:dyDescent="0.25">
      <c r="A2402" s="9" t="s">
        <v>5211</v>
      </c>
      <c r="B2402" s="10">
        <v>714</v>
      </c>
      <c r="C2402" s="10" t="s">
        <v>323</v>
      </c>
      <c r="D2402" t="s">
        <v>3370</v>
      </c>
      <c r="E2402" t="s">
        <v>3371</v>
      </c>
      <c r="F2402" s="10" t="s">
        <v>19</v>
      </c>
      <c r="G2402" s="2">
        <v>161.45099999999999</v>
      </c>
      <c r="H2402" s="13">
        <v>2</v>
      </c>
      <c r="I2402" s="13">
        <v>0</v>
      </c>
      <c r="J2402" s="13">
        <v>0</v>
      </c>
      <c r="K2402" s="10">
        <v>2</v>
      </c>
      <c r="L2402" s="2">
        <v>322.90199999999999</v>
      </c>
      <c r="M2402" s="1">
        <v>46149.429861111108</v>
      </c>
      <c r="N2402" t="s">
        <v>1062</v>
      </c>
    </row>
    <row r="2403" spans="1:14" x14ac:dyDescent="0.25">
      <c r="A2403" s="9" t="s">
        <v>5211</v>
      </c>
      <c r="B2403" s="10">
        <v>714</v>
      </c>
      <c r="C2403" s="10" t="s">
        <v>323</v>
      </c>
      <c r="D2403" t="s">
        <v>3137</v>
      </c>
      <c r="E2403" t="s">
        <v>3138</v>
      </c>
      <c r="F2403" s="10" t="s">
        <v>23</v>
      </c>
      <c r="G2403" s="2">
        <v>146.96100000000001</v>
      </c>
      <c r="H2403" s="13">
        <v>2</v>
      </c>
      <c r="I2403" s="13">
        <v>1</v>
      </c>
      <c r="J2403" s="13">
        <v>-1</v>
      </c>
      <c r="K2403" s="10">
        <v>2</v>
      </c>
      <c r="L2403" s="2">
        <v>293.92200000000003</v>
      </c>
      <c r="M2403" s="1">
        <v>46149.429861111108</v>
      </c>
      <c r="N2403" t="s">
        <v>1062</v>
      </c>
    </row>
    <row r="2404" spans="1:14" x14ac:dyDescent="0.25">
      <c r="A2404" s="9" t="s">
        <v>5211</v>
      </c>
      <c r="B2404" s="10">
        <v>718</v>
      </c>
      <c r="C2404" s="10" t="s">
        <v>12</v>
      </c>
      <c r="D2404" t="s">
        <v>3621</v>
      </c>
      <c r="E2404" t="s">
        <v>3622</v>
      </c>
      <c r="F2404" s="10" t="s">
        <v>23</v>
      </c>
      <c r="G2404" s="2">
        <v>45.866700000000002</v>
      </c>
      <c r="H2404" s="13">
        <v>2</v>
      </c>
      <c r="I2404" s="13">
        <v>0</v>
      </c>
      <c r="J2404" s="13">
        <v>0</v>
      </c>
      <c r="K2404" s="10">
        <v>2</v>
      </c>
      <c r="L2404" s="2">
        <v>91.733400000000003</v>
      </c>
      <c r="M2404" s="1">
        <v>46149.54791666667</v>
      </c>
      <c r="N2404" t="s">
        <v>1062</v>
      </c>
    </row>
    <row r="2405" spans="1:14" x14ac:dyDescent="0.25">
      <c r="A2405" s="9" t="s">
        <v>5211</v>
      </c>
      <c r="B2405" s="10">
        <v>714</v>
      </c>
      <c r="C2405" s="10" t="s">
        <v>323</v>
      </c>
      <c r="D2405" t="s">
        <v>2939</v>
      </c>
      <c r="E2405" t="s">
        <v>2940</v>
      </c>
      <c r="F2405" s="10" t="s">
        <v>19</v>
      </c>
      <c r="G2405" s="2">
        <v>291.49970000000002</v>
      </c>
      <c r="H2405" s="13">
        <v>2</v>
      </c>
      <c r="I2405" s="13">
        <v>1</v>
      </c>
      <c r="J2405" s="13">
        <v>-1</v>
      </c>
      <c r="K2405" s="10">
        <v>2</v>
      </c>
      <c r="L2405" s="2">
        <v>582.99940000000004</v>
      </c>
      <c r="M2405" s="1">
        <v>46151.347916666666</v>
      </c>
      <c r="N2405" t="s">
        <v>486</v>
      </c>
    </row>
    <row r="2406" spans="1:14" x14ac:dyDescent="0.25">
      <c r="A2406" s="9" t="s">
        <v>5211</v>
      </c>
      <c r="B2406" s="10">
        <v>714</v>
      </c>
      <c r="C2406" s="10" t="s">
        <v>143</v>
      </c>
      <c r="D2406" t="s">
        <v>1060</v>
      </c>
      <c r="E2406" t="s">
        <v>1061</v>
      </c>
      <c r="F2406" s="10" t="s">
        <v>39</v>
      </c>
      <c r="G2406" s="2">
        <v>22.1663</v>
      </c>
      <c r="H2406" s="13">
        <v>2</v>
      </c>
      <c r="I2406" s="13">
        <v>0</v>
      </c>
      <c r="J2406" s="13">
        <v>0</v>
      </c>
      <c r="K2406" s="10">
        <v>2</v>
      </c>
      <c r="L2406" s="2">
        <v>44.332599999999999</v>
      </c>
      <c r="M2406" s="1">
        <v>46151.379166666666</v>
      </c>
      <c r="N2406" t="s">
        <v>1062</v>
      </c>
    </row>
    <row r="2407" spans="1:14" x14ac:dyDescent="0.25">
      <c r="A2407" s="9" t="s">
        <v>5211</v>
      </c>
      <c r="B2407" s="10">
        <v>714</v>
      </c>
      <c r="C2407" s="10" t="s">
        <v>323</v>
      </c>
      <c r="D2407" t="s">
        <v>5065</v>
      </c>
      <c r="E2407" t="s">
        <v>5066</v>
      </c>
      <c r="F2407" s="10" t="s">
        <v>23</v>
      </c>
      <c r="G2407" s="2">
        <v>80.908699999999996</v>
      </c>
      <c r="H2407" s="13">
        <v>2</v>
      </c>
      <c r="I2407" s="13">
        <v>20</v>
      </c>
      <c r="J2407" s="13">
        <v>-20</v>
      </c>
      <c r="K2407" s="10">
        <v>2</v>
      </c>
      <c r="L2407" s="2">
        <v>161.81739999999999</v>
      </c>
      <c r="M2407" s="1">
        <v>46151.382638888892</v>
      </c>
      <c r="N2407" t="s">
        <v>2225</v>
      </c>
    </row>
    <row r="2408" spans="1:14" x14ac:dyDescent="0.25">
      <c r="A2408" s="9" t="s">
        <v>5211</v>
      </c>
      <c r="B2408" s="10">
        <v>714</v>
      </c>
      <c r="C2408" s="10" t="s">
        <v>323</v>
      </c>
      <c r="D2408" t="s">
        <v>5059</v>
      </c>
      <c r="E2408" t="s">
        <v>5060</v>
      </c>
      <c r="F2408" s="10" t="s">
        <v>19</v>
      </c>
      <c r="G2408" s="2">
        <v>135.9562</v>
      </c>
      <c r="H2408" s="13">
        <v>2</v>
      </c>
      <c r="I2408" s="13">
        <v>11</v>
      </c>
      <c r="J2408" s="13">
        <v>-11</v>
      </c>
      <c r="K2408" s="10">
        <v>2</v>
      </c>
      <c r="L2408" s="2">
        <v>271.91239999999999</v>
      </c>
      <c r="M2408" s="1">
        <v>46151.545138888891</v>
      </c>
      <c r="N2408" t="s">
        <v>2379</v>
      </c>
    </row>
    <row r="2409" spans="1:14" x14ac:dyDescent="0.25">
      <c r="A2409" s="9" t="s">
        <v>5211</v>
      </c>
      <c r="B2409" s="10">
        <v>636</v>
      </c>
      <c r="C2409" s="10" t="s">
        <v>323</v>
      </c>
      <c r="D2409" t="s">
        <v>1584</v>
      </c>
      <c r="E2409" t="s">
        <v>1585</v>
      </c>
      <c r="F2409" s="10" t="s">
        <v>19</v>
      </c>
      <c r="G2409" s="2">
        <v>211.2038</v>
      </c>
      <c r="H2409" s="13">
        <v>2</v>
      </c>
      <c r="I2409" s="13">
        <v>0</v>
      </c>
      <c r="J2409" s="13">
        <v>0</v>
      </c>
      <c r="K2409" s="10">
        <v>2</v>
      </c>
      <c r="L2409" s="2">
        <v>422.4076</v>
      </c>
      <c r="M2409" s="1">
        <v>46154.363194444442</v>
      </c>
      <c r="N2409" t="s">
        <v>1535</v>
      </c>
    </row>
    <row r="2410" spans="1:14" x14ac:dyDescent="0.25">
      <c r="A2410" s="9" t="s">
        <v>5211</v>
      </c>
      <c r="B2410" s="10">
        <v>634</v>
      </c>
      <c r="C2410" s="10" t="s">
        <v>12</v>
      </c>
      <c r="D2410" t="s">
        <v>3580</v>
      </c>
      <c r="E2410" t="s">
        <v>3581</v>
      </c>
      <c r="F2410" s="10" t="s">
        <v>158</v>
      </c>
      <c r="G2410" s="2">
        <v>24.2</v>
      </c>
      <c r="H2410" s="13">
        <v>2</v>
      </c>
      <c r="I2410" s="13">
        <v>0</v>
      </c>
      <c r="J2410" s="13">
        <v>0</v>
      </c>
      <c r="K2410" s="10">
        <v>2</v>
      </c>
      <c r="L2410" s="2">
        <v>48.4</v>
      </c>
      <c r="M2410" s="1">
        <v>46154.400000000001</v>
      </c>
      <c r="N2410" t="s">
        <v>3982</v>
      </c>
    </row>
    <row r="2411" spans="1:14" x14ac:dyDescent="0.25">
      <c r="A2411" s="9" t="s">
        <v>5211</v>
      </c>
      <c r="B2411" s="10">
        <v>714</v>
      </c>
      <c r="C2411" s="10" t="s">
        <v>323</v>
      </c>
      <c r="D2411" t="s">
        <v>4980</v>
      </c>
      <c r="E2411" t="s">
        <v>4981</v>
      </c>
      <c r="F2411" s="10" t="s">
        <v>43</v>
      </c>
      <c r="G2411" s="2">
        <v>155.73009999999999</v>
      </c>
      <c r="H2411" s="13">
        <v>2</v>
      </c>
      <c r="I2411" s="13">
        <v>4</v>
      </c>
      <c r="J2411" s="13">
        <v>-4</v>
      </c>
      <c r="K2411" s="10">
        <v>2</v>
      </c>
      <c r="L2411" s="2">
        <v>311.46019999999999</v>
      </c>
      <c r="M2411" s="1">
        <v>46154.436111111114</v>
      </c>
      <c r="N2411" t="s">
        <v>137</v>
      </c>
    </row>
    <row r="2412" spans="1:14" x14ac:dyDescent="0.25">
      <c r="A2412" s="9" t="s">
        <v>5211</v>
      </c>
      <c r="B2412" s="10">
        <v>714</v>
      </c>
      <c r="C2412" s="10" t="s">
        <v>143</v>
      </c>
      <c r="D2412" t="s">
        <v>2344</v>
      </c>
      <c r="E2412" t="s">
        <v>2345</v>
      </c>
      <c r="F2412" s="10" t="s">
        <v>29</v>
      </c>
      <c r="G2412" s="2">
        <v>20.313199999999998</v>
      </c>
      <c r="H2412" s="13">
        <v>2</v>
      </c>
      <c r="I2412" s="13">
        <v>0</v>
      </c>
      <c r="J2412" s="13">
        <v>0</v>
      </c>
      <c r="K2412" s="10">
        <v>2</v>
      </c>
      <c r="L2412" s="2">
        <v>40.626399999999997</v>
      </c>
      <c r="M2412" s="1">
        <v>46154.45416666667</v>
      </c>
      <c r="N2412" t="s">
        <v>2066</v>
      </c>
    </row>
    <row r="2413" spans="1:14" x14ac:dyDescent="0.25">
      <c r="A2413" s="9" t="s">
        <v>5211</v>
      </c>
      <c r="B2413" s="10">
        <v>718</v>
      </c>
      <c r="C2413" s="10" t="s">
        <v>143</v>
      </c>
      <c r="D2413" t="s">
        <v>5138</v>
      </c>
      <c r="E2413" t="s">
        <v>5139</v>
      </c>
      <c r="F2413" s="10" t="s">
        <v>23</v>
      </c>
      <c r="G2413" s="2">
        <v>26.708600000000001</v>
      </c>
      <c r="H2413" s="13">
        <v>2</v>
      </c>
      <c r="I2413" s="13">
        <v>155</v>
      </c>
      <c r="J2413" s="13">
        <v>-155</v>
      </c>
      <c r="K2413" s="10">
        <v>2</v>
      </c>
      <c r="L2413" s="2">
        <v>53.417200000000001</v>
      </c>
      <c r="M2413" s="1">
        <v>46155.38958333333</v>
      </c>
      <c r="N2413" t="s">
        <v>30</v>
      </c>
    </row>
    <row r="2414" spans="1:14" x14ac:dyDescent="0.25">
      <c r="A2414" s="9" t="s">
        <v>5211</v>
      </c>
      <c r="B2414" s="10">
        <v>718</v>
      </c>
      <c r="C2414" s="10" t="s">
        <v>143</v>
      </c>
      <c r="D2414" t="s">
        <v>3758</v>
      </c>
      <c r="E2414" t="s">
        <v>3759</v>
      </c>
      <c r="F2414" s="10" t="s">
        <v>19</v>
      </c>
      <c r="G2414" s="2">
        <v>354.79</v>
      </c>
      <c r="H2414" s="13">
        <v>2</v>
      </c>
      <c r="I2414" s="13">
        <v>0</v>
      </c>
      <c r="J2414" s="13">
        <v>0</v>
      </c>
      <c r="K2414" s="10">
        <v>2</v>
      </c>
      <c r="L2414" s="2">
        <v>709.58</v>
      </c>
      <c r="M2414" s="1">
        <v>46155.659722222219</v>
      </c>
      <c r="N2414" t="s">
        <v>501</v>
      </c>
    </row>
    <row r="2415" spans="1:14" x14ac:dyDescent="0.25">
      <c r="A2415" s="9" t="s">
        <v>5211</v>
      </c>
      <c r="B2415" s="10">
        <v>636</v>
      </c>
      <c r="C2415" s="10" t="s">
        <v>70</v>
      </c>
      <c r="D2415" t="s">
        <v>663</v>
      </c>
      <c r="E2415" t="s">
        <v>664</v>
      </c>
      <c r="F2415" s="10" t="s">
        <v>29</v>
      </c>
      <c r="G2415" s="2">
        <v>8.1731999999999996</v>
      </c>
      <c r="H2415" s="13">
        <v>2</v>
      </c>
      <c r="I2415" s="13">
        <v>0</v>
      </c>
      <c r="J2415" s="13">
        <v>0</v>
      </c>
      <c r="K2415" s="10">
        <v>2</v>
      </c>
      <c r="L2415" s="2">
        <v>16.346399999999999</v>
      </c>
      <c r="M2415" s="1">
        <v>46156.416666666664</v>
      </c>
      <c r="N2415" t="s">
        <v>665</v>
      </c>
    </row>
    <row r="2416" spans="1:14" x14ac:dyDescent="0.25">
      <c r="A2416" s="9" t="s">
        <v>5211</v>
      </c>
      <c r="B2416" s="10">
        <v>636</v>
      </c>
      <c r="C2416" s="10" t="s">
        <v>143</v>
      </c>
      <c r="D2416" t="s">
        <v>4513</v>
      </c>
      <c r="E2416" t="s">
        <v>4514</v>
      </c>
      <c r="F2416" s="10" t="s">
        <v>29</v>
      </c>
      <c r="G2416" s="2">
        <v>46.776899999999998</v>
      </c>
      <c r="H2416" s="13">
        <v>2</v>
      </c>
      <c r="I2416" s="13">
        <v>0</v>
      </c>
      <c r="J2416" s="13">
        <v>0</v>
      </c>
      <c r="K2416" s="10">
        <v>2</v>
      </c>
      <c r="L2416" s="2">
        <v>93.553799999999995</v>
      </c>
      <c r="M2416" s="1">
        <v>46156.62222222222</v>
      </c>
      <c r="N2416" t="s">
        <v>26</v>
      </c>
    </row>
    <row r="2417" spans="1:14" x14ac:dyDescent="0.25">
      <c r="A2417" s="9" t="s">
        <v>5211</v>
      </c>
      <c r="B2417" s="10">
        <v>636</v>
      </c>
      <c r="C2417" s="10" t="s">
        <v>143</v>
      </c>
      <c r="D2417" t="s">
        <v>4515</v>
      </c>
      <c r="E2417" t="s">
        <v>4516</v>
      </c>
      <c r="F2417" s="10" t="s">
        <v>23</v>
      </c>
      <c r="G2417" s="2">
        <v>15.386200000000001</v>
      </c>
      <c r="H2417" s="13">
        <v>2</v>
      </c>
      <c r="I2417" s="13">
        <v>41</v>
      </c>
      <c r="J2417" s="13">
        <v>-41</v>
      </c>
      <c r="K2417" s="10">
        <v>2</v>
      </c>
      <c r="L2417" s="2">
        <v>30.772400000000001</v>
      </c>
      <c r="M2417" s="1">
        <v>46157.430555555555</v>
      </c>
      <c r="N2417" t="s">
        <v>40</v>
      </c>
    </row>
    <row r="2418" spans="1:14" x14ac:dyDescent="0.25">
      <c r="A2418" s="9" t="s">
        <v>5211</v>
      </c>
      <c r="B2418" s="10">
        <v>636</v>
      </c>
      <c r="C2418" s="10" t="s">
        <v>323</v>
      </c>
      <c r="D2418" t="s">
        <v>4645</v>
      </c>
      <c r="E2418" t="s">
        <v>4646</v>
      </c>
      <c r="F2418" s="10" t="s">
        <v>158</v>
      </c>
      <c r="G2418" s="2">
        <v>216.16139999999999</v>
      </c>
      <c r="H2418" s="13">
        <v>2</v>
      </c>
      <c r="I2418" s="13">
        <v>28</v>
      </c>
      <c r="J2418" s="13">
        <v>-28</v>
      </c>
      <c r="K2418" s="10">
        <v>2</v>
      </c>
      <c r="L2418" s="2">
        <v>432.32279999999997</v>
      </c>
      <c r="M2418" s="1">
        <v>46157.602083333331</v>
      </c>
      <c r="N2418" t="s">
        <v>1224</v>
      </c>
    </row>
    <row r="2419" spans="1:14" x14ac:dyDescent="0.25">
      <c r="A2419" s="9" t="s">
        <v>5211</v>
      </c>
      <c r="B2419" s="10">
        <v>634</v>
      </c>
      <c r="C2419" s="10" t="s">
        <v>143</v>
      </c>
      <c r="D2419" t="s">
        <v>4112</v>
      </c>
      <c r="E2419" t="s">
        <v>4113</v>
      </c>
      <c r="F2419" s="10" t="s">
        <v>23</v>
      </c>
      <c r="G2419" s="2">
        <v>76.223399999999998</v>
      </c>
      <c r="H2419" s="13">
        <v>2</v>
      </c>
      <c r="I2419" s="13">
        <v>13</v>
      </c>
      <c r="J2419" s="13">
        <v>-13</v>
      </c>
      <c r="K2419" s="10">
        <v>2</v>
      </c>
      <c r="L2419" s="2">
        <v>152.4468</v>
      </c>
      <c r="M2419" s="1">
        <v>46157.606249999997</v>
      </c>
      <c r="N2419" t="s">
        <v>175</v>
      </c>
    </row>
    <row r="2420" spans="1:14" x14ac:dyDescent="0.25">
      <c r="A2420" s="9" t="s">
        <v>5211</v>
      </c>
      <c r="B2420" s="10">
        <v>634</v>
      </c>
      <c r="C2420" s="10" t="s">
        <v>143</v>
      </c>
      <c r="D2420" t="s">
        <v>4122</v>
      </c>
      <c r="E2420" t="s">
        <v>4123</v>
      </c>
      <c r="F2420" s="10" t="s">
        <v>23</v>
      </c>
      <c r="G2420" s="2">
        <v>40.538400000000003</v>
      </c>
      <c r="H2420" s="13">
        <v>2</v>
      </c>
      <c r="I2420" s="13">
        <v>112</v>
      </c>
      <c r="J2420" s="13">
        <v>-112</v>
      </c>
      <c r="K2420" s="10">
        <v>2</v>
      </c>
      <c r="L2420" s="2">
        <v>81.076800000000006</v>
      </c>
      <c r="M2420" s="1">
        <v>46157.606249999997</v>
      </c>
      <c r="N2420" t="s">
        <v>175</v>
      </c>
    </row>
    <row r="2421" spans="1:14" x14ac:dyDescent="0.25">
      <c r="A2421" s="9" t="s">
        <v>5211</v>
      </c>
      <c r="B2421" s="10">
        <v>714</v>
      </c>
      <c r="C2421" s="10" t="s">
        <v>1749</v>
      </c>
      <c r="D2421" t="s">
        <v>3570</v>
      </c>
      <c r="E2421" t="s">
        <v>3571</v>
      </c>
      <c r="F2421" s="10" t="s">
        <v>112</v>
      </c>
      <c r="G2421" s="2">
        <v>15.5199</v>
      </c>
      <c r="H2421" s="13">
        <v>2</v>
      </c>
      <c r="I2421" s="13">
        <v>0</v>
      </c>
      <c r="J2421" s="13">
        <v>0</v>
      </c>
      <c r="K2421" s="10">
        <v>2</v>
      </c>
      <c r="L2421" s="2">
        <v>31.0398</v>
      </c>
      <c r="M2421" s="1">
        <v>46161.356249999997</v>
      </c>
      <c r="N2421" t="s">
        <v>542</v>
      </c>
    </row>
    <row r="2422" spans="1:14" x14ac:dyDescent="0.25">
      <c r="A2422" s="9" t="s">
        <v>5211</v>
      </c>
      <c r="B2422" s="10">
        <v>714</v>
      </c>
      <c r="C2422" s="10" t="s">
        <v>143</v>
      </c>
      <c r="D2422" t="s">
        <v>2475</v>
      </c>
      <c r="E2422" t="s">
        <v>2476</v>
      </c>
      <c r="F2422" s="10" t="s">
        <v>29</v>
      </c>
      <c r="G2422" s="2">
        <v>17.959800000000001</v>
      </c>
      <c r="H2422" s="13">
        <v>2</v>
      </c>
      <c r="I2422" s="13">
        <v>0</v>
      </c>
      <c r="J2422" s="13">
        <v>0</v>
      </c>
      <c r="K2422" s="10">
        <v>2</v>
      </c>
      <c r="L2422" s="2">
        <v>35.919600000000003</v>
      </c>
      <c r="M2422" s="1">
        <v>46161.444444444445</v>
      </c>
      <c r="N2422" t="s">
        <v>550</v>
      </c>
    </row>
    <row r="2423" spans="1:14" x14ac:dyDescent="0.25">
      <c r="A2423" s="9" t="s">
        <v>5211</v>
      </c>
      <c r="B2423" s="10">
        <v>634</v>
      </c>
      <c r="C2423" s="10" t="s">
        <v>143</v>
      </c>
      <c r="D2423" t="s">
        <v>308</v>
      </c>
      <c r="E2423" t="s">
        <v>309</v>
      </c>
      <c r="F2423" s="10" t="s">
        <v>23</v>
      </c>
      <c r="G2423" s="2">
        <v>61.130899999999997</v>
      </c>
      <c r="H2423" s="13">
        <v>2</v>
      </c>
      <c r="I2423" s="13">
        <v>0</v>
      </c>
      <c r="J2423" s="13">
        <v>0</v>
      </c>
      <c r="K2423" s="10">
        <v>2</v>
      </c>
      <c r="L2423" s="2">
        <v>122.26179999999999</v>
      </c>
      <c r="M2423" s="1">
        <v>46161.469444444447</v>
      </c>
      <c r="N2423" t="s">
        <v>310</v>
      </c>
    </row>
    <row r="2424" spans="1:14" x14ac:dyDescent="0.25">
      <c r="A2424" s="9" t="s">
        <v>5211</v>
      </c>
      <c r="B2424" s="10">
        <v>634</v>
      </c>
      <c r="C2424" s="10" t="s">
        <v>143</v>
      </c>
      <c r="D2424" t="s">
        <v>4210</v>
      </c>
      <c r="E2424" t="s">
        <v>4211</v>
      </c>
      <c r="F2424" s="10" t="s">
        <v>23</v>
      </c>
      <c r="G2424" s="2">
        <v>15.7691</v>
      </c>
      <c r="H2424" s="13">
        <v>2</v>
      </c>
      <c r="I2424" s="13">
        <v>61</v>
      </c>
      <c r="J2424" s="13">
        <v>-61</v>
      </c>
      <c r="K2424" s="10">
        <v>2</v>
      </c>
      <c r="L2424" s="2">
        <v>31.5382</v>
      </c>
      <c r="M2424" s="1">
        <v>46162.544444444444</v>
      </c>
      <c r="N2424" t="s">
        <v>162</v>
      </c>
    </row>
    <row r="2425" spans="1:14" x14ac:dyDescent="0.25">
      <c r="A2425" s="9" t="s">
        <v>5211</v>
      </c>
      <c r="B2425" s="10">
        <v>636</v>
      </c>
      <c r="C2425" s="10" t="s">
        <v>143</v>
      </c>
      <c r="D2425" t="s">
        <v>955</v>
      </c>
      <c r="E2425" t="s">
        <v>956</v>
      </c>
      <c r="F2425" s="10" t="s">
        <v>29</v>
      </c>
      <c r="G2425" s="2">
        <v>20.191700000000001</v>
      </c>
      <c r="H2425" s="13">
        <v>2</v>
      </c>
      <c r="I2425" s="13">
        <v>0</v>
      </c>
      <c r="J2425" s="13">
        <v>0</v>
      </c>
      <c r="K2425" s="10">
        <v>2</v>
      </c>
      <c r="L2425" s="2">
        <v>40.383400000000002</v>
      </c>
      <c r="M2425" s="1">
        <v>46162.611805555556</v>
      </c>
      <c r="N2425" t="s">
        <v>562</v>
      </c>
    </row>
    <row r="2426" spans="1:14" x14ac:dyDescent="0.25">
      <c r="A2426" s="9" t="s">
        <v>5211</v>
      </c>
      <c r="B2426" s="10">
        <v>636</v>
      </c>
      <c r="C2426" s="10" t="s">
        <v>143</v>
      </c>
      <c r="D2426" t="s">
        <v>4509</v>
      </c>
      <c r="E2426" t="s">
        <v>4510</v>
      </c>
      <c r="F2426" s="10" t="s">
        <v>39</v>
      </c>
      <c r="G2426" s="2">
        <v>20.765699999999999</v>
      </c>
      <c r="H2426" s="13">
        <v>2</v>
      </c>
      <c r="I2426" s="13">
        <v>0</v>
      </c>
      <c r="J2426" s="13">
        <v>0</v>
      </c>
      <c r="K2426" s="10">
        <v>2</v>
      </c>
      <c r="L2426" s="2">
        <v>41.531399999999998</v>
      </c>
      <c r="M2426" s="1">
        <v>46162.611805555556</v>
      </c>
      <c r="N2426" t="s">
        <v>562</v>
      </c>
    </row>
    <row r="2427" spans="1:14" x14ac:dyDescent="0.25">
      <c r="A2427" s="9" t="s">
        <v>5211</v>
      </c>
      <c r="B2427" s="10">
        <v>636</v>
      </c>
      <c r="C2427" s="10" t="s">
        <v>143</v>
      </c>
      <c r="D2427" t="s">
        <v>2471</v>
      </c>
      <c r="E2427" t="s">
        <v>2472</v>
      </c>
      <c r="F2427" s="10" t="s">
        <v>39</v>
      </c>
      <c r="G2427" s="2">
        <v>44.820900000000002</v>
      </c>
      <c r="H2427" s="13">
        <v>2</v>
      </c>
      <c r="I2427" s="13">
        <v>0</v>
      </c>
      <c r="J2427" s="13">
        <v>0</v>
      </c>
      <c r="K2427" s="10">
        <v>2</v>
      </c>
      <c r="L2427" s="2">
        <v>89.641800000000003</v>
      </c>
      <c r="M2427" s="1">
        <v>46163.305555555555</v>
      </c>
      <c r="N2427" t="s">
        <v>830</v>
      </c>
    </row>
    <row r="2428" spans="1:14" x14ac:dyDescent="0.25">
      <c r="A2428" s="9" t="s">
        <v>5211</v>
      </c>
      <c r="B2428" s="10">
        <v>714</v>
      </c>
      <c r="C2428" s="10" t="s">
        <v>323</v>
      </c>
      <c r="D2428" t="s">
        <v>4997</v>
      </c>
      <c r="E2428" t="s">
        <v>4998</v>
      </c>
      <c r="F2428" s="10" t="s">
        <v>158</v>
      </c>
      <c r="G2428" s="2">
        <v>145.9034</v>
      </c>
      <c r="H2428" s="13">
        <v>2</v>
      </c>
      <c r="I2428" s="13">
        <v>4</v>
      </c>
      <c r="J2428" s="13">
        <v>-4</v>
      </c>
      <c r="K2428" s="10">
        <v>2</v>
      </c>
      <c r="L2428" s="2">
        <v>291.80680000000001</v>
      </c>
      <c r="M2428" s="1">
        <v>46163.347222222219</v>
      </c>
      <c r="N2428" t="s">
        <v>30</v>
      </c>
    </row>
    <row r="2429" spans="1:14" x14ac:dyDescent="0.25">
      <c r="A2429" s="9" t="s">
        <v>5211</v>
      </c>
      <c r="B2429" s="10">
        <v>636</v>
      </c>
      <c r="C2429" s="10" t="s">
        <v>323</v>
      </c>
      <c r="D2429" t="s">
        <v>1431</v>
      </c>
      <c r="E2429" t="s">
        <v>1432</v>
      </c>
      <c r="F2429" s="10" t="s">
        <v>158</v>
      </c>
      <c r="G2429" s="2">
        <v>136.7071</v>
      </c>
      <c r="H2429" s="13">
        <v>2</v>
      </c>
      <c r="I2429" s="13">
        <v>-1</v>
      </c>
      <c r="J2429" s="13">
        <v>1</v>
      </c>
      <c r="K2429" s="10">
        <v>2</v>
      </c>
      <c r="L2429" s="2">
        <v>273.41419999999999</v>
      </c>
      <c r="M2429" s="1">
        <v>46164.390972222223</v>
      </c>
      <c r="N2429" t="s">
        <v>151</v>
      </c>
    </row>
    <row r="2430" spans="1:14" x14ac:dyDescent="0.25">
      <c r="A2430" s="9" t="s">
        <v>5211</v>
      </c>
      <c r="B2430" s="10">
        <v>718</v>
      </c>
      <c r="C2430" s="10" t="s">
        <v>70</v>
      </c>
      <c r="D2430" t="s">
        <v>4034</v>
      </c>
      <c r="E2430" t="s">
        <v>4035</v>
      </c>
      <c r="F2430" s="10" t="s">
        <v>23</v>
      </c>
      <c r="G2430" s="2">
        <v>6.6921999999999997</v>
      </c>
      <c r="H2430" s="13">
        <v>2</v>
      </c>
      <c r="I2430" s="13">
        <v>231</v>
      </c>
      <c r="J2430" s="13">
        <v>-231</v>
      </c>
      <c r="K2430" s="10">
        <v>2</v>
      </c>
      <c r="L2430" s="2">
        <v>13.384399999999999</v>
      </c>
      <c r="M2430" s="1">
        <v>46164.525000000001</v>
      </c>
      <c r="N2430" t="s">
        <v>16</v>
      </c>
    </row>
    <row r="2431" spans="1:14" x14ac:dyDescent="0.25">
      <c r="A2431" s="9" t="s">
        <v>5211</v>
      </c>
      <c r="B2431" s="10">
        <v>714</v>
      </c>
      <c r="C2431" s="10" t="s">
        <v>143</v>
      </c>
      <c r="D2431" t="s">
        <v>4783</v>
      </c>
      <c r="E2431" t="s">
        <v>4784</v>
      </c>
      <c r="F2431" s="10" t="s">
        <v>23</v>
      </c>
      <c r="G2431" s="2">
        <v>31.331600000000002</v>
      </c>
      <c r="H2431" s="13">
        <v>2</v>
      </c>
      <c r="I2431" s="13">
        <v>12</v>
      </c>
      <c r="J2431" s="13">
        <v>-12</v>
      </c>
      <c r="K2431" s="10">
        <v>2</v>
      </c>
      <c r="L2431" s="2">
        <v>62.663200000000003</v>
      </c>
      <c r="M2431" s="1">
        <v>46164.634027777778</v>
      </c>
      <c r="N2431" t="s">
        <v>162</v>
      </c>
    </row>
    <row r="2432" spans="1:14" x14ac:dyDescent="0.25">
      <c r="A2432" s="9" t="s">
        <v>5211</v>
      </c>
      <c r="B2432" s="10">
        <v>718</v>
      </c>
      <c r="C2432" s="10" t="s">
        <v>1749</v>
      </c>
      <c r="D2432" t="s">
        <v>3548</v>
      </c>
      <c r="E2432" s="6" t="s">
        <v>3549</v>
      </c>
      <c r="F2432" s="11" t="s">
        <v>58</v>
      </c>
      <c r="G2432" s="2">
        <v>139.67320000000001</v>
      </c>
      <c r="H2432" s="13">
        <v>2</v>
      </c>
      <c r="I2432" s="13">
        <v>1</v>
      </c>
      <c r="J2432" s="13">
        <v>-1</v>
      </c>
      <c r="K2432" s="10">
        <v>2</v>
      </c>
      <c r="L2432" s="2">
        <v>279.34640000000002</v>
      </c>
      <c r="M2432" s="1">
        <v>46169.374305555553</v>
      </c>
      <c r="N2432" t="s">
        <v>137</v>
      </c>
    </row>
    <row r="2433" spans="1:14" x14ac:dyDescent="0.25">
      <c r="A2433" s="9" t="s">
        <v>5211</v>
      </c>
      <c r="B2433" s="10">
        <v>636</v>
      </c>
      <c r="C2433" s="10" t="s">
        <v>323</v>
      </c>
      <c r="D2433" t="s">
        <v>1456</v>
      </c>
      <c r="E2433" t="s">
        <v>1457</v>
      </c>
      <c r="F2433" s="10" t="s">
        <v>29</v>
      </c>
      <c r="G2433" s="2">
        <v>731.14449999999999</v>
      </c>
      <c r="H2433" s="13">
        <v>2</v>
      </c>
      <c r="I2433" s="13">
        <v>0</v>
      </c>
      <c r="J2433" s="13">
        <v>0</v>
      </c>
      <c r="K2433" s="10">
        <v>2</v>
      </c>
      <c r="L2433" s="2">
        <v>1462.289</v>
      </c>
      <c r="M2433" s="1">
        <v>46169.423611111109</v>
      </c>
      <c r="N2433" t="s">
        <v>890</v>
      </c>
    </row>
    <row r="2434" spans="1:14" x14ac:dyDescent="0.25">
      <c r="A2434" s="9" t="s">
        <v>5211</v>
      </c>
      <c r="B2434" s="10">
        <v>636</v>
      </c>
      <c r="C2434" s="10" t="s">
        <v>323</v>
      </c>
      <c r="D2434" t="s">
        <v>1630</v>
      </c>
      <c r="E2434" t="s">
        <v>1631</v>
      </c>
      <c r="F2434" s="10" t="s">
        <v>29</v>
      </c>
      <c r="G2434" s="2">
        <v>336.32650000000001</v>
      </c>
      <c r="H2434" s="13">
        <v>2</v>
      </c>
      <c r="I2434" s="13">
        <v>0</v>
      </c>
      <c r="J2434" s="13">
        <v>0</v>
      </c>
      <c r="K2434" s="10">
        <v>2</v>
      </c>
      <c r="L2434" s="2">
        <v>672.65300000000002</v>
      </c>
      <c r="M2434" s="1">
        <v>46169.423611111109</v>
      </c>
      <c r="N2434" t="s">
        <v>890</v>
      </c>
    </row>
    <row r="2435" spans="1:14" x14ac:dyDescent="0.25">
      <c r="A2435" s="9" t="s">
        <v>5211</v>
      </c>
      <c r="B2435" s="10">
        <v>636</v>
      </c>
      <c r="C2435" s="10" t="s">
        <v>323</v>
      </c>
      <c r="D2435" t="s">
        <v>1594</v>
      </c>
      <c r="E2435" t="s">
        <v>1595</v>
      </c>
      <c r="F2435" s="10" t="s">
        <v>29</v>
      </c>
      <c r="G2435" s="2">
        <v>658.03009999999995</v>
      </c>
      <c r="H2435" s="13">
        <v>2</v>
      </c>
      <c r="I2435" s="13">
        <v>0</v>
      </c>
      <c r="J2435" s="13">
        <v>0</v>
      </c>
      <c r="K2435" s="10">
        <v>2</v>
      </c>
      <c r="L2435" s="2">
        <v>1316.0601999999999</v>
      </c>
      <c r="M2435" s="1">
        <v>46169.423611111109</v>
      </c>
      <c r="N2435" t="s">
        <v>890</v>
      </c>
    </row>
    <row r="2436" spans="1:14" x14ac:dyDescent="0.25">
      <c r="A2436" s="9" t="s">
        <v>5211</v>
      </c>
      <c r="B2436" s="10">
        <v>636</v>
      </c>
      <c r="C2436" s="10" t="s">
        <v>323</v>
      </c>
      <c r="D2436" t="s">
        <v>1517</v>
      </c>
      <c r="E2436" t="s">
        <v>1518</v>
      </c>
      <c r="F2436" s="10" t="s">
        <v>29</v>
      </c>
      <c r="G2436" s="2">
        <v>245.66460000000001</v>
      </c>
      <c r="H2436" s="13">
        <v>2</v>
      </c>
      <c r="I2436" s="13">
        <v>0</v>
      </c>
      <c r="J2436" s="13">
        <v>0</v>
      </c>
      <c r="K2436" s="10">
        <v>2</v>
      </c>
      <c r="L2436" s="2">
        <v>491.32920000000001</v>
      </c>
      <c r="M2436" s="1">
        <v>46169.423611111109</v>
      </c>
      <c r="N2436" t="s">
        <v>890</v>
      </c>
    </row>
    <row r="2437" spans="1:14" x14ac:dyDescent="0.25">
      <c r="A2437" s="9" t="s">
        <v>5211</v>
      </c>
      <c r="B2437" s="10">
        <v>634</v>
      </c>
      <c r="C2437" s="10" t="s">
        <v>143</v>
      </c>
      <c r="D2437" t="s">
        <v>4186</v>
      </c>
      <c r="E2437" t="s">
        <v>4187</v>
      </c>
      <c r="F2437" s="10" t="s">
        <v>158</v>
      </c>
      <c r="G2437" s="2">
        <v>43.255800000000001</v>
      </c>
      <c r="H2437" s="13">
        <v>2</v>
      </c>
      <c r="I2437" s="13">
        <v>51</v>
      </c>
      <c r="J2437" s="13">
        <v>-51</v>
      </c>
      <c r="K2437" s="10">
        <v>2</v>
      </c>
      <c r="L2437" s="2">
        <v>86.511600000000001</v>
      </c>
      <c r="M2437" s="1">
        <v>46170.463194444441</v>
      </c>
      <c r="N2437" t="s">
        <v>61</v>
      </c>
    </row>
    <row r="2438" spans="1:14" x14ac:dyDescent="0.25">
      <c r="A2438" s="9" t="s">
        <v>5211</v>
      </c>
      <c r="B2438" s="10">
        <v>718</v>
      </c>
      <c r="C2438" s="10" t="s">
        <v>323</v>
      </c>
      <c r="D2438" t="s">
        <v>3968</v>
      </c>
      <c r="E2438" t="s">
        <v>3969</v>
      </c>
      <c r="F2438" s="10" t="s">
        <v>19</v>
      </c>
      <c r="G2438" s="2">
        <v>139.4889</v>
      </c>
      <c r="H2438" s="13">
        <v>2</v>
      </c>
      <c r="I2438" s="13">
        <v>0</v>
      </c>
      <c r="J2438" s="13">
        <v>0</v>
      </c>
      <c r="K2438" s="10">
        <v>2</v>
      </c>
      <c r="L2438" s="2">
        <v>278.9778</v>
      </c>
      <c r="M2438" s="1">
        <v>46172.410416666666</v>
      </c>
      <c r="N2438" t="s">
        <v>2358</v>
      </c>
    </row>
    <row r="2439" spans="1:14" x14ac:dyDescent="0.25">
      <c r="A2439" s="9" t="s">
        <v>5211</v>
      </c>
      <c r="B2439" s="10">
        <v>718</v>
      </c>
      <c r="C2439" s="10" t="s">
        <v>323</v>
      </c>
      <c r="D2439" t="s">
        <v>5053</v>
      </c>
      <c r="E2439" t="s">
        <v>5054</v>
      </c>
      <c r="F2439" s="10" t="s">
        <v>19</v>
      </c>
      <c r="G2439" s="2">
        <v>303.7758</v>
      </c>
      <c r="H2439" s="13">
        <v>2</v>
      </c>
      <c r="I2439" s="13">
        <v>12</v>
      </c>
      <c r="J2439" s="13">
        <v>-12</v>
      </c>
      <c r="K2439" s="10">
        <v>2</v>
      </c>
      <c r="L2439" s="2">
        <v>607.55160000000001</v>
      </c>
      <c r="M2439" s="1">
        <v>46172.410416666666</v>
      </c>
      <c r="N2439" t="s">
        <v>2358</v>
      </c>
    </row>
    <row r="2440" spans="1:14" x14ac:dyDescent="0.25">
      <c r="A2440" s="9" t="s">
        <v>5211</v>
      </c>
      <c r="B2440" s="10">
        <v>718</v>
      </c>
      <c r="C2440" s="10" t="s">
        <v>323</v>
      </c>
      <c r="D2440" t="s">
        <v>3905</v>
      </c>
      <c r="E2440" t="s">
        <v>3906</v>
      </c>
      <c r="F2440" s="10" t="s">
        <v>29</v>
      </c>
      <c r="G2440" s="2">
        <v>229.3817</v>
      </c>
      <c r="H2440" s="13">
        <v>2</v>
      </c>
      <c r="I2440" s="13">
        <v>0</v>
      </c>
      <c r="J2440" s="13">
        <v>0</v>
      </c>
      <c r="K2440" s="10">
        <v>2</v>
      </c>
      <c r="L2440" s="2">
        <v>458.76339999999999</v>
      </c>
      <c r="M2440" s="1">
        <v>46172.410416666666</v>
      </c>
      <c r="N2440" t="s">
        <v>2358</v>
      </c>
    </row>
    <row r="2441" spans="1:14" x14ac:dyDescent="0.25">
      <c r="A2441" s="9" t="s">
        <v>5211</v>
      </c>
      <c r="B2441" s="10">
        <v>718</v>
      </c>
      <c r="C2441" s="10" t="s">
        <v>143</v>
      </c>
      <c r="D2441" t="s">
        <v>4152</v>
      </c>
      <c r="E2441" t="s">
        <v>4153</v>
      </c>
      <c r="F2441" s="10" t="s">
        <v>23</v>
      </c>
      <c r="G2441" s="2">
        <v>51.145899999999997</v>
      </c>
      <c r="H2441" s="13">
        <v>2</v>
      </c>
      <c r="I2441" s="13">
        <v>0</v>
      </c>
      <c r="J2441" s="13">
        <v>0</v>
      </c>
      <c r="K2441" s="10">
        <v>2</v>
      </c>
      <c r="L2441" s="2">
        <v>102.29179999999999</v>
      </c>
      <c r="M2441" s="1">
        <v>46172.410416666666</v>
      </c>
      <c r="N2441" t="s">
        <v>2358</v>
      </c>
    </row>
    <row r="2442" spans="1:14" x14ac:dyDescent="0.25">
      <c r="A2442" s="9" t="s">
        <v>5211</v>
      </c>
      <c r="B2442" s="10">
        <v>714</v>
      </c>
      <c r="C2442" s="10" t="s">
        <v>143</v>
      </c>
      <c r="D2442" t="s">
        <v>2535</v>
      </c>
      <c r="E2442" t="s">
        <v>2536</v>
      </c>
      <c r="F2442" s="10" t="s">
        <v>29</v>
      </c>
      <c r="G2442" s="2">
        <v>19.688500000000001</v>
      </c>
      <c r="H2442" s="13">
        <v>2</v>
      </c>
      <c r="I2442" s="13">
        <v>0</v>
      </c>
      <c r="J2442" s="13">
        <v>0</v>
      </c>
      <c r="K2442" s="10">
        <v>2</v>
      </c>
      <c r="L2442" s="2">
        <v>39.377000000000002</v>
      </c>
      <c r="M2442" s="1">
        <v>46175.431944444441</v>
      </c>
      <c r="N2442" t="s">
        <v>195</v>
      </c>
    </row>
    <row r="2443" spans="1:14" x14ac:dyDescent="0.25">
      <c r="A2443" s="9" t="s">
        <v>5211</v>
      </c>
      <c r="B2443" s="10">
        <v>718</v>
      </c>
      <c r="C2443" s="10" t="s">
        <v>143</v>
      </c>
      <c r="D2443" t="s">
        <v>2707</v>
      </c>
      <c r="E2443" t="s">
        <v>2708</v>
      </c>
      <c r="F2443" s="10" t="s">
        <v>23</v>
      </c>
      <c r="G2443" s="2">
        <v>119.6835</v>
      </c>
      <c r="H2443" s="13">
        <v>2</v>
      </c>
      <c r="I2443" s="13">
        <v>-2</v>
      </c>
      <c r="J2443" s="13">
        <v>2</v>
      </c>
      <c r="K2443" s="10">
        <v>2</v>
      </c>
      <c r="L2443" s="2">
        <v>239.36699999999999</v>
      </c>
      <c r="M2443" s="1">
        <v>46175.657638888886</v>
      </c>
      <c r="N2443" t="s">
        <v>137</v>
      </c>
    </row>
    <row r="2444" spans="1:14" x14ac:dyDescent="0.25">
      <c r="A2444" s="9" t="s">
        <v>5211</v>
      </c>
      <c r="B2444" s="10">
        <v>636</v>
      </c>
      <c r="C2444" s="10" t="s">
        <v>323</v>
      </c>
      <c r="D2444" t="s">
        <v>4359</v>
      </c>
      <c r="E2444" t="s">
        <v>4360</v>
      </c>
      <c r="F2444" s="10" t="s">
        <v>43</v>
      </c>
      <c r="G2444" s="2">
        <v>295.87400000000002</v>
      </c>
      <c r="H2444" s="13">
        <v>2</v>
      </c>
      <c r="I2444" s="13">
        <v>10</v>
      </c>
      <c r="J2444" s="13">
        <v>-10</v>
      </c>
      <c r="K2444" s="10">
        <v>2</v>
      </c>
      <c r="L2444" s="2">
        <v>591.74800000000005</v>
      </c>
      <c r="M2444" s="1">
        <v>46176.42083333333</v>
      </c>
      <c r="N2444" t="s">
        <v>151</v>
      </c>
    </row>
    <row r="2445" spans="1:14" x14ac:dyDescent="0.25">
      <c r="A2445" s="9" t="s">
        <v>5211</v>
      </c>
      <c r="B2445" s="10">
        <v>714</v>
      </c>
      <c r="C2445" s="10" t="s">
        <v>70</v>
      </c>
      <c r="D2445" t="s">
        <v>4008</v>
      </c>
      <c r="E2445" t="s">
        <v>4009</v>
      </c>
      <c r="F2445" s="10" t="s">
        <v>29</v>
      </c>
      <c r="G2445" s="2">
        <v>5.6539999999999999</v>
      </c>
      <c r="H2445" s="13">
        <v>2</v>
      </c>
      <c r="I2445" s="13">
        <v>-3</v>
      </c>
      <c r="J2445" s="13">
        <v>3</v>
      </c>
      <c r="K2445" s="10">
        <v>2</v>
      </c>
      <c r="L2445" s="2">
        <v>11.308</v>
      </c>
      <c r="M2445" s="1">
        <v>46176.706944444442</v>
      </c>
      <c r="N2445" t="s">
        <v>16</v>
      </c>
    </row>
    <row r="2446" spans="1:14" x14ac:dyDescent="0.25">
      <c r="A2446" s="9" t="s">
        <v>5211</v>
      </c>
      <c r="B2446" s="10">
        <v>636</v>
      </c>
      <c r="C2446" s="10" t="s">
        <v>70</v>
      </c>
      <c r="D2446" t="s">
        <v>721</v>
      </c>
      <c r="E2446" t="s">
        <v>722</v>
      </c>
      <c r="F2446" s="10" t="s">
        <v>43</v>
      </c>
      <c r="G2446" s="2">
        <v>6.6315</v>
      </c>
      <c r="H2446" s="13">
        <v>2</v>
      </c>
      <c r="I2446" s="13">
        <v>0</v>
      </c>
      <c r="J2446" s="13">
        <v>0</v>
      </c>
      <c r="K2446" s="10">
        <v>2</v>
      </c>
      <c r="L2446" s="2">
        <v>13.263</v>
      </c>
      <c r="M2446" s="1">
        <v>46177.337500000001</v>
      </c>
      <c r="N2446" t="s">
        <v>542</v>
      </c>
    </row>
    <row r="2447" spans="1:14" x14ac:dyDescent="0.25">
      <c r="A2447" s="9" t="s">
        <v>5211</v>
      </c>
      <c r="B2447" s="10">
        <v>636</v>
      </c>
      <c r="C2447" s="10" t="s">
        <v>70</v>
      </c>
      <c r="D2447" t="s">
        <v>793</v>
      </c>
      <c r="E2447" t="s">
        <v>794</v>
      </c>
      <c r="F2447" s="10" t="s">
        <v>39</v>
      </c>
      <c r="G2447" s="2">
        <v>7.8002000000000002</v>
      </c>
      <c r="H2447" s="13">
        <v>2</v>
      </c>
      <c r="I2447" s="13">
        <v>0</v>
      </c>
      <c r="J2447" s="13">
        <v>0</v>
      </c>
      <c r="K2447" s="10">
        <v>2</v>
      </c>
      <c r="L2447" s="2">
        <v>15.6004</v>
      </c>
      <c r="M2447" s="1">
        <v>46177.399305555555</v>
      </c>
      <c r="N2447" t="s">
        <v>16</v>
      </c>
    </row>
    <row r="2448" spans="1:14" x14ac:dyDescent="0.25">
      <c r="A2448" s="9" t="s">
        <v>5211</v>
      </c>
      <c r="B2448" s="10">
        <v>636</v>
      </c>
      <c r="C2448" s="10" t="s">
        <v>126</v>
      </c>
      <c r="D2448" t="s">
        <v>4467</v>
      </c>
      <c r="E2448" t="s">
        <v>4468</v>
      </c>
      <c r="F2448" s="10" t="s">
        <v>39</v>
      </c>
      <c r="G2448" s="2">
        <v>6.7</v>
      </c>
      <c r="H2448" s="13">
        <v>2</v>
      </c>
      <c r="I2448" s="13">
        <v>3</v>
      </c>
      <c r="J2448" s="13">
        <v>-3</v>
      </c>
      <c r="K2448" s="10">
        <v>2</v>
      </c>
      <c r="L2448" s="2">
        <v>13.4</v>
      </c>
      <c r="M2448" s="1">
        <v>46177.399305555555</v>
      </c>
      <c r="N2448" t="s">
        <v>16</v>
      </c>
    </row>
    <row r="2449" spans="1:14" x14ac:dyDescent="0.25">
      <c r="A2449" s="9" t="s">
        <v>5211</v>
      </c>
      <c r="B2449" s="10">
        <v>636</v>
      </c>
      <c r="C2449" s="10" t="s">
        <v>70</v>
      </c>
      <c r="D2449" t="s">
        <v>769</v>
      </c>
      <c r="E2449" t="s">
        <v>770</v>
      </c>
      <c r="F2449" s="10" t="s">
        <v>39</v>
      </c>
      <c r="G2449" s="2">
        <v>7.2500999999999998</v>
      </c>
      <c r="H2449" s="13">
        <v>2</v>
      </c>
      <c r="I2449" s="13">
        <v>0</v>
      </c>
      <c r="J2449" s="13">
        <v>0</v>
      </c>
      <c r="K2449" s="10">
        <v>2</v>
      </c>
      <c r="L2449" s="2">
        <v>14.5002</v>
      </c>
      <c r="M2449" s="1">
        <v>46177.399305555555</v>
      </c>
      <c r="N2449" t="s">
        <v>16</v>
      </c>
    </row>
    <row r="2450" spans="1:14" x14ac:dyDescent="0.25">
      <c r="A2450" s="9" t="s">
        <v>5211</v>
      </c>
      <c r="B2450" s="10">
        <v>634</v>
      </c>
      <c r="C2450" s="10" t="s">
        <v>70</v>
      </c>
      <c r="D2450" t="s">
        <v>86</v>
      </c>
      <c r="E2450" t="s">
        <v>87</v>
      </c>
      <c r="F2450" s="10" t="s">
        <v>81</v>
      </c>
      <c r="G2450" s="2">
        <v>6.7615999999999996</v>
      </c>
      <c r="H2450" s="13">
        <v>2</v>
      </c>
      <c r="I2450" s="13">
        <v>0</v>
      </c>
      <c r="J2450" s="13">
        <v>0</v>
      </c>
      <c r="K2450" s="10">
        <v>2</v>
      </c>
      <c r="L2450" s="2">
        <v>13.523199999999999</v>
      </c>
      <c r="M2450" s="1">
        <v>46177.4</v>
      </c>
      <c r="N2450" t="s">
        <v>16</v>
      </c>
    </row>
    <row r="2451" spans="1:14" x14ac:dyDescent="0.25">
      <c r="A2451" s="9" t="s">
        <v>5211</v>
      </c>
      <c r="B2451" s="10">
        <v>634</v>
      </c>
      <c r="C2451" s="10" t="s">
        <v>143</v>
      </c>
      <c r="D2451" t="s">
        <v>4208</v>
      </c>
      <c r="E2451" t="s">
        <v>4209</v>
      </c>
      <c r="F2451" s="10" t="s">
        <v>23</v>
      </c>
      <c r="G2451" s="2">
        <v>31.698699999999999</v>
      </c>
      <c r="H2451" s="13">
        <v>2</v>
      </c>
      <c r="I2451" s="13">
        <v>91</v>
      </c>
      <c r="J2451" s="13">
        <v>-91</v>
      </c>
      <c r="K2451" s="10">
        <v>2</v>
      </c>
      <c r="L2451" s="2">
        <v>63.397399999999998</v>
      </c>
      <c r="M2451" s="1">
        <v>46177.511111111111</v>
      </c>
      <c r="N2451" t="s">
        <v>175</v>
      </c>
    </row>
    <row r="2452" spans="1:14" x14ac:dyDescent="0.25">
      <c r="A2452" s="9" t="s">
        <v>5211</v>
      </c>
      <c r="B2452" s="10">
        <v>634</v>
      </c>
      <c r="C2452" s="10" t="s">
        <v>70</v>
      </c>
      <c r="D2452" t="s">
        <v>4018</v>
      </c>
      <c r="E2452" t="s">
        <v>4019</v>
      </c>
      <c r="F2452" s="10" t="s">
        <v>39</v>
      </c>
      <c r="G2452" s="2">
        <v>5.7366000000000001</v>
      </c>
      <c r="H2452" s="13">
        <v>2</v>
      </c>
      <c r="I2452" s="13">
        <v>51</v>
      </c>
      <c r="J2452" s="13">
        <v>-51</v>
      </c>
      <c r="K2452" s="10">
        <v>2</v>
      </c>
      <c r="L2452" s="2">
        <v>11.4732</v>
      </c>
      <c r="M2452" s="1">
        <v>46177.574999999997</v>
      </c>
      <c r="N2452" t="s">
        <v>26</v>
      </c>
    </row>
    <row r="2453" spans="1:14" x14ac:dyDescent="0.25">
      <c r="A2453" s="9" t="s">
        <v>5211</v>
      </c>
      <c r="B2453" s="10">
        <v>636</v>
      </c>
      <c r="C2453" s="10" t="s">
        <v>70</v>
      </c>
      <c r="D2453" t="s">
        <v>4425</v>
      </c>
      <c r="E2453" t="s">
        <v>4426</v>
      </c>
      <c r="F2453" s="10" t="s">
        <v>39</v>
      </c>
      <c r="G2453" s="2">
        <v>14.065099999999999</v>
      </c>
      <c r="H2453" s="13">
        <v>2</v>
      </c>
      <c r="I2453" s="13">
        <v>5</v>
      </c>
      <c r="J2453" s="13">
        <v>-5</v>
      </c>
      <c r="K2453" s="10">
        <v>2</v>
      </c>
      <c r="L2453" s="2">
        <v>28.130199999999999</v>
      </c>
      <c r="M2453" s="1">
        <v>46177.604166666664</v>
      </c>
      <c r="N2453" t="s">
        <v>40</v>
      </c>
    </row>
    <row r="2454" spans="1:14" x14ac:dyDescent="0.25">
      <c r="A2454" s="9" t="s">
        <v>5211</v>
      </c>
      <c r="B2454" s="10">
        <v>634</v>
      </c>
      <c r="C2454" s="10" t="s">
        <v>143</v>
      </c>
      <c r="D2454" t="s">
        <v>4252</v>
      </c>
      <c r="E2454" t="s">
        <v>4253</v>
      </c>
      <c r="F2454" s="10" t="s">
        <v>43</v>
      </c>
      <c r="G2454" s="2">
        <v>51.301499999999997</v>
      </c>
      <c r="H2454" s="13">
        <v>2</v>
      </c>
      <c r="I2454" s="13">
        <v>18</v>
      </c>
      <c r="J2454" s="13">
        <v>-18</v>
      </c>
      <c r="K2454" s="10">
        <v>2</v>
      </c>
      <c r="L2454" s="2">
        <v>102.60299999999999</v>
      </c>
      <c r="M2454" s="1">
        <v>46178.268055555556</v>
      </c>
      <c r="N2454" t="s">
        <v>146</v>
      </c>
    </row>
    <row r="2455" spans="1:14" x14ac:dyDescent="0.25">
      <c r="A2455" s="9" t="s">
        <v>5211</v>
      </c>
      <c r="B2455" s="10">
        <v>636</v>
      </c>
      <c r="C2455" s="10" t="s">
        <v>12</v>
      </c>
      <c r="D2455" t="s">
        <v>48</v>
      </c>
      <c r="E2455" t="s">
        <v>49</v>
      </c>
      <c r="F2455" s="10" t="s">
        <v>39</v>
      </c>
      <c r="G2455" s="2">
        <v>7.2279999999999998</v>
      </c>
      <c r="H2455" s="13">
        <v>2</v>
      </c>
      <c r="I2455" s="13">
        <v>6</v>
      </c>
      <c r="J2455" s="13">
        <v>-6</v>
      </c>
      <c r="K2455" s="10">
        <v>2</v>
      </c>
      <c r="L2455" s="2">
        <v>14.456</v>
      </c>
      <c r="M2455" s="1">
        <v>46178.285416666666</v>
      </c>
      <c r="N2455" t="s">
        <v>522</v>
      </c>
    </row>
    <row r="2456" spans="1:14" x14ac:dyDescent="0.25">
      <c r="A2456" s="9" t="s">
        <v>5211</v>
      </c>
      <c r="B2456" s="10">
        <v>714</v>
      </c>
      <c r="C2456" s="10" t="s">
        <v>12</v>
      </c>
      <c r="D2456" t="s">
        <v>514</v>
      </c>
      <c r="E2456" t="s">
        <v>515</v>
      </c>
      <c r="F2456" s="10" t="s">
        <v>23</v>
      </c>
      <c r="G2456" s="2">
        <v>10.8378</v>
      </c>
      <c r="H2456" s="13">
        <v>2</v>
      </c>
      <c r="I2456" s="13">
        <v>0</v>
      </c>
      <c r="J2456" s="13">
        <v>0</v>
      </c>
      <c r="K2456" s="10">
        <v>2</v>
      </c>
      <c r="L2456" s="2">
        <v>21.675599999999999</v>
      </c>
      <c r="M2456" s="1">
        <v>46178.441666666666</v>
      </c>
      <c r="N2456" t="s">
        <v>216</v>
      </c>
    </row>
    <row r="2457" spans="1:14" x14ac:dyDescent="0.25">
      <c r="A2457" s="9" t="s">
        <v>5211</v>
      </c>
      <c r="B2457" s="10">
        <v>714</v>
      </c>
      <c r="C2457" s="10" t="s">
        <v>143</v>
      </c>
      <c r="D2457" t="s">
        <v>2563</v>
      </c>
      <c r="E2457" t="s">
        <v>2564</v>
      </c>
      <c r="F2457" s="10" t="s">
        <v>158</v>
      </c>
      <c r="G2457" s="2">
        <v>34.372</v>
      </c>
      <c r="H2457" s="13">
        <v>2</v>
      </c>
      <c r="I2457" s="13">
        <v>0</v>
      </c>
      <c r="J2457" s="13">
        <v>0</v>
      </c>
      <c r="K2457" s="10">
        <v>2</v>
      </c>
      <c r="L2457" s="2">
        <v>68.744</v>
      </c>
      <c r="M2457" s="1">
        <v>46178.441666666666</v>
      </c>
      <c r="N2457" t="s">
        <v>216</v>
      </c>
    </row>
    <row r="2458" spans="1:14" x14ac:dyDescent="0.25">
      <c r="A2458" s="9" t="s">
        <v>5211</v>
      </c>
      <c r="B2458" s="10">
        <v>718</v>
      </c>
      <c r="C2458" s="10" t="s">
        <v>323</v>
      </c>
      <c r="D2458" t="s">
        <v>5204</v>
      </c>
      <c r="E2458" t="s">
        <v>5205</v>
      </c>
      <c r="F2458" s="10" t="s">
        <v>158</v>
      </c>
      <c r="G2458" s="2">
        <v>212.625</v>
      </c>
      <c r="H2458" s="13">
        <v>2</v>
      </c>
      <c r="I2458" s="13">
        <v>0</v>
      </c>
      <c r="J2458" s="13">
        <v>0</v>
      </c>
      <c r="K2458" s="10">
        <v>2</v>
      </c>
      <c r="L2458" s="2">
        <v>425.25</v>
      </c>
      <c r="M2458" s="1">
        <v>46178.593055555553</v>
      </c>
      <c r="N2458" t="s">
        <v>3384</v>
      </c>
    </row>
    <row r="2459" spans="1:14" x14ac:dyDescent="0.25">
      <c r="A2459" s="9" t="s">
        <v>5211</v>
      </c>
      <c r="B2459" s="10">
        <v>718</v>
      </c>
      <c r="C2459" s="10" t="s">
        <v>323</v>
      </c>
      <c r="D2459" t="s">
        <v>3003</v>
      </c>
      <c r="E2459" t="s">
        <v>3004</v>
      </c>
      <c r="F2459" s="10" t="s">
        <v>23</v>
      </c>
      <c r="G2459" s="2">
        <v>103.27500000000001</v>
      </c>
      <c r="H2459" s="13">
        <v>2</v>
      </c>
      <c r="I2459" s="13">
        <v>2</v>
      </c>
      <c r="J2459" s="13">
        <v>-2</v>
      </c>
      <c r="K2459" s="10">
        <v>2</v>
      </c>
      <c r="L2459" s="2">
        <v>206.55</v>
      </c>
      <c r="M2459" s="1">
        <v>46178.593055555553</v>
      </c>
      <c r="N2459" t="s">
        <v>3384</v>
      </c>
    </row>
    <row r="2460" spans="1:14" x14ac:dyDescent="0.25">
      <c r="A2460" s="9" t="s">
        <v>5211</v>
      </c>
      <c r="B2460" s="10">
        <v>714</v>
      </c>
      <c r="C2460" s="10" t="s">
        <v>143</v>
      </c>
      <c r="D2460" t="s">
        <v>179</v>
      </c>
      <c r="E2460" t="s">
        <v>180</v>
      </c>
      <c r="F2460" s="10" t="s">
        <v>29</v>
      </c>
      <c r="G2460" s="2">
        <v>18.558900000000001</v>
      </c>
      <c r="H2460" s="13">
        <v>2</v>
      </c>
      <c r="I2460" s="13">
        <v>0</v>
      </c>
      <c r="J2460" s="13">
        <v>0</v>
      </c>
      <c r="K2460" s="10">
        <v>2</v>
      </c>
      <c r="L2460" s="2">
        <v>37.117800000000003</v>
      </c>
      <c r="M2460" s="1">
        <v>46181.388888888891</v>
      </c>
      <c r="N2460" t="s">
        <v>26</v>
      </c>
    </row>
    <row r="2461" spans="1:14" x14ac:dyDescent="0.25">
      <c r="A2461" s="9" t="s">
        <v>5211</v>
      </c>
      <c r="B2461" s="10">
        <v>718</v>
      </c>
      <c r="C2461" s="10" t="s">
        <v>323</v>
      </c>
      <c r="D2461" t="s">
        <v>3480</v>
      </c>
      <c r="E2461" t="s">
        <v>3481</v>
      </c>
      <c r="F2461" s="10" t="s">
        <v>19</v>
      </c>
      <c r="G2461" s="2">
        <v>202.1404</v>
      </c>
      <c r="H2461" s="13">
        <v>2</v>
      </c>
      <c r="I2461" s="13">
        <v>0</v>
      </c>
      <c r="J2461" s="13">
        <v>0</v>
      </c>
      <c r="K2461" s="10">
        <v>2</v>
      </c>
      <c r="L2461" s="2">
        <v>404.2808</v>
      </c>
      <c r="M2461" s="1">
        <v>46181.580555555556</v>
      </c>
      <c r="N2461" t="s">
        <v>67</v>
      </c>
    </row>
    <row r="2462" spans="1:14" x14ac:dyDescent="0.25">
      <c r="A2462" s="9" t="s">
        <v>5211</v>
      </c>
      <c r="B2462" s="10">
        <v>718</v>
      </c>
      <c r="C2462" s="10" t="s">
        <v>12</v>
      </c>
      <c r="D2462" t="s">
        <v>4685</v>
      </c>
      <c r="E2462" t="s">
        <v>4686</v>
      </c>
      <c r="F2462" s="10" t="s">
        <v>23</v>
      </c>
      <c r="G2462" s="2">
        <v>33.0563</v>
      </c>
      <c r="H2462" s="13">
        <v>2</v>
      </c>
      <c r="I2462" s="13">
        <v>3</v>
      </c>
      <c r="J2462" s="13">
        <v>-3</v>
      </c>
      <c r="K2462" s="10">
        <v>2</v>
      </c>
      <c r="L2462" s="2">
        <v>66.1126</v>
      </c>
      <c r="M2462" s="1">
        <v>46181.580555555556</v>
      </c>
      <c r="N2462" t="s">
        <v>67</v>
      </c>
    </row>
    <row r="2463" spans="1:14" x14ac:dyDescent="0.25">
      <c r="A2463" s="9" t="s">
        <v>5211</v>
      </c>
      <c r="B2463" s="10">
        <v>718</v>
      </c>
      <c r="C2463" s="10" t="s">
        <v>12</v>
      </c>
      <c r="D2463" t="s">
        <v>1884</v>
      </c>
      <c r="E2463" t="s">
        <v>1885</v>
      </c>
      <c r="F2463" s="10" t="s">
        <v>15</v>
      </c>
      <c r="G2463" s="2">
        <v>46.143900000000002</v>
      </c>
      <c r="H2463" s="13">
        <v>2</v>
      </c>
      <c r="I2463" s="13">
        <v>0</v>
      </c>
      <c r="J2463" s="13">
        <v>0</v>
      </c>
      <c r="K2463" s="10">
        <v>2</v>
      </c>
      <c r="L2463" s="2">
        <v>92.287800000000004</v>
      </c>
      <c r="M2463" s="1">
        <v>46181.580555555556</v>
      </c>
      <c r="N2463" t="s">
        <v>67</v>
      </c>
    </row>
    <row r="2464" spans="1:14" x14ac:dyDescent="0.25">
      <c r="A2464" s="9" t="s">
        <v>5211</v>
      </c>
      <c r="B2464" s="10">
        <v>718</v>
      </c>
      <c r="C2464" s="10" t="s">
        <v>143</v>
      </c>
      <c r="D2464" t="s">
        <v>3726</v>
      </c>
      <c r="E2464" t="s">
        <v>3727</v>
      </c>
      <c r="F2464" s="10" t="s">
        <v>29</v>
      </c>
      <c r="G2464" s="2">
        <v>91.587900000000005</v>
      </c>
      <c r="H2464" s="13">
        <v>2</v>
      </c>
      <c r="I2464" s="13">
        <v>0</v>
      </c>
      <c r="J2464" s="13">
        <v>0</v>
      </c>
      <c r="K2464" s="10">
        <v>2</v>
      </c>
      <c r="L2464" s="2">
        <v>183.17580000000001</v>
      </c>
      <c r="M2464" s="1">
        <v>46181.580555555556</v>
      </c>
      <c r="N2464" t="s">
        <v>67</v>
      </c>
    </row>
    <row r="2465" spans="1:14" x14ac:dyDescent="0.25">
      <c r="A2465" s="9" t="s">
        <v>5211</v>
      </c>
      <c r="B2465" s="10">
        <v>718</v>
      </c>
      <c r="C2465" s="10" t="s">
        <v>323</v>
      </c>
      <c r="D2465" t="s">
        <v>4611</v>
      </c>
      <c r="E2465" t="s">
        <v>4612</v>
      </c>
      <c r="F2465" s="10" t="s">
        <v>43</v>
      </c>
      <c r="G2465" s="2">
        <v>34.912399999999998</v>
      </c>
      <c r="H2465" s="13">
        <v>2</v>
      </c>
      <c r="I2465" s="13">
        <v>14</v>
      </c>
      <c r="J2465" s="13">
        <v>-14</v>
      </c>
      <c r="K2465" s="10">
        <v>2</v>
      </c>
      <c r="L2465" s="2">
        <v>69.824799999999996</v>
      </c>
      <c r="M2465" s="1">
        <v>46182.533333333333</v>
      </c>
      <c r="N2465" t="s">
        <v>3723</v>
      </c>
    </row>
    <row r="2466" spans="1:14" x14ac:dyDescent="0.25">
      <c r="A2466" s="9" t="s">
        <v>5211</v>
      </c>
      <c r="B2466" s="10">
        <v>636</v>
      </c>
      <c r="C2466" s="10" t="s">
        <v>323</v>
      </c>
      <c r="D2466" t="s">
        <v>1606</v>
      </c>
      <c r="E2466" t="s">
        <v>1607</v>
      </c>
      <c r="F2466" s="10" t="s">
        <v>29</v>
      </c>
      <c r="G2466" s="2">
        <v>525.5145</v>
      </c>
      <c r="H2466" s="13">
        <v>2</v>
      </c>
      <c r="I2466" s="13">
        <v>0</v>
      </c>
      <c r="J2466" s="13">
        <v>0</v>
      </c>
      <c r="K2466" s="10">
        <v>2</v>
      </c>
      <c r="L2466" s="2">
        <v>1051.029</v>
      </c>
      <c r="M2466" s="1">
        <v>46183.53402777778</v>
      </c>
      <c r="N2466" t="s">
        <v>137</v>
      </c>
    </row>
    <row r="2467" spans="1:14" x14ac:dyDescent="0.25">
      <c r="A2467" s="9" t="s">
        <v>5211</v>
      </c>
      <c r="B2467" s="10">
        <v>714</v>
      </c>
      <c r="C2467" s="10" t="s">
        <v>323</v>
      </c>
      <c r="D2467" t="s">
        <v>3385</v>
      </c>
      <c r="E2467" t="s">
        <v>3386</v>
      </c>
      <c r="F2467" s="10" t="s">
        <v>29</v>
      </c>
      <c r="G2467" s="2">
        <v>372.70409999999998</v>
      </c>
      <c r="H2467" s="13">
        <v>2</v>
      </c>
      <c r="I2467" s="13">
        <v>0</v>
      </c>
      <c r="J2467" s="13">
        <v>0</v>
      </c>
      <c r="K2467" s="10">
        <v>2</v>
      </c>
      <c r="L2467" s="2">
        <v>745.40819999999997</v>
      </c>
      <c r="M2467" s="1">
        <v>46183.614583333336</v>
      </c>
      <c r="N2467" t="s">
        <v>402</v>
      </c>
    </row>
    <row r="2468" spans="1:14" x14ac:dyDescent="0.25">
      <c r="A2468" s="9" t="s">
        <v>5211</v>
      </c>
      <c r="B2468" s="10">
        <v>714</v>
      </c>
      <c r="C2468" s="10" t="s">
        <v>143</v>
      </c>
      <c r="D2468" t="s">
        <v>2541</v>
      </c>
      <c r="E2468" t="s">
        <v>2542</v>
      </c>
      <c r="F2468" s="10" t="s">
        <v>29</v>
      </c>
      <c r="G2468" s="2">
        <v>173.92859999999999</v>
      </c>
      <c r="H2468" s="13">
        <v>2</v>
      </c>
      <c r="I2468" s="13">
        <v>0</v>
      </c>
      <c r="J2468" s="13">
        <v>0</v>
      </c>
      <c r="K2468" s="10">
        <v>2</v>
      </c>
      <c r="L2468" s="2">
        <v>347.85719999999998</v>
      </c>
      <c r="M2468" s="1">
        <v>46183.614583333336</v>
      </c>
      <c r="N2468" t="s">
        <v>402</v>
      </c>
    </row>
    <row r="2469" spans="1:14" x14ac:dyDescent="0.25">
      <c r="A2469" s="9" t="s">
        <v>5211</v>
      </c>
      <c r="B2469" s="10">
        <v>636</v>
      </c>
      <c r="C2469" s="10" t="s">
        <v>12</v>
      </c>
      <c r="D2469" t="s">
        <v>540</v>
      </c>
      <c r="E2469" t="s">
        <v>541</v>
      </c>
      <c r="F2469" s="10" t="s">
        <v>158</v>
      </c>
      <c r="G2469" s="2">
        <v>11.4854</v>
      </c>
      <c r="H2469" s="13">
        <v>2</v>
      </c>
      <c r="I2469" s="13">
        <v>0</v>
      </c>
      <c r="J2469" s="13">
        <v>0</v>
      </c>
      <c r="K2469" s="10">
        <v>2</v>
      </c>
      <c r="L2469" s="2">
        <v>22.970800000000001</v>
      </c>
      <c r="M2469" s="1">
        <v>46184.429861111108</v>
      </c>
      <c r="N2469" t="s">
        <v>542</v>
      </c>
    </row>
    <row r="2470" spans="1:14" x14ac:dyDescent="0.25">
      <c r="A2470" s="9" t="s">
        <v>5211</v>
      </c>
      <c r="B2470" s="10">
        <v>636</v>
      </c>
      <c r="C2470" s="10" t="s">
        <v>70</v>
      </c>
      <c r="D2470" t="s">
        <v>804</v>
      </c>
      <c r="E2470" t="s">
        <v>805</v>
      </c>
      <c r="F2470" s="10" t="s">
        <v>39</v>
      </c>
      <c r="G2470" s="2">
        <v>5.9028999999999998</v>
      </c>
      <c r="H2470" s="13">
        <v>2</v>
      </c>
      <c r="I2470" s="13">
        <v>0</v>
      </c>
      <c r="J2470" s="13">
        <v>0</v>
      </c>
      <c r="K2470" s="10">
        <v>2</v>
      </c>
      <c r="L2470" s="2">
        <v>11.8058</v>
      </c>
      <c r="M2470" s="1">
        <v>46184.540277777778</v>
      </c>
      <c r="N2470" t="s">
        <v>16</v>
      </c>
    </row>
    <row r="2471" spans="1:14" x14ac:dyDescent="0.25">
      <c r="A2471" s="9" t="s">
        <v>5211</v>
      </c>
      <c r="B2471" s="10">
        <v>636</v>
      </c>
      <c r="C2471" s="10" t="s">
        <v>70</v>
      </c>
      <c r="D2471" t="s">
        <v>692</v>
      </c>
      <c r="E2471" t="s">
        <v>693</v>
      </c>
      <c r="F2471" s="10" t="s">
        <v>39</v>
      </c>
      <c r="G2471" s="2">
        <v>7.1154999999999999</v>
      </c>
      <c r="H2471" s="13">
        <v>2</v>
      </c>
      <c r="I2471" s="13">
        <v>0</v>
      </c>
      <c r="J2471" s="13">
        <v>0</v>
      </c>
      <c r="K2471" s="10">
        <v>2</v>
      </c>
      <c r="L2471" s="2">
        <v>14.231</v>
      </c>
      <c r="M2471" s="1">
        <v>46184.540277777778</v>
      </c>
      <c r="N2471" t="s">
        <v>16</v>
      </c>
    </row>
    <row r="2472" spans="1:14" x14ac:dyDescent="0.25">
      <c r="A2472" s="9" t="s">
        <v>5211</v>
      </c>
      <c r="B2472" s="10">
        <v>714</v>
      </c>
      <c r="C2472" s="10" t="s">
        <v>143</v>
      </c>
      <c r="D2472" t="s">
        <v>2575</v>
      </c>
      <c r="E2472" t="s">
        <v>2576</v>
      </c>
      <c r="F2472" s="10" t="s">
        <v>39</v>
      </c>
      <c r="G2472" s="2">
        <v>22.5654</v>
      </c>
      <c r="H2472" s="13">
        <v>2</v>
      </c>
      <c r="I2472" s="13">
        <v>0</v>
      </c>
      <c r="J2472" s="13">
        <v>0</v>
      </c>
      <c r="K2472" s="10">
        <v>2</v>
      </c>
      <c r="L2472" s="2">
        <v>45.130800000000001</v>
      </c>
      <c r="M2472" s="1">
        <v>46185.573611111111</v>
      </c>
      <c r="N2472" t="s">
        <v>140</v>
      </c>
    </row>
    <row r="2473" spans="1:14" x14ac:dyDescent="0.25">
      <c r="A2473" s="9" t="s">
        <v>5211</v>
      </c>
      <c r="B2473" s="10">
        <v>714</v>
      </c>
      <c r="C2473" s="10" t="s">
        <v>143</v>
      </c>
      <c r="D2473" t="s">
        <v>2798</v>
      </c>
      <c r="E2473" t="s">
        <v>2799</v>
      </c>
      <c r="F2473" s="10" t="s">
        <v>39</v>
      </c>
      <c r="G2473" s="2">
        <v>13.4621</v>
      </c>
      <c r="H2473" s="13">
        <v>2</v>
      </c>
      <c r="I2473" s="13">
        <v>0</v>
      </c>
      <c r="J2473" s="13">
        <v>0</v>
      </c>
      <c r="K2473" s="10">
        <v>2</v>
      </c>
      <c r="L2473" s="2">
        <v>26.924199999999999</v>
      </c>
      <c r="M2473" s="1">
        <v>46188.35</v>
      </c>
      <c r="N2473" t="s">
        <v>26</v>
      </c>
    </row>
    <row r="2474" spans="1:14" x14ac:dyDescent="0.25">
      <c r="A2474" s="9" t="s">
        <v>5211</v>
      </c>
      <c r="B2474" s="10">
        <v>714</v>
      </c>
      <c r="C2474" s="10" t="s">
        <v>323</v>
      </c>
      <c r="D2474" t="s">
        <v>1390</v>
      </c>
      <c r="E2474" t="s">
        <v>1391</v>
      </c>
      <c r="F2474" s="10" t="s">
        <v>455</v>
      </c>
      <c r="G2474" s="2">
        <v>122.63160000000001</v>
      </c>
      <c r="H2474" s="13">
        <v>2</v>
      </c>
      <c r="I2474" s="13">
        <v>-6</v>
      </c>
      <c r="J2474" s="13">
        <v>6</v>
      </c>
      <c r="K2474" s="10">
        <v>2</v>
      </c>
      <c r="L2474" s="2">
        <v>245.26320000000001</v>
      </c>
      <c r="M2474" s="1">
        <v>46188.431944444441</v>
      </c>
      <c r="N2474" t="s">
        <v>2444</v>
      </c>
    </row>
    <row r="2475" spans="1:14" x14ac:dyDescent="0.25">
      <c r="A2475" s="9" t="s">
        <v>5211</v>
      </c>
      <c r="B2475" s="10">
        <v>718</v>
      </c>
      <c r="C2475" s="10" t="s">
        <v>323</v>
      </c>
      <c r="D2475" t="s">
        <v>2937</v>
      </c>
      <c r="E2475" t="s">
        <v>2938</v>
      </c>
      <c r="F2475" s="10" t="s">
        <v>23</v>
      </c>
      <c r="G2475" s="2">
        <v>103.0016</v>
      </c>
      <c r="H2475" s="13">
        <v>2</v>
      </c>
      <c r="I2475" s="13">
        <v>0</v>
      </c>
      <c r="J2475" s="13">
        <v>0</v>
      </c>
      <c r="K2475" s="10">
        <v>2</v>
      </c>
      <c r="L2475" s="2">
        <v>206.00319999999999</v>
      </c>
      <c r="M2475" s="1">
        <v>46188.697222222225</v>
      </c>
      <c r="N2475" t="s">
        <v>1062</v>
      </c>
    </row>
    <row r="2476" spans="1:14" x14ac:dyDescent="0.25">
      <c r="A2476" s="9" t="s">
        <v>5211</v>
      </c>
      <c r="B2476" s="10">
        <v>718</v>
      </c>
      <c r="C2476" s="10" t="s">
        <v>323</v>
      </c>
      <c r="D2476" t="s">
        <v>3492</v>
      </c>
      <c r="E2476" t="s">
        <v>3493</v>
      </c>
      <c r="F2476" s="10" t="s">
        <v>158</v>
      </c>
      <c r="G2476" s="2">
        <v>195.93039999999999</v>
      </c>
      <c r="H2476" s="13">
        <v>2</v>
      </c>
      <c r="I2476" s="13">
        <v>0</v>
      </c>
      <c r="J2476" s="13">
        <v>0</v>
      </c>
      <c r="K2476" s="10">
        <v>2</v>
      </c>
      <c r="L2476" s="2">
        <v>391.86079999999998</v>
      </c>
      <c r="M2476" s="1">
        <v>46189.361805555556</v>
      </c>
      <c r="N2476" t="s">
        <v>1825</v>
      </c>
    </row>
    <row r="2477" spans="1:14" x14ac:dyDescent="0.25">
      <c r="A2477" s="9" t="s">
        <v>5211</v>
      </c>
      <c r="B2477" s="10">
        <v>636</v>
      </c>
      <c r="C2477" s="10" t="s">
        <v>12</v>
      </c>
      <c r="D2477" t="s">
        <v>4381</v>
      </c>
      <c r="E2477" t="s">
        <v>4382</v>
      </c>
      <c r="F2477" s="10" t="s">
        <v>23</v>
      </c>
      <c r="G2477" s="2">
        <v>7.4292999999999996</v>
      </c>
      <c r="H2477" s="13">
        <v>2</v>
      </c>
      <c r="I2477" s="13">
        <v>23</v>
      </c>
      <c r="J2477" s="13">
        <v>-23</v>
      </c>
      <c r="K2477" s="10">
        <v>2</v>
      </c>
      <c r="L2477" s="2">
        <v>14.858599999999999</v>
      </c>
      <c r="M2477" s="1">
        <v>46189.418749999997</v>
      </c>
      <c r="N2477" t="s">
        <v>16</v>
      </c>
    </row>
    <row r="2478" spans="1:14" x14ac:dyDescent="0.25">
      <c r="A2478" s="9" t="s">
        <v>5211</v>
      </c>
      <c r="B2478" s="10">
        <v>636</v>
      </c>
      <c r="C2478" s="10" t="s">
        <v>70</v>
      </c>
      <c r="D2478" t="s">
        <v>818</v>
      </c>
      <c r="E2478" t="s">
        <v>819</v>
      </c>
      <c r="F2478" s="10" t="s">
        <v>81</v>
      </c>
      <c r="G2478" s="2">
        <v>5.5928000000000004</v>
      </c>
      <c r="H2478" s="13">
        <v>2</v>
      </c>
      <c r="I2478" s="13">
        <v>0</v>
      </c>
      <c r="J2478" s="13">
        <v>0</v>
      </c>
      <c r="K2478" s="10">
        <v>2</v>
      </c>
      <c r="L2478" s="2">
        <v>11.185600000000001</v>
      </c>
      <c r="M2478" s="1">
        <v>46189.418749999997</v>
      </c>
      <c r="N2478" t="s">
        <v>16</v>
      </c>
    </row>
    <row r="2479" spans="1:14" x14ac:dyDescent="0.25">
      <c r="A2479" s="9" t="s">
        <v>5211</v>
      </c>
      <c r="B2479" s="10">
        <v>636</v>
      </c>
      <c r="C2479" s="10" t="s">
        <v>70</v>
      </c>
      <c r="D2479" t="s">
        <v>606</v>
      </c>
      <c r="E2479" t="s">
        <v>607</v>
      </c>
      <c r="F2479" s="10" t="s">
        <v>29</v>
      </c>
      <c r="G2479" s="2">
        <v>7.7149999999999999</v>
      </c>
      <c r="H2479" s="13">
        <v>2</v>
      </c>
      <c r="I2479" s="13">
        <v>0</v>
      </c>
      <c r="J2479" s="13">
        <v>0</v>
      </c>
      <c r="K2479" s="10">
        <v>2</v>
      </c>
      <c r="L2479" s="2">
        <v>15.43</v>
      </c>
      <c r="M2479" s="1">
        <v>46189.418749999997</v>
      </c>
      <c r="N2479" t="s">
        <v>16</v>
      </c>
    </row>
    <row r="2480" spans="1:14" x14ac:dyDescent="0.25">
      <c r="A2480" s="9" t="s">
        <v>5211</v>
      </c>
      <c r="B2480" s="10">
        <v>718</v>
      </c>
      <c r="C2480" s="10" t="s">
        <v>323</v>
      </c>
      <c r="D2480" t="s">
        <v>5017</v>
      </c>
      <c r="E2480" t="s">
        <v>5018</v>
      </c>
      <c r="F2480" s="10" t="s">
        <v>43</v>
      </c>
      <c r="G2480" s="2">
        <v>153.07249999999999</v>
      </c>
      <c r="H2480" s="13">
        <v>2</v>
      </c>
      <c r="I2480" s="13">
        <v>45</v>
      </c>
      <c r="J2480" s="13">
        <v>-45</v>
      </c>
      <c r="K2480" s="10">
        <v>2</v>
      </c>
      <c r="L2480" s="2">
        <v>306.14499999999998</v>
      </c>
      <c r="M2480" s="1">
        <v>46189.494444444441</v>
      </c>
      <c r="N2480" t="s">
        <v>2271</v>
      </c>
    </row>
    <row r="2481" spans="1:14" x14ac:dyDescent="0.25">
      <c r="A2481" s="9" t="s">
        <v>5211</v>
      </c>
      <c r="B2481" s="10">
        <v>718</v>
      </c>
      <c r="C2481" s="10" t="s">
        <v>12</v>
      </c>
      <c r="D2481" t="s">
        <v>5121</v>
      </c>
      <c r="E2481" t="s">
        <v>5122</v>
      </c>
      <c r="F2481" s="10" t="s">
        <v>29</v>
      </c>
      <c r="G2481" s="2">
        <v>6.0412999999999997</v>
      </c>
      <c r="H2481" s="13">
        <v>2</v>
      </c>
      <c r="I2481" s="13">
        <v>16</v>
      </c>
      <c r="J2481" s="13">
        <v>-16</v>
      </c>
      <c r="K2481" s="10">
        <v>2</v>
      </c>
      <c r="L2481" s="2">
        <v>12.082599999999999</v>
      </c>
      <c r="M2481" s="1">
        <v>46190.654166666667</v>
      </c>
      <c r="N2481" t="s">
        <v>47</v>
      </c>
    </row>
    <row r="2482" spans="1:14" x14ac:dyDescent="0.25">
      <c r="A2482" s="9" t="s">
        <v>5211</v>
      </c>
      <c r="B2482" s="10">
        <v>714</v>
      </c>
      <c r="C2482" s="10" t="s">
        <v>323</v>
      </c>
      <c r="D2482" t="s">
        <v>2908</v>
      </c>
      <c r="E2482" t="s">
        <v>2909</v>
      </c>
      <c r="F2482" s="10" t="s">
        <v>19</v>
      </c>
      <c r="G2482" s="2">
        <v>71.949100000000001</v>
      </c>
      <c r="H2482" s="13">
        <v>2</v>
      </c>
      <c r="I2482" s="13">
        <v>0</v>
      </c>
      <c r="J2482" s="13">
        <v>0</v>
      </c>
      <c r="K2482" s="10">
        <v>2</v>
      </c>
      <c r="L2482" s="2">
        <v>143.8982</v>
      </c>
      <c r="M2482" s="1">
        <v>46191.352083333331</v>
      </c>
      <c r="N2482" t="s">
        <v>195</v>
      </c>
    </row>
    <row r="2483" spans="1:14" x14ac:dyDescent="0.25">
      <c r="A2483" s="9" t="s">
        <v>5211</v>
      </c>
      <c r="B2483" s="10">
        <v>718</v>
      </c>
      <c r="C2483" s="10" t="s">
        <v>12</v>
      </c>
      <c r="D2483" t="s">
        <v>5128</v>
      </c>
      <c r="E2483" t="s">
        <v>5129</v>
      </c>
      <c r="F2483" s="10" t="s">
        <v>158</v>
      </c>
      <c r="G2483" s="2">
        <v>13.2142</v>
      </c>
      <c r="H2483" s="13">
        <v>2</v>
      </c>
      <c r="I2483" s="13">
        <v>72</v>
      </c>
      <c r="J2483" s="13">
        <v>-72</v>
      </c>
      <c r="K2483" s="10">
        <v>2</v>
      </c>
      <c r="L2483" s="2">
        <v>26.4284</v>
      </c>
      <c r="M2483" s="1">
        <v>46191.441666666666</v>
      </c>
      <c r="N2483" t="s">
        <v>5127</v>
      </c>
    </row>
    <row r="2484" spans="1:14" x14ac:dyDescent="0.25">
      <c r="A2484" s="9" t="s">
        <v>5211</v>
      </c>
      <c r="B2484" s="10">
        <v>636</v>
      </c>
      <c r="C2484" s="10" t="s">
        <v>70</v>
      </c>
      <c r="D2484" t="s">
        <v>626</v>
      </c>
      <c r="E2484" t="s">
        <v>627</v>
      </c>
      <c r="F2484" s="10" t="s">
        <v>29</v>
      </c>
      <c r="G2484" s="2">
        <v>8.7897999999999996</v>
      </c>
      <c r="H2484" s="13">
        <v>2</v>
      </c>
      <c r="I2484" s="13">
        <v>0</v>
      </c>
      <c r="J2484" s="13">
        <v>0</v>
      </c>
      <c r="K2484" s="10">
        <v>2</v>
      </c>
      <c r="L2484" s="2">
        <v>17.579599999999999</v>
      </c>
      <c r="M2484" s="1">
        <v>46191.495833333334</v>
      </c>
      <c r="N2484" t="s">
        <v>522</v>
      </c>
    </row>
    <row r="2485" spans="1:14" x14ac:dyDescent="0.25">
      <c r="A2485" s="9" t="s">
        <v>5211</v>
      </c>
      <c r="B2485" s="10">
        <v>718</v>
      </c>
      <c r="C2485" s="10" t="s">
        <v>143</v>
      </c>
      <c r="D2485" t="s">
        <v>3738</v>
      </c>
      <c r="E2485" t="s">
        <v>3739</v>
      </c>
      <c r="F2485" s="10" t="s">
        <v>158</v>
      </c>
      <c r="G2485" s="2">
        <v>47.077100000000002</v>
      </c>
      <c r="H2485" s="13">
        <v>2</v>
      </c>
      <c r="I2485" s="13">
        <v>0</v>
      </c>
      <c r="J2485" s="13">
        <v>0</v>
      </c>
      <c r="K2485" s="10">
        <v>2</v>
      </c>
      <c r="L2485" s="2">
        <v>94.154200000000003</v>
      </c>
      <c r="M2485" s="1">
        <v>46191.520138888889</v>
      </c>
      <c r="N2485" t="s">
        <v>3740</v>
      </c>
    </row>
    <row r="2486" spans="1:14" x14ac:dyDescent="0.25">
      <c r="A2486" s="9" t="s">
        <v>5211</v>
      </c>
      <c r="B2486" s="10">
        <v>714</v>
      </c>
      <c r="C2486" s="10" t="s">
        <v>143</v>
      </c>
      <c r="D2486" t="s">
        <v>4837</v>
      </c>
      <c r="E2486" t="s">
        <v>4838</v>
      </c>
      <c r="F2486" s="10" t="s">
        <v>23</v>
      </c>
      <c r="G2486" s="2">
        <v>103.29430000000001</v>
      </c>
      <c r="H2486" s="13">
        <v>2</v>
      </c>
      <c r="I2486" s="13">
        <v>74</v>
      </c>
      <c r="J2486" s="13">
        <v>-74</v>
      </c>
      <c r="K2486" s="10">
        <v>2</v>
      </c>
      <c r="L2486" s="2">
        <v>206.58860000000001</v>
      </c>
      <c r="M2486" s="1">
        <v>46191.602083333331</v>
      </c>
      <c r="N2486" t="s">
        <v>903</v>
      </c>
    </row>
    <row r="2487" spans="1:14" x14ac:dyDescent="0.25">
      <c r="A2487" s="9" t="s">
        <v>5211</v>
      </c>
      <c r="B2487" s="10">
        <v>718</v>
      </c>
      <c r="C2487" s="10" t="s">
        <v>323</v>
      </c>
      <c r="D2487" t="s">
        <v>3359</v>
      </c>
      <c r="E2487" t="s">
        <v>3360</v>
      </c>
      <c r="F2487" s="10" t="s">
        <v>19</v>
      </c>
      <c r="G2487" s="2">
        <v>65</v>
      </c>
      <c r="H2487" s="13">
        <v>2</v>
      </c>
      <c r="I2487" s="13">
        <v>12</v>
      </c>
      <c r="J2487" s="13">
        <v>-12</v>
      </c>
      <c r="K2487" s="10">
        <v>2</v>
      </c>
      <c r="L2487" s="2">
        <v>130</v>
      </c>
      <c r="M2487" s="1">
        <v>46192.573611111111</v>
      </c>
      <c r="N2487" t="s">
        <v>2444</v>
      </c>
    </row>
    <row r="2488" spans="1:14" x14ac:dyDescent="0.25">
      <c r="A2488" s="9" t="s">
        <v>5211</v>
      </c>
      <c r="B2488" s="10">
        <v>714</v>
      </c>
      <c r="C2488" s="10" t="s">
        <v>323</v>
      </c>
      <c r="D2488" t="s">
        <v>2819</v>
      </c>
      <c r="E2488" t="s">
        <v>2820</v>
      </c>
      <c r="F2488" s="10" t="s">
        <v>23</v>
      </c>
      <c r="G2488" s="2">
        <v>137.79589999999999</v>
      </c>
      <c r="H2488" s="13">
        <v>2</v>
      </c>
      <c r="I2488" s="13">
        <v>0</v>
      </c>
      <c r="J2488" s="13">
        <v>0</v>
      </c>
      <c r="K2488" s="10">
        <v>2</v>
      </c>
      <c r="L2488" s="2">
        <v>275.59179999999998</v>
      </c>
      <c r="M2488" s="1">
        <v>46192.649305555555</v>
      </c>
      <c r="N2488" t="s">
        <v>2821</v>
      </c>
    </row>
    <row r="2489" spans="1:14" x14ac:dyDescent="0.25">
      <c r="A2489" s="9" t="s">
        <v>5211</v>
      </c>
      <c r="B2489" s="10">
        <v>714</v>
      </c>
      <c r="C2489" s="10" t="s">
        <v>323</v>
      </c>
      <c r="D2489" t="s">
        <v>4951</v>
      </c>
      <c r="E2489" t="s">
        <v>4952</v>
      </c>
      <c r="F2489" s="10" t="s">
        <v>158</v>
      </c>
      <c r="G2489" s="2">
        <v>109.7492</v>
      </c>
      <c r="H2489" s="13">
        <v>2</v>
      </c>
      <c r="I2489" s="13">
        <v>1</v>
      </c>
      <c r="J2489" s="13">
        <v>-1</v>
      </c>
      <c r="K2489" s="10">
        <v>2</v>
      </c>
      <c r="L2489" s="2">
        <v>219.4984</v>
      </c>
      <c r="M2489" s="1">
        <v>46192.649305555555</v>
      </c>
      <c r="N2489" t="s">
        <v>2821</v>
      </c>
    </row>
    <row r="2490" spans="1:14" x14ac:dyDescent="0.25">
      <c r="A2490" s="9" t="s">
        <v>5211</v>
      </c>
      <c r="B2490" s="10">
        <v>714</v>
      </c>
      <c r="C2490" s="10" t="s">
        <v>323</v>
      </c>
      <c r="D2490" t="s">
        <v>3213</v>
      </c>
      <c r="E2490" t="s">
        <v>3214</v>
      </c>
      <c r="F2490" s="10" t="s">
        <v>23</v>
      </c>
      <c r="G2490" s="2">
        <v>152.06319999999999</v>
      </c>
      <c r="H2490" s="13">
        <v>2</v>
      </c>
      <c r="I2490" s="13">
        <v>1</v>
      </c>
      <c r="J2490" s="13">
        <v>-1</v>
      </c>
      <c r="K2490" s="10">
        <v>2</v>
      </c>
      <c r="L2490" s="2">
        <v>304.12639999999999</v>
      </c>
      <c r="M2490" s="1">
        <v>46192.649305555555</v>
      </c>
      <c r="N2490" t="s">
        <v>2821</v>
      </c>
    </row>
    <row r="2491" spans="1:14" x14ac:dyDescent="0.25">
      <c r="A2491" s="9" t="s">
        <v>5211</v>
      </c>
      <c r="B2491" s="10">
        <v>718</v>
      </c>
      <c r="C2491" s="10" t="s">
        <v>143</v>
      </c>
      <c r="D2491" t="s">
        <v>3770</v>
      </c>
      <c r="E2491" t="s">
        <v>3771</v>
      </c>
      <c r="F2491" s="10" t="s">
        <v>29</v>
      </c>
      <c r="G2491" s="2">
        <v>100.774</v>
      </c>
      <c r="H2491" s="13">
        <v>2</v>
      </c>
      <c r="I2491" s="13">
        <v>0</v>
      </c>
      <c r="J2491" s="13">
        <v>0</v>
      </c>
      <c r="K2491" s="10">
        <v>2</v>
      </c>
      <c r="L2491" s="2">
        <v>201.548</v>
      </c>
      <c r="M2491" s="1">
        <v>46195.657638888886</v>
      </c>
      <c r="N2491" t="s">
        <v>1535</v>
      </c>
    </row>
    <row r="2492" spans="1:14" x14ac:dyDescent="0.25">
      <c r="A2492" s="9" t="s">
        <v>5211</v>
      </c>
      <c r="B2492" s="10">
        <v>636</v>
      </c>
      <c r="C2492" s="10" t="s">
        <v>70</v>
      </c>
      <c r="D2492" t="s">
        <v>632</v>
      </c>
      <c r="E2492" t="s">
        <v>633</v>
      </c>
      <c r="F2492" s="10" t="s">
        <v>29</v>
      </c>
      <c r="G2492" s="2">
        <v>8.5678000000000001</v>
      </c>
      <c r="H2492" s="13">
        <v>2</v>
      </c>
      <c r="I2492" s="13">
        <v>0</v>
      </c>
      <c r="J2492" s="13">
        <v>0</v>
      </c>
      <c r="K2492" s="10">
        <v>2</v>
      </c>
      <c r="L2492" s="2">
        <v>17.1356</v>
      </c>
      <c r="M2492" s="1">
        <v>46196.405555555553</v>
      </c>
      <c r="N2492" t="s">
        <v>16</v>
      </c>
    </row>
    <row r="2493" spans="1:14" x14ac:dyDescent="0.25">
      <c r="A2493" s="9" t="s">
        <v>5211</v>
      </c>
      <c r="B2493" s="10">
        <v>714</v>
      </c>
      <c r="C2493" s="10" t="s">
        <v>143</v>
      </c>
      <c r="D2493" t="s">
        <v>4925</v>
      </c>
      <c r="E2493" t="s">
        <v>4926</v>
      </c>
      <c r="F2493" s="10" t="s">
        <v>112</v>
      </c>
      <c r="G2493" s="2">
        <v>25.476500000000001</v>
      </c>
      <c r="H2493" s="13">
        <v>2</v>
      </c>
      <c r="I2493" s="13">
        <v>5</v>
      </c>
      <c r="J2493" s="13">
        <v>-5</v>
      </c>
      <c r="K2493" s="10">
        <v>2</v>
      </c>
      <c r="L2493" s="2">
        <v>50.953000000000003</v>
      </c>
      <c r="M2493" s="1">
        <v>46198.373611111114</v>
      </c>
      <c r="N2493" t="s">
        <v>67</v>
      </c>
    </row>
    <row r="2494" spans="1:14" x14ac:dyDescent="0.25">
      <c r="A2494" s="9" t="s">
        <v>5211</v>
      </c>
      <c r="B2494" s="10">
        <v>714</v>
      </c>
      <c r="C2494" s="10" t="s">
        <v>143</v>
      </c>
      <c r="D2494" t="s">
        <v>4751</v>
      </c>
      <c r="E2494" t="s">
        <v>4752</v>
      </c>
      <c r="F2494" s="10" t="s">
        <v>158</v>
      </c>
      <c r="G2494" s="2">
        <v>34.724699999999999</v>
      </c>
      <c r="H2494" s="13">
        <v>2</v>
      </c>
      <c r="I2494" s="13">
        <v>28</v>
      </c>
      <c r="J2494" s="13">
        <v>-28</v>
      </c>
      <c r="K2494" s="10">
        <v>2</v>
      </c>
      <c r="L2494" s="2">
        <v>69.449399999999997</v>
      </c>
      <c r="M2494" s="1">
        <v>46198.373611111114</v>
      </c>
      <c r="N2494" t="s">
        <v>67</v>
      </c>
    </row>
    <row r="2495" spans="1:14" x14ac:dyDescent="0.25">
      <c r="A2495" s="9" t="s">
        <v>5211</v>
      </c>
      <c r="B2495" s="10">
        <v>714</v>
      </c>
      <c r="C2495" s="10" t="s">
        <v>143</v>
      </c>
      <c r="D2495" t="s">
        <v>2445</v>
      </c>
      <c r="E2495" t="s">
        <v>2446</v>
      </c>
      <c r="F2495" s="10" t="s">
        <v>29</v>
      </c>
      <c r="G2495" s="2">
        <v>32.4572</v>
      </c>
      <c r="H2495" s="13">
        <v>2</v>
      </c>
      <c r="I2495" s="13">
        <v>0</v>
      </c>
      <c r="J2495" s="13">
        <v>0</v>
      </c>
      <c r="K2495" s="10">
        <v>2</v>
      </c>
      <c r="L2495" s="2">
        <v>64.914400000000001</v>
      </c>
      <c r="M2495" s="1">
        <v>46198.373611111114</v>
      </c>
      <c r="N2495" t="s">
        <v>67</v>
      </c>
    </row>
    <row r="2496" spans="1:14" x14ac:dyDescent="0.25">
      <c r="A2496" s="9" t="s">
        <v>5211</v>
      </c>
      <c r="B2496" s="10">
        <v>636</v>
      </c>
      <c r="C2496" s="10" t="s">
        <v>12</v>
      </c>
      <c r="D2496" t="s">
        <v>551</v>
      </c>
      <c r="E2496" t="s">
        <v>552</v>
      </c>
      <c r="F2496" s="10" t="s">
        <v>29</v>
      </c>
      <c r="G2496" s="2">
        <v>105.72190000000001</v>
      </c>
      <c r="H2496" s="13">
        <v>2</v>
      </c>
      <c r="I2496" s="13">
        <v>0</v>
      </c>
      <c r="J2496" s="13">
        <v>0</v>
      </c>
      <c r="K2496" s="10">
        <v>2</v>
      </c>
      <c r="L2496" s="2">
        <v>211.44380000000001</v>
      </c>
      <c r="M2496" s="1">
        <v>46198.460416666669</v>
      </c>
      <c r="N2496" t="s">
        <v>195</v>
      </c>
    </row>
    <row r="2497" spans="1:14" x14ac:dyDescent="0.25">
      <c r="A2497" s="9" t="s">
        <v>5211</v>
      </c>
      <c r="B2497" s="10">
        <v>714</v>
      </c>
      <c r="C2497" s="10" t="s">
        <v>143</v>
      </c>
      <c r="D2497" t="s">
        <v>2493</v>
      </c>
      <c r="E2497" t="s">
        <v>2494</v>
      </c>
      <c r="F2497" s="10" t="s">
        <v>23</v>
      </c>
      <c r="G2497" s="2">
        <v>30.275400000000001</v>
      </c>
      <c r="H2497" s="13">
        <v>2</v>
      </c>
      <c r="I2497" s="13">
        <v>0</v>
      </c>
      <c r="J2497" s="13">
        <v>0</v>
      </c>
      <c r="K2497" s="10">
        <v>2</v>
      </c>
      <c r="L2497" s="2">
        <v>60.550800000000002</v>
      </c>
      <c r="M2497" s="1">
        <v>46198.477083333331</v>
      </c>
      <c r="N2497" t="s">
        <v>175</v>
      </c>
    </row>
    <row r="2498" spans="1:14" x14ac:dyDescent="0.25">
      <c r="A2498" s="9" t="s">
        <v>5211</v>
      </c>
      <c r="B2498" s="10">
        <v>634</v>
      </c>
      <c r="C2498" s="10" t="s">
        <v>143</v>
      </c>
      <c r="D2498" t="s">
        <v>304</v>
      </c>
      <c r="E2498" t="s">
        <v>305</v>
      </c>
      <c r="F2498" s="10" t="s">
        <v>39</v>
      </c>
      <c r="G2498" s="2">
        <v>31.213999999999999</v>
      </c>
      <c r="H2498" s="13">
        <v>2</v>
      </c>
      <c r="I2498" s="13">
        <v>0</v>
      </c>
      <c r="J2498" s="13">
        <v>0</v>
      </c>
      <c r="K2498" s="10">
        <v>2</v>
      </c>
      <c r="L2498" s="2">
        <v>62.427999999999997</v>
      </c>
      <c r="M2498" s="1">
        <v>46198.595138888886</v>
      </c>
      <c r="N2498" t="s">
        <v>40</v>
      </c>
    </row>
    <row r="2499" spans="1:14" x14ac:dyDescent="0.25">
      <c r="A2499" s="9" t="s">
        <v>5211</v>
      </c>
      <c r="B2499" s="10">
        <v>714</v>
      </c>
      <c r="C2499" s="10" t="s">
        <v>323</v>
      </c>
      <c r="D2499" t="s">
        <v>3180</v>
      </c>
      <c r="E2499" t="s">
        <v>3181</v>
      </c>
      <c r="F2499" s="10" t="s">
        <v>158</v>
      </c>
      <c r="G2499" s="2">
        <v>144.96680000000001</v>
      </c>
      <c r="H2499" s="13">
        <v>2</v>
      </c>
      <c r="I2499" s="13">
        <v>0</v>
      </c>
      <c r="J2499" s="13">
        <v>0</v>
      </c>
      <c r="K2499" s="10">
        <v>2</v>
      </c>
      <c r="L2499" s="2">
        <v>289.93360000000001</v>
      </c>
      <c r="M2499" s="1">
        <v>46199.347916666666</v>
      </c>
      <c r="N2499" t="s">
        <v>216</v>
      </c>
    </row>
    <row r="2500" spans="1:14" x14ac:dyDescent="0.25">
      <c r="A2500" s="9" t="s">
        <v>5211</v>
      </c>
      <c r="B2500" s="10">
        <v>636</v>
      </c>
      <c r="C2500" s="10" t="s">
        <v>323</v>
      </c>
      <c r="D2500" t="s">
        <v>4617</v>
      </c>
      <c r="E2500" t="s">
        <v>4618</v>
      </c>
      <c r="F2500" s="10" t="s">
        <v>19</v>
      </c>
      <c r="G2500" s="2">
        <v>156.68629999999999</v>
      </c>
      <c r="H2500" s="13">
        <v>2</v>
      </c>
      <c r="I2500" s="13">
        <v>0</v>
      </c>
      <c r="J2500" s="13">
        <v>0</v>
      </c>
      <c r="K2500" s="10">
        <v>2</v>
      </c>
      <c r="L2500" s="2">
        <v>313.37259999999998</v>
      </c>
      <c r="M2500" s="1">
        <v>46199.425694444442</v>
      </c>
      <c r="N2500" t="s">
        <v>1154</v>
      </c>
    </row>
    <row r="2501" spans="1:14" x14ac:dyDescent="0.25">
      <c r="A2501" s="9" t="s">
        <v>5211</v>
      </c>
      <c r="B2501" s="10">
        <v>714</v>
      </c>
      <c r="C2501" s="10" t="s">
        <v>143</v>
      </c>
      <c r="D2501" t="s">
        <v>2282</v>
      </c>
      <c r="E2501" t="s">
        <v>2283</v>
      </c>
      <c r="F2501" s="10" t="s">
        <v>23</v>
      </c>
      <c r="G2501" s="2">
        <v>7.9355000000000002</v>
      </c>
      <c r="H2501" s="13">
        <v>2</v>
      </c>
      <c r="I2501" s="13">
        <v>0</v>
      </c>
      <c r="J2501" s="13">
        <v>0</v>
      </c>
      <c r="K2501" s="10">
        <v>2</v>
      </c>
      <c r="L2501" s="2">
        <v>15.871</v>
      </c>
      <c r="M2501" s="1">
        <v>46200.333333333336</v>
      </c>
      <c r="N2501" t="s">
        <v>1154</v>
      </c>
    </row>
    <row r="2502" spans="1:14" x14ac:dyDescent="0.25">
      <c r="A2502" s="9" t="s">
        <v>5211</v>
      </c>
      <c r="B2502" s="10">
        <v>714</v>
      </c>
      <c r="C2502" s="10" t="s">
        <v>323</v>
      </c>
      <c r="D2502" t="s">
        <v>3532</v>
      </c>
      <c r="E2502" t="s">
        <v>3533</v>
      </c>
      <c r="F2502" s="10" t="s">
        <v>29</v>
      </c>
      <c r="G2502" s="2">
        <v>103.9683</v>
      </c>
      <c r="H2502" s="13">
        <v>2</v>
      </c>
      <c r="I2502" s="13">
        <v>0</v>
      </c>
      <c r="J2502" s="13">
        <v>0</v>
      </c>
      <c r="K2502" s="10">
        <v>2</v>
      </c>
      <c r="L2502" s="2">
        <v>207.9366</v>
      </c>
      <c r="M2502" s="1">
        <v>46200.335416666669</v>
      </c>
      <c r="N2502" t="s">
        <v>151</v>
      </c>
    </row>
    <row r="2503" spans="1:14" x14ac:dyDescent="0.25">
      <c r="A2503" s="9" t="s">
        <v>5211</v>
      </c>
      <c r="B2503" s="10">
        <v>714</v>
      </c>
      <c r="C2503" s="10" t="s">
        <v>143</v>
      </c>
      <c r="D2503" t="s">
        <v>2485</v>
      </c>
      <c r="E2503" t="s">
        <v>2486</v>
      </c>
      <c r="F2503" s="10" t="s">
        <v>29</v>
      </c>
      <c r="G2503" s="2">
        <v>24.0947</v>
      </c>
      <c r="H2503" s="13">
        <v>2</v>
      </c>
      <c r="I2503" s="13">
        <v>0</v>
      </c>
      <c r="J2503" s="13">
        <v>0</v>
      </c>
      <c r="K2503" s="10">
        <v>2</v>
      </c>
      <c r="L2503" s="2">
        <v>48.189399999999999</v>
      </c>
      <c r="M2503" s="1">
        <v>46200.377083333333</v>
      </c>
      <c r="N2503" t="s">
        <v>40</v>
      </c>
    </row>
    <row r="2504" spans="1:14" x14ac:dyDescent="0.25">
      <c r="A2504" s="9" t="s">
        <v>5211</v>
      </c>
      <c r="B2504" s="10">
        <v>714</v>
      </c>
      <c r="C2504" s="10" t="s">
        <v>143</v>
      </c>
      <c r="D2504" t="s">
        <v>2669</v>
      </c>
      <c r="E2504" t="s">
        <v>2670</v>
      </c>
      <c r="F2504" s="10" t="s">
        <v>29</v>
      </c>
      <c r="G2504" s="2">
        <v>107.55200000000001</v>
      </c>
      <c r="H2504" s="13">
        <v>2</v>
      </c>
      <c r="I2504" s="13">
        <v>0</v>
      </c>
      <c r="J2504" s="13">
        <v>0</v>
      </c>
      <c r="K2504" s="10">
        <v>2</v>
      </c>
      <c r="L2504" s="2">
        <v>215.10400000000001</v>
      </c>
      <c r="M2504" s="1">
        <v>46200.382638888892</v>
      </c>
      <c r="N2504" t="s">
        <v>1062</v>
      </c>
    </row>
    <row r="2505" spans="1:14" x14ac:dyDescent="0.25">
      <c r="A2505" s="9" t="s">
        <v>5211</v>
      </c>
      <c r="B2505" s="10">
        <v>634</v>
      </c>
      <c r="C2505" s="10" t="s">
        <v>323</v>
      </c>
      <c r="D2505" t="s">
        <v>400</v>
      </c>
      <c r="E2505" t="s">
        <v>401</v>
      </c>
      <c r="F2505" s="10" t="s">
        <v>19</v>
      </c>
      <c r="G2505" s="2">
        <v>182.80260000000001</v>
      </c>
      <c r="H2505" s="13">
        <v>2</v>
      </c>
      <c r="I2505" s="13">
        <v>0</v>
      </c>
      <c r="J2505" s="13">
        <v>0</v>
      </c>
      <c r="K2505" s="10">
        <v>2</v>
      </c>
      <c r="L2505" s="2">
        <v>365.60520000000002</v>
      </c>
      <c r="M2505" s="1">
        <v>46203.579861111109</v>
      </c>
      <c r="N2505" t="s">
        <v>402</v>
      </c>
    </row>
    <row r="2506" spans="1:14" x14ac:dyDescent="0.25">
      <c r="A2506" s="9" t="s">
        <v>5211</v>
      </c>
      <c r="B2506" s="10">
        <v>636</v>
      </c>
      <c r="C2506" s="10" t="s">
        <v>143</v>
      </c>
      <c r="D2506" t="s">
        <v>4525</v>
      </c>
      <c r="E2506" t="s">
        <v>4526</v>
      </c>
      <c r="F2506" s="10" t="s">
        <v>23</v>
      </c>
      <c r="G2506" s="2">
        <v>34.538200000000003</v>
      </c>
      <c r="H2506" s="13">
        <v>2</v>
      </c>
      <c r="I2506" s="13">
        <v>6</v>
      </c>
      <c r="J2506" s="13">
        <v>-6</v>
      </c>
      <c r="K2506" s="10">
        <v>2</v>
      </c>
      <c r="L2506" s="2">
        <v>69.076400000000007</v>
      </c>
      <c r="M2506" s="1">
        <v>46204.362500000003</v>
      </c>
      <c r="N2506" t="s">
        <v>159</v>
      </c>
    </row>
    <row r="2507" spans="1:14" x14ac:dyDescent="0.25">
      <c r="A2507" s="9" t="s">
        <v>5211</v>
      </c>
      <c r="B2507" s="10">
        <v>636</v>
      </c>
      <c r="C2507" s="10" t="s">
        <v>70</v>
      </c>
      <c r="D2507" t="s">
        <v>616</v>
      </c>
      <c r="E2507" t="s">
        <v>617</v>
      </c>
      <c r="F2507" s="10" t="s">
        <v>39</v>
      </c>
      <c r="G2507" s="2">
        <v>8.7146000000000008</v>
      </c>
      <c r="H2507" s="13">
        <v>2</v>
      </c>
      <c r="I2507" s="13">
        <v>0</v>
      </c>
      <c r="J2507" s="13">
        <v>0</v>
      </c>
      <c r="K2507" s="10">
        <v>2</v>
      </c>
      <c r="L2507" s="2">
        <v>17.429200000000002</v>
      </c>
      <c r="M2507" s="1">
        <v>46204.443055555559</v>
      </c>
      <c r="N2507" t="s">
        <v>40</v>
      </c>
    </row>
    <row r="2508" spans="1:14" x14ac:dyDescent="0.25">
      <c r="A2508" s="9" t="s">
        <v>5211</v>
      </c>
      <c r="B2508" s="10">
        <v>636</v>
      </c>
      <c r="C2508" s="10" t="s">
        <v>70</v>
      </c>
      <c r="D2508" t="s">
        <v>822</v>
      </c>
      <c r="E2508" t="s">
        <v>823</v>
      </c>
      <c r="F2508" s="10" t="s">
        <v>39</v>
      </c>
      <c r="G2508" s="2">
        <v>7.9146999999999998</v>
      </c>
      <c r="H2508" s="13">
        <v>2</v>
      </c>
      <c r="I2508" s="13">
        <v>0</v>
      </c>
      <c r="J2508" s="13">
        <v>0</v>
      </c>
      <c r="K2508" s="10">
        <v>2</v>
      </c>
      <c r="L2508" s="2">
        <v>15.8294</v>
      </c>
      <c r="M2508" s="1">
        <v>46212.4375</v>
      </c>
      <c r="N2508" t="s">
        <v>16</v>
      </c>
    </row>
    <row r="2509" spans="1:14" x14ac:dyDescent="0.25">
      <c r="A2509" s="9" t="s">
        <v>5211</v>
      </c>
      <c r="B2509" s="10">
        <v>636</v>
      </c>
      <c r="C2509" s="10" t="s">
        <v>12</v>
      </c>
      <c r="D2509" t="s">
        <v>4393</v>
      </c>
      <c r="E2509" t="s">
        <v>4394</v>
      </c>
      <c r="F2509" s="10" t="s">
        <v>39</v>
      </c>
      <c r="G2509" s="2">
        <v>5.1094999999999997</v>
      </c>
      <c r="H2509" s="13">
        <v>2</v>
      </c>
      <c r="I2509" s="13">
        <v>8</v>
      </c>
      <c r="J2509" s="13">
        <v>-8</v>
      </c>
      <c r="K2509" s="10">
        <v>2</v>
      </c>
      <c r="L2509" s="2">
        <v>10.218999999999999</v>
      </c>
      <c r="M2509" s="1">
        <v>46212.4375</v>
      </c>
      <c r="N2509" t="s">
        <v>16</v>
      </c>
    </row>
    <row r="2510" spans="1:14" x14ac:dyDescent="0.25">
      <c r="A2510" s="9" t="s">
        <v>5211</v>
      </c>
      <c r="B2510" s="10">
        <v>636</v>
      </c>
      <c r="C2510" s="10" t="s">
        <v>70</v>
      </c>
      <c r="D2510" t="s">
        <v>4449</v>
      </c>
      <c r="E2510" t="s">
        <v>4450</v>
      </c>
      <c r="F2510" s="10" t="s">
        <v>39</v>
      </c>
      <c r="G2510" s="2">
        <v>8.1784999999999997</v>
      </c>
      <c r="H2510" s="13">
        <v>2</v>
      </c>
      <c r="I2510" s="13">
        <v>-2</v>
      </c>
      <c r="J2510" s="13">
        <v>2</v>
      </c>
      <c r="K2510" s="10">
        <v>2</v>
      </c>
      <c r="L2510" s="2">
        <v>16.356999999999999</v>
      </c>
      <c r="M2510" s="1">
        <v>46212.4375</v>
      </c>
      <c r="N2510" t="s">
        <v>16</v>
      </c>
    </row>
    <row r="2511" spans="1:14" x14ac:dyDescent="0.25">
      <c r="A2511" s="9" t="s">
        <v>5211</v>
      </c>
      <c r="B2511" s="10">
        <v>714</v>
      </c>
      <c r="C2511" s="10" t="s">
        <v>70</v>
      </c>
      <c r="D2511" t="s">
        <v>4451</v>
      </c>
      <c r="E2511" t="s">
        <v>4452</v>
      </c>
      <c r="F2511" s="10" t="s">
        <v>112</v>
      </c>
      <c r="G2511" s="2">
        <v>5.7271000000000001</v>
      </c>
      <c r="H2511" s="13">
        <v>2</v>
      </c>
      <c r="I2511" s="13">
        <v>22</v>
      </c>
      <c r="J2511" s="13">
        <v>-22</v>
      </c>
      <c r="K2511" s="10">
        <v>2</v>
      </c>
      <c r="L2511" s="2">
        <v>11.4542</v>
      </c>
      <c r="M2511" s="1">
        <v>46214.343055555553</v>
      </c>
      <c r="N2511" t="s">
        <v>40</v>
      </c>
    </row>
    <row r="2512" spans="1:14" x14ac:dyDescent="0.25">
      <c r="A2512" s="9" t="s">
        <v>5211</v>
      </c>
      <c r="B2512" s="10">
        <v>714</v>
      </c>
      <c r="C2512" s="10" t="s">
        <v>126</v>
      </c>
      <c r="D2512" t="s">
        <v>3701</v>
      </c>
      <c r="E2512" t="s">
        <v>3702</v>
      </c>
      <c r="F2512" s="10" t="s">
        <v>112</v>
      </c>
      <c r="G2512" s="2">
        <v>7.3089000000000004</v>
      </c>
      <c r="H2512" s="13">
        <v>2</v>
      </c>
      <c r="I2512" s="13">
        <v>-5</v>
      </c>
      <c r="J2512" s="13">
        <v>5</v>
      </c>
      <c r="K2512" s="10">
        <v>2</v>
      </c>
      <c r="L2512" s="2">
        <v>14.617800000000001</v>
      </c>
      <c r="M2512" s="1">
        <v>46218.660416666666</v>
      </c>
      <c r="N2512" t="s">
        <v>16</v>
      </c>
    </row>
    <row r="2513" spans="1:14" x14ac:dyDescent="0.25">
      <c r="A2513" s="9" t="s">
        <v>5211</v>
      </c>
      <c r="B2513" s="10">
        <v>718</v>
      </c>
      <c r="C2513" s="10" t="s">
        <v>143</v>
      </c>
      <c r="D2513" t="s">
        <v>5156</v>
      </c>
      <c r="E2513" t="s">
        <v>5157</v>
      </c>
      <c r="F2513" s="10" t="s">
        <v>39</v>
      </c>
      <c r="G2513" s="2">
        <v>19.5929</v>
      </c>
      <c r="H2513" s="13">
        <v>2</v>
      </c>
      <c r="I2513" s="13">
        <v>0</v>
      </c>
      <c r="J2513" s="13">
        <v>0</v>
      </c>
      <c r="K2513" s="10">
        <v>2</v>
      </c>
      <c r="L2513" s="2">
        <v>39.1858</v>
      </c>
      <c r="M2513" s="1">
        <v>46219.474305555559</v>
      </c>
      <c r="N2513" t="s">
        <v>195</v>
      </c>
    </row>
    <row r="2514" spans="1:14" x14ac:dyDescent="0.25">
      <c r="A2514" s="9" t="s">
        <v>5211</v>
      </c>
      <c r="B2514" s="10">
        <v>718</v>
      </c>
      <c r="C2514" s="10" t="s">
        <v>143</v>
      </c>
      <c r="D2514" t="s">
        <v>1088</v>
      </c>
      <c r="E2514" t="s">
        <v>1089</v>
      </c>
      <c r="F2514" s="10" t="s">
        <v>29</v>
      </c>
      <c r="G2514" s="2">
        <v>12.0603</v>
      </c>
      <c r="H2514" s="13">
        <v>2</v>
      </c>
      <c r="I2514" s="13">
        <v>8</v>
      </c>
      <c r="J2514" s="13">
        <v>-8</v>
      </c>
      <c r="K2514" s="10">
        <v>2</v>
      </c>
      <c r="L2514" s="2">
        <v>24.1206</v>
      </c>
      <c r="M2514" s="1">
        <v>46220.544444444444</v>
      </c>
      <c r="N2514" t="s">
        <v>878</v>
      </c>
    </row>
    <row r="2515" spans="1:14" x14ac:dyDescent="0.25">
      <c r="A2515" s="9" t="s">
        <v>5211</v>
      </c>
      <c r="B2515" s="10">
        <v>714</v>
      </c>
      <c r="C2515" s="10" t="s">
        <v>143</v>
      </c>
      <c r="D2515" t="s">
        <v>4471</v>
      </c>
      <c r="E2515" t="s">
        <v>4472</v>
      </c>
      <c r="F2515" s="10" t="s">
        <v>43</v>
      </c>
      <c r="G2515" s="2">
        <v>135.5369</v>
      </c>
      <c r="H2515" s="13">
        <v>2</v>
      </c>
      <c r="I2515" s="13">
        <v>11</v>
      </c>
      <c r="J2515" s="13">
        <v>-11</v>
      </c>
      <c r="K2515" s="10">
        <v>2</v>
      </c>
      <c r="L2515" s="2">
        <v>271.07380000000001</v>
      </c>
      <c r="M2515" s="1">
        <v>46224.477083333331</v>
      </c>
      <c r="N2515" t="s">
        <v>36</v>
      </c>
    </row>
    <row r="2516" spans="1:14" x14ac:dyDescent="0.25">
      <c r="A2516" s="9" t="s">
        <v>5211</v>
      </c>
      <c r="B2516" s="10">
        <v>714</v>
      </c>
      <c r="C2516" s="10" t="s">
        <v>12</v>
      </c>
      <c r="D2516" t="s">
        <v>1962</v>
      </c>
      <c r="E2516" t="s">
        <v>1963</v>
      </c>
      <c r="F2516" s="10" t="s">
        <v>29</v>
      </c>
      <c r="G2516" s="2">
        <v>30.481000000000002</v>
      </c>
      <c r="H2516" s="13">
        <v>2</v>
      </c>
      <c r="I2516" s="13">
        <v>0</v>
      </c>
      <c r="J2516" s="13">
        <v>0</v>
      </c>
      <c r="K2516" s="10">
        <v>2</v>
      </c>
      <c r="L2516" s="2">
        <v>60.962000000000003</v>
      </c>
      <c r="M2516" s="1">
        <v>46224.59652777778</v>
      </c>
      <c r="N2516" t="s">
        <v>36</v>
      </c>
    </row>
    <row r="2517" spans="1:14" x14ac:dyDescent="0.25">
      <c r="A2517" s="9" t="s">
        <v>5211</v>
      </c>
      <c r="B2517" s="10">
        <v>718</v>
      </c>
      <c r="C2517" s="10" t="s">
        <v>323</v>
      </c>
      <c r="D2517" t="s">
        <v>3298</v>
      </c>
      <c r="E2517" t="s">
        <v>3299</v>
      </c>
      <c r="F2517" s="10" t="s">
        <v>29</v>
      </c>
      <c r="G2517" s="2">
        <v>75.985500000000002</v>
      </c>
      <c r="H2517" s="13">
        <v>2</v>
      </c>
      <c r="I2517" s="13">
        <v>0</v>
      </c>
      <c r="J2517" s="13">
        <v>0</v>
      </c>
      <c r="K2517" s="10">
        <v>2</v>
      </c>
      <c r="L2517" s="2">
        <v>151.971</v>
      </c>
      <c r="M2517" s="1">
        <v>46224.686805555553</v>
      </c>
      <c r="N2517" t="s">
        <v>2225</v>
      </c>
    </row>
    <row r="2518" spans="1:14" x14ac:dyDescent="0.25">
      <c r="A2518" s="9" t="s">
        <v>5211</v>
      </c>
      <c r="B2518" s="10">
        <v>718</v>
      </c>
      <c r="C2518" s="10" t="s">
        <v>323</v>
      </c>
      <c r="D2518" t="s">
        <v>4669</v>
      </c>
      <c r="E2518" t="s">
        <v>4670</v>
      </c>
      <c r="F2518" s="10" t="s">
        <v>43</v>
      </c>
      <c r="G2518" s="2">
        <v>224.31180000000001</v>
      </c>
      <c r="H2518" s="13">
        <v>2</v>
      </c>
      <c r="I2518" s="13">
        <v>36</v>
      </c>
      <c r="J2518" s="13">
        <v>-36</v>
      </c>
      <c r="K2518" s="10">
        <v>2</v>
      </c>
      <c r="L2518" s="2">
        <v>448.62360000000001</v>
      </c>
      <c r="M2518" s="1">
        <v>46226.609722222223</v>
      </c>
      <c r="N2518" t="s">
        <v>371</v>
      </c>
    </row>
    <row r="2519" spans="1:14" x14ac:dyDescent="0.25">
      <c r="A2519" s="9" t="s">
        <v>5211</v>
      </c>
      <c r="B2519" s="10">
        <v>636</v>
      </c>
      <c r="C2519" s="10" t="s">
        <v>70</v>
      </c>
      <c r="D2519" t="s">
        <v>4419</v>
      </c>
      <c r="E2519" t="s">
        <v>4420</v>
      </c>
      <c r="F2519" s="10" t="s">
        <v>23</v>
      </c>
      <c r="G2519" s="2">
        <v>7.9638999999999998</v>
      </c>
      <c r="H2519" s="13">
        <v>2</v>
      </c>
      <c r="I2519" s="13">
        <v>143</v>
      </c>
      <c r="J2519" s="13">
        <v>-143</v>
      </c>
      <c r="K2519" s="10">
        <v>2</v>
      </c>
      <c r="L2519" s="2">
        <v>15.9278</v>
      </c>
      <c r="M2519" s="1">
        <v>46227.383333333331</v>
      </c>
      <c r="N2519" t="s">
        <v>40</v>
      </c>
    </row>
    <row r="2520" spans="1:14" x14ac:dyDescent="0.25">
      <c r="A2520" s="9" t="s">
        <v>5211</v>
      </c>
      <c r="B2520" s="10">
        <v>714</v>
      </c>
      <c r="C2520" s="10" t="s">
        <v>12</v>
      </c>
      <c r="D2520" t="s">
        <v>1960</v>
      </c>
      <c r="E2520" t="s">
        <v>1961</v>
      </c>
      <c r="F2520" s="10" t="s">
        <v>29</v>
      </c>
      <c r="G2520" s="2">
        <v>3.8571</v>
      </c>
      <c r="H2520" s="13">
        <v>2</v>
      </c>
      <c r="I2520" s="13">
        <v>0</v>
      </c>
      <c r="J2520" s="13">
        <v>0</v>
      </c>
      <c r="K2520" s="10">
        <v>2</v>
      </c>
      <c r="L2520" s="2">
        <v>7.7141999999999999</v>
      </c>
      <c r="M2520" s="1">
        <v>46231.486805555556</v>
      </c>
      <c r="N2520" t="s">
        <v>94</v>
      </c>
    </row>
    <row r="2521" spans="1:14" x14ac:dyDescent="0.25">
      <c r="A2521" s="9" t="s">
        <v>5211</v>
      </c>
      <c r="B2521" s="10">
        <v>718</v>
      </c>
      <c r="C2521" s="10" t="s">
        <v>70</v>
      </c>
      <c r="D2521" t="s">
        <v>2178</v>
      </c>
      <c r="E2521" t="s">
        <v>2179</v>
      </c>
      <c r="F2521" s="10" t="s">
        <v>39</v>
      </c>
      <c r="G2521" s="2">
        <v>9.5739000000000001</v>
      </c>
      <c r="H2521" s="13">
        <v>2</v>
      </c>
      <c r="I2521" s="13">
        <v>0</v>
      </c>
      <c r="J2521" s="13">
        <v>0</v>
      </c>
      <c r="K2521" s="10">
        <v>2</v>
      </c>
      <c r="L2521" s="2">
        <v>19.1478</v>
      </c>
      <c r="M2521" s="1">
        <v>46232.6</v>
      </c>
      <c r="N2521" t="s">
        <v>573</v>
      </c>
    </row>
    <row r="2522" spans="1:14" x14ac:dyDescent="0.25">
      <c r="A2522" s="9" t="s">
        <v>5211</v>
      </c>
      <c r="B2522" s="10">
        <v>718</v>
      </c>
      <c r="C2522" s="10" t="s">
        <v>143</v>
      </c>
      <c r="D2522" t="s">
        <v>4513</v>
      </c>
      <c r="E2522" t="s">
        <v>4514</v>
      </c>
      <c r="F2522" s="10" t="s">
        <v>23</v>
      </c>
      <c r="G2522" s="2">
        <v>44.865000000000002</v>
      </c>
      <c r="H2522" s="13">
        <v>2</v>
      </c>
      <c r="I2522" s="13">
        <v>0</v>
      </c>
      <c r="J2522" s="13">
        <v>0</v>
      </c>
      <c r="K2522" s="10">
        <v>2</v>
      </c>
      <c r="L2522" s="2">
        <v>89.73</v>
      </c>
      <c r="M2522" s="1">
        <v>46234.35</v>
      </c>
      <c r="N2522" t="s">
        <v>30</v>
      </c>
    </row>
    <row r="2523" spans="1:14" x14ac:dyDescent="0.25">
      <c r="A2523" s="9" t="s">
        <v>5211</v>
      </c>
      <c r="B2523" s="10">
        <v>714</v>
      </c>
      <c r="C2523" s="10" t="s">
        <v>12</v>
      </c>
      <c r="D2523" t="s">
        <v>1810</v>
      </c>
      <c r="E2523" t="s">
        <v>1811</v>
      </c>
      <c r="F2523" s="10" t="s">
        <v>29</v>
      </c>
      <c r="G2523" s="2">
        <v>35.865299999999998</v>
      </c>
      <c r="H2523" s="13">
        <v>2</v>
      </c>
      <c r="I2523" s="13">
        <v>0</v>
      </c>
      <c r="J2523" s="13">
        <v>0</v>
      </c>
      <c r="K2523" s="10">
        <v>2</v>
      </c>
      <c r="L2523" s="2">
        <v>71.730599999999995</v>
      </c>
      <c r="M2523" s="1">
        <v>46234.475694444445</v>
      </c>
      <c r="N2523" t="s">
        <v>26</v>
      </c>
    </row>
    <row r="2524" spans="1:14" x14ac:dyDescent="0.25">
      <c r="A2524" s="9" t="s">
        <v>5211</v>
      </c>
      <c r="B2524" s="10">
        <v>718</v>
      </c>
      <c r="C2524" s="10" t="s">
        <v>143</v>
      </c>
      <c r="D2524" t="s">
        <v>2531</v>
      </c>
      <c r="E2524" t="s">
        <v>2532</v>
      </c>
      <c r="F2524" s="10" t="s">
        <v>39</v>
      </c>
      <c r="G2524" s="2">
        <v>26.888400000000001</v>
      </c>
      <c r="H2524" s="13">
        <v>2</v>
      </c>
      <c r="I2524" s="13">
        <v>2</v>
      </c>
      <c r="J2524" s="13">
        <v>-2</v>
      </c>
      <c r="K2524" s="10">
        <v>2</v>
      </c>
      <c r="L2524" s="2">
        <v>53.776800000000001</v>
      </c>
      <c r="M2524" s="1">
        <v>46234.60833333333</v>
      </c>
      <c r="N2524" t="s">
        <v>26</v>
      </c>
    </row>
    <row r="2525" spans="1:14" x14ac:dyDescent="0.25">
      <c r="A2525" s="9" t="s">
        <v>5211</v>
      </c>
      <c r="B2525" s="10">
        <v>714</v>
      </c>
      <c r="C2525" s="10" t="s">
        <v>70</v>
      </c>
      <c r="D2525" t="s">
        <v>3667</v>
      </c>
      <c r="E2525" t="s">
        <v>3668</v>
      </c>
      <c r="F2525" s="10" t="s">
        <v>112</v>
      </c>
      <c r="G2525" s="2">
        <v>7.3044000000000002</v>
      </c>
      <c r="H2525" s="13">
        <v>2</v>
      </c>
      <c r="I2525" s="13">
        <v>3</v>
      </c>
      <c r="J2525" s="13">
        <v>-3</v>
      </c>
      <c r="K2525" s="10">
        <v>2</v>
      </c>
      <c r="L2525" s="2">
        <v>14.6088</v>
      </c>
      <c r="M2525" s="1">
        <v>46234.623611111114</v>
      </c>
      <c r="N2525" t="s">
        <v>16</v>
      </c>
    </row>
    <row r="2526" spans="1:14" x14ac:dyDescent="0.25">
      <c r="A2526" s="9" t="s">
        <v>5211</v>
      </c>
      <c r="B2526" s="10">
        <v>634</v>
      </c>
      <c r="C2526" s="10" t="s">
        <v>143</v>
      </c>
      <c r="D2526" t="s">
        <v>4160</v>
      </c>
      <c r="E2526" t="s">
        <v>4161</v>
      </c>
      <c r="F2526" s="10" t="s">
        <v>23</v>
      </c>
      <c r="G2526" s="2">
        <v>14.097</v>
      </c>
      <c r="H2526" s="13">
        <v>2</v>
      </c>
      <c r="I2526" s="13">
        <v>16</v>
      </c>
      <c r="J2526" s="13">
        <v>-16</v>
      </c>
      <c r="K2526" s="10">
        <v>2</v>
      </c>
      <c r="L2526" s="2">
        <v>28.193999999999999</v>
      </c>
      <c r="M2526" s="1">
        <v>46237.726388888892</v>
      </c>
      <c r="N2526" t="s">
        <v>26</v>
      </c>
    </row>
    <row r="2527" spans="1:14" x14ac:dyDescent="0.25">
      <c r="A2527" s="9" t="s">
        <v>5211</v>
      </c>
      <c r="B2527" s="10">
        <v>636</v>
      </c>
      <c r="C2527" s="10" t="s">
        <v>70</v>
      </c>
      <c r="D2527" t="s">
        <v>642</v>
      </c>
      <c r="E2527" t="s">
        <v>643</v>
      </c>
      <c r="F2527" s="10" t="s">
        <v>39</v>
      </c>
      <c r="G2527" s="2">
        <v>10.3118</v>
      </c>
      <c r="H2527" s="13">
        <v>2</v>
      </c>
      <c r="I2527" s="13">
        <v>0</v>
      </c>
      <c r="J2527" s="13">
        <v>0</v>
      </c>
      <c r="K2527" s="10">
        <v>2</v>
      </c>
      <c r="L2527" s="2">
        <v>20.6236</v>
      </c>
      <c r="M2527" s="1">
        <v>46238.60833333333</v>
      </c>
      <c r="N2527" t="s">
        <v>94</v>
      </c>
    </row>
    <row r="2528" spans="1:14" x14ac:dyDescent="0.25">
      <c r="A2528" s="9" t="s">
        <v>5211</v>
      </c>
      <c r="B2528" s="10">
        <v>718</v>
      </c>
      <c r="C2528" s="10" t="s">
        <v>323</v>
      </c>
      <c r="D2528" t="s">
        <v>3095</v>
      </c>
      <c r="E2528" t="s">
        <v>3096</v>
      </c>
      <c r="F2528" s="10" t="s">
        <v>23</v>
      </c>
      <c r="G2528" s="2">
        <v>142.31100000000001</v>
      </c>
      <c r="H2528" s="13">
        <v>2</v>
      </c>
      <c r="I2528" s="13">
        <v>3</v>
      </c>
      <c r="J2528" s="13">
        <v>-3</v>
      </c>
      <c r="K2528" s="10">
        <v>2</v>
      </c>
      <c r="L2528" s="2">
        <v>284.62200000000001</v>
      </c>
      <c r="M2528" s="1">
        <v>46238.620833333334</v>
      </c>
      <c r="N2528" t="s">
        <v>2905</v>
      </c>
    </row>
    <row r="2529" spans="1:14" x14ac:dyDescent="0.25">
      <c r="A2529" s="9" t="s">
        <v>5211</v>
      </c>
      <c r="B2529" s="10">
        <v>636</v>
      </c>
      <c r="C2529" s="10" t="s">
        <v>70</v>
      </c>
      <c r="D2529" t="s">
        <v>661</v>
      </c>
      <c r="E2529" t="s">
        <v>662</v>
      </c>
      <c r="F2529" s="10" t="s">
        <v>39</v>
      </c>
      <c r="G2529" s="2">
        <v>5.8535000000000004</v>
      </c>
      <c r="H2529" s="13">
        <v>2</v>
      </c>
      <c r="I2529" s="13">
        <v>-2</v>
      </c>
      <c r="J2529" s="13">
        <v>2</v>
      </c>
      <c r="K2529" s="10">
        <v>2</v>
      </c>
      <c r="L2529" s="2">
        <v>11.707000000000001</v>
      </c>
      <c r="M2529" s="1">
        <v>46239.415277777778</v>
      </c>
      <c r="N2529" t="s">
        <v>40</v>
      </c>
    </row>
    <row r="2530" spans="1:14" x14ac:dyDescent="0.25">
      <c r="A2530" s="9" t="s">
        <v>5211</v>
      </c>
      <c r="B2530" s="10">
        <v>714</v>
      </c>
      <c r="C2530" s="10" t="s">
        <v>70</v>
      </c>
      <c r="D2530" t="s">
        <v>676</v>
      </c>
      <c r="E2530" t="s">
        <v>677</v>
      </c>
      <c r="F2530" s="10" t="s">
        <v>39</v>
      </c>
      <c r="G2530" s="2">
        <v>7.8270999999999997</v>
      </c>
      <c r="H2530" s="13">
        <v>2</v>
      </c>
      <c r="I2530" s="13">
        <v>0</v>
      </c>
      <c r="J2530" s="13">
        <v>0</v>
      </c>
      <c r="K2530" s="10">
        <v>2</v>
      </c>
      <c r="L2530" s="2">
        <v>15.654199999999999</v>
      </c>
      <c r="M2530" s="1">
        <v>46239.576388888891</v>
      </c>
      <c r="N2530" t="s">
        <v>573</v>
      </c>
    </row>
    <row r="2531" spans="1:14" x14ac:dyDescent="0.25">
      <c r="A2531" s="9" t="s">
        <v>5211</v>
      </c>
      <c r="B2531" s="10">
        <v>714</v>
      </c>
      <c r="C2531" s="10" t="s">
        <v>70</v>
      </c>
      <c r="D2531" t="s">
        <v>2018</v>
      </c>
      <c r="E2531" t="s">
        <v>2019</v>
      </c>
      <c r="F2531" s="10" t="s">
        <v>39</v>
      </c>
      <c r="G2531" s="2">
        <v>7.8270999999999997</v>
      </c>
      <c r="H2531" s="13">
        <v>2</v>
      </c>
      <c r="I2531" s="13">
        <v>0</v>
      </c>
      <c r="J2531" s="13">
        <v>0</v>
      </c>
      <c r="K2531" s="10">
        <v>2</v>
      </c>
      <c r="L2531" s="2">
        <v>15.654199999999999</v>
      </c>
      <c r="M2531" s="1">
        <v>46239.576388888891</v>
      </c>
      <c r="N2531" t="s">
        <v>573</v>
      </c>
    </row>
    <row r="2532" spans="1:14" x14ac:dyDescent="0.25">
      <c r="A2532" s="9" t="s">
        <v>5211</v>
      </c>
      <c r="B2532" s="10">
        <v>636</v>
      </c>
      <c r="C2532" s="10" t="s">
        <v>12</v>
      </c>
      <c r="D2532" t="s">
        <v>520</v>
      </c>
      <c r="E2532" t="s">
        <v>521</v>
      </c>
      <c r="F2532" s="10" t="s">
        <v>29</v>
      </c>
      <c r="G2532" s="2">
        <v>6.9225000000000003</v>
      </c>
      <c r="H2532" s="13">
        <v>2</v>
      </c>
      <c r="I2532" s="13">
        <v>0</v>
      </c>
      <c r="J2532" s="13">
        <v>0</v>
      </c>
      <c r="K2532" s="10">
        <v>2</v>
      </c>
      <c r="L2532" s="2">
        <v>13.845000000000001</v>
      </c>
      <c r="M2532" s="1">
        <v>46245.611805555556</v>
      </c>
      <c r="N2532" t="s">
        <v>522</v>
      </c>
    </row>
    <row r="2533" spans="1:14" x14ac:dyDescent="0.25">
      <c r="A2533" s="9" t="s">
        <v>5211</v>
      </c>
      <c r="B2533" s="10">
        <v>634</v>
      </c>
      <c r="C2533" s="10" t="s">
        <v>143</v>
      </c>
      <c r="D2533" t="s">
        <v>259</v>
      </c>
      <c r="E2533" s="6" t="s">
        <v>260</v>
      </c>
      <c r="F2533" s="11" t="s">
        <v>58</v>
      </c>
      <c r="G2533" s="2">
        <v>65.952200000000005</v>
      </c>
      <c r="H2533" s="13">
        <v>1</v>
      </c>
      <c r="I2533" s="13">
        <v>0</v>
      </c>
      <c r="J2533" s="13">
        <v>0</v>
      </c>
      <c r="K2533" s="10">
        <v>1</v>
      </c>
      <c r="L2533" s="2">
        <v>65.952200000000005</v>
      </c>
      <c r="M2533" s="1">
        <v>42830.538888888892</v>
      </c>
      <c r="N2533" t="s">
        <v>261</v>
      </c>
    </row>
    <row r="2534" spans="1:14" x14ac:dyDescent="0.25">
      <c r="A2534" s="9" t="s">
        <v>5211</v>
      </c>
      <c r="B2534" s="10">
        <v>634</v>
      </c>
      <c r="C2534" s="10" t="s">
        <v>323</v>
      </c>
      <c r="D2534" t="s">
        <v>1348</v>
      </c>
      <c r="E2534" t="s">
        <v>1349</v>
      </c>
      <c r="F2534" s="10" t="s">
        <v>29</v>
      </c>
      <c r="G2534" s="2">
        <v>184.3689</v>
      </c>
      <c r="H2534" s="13">
        <v>1</v>
      </c>
      <c r="I2534" s="13">
        <v>0</v>
      </c>
      <c r="J2534" s="13">
        <v>0</v>
      </c>
      <c r="K2534" s="10">
        <v>1</v>
      </c>
      <c r="L2534" s="2">
        <v>184.3689</v>
      </c>
      <c r="M2534" s="1">
        <v>42832.553472222222</v>
      </c>
      <c r="N2534" t="s">
        <v>151</v>
      </c>
    </row>
    <row r="2535" spans="1:14" x14ac:dyDescent="0.25">
      <c r="A2535" s="9" t="s">
        <v>5211</v>
      </c>
      <c r="B2535" s="10">
        <v>714</v>
      </c>
      <c r="C2535" s="10" t="s">
        <v>323</v>
      </c>
      <c r="D2535" t="s">
        <v>3504</v>
      </c>
      <c r="E2535" s="6" t="s">
        <v>3505</v>
      </c>
      <c r="F2535" s="11" t="s">
        <v>58</v>
      </c>
      <c r="G2535" s="2">
        <v>547.86</v>
      </c>
      <c r="H2535" s="13">
        <v>1</v>
      </c>
      <c r="I2535" s="13">
        <v>0</v>
      </c>
      <c r="J2535" s="13">
        <v>0</v>
      </c>
      <c r="K2535" s="10">
        <v>1</v>
      </c>
      <c r="L2535" s="2">
        <v>547.86</v>
      </c>
      <c r="M2535" s="1">
        <v>43077.925000000003</v>
      </c>
      <c r="N2535" t="s">
        <v>2650</v>
      </c>
    </row>
    <row r="2536" spans="1:14" x14ac:dyDescent="0.25">
      <c r="A2536" s="9" t="s">
        <v>5211</v>
      </c>
      <c r="B2536" s="10">
        <v>636</v>
      </c>
      <c r="C2536" s="10" t="s">
        <v>323</v>
      </c>
      <c r="D2536" t="s">
        <v>1513</v>
      </c>
      <c r="E2536" t="s">
        <v>1514</v>
      </c>
      <c r="F2536" s="10" t="s">
        <v>29</v>
      </c>
      <c r="G2536" s="2">
        <v>90.472999999999999</v>
      </c>
      <c r="H2536" s="13">
        <v>1</v>
      </c>
      <c r="I2536" s="13">
        <v>0</v>
      </c>
      <c r="J2536" s="13">
        <v>0</v>
      </c>
      <c r="K2536" s="10">
        <v>1</v>
      </c>
      <c r="L2536" s="2">
        <v>90.472999999999999</v>
      </c>
      <c r="M2536" s="1">
        <v>43118.431250000001</v>
      </c>
      <c r="N2536" t="s">
        <v>151</v>
      </c>
    </row>
    <row r="2537" spans="1:14" x14ac:dyDescent="0.25">
      <c r="A2537" s="9" t="s">
        <v>5211</v>
      </c>
      <c r="B2537" s="10">
        <v>718</v>
      </c>
      <c r="C2537" s="10" t="s">
        <v>143</v>
      </c>
      <c r="D2537" t="s">
        <v>2377</v>
      </c>
      <c r="E2537" s="6" t="s">
        <v>2378</v>
      </c>
      <c r="F2537" s="11" t="s">
        <v>58</v>
      </c>
      <c r="G2537" s="2">
        <v>174.7184</v>
      </c>
      <c r="H2537" s="13">
        <v>1</v>
      </c>
      <c r="I2537" s="13">
        <v>0</v>
      </c>
      <c r="J2537" s="13">
        <v>0</v>
      </c>
      <c r="K2537" s="10">
        <v>1</v>
      </c>
      <c r="L2537" s="2">
        <v>174.7184</v>
      </c>
      <c r="M2537" s="1">
        <v>43175.624305555553</v>
      </c>
      <c r="N2537" t="s">
        <v>3764</v>
      </c>
    </row>
    <row r="2538" spans="1:14" x14ac:dyDescent="0.25">
      <c r="A2538" s="9" t="s">
        <v>5211</v>
      </c>
      <c r="B2538" s="10">
        <v>634</v>
      </c>
      <c r="C2538" s="10" t="s">
        <v>323</v>
      </c>
      <c r="D2538" t="s">
        <v>3306</v>
      </c>
      <c r="E2538" t="s">
        <v>3307</v>
      </c>
      <c r="F2538" s="10" t="s">
        <v>29</v>
      </c>
      <c r="G2538" s="2">
        <v>153.93260000000001</v>
      </c>
      <c r="H2538" s="13">
        <v>1</v>
      </c>
      <c r="I2538" s="13">
        <v>0</v>
      </c>
      <c r="J2538" s="13">
        <v>0</v>
      </c>
      <c r="K2538" s="10">
        <v>1</v>
      </c>
      <c r="L2538" s="2">
        <v>153.93260000000001</v>
      </c>
      <c r="M2538" s="1">
        <v>43201.618750000001</v>
      </c>
      <c r="N2538" t="s">
        <v>137</v>
      </c>
    </row>
    <row r="2539" spans="1:14" x14ac:dyDescent="0.25">
      <c r="A2539" s="9" t="s">
        <v>5211</v>
      </c>
      <c r="B2539" s="10">
        <v>714</v>
      </c>
      <c r="C2539" s="10" t="s">
        <v>323</v>
      </c>
      <c r="D2539" t="s">
        <v>3149</v>
      </c>
      <c r="E2539" t="s">
        <v>3150</v>
      </c>
      <c r="F2539" s="10" t="s">
        <v>29</v>
      </c>
      <c r="G2539" s="2">
        <v>91.2</v>
      </c>
      <c r="H2539" s="13">
        <v>1</v>
      </c>
      <c r="I2539" s="13">
        <v>0</v>
      </c>
      <c r="J2539" s="13">
        <v>0</v>
      </c>
      <c r="K2539" s="10">
        <v>1</v>
      </c>
      <c r="L2539" s="2">
        <v>91.2</v>
      </c>
      <c r="M2539" s="1">
        <v>43278.404861111114</v>
      </c>
      <c r="N2539" t="s">
        <v>159</v>
      </c>
    </row>
    <row r="2540" spans="1:14" x14ac:dyDescent="0.25">
      <c r="A2540" s="9" t="s">
        <v>5211</v>
      </c>
      <c r="B2540" s="10">
        <v>634</v>
      </c>
      <c r="C2540" s="10" t="s">
        <v>143</v>
      </c>
      <c r="D2540" t="s">
        <v>914</v>
      </c>
      <c r="E2540" t="s">
        <v>915</v>
      </c>
      <c r="F2540" s="10" t="s">
        <v>29</v>
      </c>
      <c r="G2540" s="2">
        <v>82.819000000000003</v>
      </c>
      <c r="H2540" s="13">
        <v>1</v>
      </c>
      <c r="I2540" s="13">
        <v>3</v>
      </c>
      <c r="J2540" s="13">
        <v>-3</v>
      </c>
      <c r="K2540" s="10">
        <v>1</v>
      </c>
      <c r="L2540" s="2">
        <v>82.819000000000003</v>
      </c>
      <c r="M2540" s="1">
        <v>43385.47152777778</v>
      </c>
      <c r="N2540" t="s">
        <v>26</v>
      </c>
    </row>
    <row r="2541" spans="1:14" x14ac:dyDescent="0.25">
      <c r="A2541" s="9" t="s">
        <v>5211</v>
      </c>
      <c r="B2541" s="10">
        <v>718</v>
      </c>
      <c r="C2541" s="10" t="s">
        <v>323</v>
      </c>
      <c r="D2541" t="s">
        <v>3200</v>
      </c>
      <c r="E2541" t="s">
        <v>3201</v>
      </c>
      <c r="F2541" s="10" t="s">
        <v>29</v>
      </c>
      <c r="G2541" s="2">
        <v>109.06310000000001</v>
      </c>
      <c r="H2541" s="13">
        <v>1</v>
      </c>
      <c r="I2541" s="13">
        <v>0</v>
      </c>
      <c r="J2541" s="13">
        <v>0</v>
      </c>
      <c r="K2541" s="10">
        <v>1</v>
      </c>
      <c r="L2541" s="2">
        <v>109.06310000000001</v>
      </c>
      <c r="M2541" s="1">
        <v>43574.578472222223</v>
      </c>
      <c r="N2541" t="s">
        <v>1234</v>
      </c>
    </row>
    <row r="2542" spans="1:14" x14ac:dyDescent="0.25">
      <c r="A2542" s="9" t="s">
        <v>5211</v>
      </c>
      <c r="B2542" s="10">
        <v>714</v>
      </c>
      <c r="C2542" s="10" t="s">
        <v>323</v>
      </c>
      <c r="D2542" t="s">
        <v>5015</v>
      </c>
      <c r="E2542" t="s">
        <v>5016</v>
      </c>
      <c r="F2542" s="10" t="s">
        <v>29</v>
      </c>
      <c r="G2542" s="2">
        <v>81.082400000000007</v>
      </c>
      <c r="H2542" s="13">
        <v>1</v>
      </c>
      <c r="I2542" s="13">
        <v>0</v>
      </c>
      <c r="J2542" s="13">
        <v>0</v>
      </c>
      <c r="K2542" s="10">
        <v>1</v>
      </c>
      <c r="L2542" s="2">
        <v>81.082400000000007</v>
      </c>
      <c r="M2542" s="1">
        <v>43906.473611111112</v>
      </c>
      <c r="N2542" t="s">
        <v>3384</v>
      </c>
    </row>
    <row r="2543" spans="1:14" x14ac:dyDescent="0.25">
      <c r="A2543" s="9" t="s">
        <v>5211</v>
      </c>
      <c r="B2543" s="10">
        <v>636</v>
      </c>
      <c r="C2543" s="10" t="s">
        <v>323</v>
      </c>
      <c r="D2543" t="s">
        <v>449</v>
      </c>
      <c r="E2543" t="s">
        <v>450</v>
      </c>
      <c r="F2543" s="10" t="s">
        <v>29</v>
      </c>
      <c r="G2543" s="2">
        <v>115.2109</v>
      </c>
      <c r="H2543" s="13">
        <v>1</v>
      </c>
      <c r="I2543" s="13">
        <v>0</v>
      </c>
      <c r="J2543" s="13">
        <v>0</v>
      </c>
      <c r="K2543" s="10">
        <v>1</v>
      </c>
      <c r="L2543" s="2">
        <v>115.2109</v>
      </c>
      <c r="M2543" s="1">
        <v>43936.527777777781</v>
      </c>
      <c r="N2543" t="s">
        <v>137</v>
      </c>
    </row>
    <row r="2544" spans="1:14" x14ac:dyDescent="0.25">
      <c r="A2544" s="9" t="s">
        <v>5211</v>
      </c>
      <c r="B2544" s="10">
        <v>714</v>
      </c>
      <c r="C2544" s="10" t="s">
        <v>323</v>
      </c>
      <c r="D2544" t="s">
        <v>1560</v>
      </c>
      <c r="E2544" s="6" t="s">
        <v>1561</v>
      </c>
      <c r="F2544" s="11" t="s">
        <v>58</v>
      </c>
      <c r="G2544" s="2">
        <v>262.5</v>
      </c>
      <c r="H2544" s="13">
        <v>1</v>
      </c>
      <c r="I2544" s="13">
        <v>0</v>
      </c>
      <c r="J2544" s="13">
        <v>0</v>
      </c>
      <c r="K2544" s="10">
        <v>1</v>
      </c>
      <c r="L2544" s="2">
        <v>262.5</v>
      </c>
      <c r="M2544" s="1">
        <v>44126.326388888891</v>
      </c>
      <c r="N2544" t="s">
        <v>2719</v>
      </c>
    </row>
    <row r="2545" spans="1:14" x14ac:dyDescent="0.25">
      <c r="A2545" s="9" t="s">
        <v>5211</v>
      </c>
      <c r="B2545" s="10">
        <v>636</v>
      </c>
      <c r="C2545" s="10" t="s">
        <v>323</v>
      </c>
      <c r="D2545" t="s">
        <v>1556</v>
      </c>
      <c r="E2545" s="6" t="s">
        <v>1557</v>
      </c>
      <c r="F2545" s="11" t="s">
        <v>58</v>
      </c>
      <c r="G2545" s="2">
        <v>177.9144</v>
      </c>
      <c r="H2545" s="13">
        <v>1</v>
      </c>
      <c r="I2545" s="13">
        <v>0</v>
      </c>
      <c r="J2545" s="13">
        <v>0</v>
      </c>
      <c r="K2545" s="10">
        <v>1</v>
      </c>
      <c r="L2545" s="2">
        <v>177.9144</v>
      </c>
      <c r="M2545" s="1">
        <v>44281.402083333334</v>
      </c>
      <c r="N2545" t="s">
        <v>268</v>
      </c>
    </row>
    <row r="2546" spans="1:14" x14ac:dyDescent="0.25">
      <c r="A2546" s="9" t="s">
        <v>5211</v>
      </c>
      <c r="B2546" s="10">
        <v>634</v>
      </c>
      <c r="C2546" s="10" t="s">
        <v>143</v>
      </c>
      <c r="D2546" t="s">
        <v>4214</v>
      </c>
      <c r="E2546" t="s">
        <v>4215</v>
      </c>
      <c r="F2546" s="10" t="s">
        <v>29</v>
      </c>
      <c r="G2546" s="2">
        <v>43.6</v>
      </c>
      <c r="H2546" s="13">
        <v>1</v>
      </c>
      <c r="I2546" s="13">
        <v>11</v>
      </c>
      <c r="J2546" s="13">
        <v>-11</v>
      </c>
      <c r="K2546" s="10">
        <v>1</v>
      </c>
      <c r="L2546" s="2">
        <v>43.6</v>
      </c>
      <c r="M2546" s="1">
        <v>44364.452777777777</v>
      </c>
      <c r="N2546" t="s">
        <v>61</v>
      </c>
    </row>
    <row r="2547" spans="1:14" x14ac:dyDescent="0.25">
      <c r="A2547" s="9" t="s">
        <v>5211</v>
      </c>
      <c r="B2547" s="10">
        <v>636</v>
      </c>
      <c r="C2547" s="10" t="s">
        <v>323</v>
      </c>
      <c r="D2547" t="s">
        <v>1688</v>
      </c>
      <c r="E2547" t="s">
        <v>1689</v>
      </c>
      <c r="F2547" s="10" t="s">
        <v>29</v>
      </c>
      <c r="G2547" s="2">
        <v>223.44159999999999</v>
      </c>
      <c r="H2547" s="13">
        <v>1</v>
      </c>
      <c r="I2547" s="13">
        <v>0</v>
      </c>
      <c r="J2547" s="13">
        <v>0</v>
      </c>
      <c r="K2547" s="10">
        <v>1</v>
      </c>
      <c r="L2547" s="2">
        <v>223.44159999999999</v>
      </c>
      <c r="M2547" s="1">
        <v>44497.370833333334</v>
      </c>
      <c r="N2547" t="s">
        <v>1690</v>
      </c>
    </row>
    <row r="2548" spans="1:14" x14ac:dyDescent="0.25">
      <c r="A2548" s="9" t="s">
        <v>5211</v>
      </c>
      <c r="B2548" s="10">
        <v>714</v>
      </c>
      <c r="C2548" s="10" t="s">
        <v>323</v>
      </c>
      <c r="D2548" t="s">
        <v>2854</v>
      </c>
      <c r="E2548" s="6" t="s">
        <v>2855</v>
      </c>
      <c r="F2548" s="11" t="s">
        <v>58</v>
      </c>
      <c r="G2548" s="2">
        <v>429.84500000000003</v>
      </c>
      <c r="H2548" s="13">
        <v>1</v>
      </c>
      <c r="I2548" s="13">
        <v>0</v>
      </c>
      <c r="J2548" s="13">
        <v>0</v>
      </c>
      <c r="K2548" s="10">
        <v>1</v>
      </c>
      <c r="L2548" s="2">
        <v>429.84500000000003</v>
      </c>
      <c r="M2548" s="1">
        <v>44649.951388888891</v>
      </c>
      <c r="N2548" t="s">
        <v>885</v>
      </c>
    </row>
    <row r="2549" spans="1:14" x14ac:dyDescent="0.25">
      <c r="A2549" s="9" t="s">
        <v>5211</v>
      </c>
      <c r="B2549" s="10">
        <v>714</v>
      </c>
      <c r="C2549" s="10" t="s">
        <v>143</v>
      </c>
      <c r="D2549" t="s">
        <v>2371</v>
      </c>
      <c r="E2549" s="6" t="s">
        <v>2372</v>
      </c>
      <c r="F2549" s="11" t="s">
        <v>58</v>
      </c>
      <c r="G2549" s="2">
        <v>116.77500000000001</v>
      </c>
      <c r="H2549" s="13">
        <v>1</v>
      </c>
      <c r="I2549" s="13">
        <v>0</v>
      </c>
      <c r="J2549" s="13">
        <v>0</v>
      </c>
      <c r="K2549" s="10">
        <v>1</v>
      </c>
      <c r="L2549" s="2">
        <v>116.77500000000001</v>
      </c>
      <c r="M2549" s="1">
        <v>44649.951388888891</v>
      </c>
      <c r="N2549" t="s">
        <v>885</v>
      </c>
    </row>
    <row r="2550" spans="1:14" x14ac:dyDescent="0.25">
      <c r="A2550" s="9" t="s">
        <v>5211</v>
      </c>
      <c r="B2550" s="10">
        <v>718</v>
      </c>
      <c r="C2550" s="10" t="s">
        <v>323</v>
      </c>
      <c r="D2550" t="s">
        <v>5113</v>
      </c>
      <c r="E2550" t="s">
        <v>5114</v>
      </c>
      <c r="F2550" s="10" t="s">
        <v>29</v>
      </c>
      <c r="G2550" s="2">
        <v>120.0296</v>
      </c>
      <c r="H2550" s="13">
        <v>1</v>
      </c>
      <c r="I2550" s="13">
        <v>3</v>
      </c>
      <c r="J2550" s="13">
        <v>-3</v>
      </c>
      <c r="K2550" s="10">
        <v>1</v>
      </c>
      <c r="L2550" s="2">
        <v>120.0296</v>
      </c>
      <c r="M2550" s="1">
        <v>44650.414583333331</v>
      </c>
      <c r="N2550" t="s">
        <v>2225</v>
      </c>
    </row>
    <row r="2551" spans="1:14" x14ac:dyDescent="0.25">
      <c r="A2551" s="9" t="s">
        <v>5211</v>
      </c>
      <c r="B2551" s="10">
        <v>718</v>
      </c>
      <c r="C2551" s="10" t="s">
        <v>143</v>
      </c>
      <c r="D2551" t="s">
        <v>4909</v>
      </c>
      <c r="E2551" t="s">
        <v>4910</v>
      </c>
      <c r="F2551" s="10" t="s">
        <v>29</v>
      </c>
      <c r="G2551" s="2">
        <v>20.334299999999999</v>
      </c>
      <c r="H2551" s="13">
        <v>1</v>
      </c>
      <c r="I2551" s="13">
        <v>11</v>
      </c>
      <c r="J2551" s="13">
        <v>-11</v>
      </c>
      <c r="K2551" s="10">
        <v>1</v>
      </c>
      <c r="L2551" s="2">
        <v>20.334299999999999</v>
      </c>
      <c r="M2551" s="1">
        <v>44658.302083333336</v>
      </c>
      <c r="N2551" t="s">
        <v>2868</v>
      </c>
    </row>
    <row r="2552" spans="1:14" x14ac:dyDescent="0.25">
      <c r="A2552" s="9" t="s">
        <v>5211</v>
      </c>
      <c r="B2552" s="10">
        <v>714</v>
      </c>
      <c r="C2552" s="10" t="s">
        <v>143</v>
      </c>
      <c r="D2552" t="s">
        <v>262</v>
      </c>
      <c r="E2552" t="s">
        <v>263</v>
      </c>
      <c r="F2552" s="10" t="s">
        <v>29</v>
      </c>
      <c r="G2552" s="2">
        <v>91.52</v>
      </c>
      <c r="H2552" s="13">
        <v>1</v>
      </c>
      <c r="I2552" s="13">
        <v>0</v>
      </c>
      <c r="J2552" s="13">
        <v>0</v>
      </c>
      <c r="K2552" s="10">
        <v>1</v>
      </c>
      <c r="L2552" s="2">
        <v>91.52</v>
      </c>
      <c r="M2552" s="1">
        <v>44662.895833333336</v>
      </c>
      <c r="N2552" t="s">
        <v>890</v>
      </c>
    </row>
    <row r="2553" spans="1:14" x14ac:dyDescent="0.25">
      <c r="A2553" s="9" t="s">
        <v>5211</v>
      </c>
      <c r="B2553" s="10">
        <v>714</v>
      </c>
      <c r="C2553" s="10" t="s">
        <v>143</v>
      </c>
      <c r="D2553" t="s">
        <v>2310</v>
      </c>
      <c r="E2553" t="s">
        <v>2311</v>
      </c>
      <c r="F2553" s="10" t="s">
        <v>29</v>
      </c>
      <c r="G2553" s="2">
        <v>330.6592</v>
      </c>
      <c r="H2553" s="13">
        <v>1</v>
      </c>
      <c r="I2553" s="13">
        <v>0</v>
      </c>
      <c r="J2553" s="13">
        <v>0</v>
      </c>
      <c r="K2553" s="10">
        <v>1</v>
      </c>
      <c r="L2553" s="2">
        <v>330.6592</v>
      </c>
      <c r="M2553" s="1">
        <v>44662.895833333336</v>
      </c>
      <c r="N2553" t="s">
        <v>890</v>
      </c>
    </row>
    <row r="2554" spans="1:14" x14ac:dyDescent="0.25">
      <c r="A2554" s="9" t="s">
        <v>5211</v>
      </c>
      <c r="B2554" s="10">
        <v>634</v>
      </c>
      <c r="C2554" s="10" t="s">
        <v>323</v>
      </c>
      <c r="D2554" t="s">
        <v>374</v>
      </c>
      <c r="E2554" s="6" t="s">
        <v>375</v>
      </c>
      <c r="F2554" s="11" t="s">
        <v>58</v>
      </c>
      <c r="G2554" s="2">
        <v>163.5274</v>
      </c>
      <c r="H2554" s="13">
        <v>1</v>
      </c>
      <c r="I2554" s="13">
        <v>0</v>
      </c>
      <c r="J2554" s="13">
        <v>0</v>
      </c>
      <c r="K2554" s="10">
        <v>1</v>
      </c>
      <c r="L2554" s="2">
        <v>163.5274</v>
      </c>
      <c r="M2554" s="1">
        <v>44664.477777777778</v>
      </c>
      <c r="N2554" t="s">
        <v>376</v>
      </c>
    </row>
    <row r="2555" spans="1:14" x14ac:dyDescent="0.25">
      <c r="A2555" s="9" t="s">
        <v>5211</v>
      </c>
      <c r="B2555" s="10">
        <v>714</v>
      </c>
      <c r="C2555" s="10" t="s">
        <v>323</v>
      </c>
      <c r="D2555" t="s">
        <v>3263</v>
      </c>
      <c r="E2555" s="6" t="s">
        <v>3264</v>
      </c>
      <c r="F2555" s="11" t="s">
        <v>58</v>
      </c>
      <c r="G2555" s="2">
        <v>339.99349999999998</v>
      </c>
      <c r="H2555" s="13">
        <v>1</v>
      </c>
      <c r="I2555" s="13">
        <v>0</v>
      </c>
      <c r="J2555" s="13">
        <v>0</v>
      </c>
      <c r="K2555" s="10">
        <v>1</v>
      </c>
      <c r="L2555" s="2">
        <v>339.99349999999998</v>
      </c>
      <c r="M2555" s="1">
        <v>44668.39166666667</v>
      </c>
      <c r="N2555" t="s">
        <v>3265</v>
      </c>
    </row>
    <row r="2556" spans="1:14" x14ac:dyDescent="0.25">
      <c r="A2556" s="9" t="s">
        <v>5211</v>
      </c>
      <c r="B2556" s="10">
        <v>714</v>
      </c>
      <c r="C2556" s="10" t="s">
        <v>323</v>
      </c>
      <c r="D2556" t="s">
        <v>3081</v>
      </c>
      <c r="E2556" t="s">
        <v>3082</v>
      </c>
      <c r="F2556" s="10" t="s">
        <v>29</v>
      </c>
      <c r="G2556" s="2">
        <v>225.61250000000001</v>
      </c>
      <c r="H2556" s="13">
        <v>1</v>
      </c>
      <c r="I2556" s="13">
        <v>0</v>
      </c>
      <c r="J2556" s="13">
        <v>0</v>
      </c>
      <c r="K2556" s="10">
        <v>1</v>
      </c>
      <c r="L2556" s="2">
        <v>225.61250000000001</v>
      </c>
      <c r="M2556" s="1">
        <v>44674.905555555553</v>
      </c>
      <c r="N2556" t="s">
        <v>137</v>
      </c>
    </row>
    <row r="2557" spans="1:14" x14ac:dyDescent="0.25">
      <c r="A2557" s="9" t="s">
        <v>5211</v>
      </c>
      <c r="B2557" s="10">
        <v>714</v>
      </c>
      <c r="C2557" s="10" t="s">
        <v>323</v>
      </c>
      <c r="D2557" t="s">
        <v>3007</v>
      </c>
      <c r="E2557" s="6" t="s">
        <v>3008</v>
      </c>
      <c r="F2557" s="11" t="s">
        <v>58</v>
      </c>
      <c r="G2557" s="2">
        <v>166.1379</v>
      </c>
      <c r="H2557" s="13">
        <v>1</v>
      </c>
      <c r="I2557" s="13">
        <v>0</v>
      </c>
      <c r="J2557" s="13">
        <v>0</v>
      </c>
      <c r="K2557" s="10">
        <v>1</v>
      </c>
      <c r="L2557" s="2">
        <v>166.1379</v>
      </c>
      <c r="M2557" s="1">
        <v>44732.925694444442</v>
      </c>
      <c r="N2557" t="s">
        <v>3009</v>
      </c>
    </row>
    <row r="2558" spans="1:14" x14ac:dyDescent="0.25">
      <c r="A2558" s="9" t="s">
        <v>5211</v>
      </c>
      <c r="B2558" s="10">
        <v>714</v>
      </c>
      <c r="C2558" s="10" t="s">
        <v>323</v>
      </c>
      <c r="D2558" t="s">
        <v>3083</v>
      </c>
      <c r="E2558" t="s">
        <v>3084</v>
      </c>
      <c r="F2558" s="10" t="s">
        <v>29</v>
      </c>
      <c r="G2558" s="2">
        <v>103.5919</v>
      </c>
      <c r="H2558" s="13">
        <v>1</v>
      </c>
      <c r="I2558" s="13">
        <v>0</v>
      </c>
      <c r="J2558" s="13">
        <v>0</v>
      </c>
      <c r="K2558" s="10">
        <v>1</v>
      </c>
      <c r="L2558" s="2">
        <v>103.5919</v>
      </c>
      <c r="M2558" s="1">
        <v>44732.925694444442</v>
      </c>
      <c r="N2558" t="s">
        <v>3009</v>
      </c>
    </row>
    <row r="2559" spans="1:14" x14ac:dyDescent="0.25">
      <c r="A2559" s="9" t="s">
        <v>5211</v>
      </c>
      <c r="B2559" s="10">
        <v>714</v>
      </c>
      <c r="C2559" s="10" t="s">
        <v>323</v>
      </c>
      <c r="D2559" t="s">
        <v>3298</v>
      </c>
      <c r="E2559" t="s">
        <v>3299</v>
      </c>
      <c r="F2559" s="10" t="s">
        <v>29</v>
      </c>
      <c r="G2559" s="2">
        <v>106.27160000000001</v>
      </c>
      <c r="H2559" s="13">
        <v>1</v>
      </c>
      <c r="I2559" s="13">
        <v>0</v>
      </c>
      <c r="J2559" s="13">
        <v>0</v>
      </c>
      <c r="K2559" s="10">
        <v>1</v>
      </c>
      <c r="L2559" s="2">
        <v>106.27160000000001</v>
      </c>
      <c r="M2559" s="1">
        <v>44883.382638888892</v>
      </c>
      <c r="N2559" t="s">
        <v>1870</v>
      </c>
    </row>
    <row r="2560" spans="1:14" x14ac:dyDescent="0.25">
      <c r="A2560" s="9" t="s">
        <v>5211</v>
      </c>
      <c r="B2560" s="10">
        <v>718</v>
      </c>
      <c r="C2560" s="10" t="s">
        <v>323</v>
      </c>
      <c r="D2560" t="s">
        <v>3328</v>
      </c>
      <c r="E2560" t="s">
        <v>3329</v>
      </c>
      <c r="F2560" s="10" t="s">
        <v>29</v>
      </c>
      <c r="G2560" s="2">
        <v>97.685199999999995</v>
      </c>
      <c r="H2560" s="13">
        <v>1</v>
      </c>
      <c r="I2560" s="13">
        <v>2</v>
      </c>
      <c r="J2560" s="13">
        <v>-2</v>
      </c>
      <c r="K2560" s="10">
        <v>1</v>
      </c>
      <c r="L2560" s="2">
        <v>97.685199999999995</v>
      </c>
      <c r="M2560" s="1">
        <v>44985.611111111109</v>
      </c>
      <c r="N2560" t="s">
        <v>1870</v>
      </c>
    </row>
    <row r="2561" spans="1:14" x14ac:dyDescent="0.25">
      <c r="A2561" s="9" t="s">
        <v>5211</v>
      </c>
      <c r="B2561" s="10">
        <v>714</v>
      </c>
      <c r="C2561" s="10" t="s">
        <v>323</v>
      </c>
      <c r="D2561" t="s">
        <v>3338</v>
      </c>
      <c r="E2561" t="s">
        <v>3339</v>
      </c>
      <c r="F2561" s="10" t="s">
        <v>29</v>
      </c>
      <c r="G2561" s="2">
        <v>118.2852</v>
      </c>
      <c r="H2561" s="13">
        <v>1</v>
      </c>
      <c r="I2561" s="13">
        <v>0</v>
      </c>
      <c r="J2561" s="13">
        <v>0</v>
      </c>
      <c r="K2561" s="10">
        <v>1</v>
      </c>
      <c r="L2561" s="2">
        <v>118.2852</v>
      </c>
      <c r="M2561" s="1">
        <v>45000.415972222225</v>
      </c>
      <c r="N2561" t="s">
        <v>363</v>
      </c>
    </row>
    <row r="2562" spans="1:14" x14ac:dyDescent="0.25">
      <c r="A2562" s="9" t="s">
        <v>5211</v>
      </c>
      <c r="B2562" s="10">
        <v>714</v>
      </c>
      <c r="C2562" s="10" t="s">
        <v>143</v>
      </c>
      <c r="D2562" t="s">
        <v>2363</v>
      </c>
      <c r="E2562" t="s">
        <v>2364</v>
      </c>
      <c r="F2562" s="10" t="s">
        <v>29</v>
      </c>
      <c r="G2562" s="2">
        <v>117.6675</v>
      </c>
      <c r="H2562" s="13">
        <v>1</v>
      </c>
      <c r="I2562" s="13">
        <v>0</v>
      </c>
      <c r="J2562" s="13">
        <v>0</v>
      </c>
      <c r="K2562" s="10">
        <v>1</v>
      </c>
      <c r="L2562" s="2">
        <v>117.6675</v>
      </c>
      <c r="M2562" s="1">
        <v>45000.415972222225</v>
      </c>
      <c r="N2562" t="s">
        <v>363</v>
      </c>
    </row>
    <row r="2563" spans="1:14" x14ac:dyDescent="0.25">
      <c r="A2563" s="9" t="s">
        <v>5211</v>
      </c>
      <c r="B2563" s="10">
        <v>714</v>
      </c>
      <c r="C2563" s="10" t="s">
        <v>143</v>
      </c>
      <c r="D2563" t="s">
        <v>4777</v>
      </c>
      <c r="E2563" t="s">
        <v>4778</v>
      </c>
      <c r="F2563" s="10" t="s">
        <v>19</v>
      </c>
      <c r="G2563" s="2">
        <v>151.83170000000001</v>
      </c>
      <c r="H2563" s="13">
        <v>1</v>
      </c>
      <c r="I2563" s="13">
        <v>1</v>
      </c>
      <c r="J2563" s="13">
        <v>-1</v>
      </c>
      <c r="K2563" s="10">
        <v>1</v>
      </c>
      <c r="L2563" s="2">
        <v>151.83170000000001</v>
      </c>
      <c r="M2563" s="1">
        <v>45007.334722222222</v>
      </c>
      <c r="N2563" t="s">
        <v>137</v>
      </c>
    </row>
    <row r="2564" spans="1:14" x14ac:dyDescent="0.25">
      <c r="A2564" s="9" t="s">
        <v>5211</v>
      </c>
      <c r="B2564" s="10">
        <v>714</v>
      </c>
      <c r="C2564" s="10" t="s">
        <v>323</v>
      </c>
      <c r="D2564" t="s">
        <v>2995</v>
      </c>
      <c r="E2564" s="6" t="s">
        <v>2996</v>
      </c>
      <c r="F2564" s="11" t="s">
        <v>58</v>
      </c>
      <c r="G2564" s="2">
        <v>102.7097</v>
      </c>
      <c r="H2564" s="13">
        <v>1</v>
      </c>
      <c r="I2564" s="13">
        <v>0</v>
      </c>
      <c r="J2564" s="13">
        <v>0</v>
      </c>
      <c r="K2564" s="10">
        <v>1</v>
      </c>
      <c r="L2564" s="2">
        <v>102.7097</v>
      </c>
      <c r="M2564" s="1">
        <v>45007.334722222222</v>
      </c>
      <c r="N2564" t="s">
        <v>137</v>
      </c>
    </row>
    <row r="2565" spans="1:14" x14ac:dyDescent="0.25">
      <c r="A2565" s="9" t="s">
        <v>5211</v>
      </c>
      <c r="B2565" s="10">
        <v>634</v>
      </c>
      <c r="C2565" s="10" t="s">
        <v>323</v>
      </c>
      <c r="D2565" t="s">
        <v>4274</v>
      </c>
      <c r="E2565" t="s">
        <v>4275</v>
      </c>
      <c r="F2565" s="10" t="s">
        <v>29</v>
      </c>
      <c r="G2565" s="2">
        <v>90.622</v>
      </c>
      <c r="H2565" s="13">
        <v>1</v>
      </c>
      <c r="I2565" s="13">
        <v>3</v>
      </c>
      <c r="J2565" s="13">
        <v>-3</v>
      </c>
      <c r="K2565" s="10">
        <v>1</v>
      </c>
      <c r="L2565" s="2">
        <v>90.622</v>
      </c>
      <c r="M2565" s="1">
        <v>45012.446527777778</v>
      </c>
      <c r="N2565" t="s">
        <v>2719</v>
      </c>
    </row>
    <row r="2566" spans="1:14" x14ac:dyDescent="0.25">
      <c r="A2566" s="9" t="s">
        <v>5211</v>
      </c>
      <c r="B2566" s="10">
        <v>714</v>
      </c>
      <c r="C2566" s="10" t="s">
        <v>323</v>
      </c>
      <c r="D2566" t="s">
        <v>3506</v>
      </c>
      <c r="E2566" s="6" t="s">
        <v>3507</v>
      </c>
      <c r="F2566" s="11" t="s">
        <v>58</v>
      </c>
      <c r="G2566" s="2">
        <v>109.8704</v>
      </c>
      <c r="H2566" s="13">
        <v>1</v>
      </c>
      <c r="I2566" s="13">
        <v>0</v>
      </c>
      <c r="J2566" s="13">
        <v>0</v>
      </c>
      <c r="K2566" s="10">
        <v>1</v>
      </c>
      <c r="L2566" s="2">
        <v>109.8704</v>
      </c>
      <c r="M2566" s="1">
        <v>45013.480555555558</v>
      </c>
      <c r="N2566" t="s">
        <v>137</v>
      </c>
    </row>
    <row r="2567" spans="1:14" x14ac:dyDescent="0.25">
      <c r="A2567" s="9" t="s">
        <v>5211</v>
      </c>
      <c r="B2567" s="10">
        <v>714</v>
      </c>
      <c r="C2567" s="10" t="s">
        <v>323</v>
      </c>
      <c r="D2567" t="s">
        <v>3401</v>
      </c>
      <c r="E2567" t="s">
        <v>3402</v>
      </c>
      <c r="F2567" s="10" t="s">
        <v>29</v>
      </c>
      <c r="G2567" s="2">
        <v>122.5013</v>
      </c>
      <c r="H2567" s="13">
        <v>1</v>
      </c>
      <c r="I2567" s="13">
        <v>-1</v>
      </c>
      <c r="J2567" s="13">
        <v>1</v>
      </c>
      <c r="K2567" s="10">
        <v>1</v>
      </c>
      <c r="L2567" s="2">
        <v>122.5013</v>
      </c>
      <c r="M2567" s="1">
        <v>45013.480555555558</v>
      </c>
      <c r="N2567" t="s">
        <v>137</v>
      </c>
    </row>
    <row r="2568" spans="1:14" x14ac:dyDescent="0.25">
      <c r="A2568" s="9" t="s">
        <v>5211</v>
      </c>
      <c r="B2568" s="10">
        <v>714</v>
      </c>
      <c r="C2568" s="10" t="s">
        <v>143</v>
      </c>
      <c r="D2568" t="s">
        <v>2424</v>
      </c>
      <c r="E2568" s="6" t="s">
        <v>2425</v>
      </c>
      <c r="F2568" s="11" t="s">
        <v>58</v>
      </c>
      <c r="G2568" s="2">
        <v>98.513499999999993</v>
      </c>
      <c r="H2568" s="13">
        <v>1</v>
      </c>
      <c r="I2568" s="13">
        <v>0</v>
      </c>
      <c r="J2568" s="13">
        <v>0</v>
      </c>
      <c r="K2568" s="10">
        <v>1</v>
      </c>
      <c r="L2568" s="2">
        <v>98.513499999999993</v>
      </c>
      <c r="M2568" s="1">
        <v>45013.480555555558</v>
      </c>
      <c r="N2568" t="s">
        <v>137</v>
      </c>
    </row>
    <row r="2569" spans="1:14" x14ac:dyDescent="0.25">
      <c r="A2569" s="9" t="s">
        <v>5211</v>
      </c>
      <c r="B2569" s="10">
        <v>714</v>
      </c>
      <c r="C2569" s="10" t="s">
        <v>323</v>
      </c>
      <c r="D2569" t="s">
        <v>2846</v>
      </c>
      <c r="E2569" t="s">
        <v>2847</v>
      </c>
      <c r="F2569" s="10" t="s">
        <v>29</v>
      </c>
      <c r="G2569" s="2">
        <v>483.9556</v>
      </c>
      <c r="H2569" s="13">
        <v>1</v>
      </c>
      <c r="I2569" s="13">
        <v>0</v>
      </c>
      <c r="J2569" s="13">
        <v>0</v>
      </c>
      <c r="K2569" s="10">
        <v>1</v>
      </c>
      <c r="L2569" s="2">
        <v>483.9556</v>
      </c>
      <c r="M2569" s="1">
        <v>45013.480555555558</v>
      </c>
      <c r="N2569" t="s">
        <v>137</v>
      </c>
    </row>
    <row r="2570" spans="1:14" x14ac:dyDescent="0.25">
      <c r="A2570" s="9" t="s">
        <v>5211</v>
      </c>
      <c r="B2570" s="10">
        <v>718</v>
      </c>
      <c r="C2570" s="10" t="s">
        <v>323</v>
      </c>
      <c r="D2570" t="s">
        <v>5192</v>
      </c>
      <c r="E2570" s="6" t="s">
        <v>5193</v>
      </c>
      <c r="F2570" s="11" t="s">
        <v>58</v>
      </c>
      <c r="G2570" s="2">
        <v>76.901200000000003</v>
      </c>
      <c r="H2570" s="13">
        <v>1</v>
      </c>
      <c r="I2570" s="13">
        <v>0</v>
      </c>
      <c r="J2570" s="13">
        <v>0</v>
      </c>
      <c r="K2570" s="10">
        <v>1</v>
      </c>
      <c r="L2570" s="2">
        <v>76.901200000000003</v>
      </c>
      <c r="M2570" s="1">
        <v>45014.521527777775</v>
      </c>
      <c r="N2570" t="s">
        <v>140</v>
      </c>
    </row>
    <row r="2571" spans="1:14" x14ac:dyDescent="0.25">
      <c r="A2571" s="9" t="s">
        <v>5211</v>
      </c>
      <c r="B2571" s="10">
        <v>636</v>
      </c>
      <c r="C2571" s="10" t="s">
        <v>143</v>
      </c>
      <c r="D2571" t="s">
        <v>4503</v>
      </c>
      <c r="E2571" t="s">
        <v>4504</v>
      </c>
      <c r="F2571" s="10" t="s">
        <v>29</v>
      </c>
      <c r="G2571" s="2">
        <v>310.29399999999998</v>
      </c>
      <c r="H2571" s="13">
        <v>1</v>
      </c>
      <c r="I2571" s="13">
        <v>0</v>
      </c>
      <c r="J2571" s="13">
        <v>0</v>
      </c>
      <c r="K2571" s="10">
        <v>1</v>
      </c>
      <c r="L2571" s="2">
        <v>310.29399999999998</v>
      </c>
      <c r="M2571" s="1">
        <v>45016.46875</v>
      </c>
      <c r="N2571" t="s">
        <v>501</v>
      </c>
    </row>
    <row r="2572" spans="1:14" x14ac:dyDescent="0.25">
      <c r="A2572" s="9" t="s">
        <v>5211</v>
      </c>
      <c r="B2572" s="10">
        <v>636</v>
      </c>
      <c r="C2572" s="10" t="s">
        <v>323</v>
      </c>
      <c r="D2572" t="s">
        <v>1272</v>
      </c>
      <c r="E2572" s="6" t="s">
        <v>1273</v>
      </c>
      <c r="F2572" s="11" t="s">
        <v>58</v>
      </c>
      <c r="G2572" s="2">
        <v>152.88499999999999</v>
      </c>
      <c r="H2572" s="13">
        <v>1</v>
      </c>
      <c r="I2572" s="13">
        <v>0</v>
      </c>
      <c r="J2572" s="13">
        <v>0</v>
      </c>
      <c r="K2572" s="10">
        <v>1</v>
      </c>
      <c r="L2572" s="2">
        <v>152.88499999999999</v>
      </c>
      <c r="M2572" s="1">
        <v>45016.46875</v>
      </c>
      <c r="N2572" t="s">
        <v>501</v>
      </c>
    </row>
    <row r="2573" spans="1:14" x14ac:dyDescent="0.25">
      <c r="A2573" s="9" t="s">
        <v>5211</v>
      </c>
      <c r="B2573" s="10">
        <v>714</v>
      </c>
      <c r="C2573" s="10" t="s">
        <v>143</v>
      </c>
      <c r="D2573" t="s">
        <v>4839</v>
      </c>
      <c r="E2573" t="s">
        <v>4840</v>
      </c>
      <c r="F2573" s="10" t="s">
        <v>29</v>
      </c>
      <c r="G2573" s="2">
        <v>23.582999999999998</v>
      </c>
      <c r="H2573" s="13">
        <v>1</v>
      </c>
      <c r="I2573" s="13">
        <v>-1</v>
      </c>
      <c r="J2573" s="13">
        <v>1</v>
      </c>
      <c r="K2573" s="10">
        <v>1</v>
      </c>
      <c r="L2573" s="2">
        <v>23.582999999999998</v>
      </c>
      <c r="M2573" s="1">
        <v>45017.591666666667</v>
      </c>
      <c r="N2573" t="s">
        <v>140</v>
      </c>
    </row>
    <row r="2574" spans="1:14" x14ac:dyDescent="0.25">
      <c r="A2574" s="9" t="s">
        <v>5211</v>
      </c>
      <c r="B2574" s="10">
        <v>714</v>
      </c>
      <c r="C2574" s="10" t="s">
        <v>143</v>
      </c>
      <c r="D2574" t="s">
        <v>2519</v>
      </c>
      <c r="E2574" s="6" t="s">
        <v>2520</v>
      </c>
      <c r="F2574" s="11" t="s">
        <v>58</v>
      </c>
      <c r="G2574" s="2">
        <v>146.97479999999999</v>
      </c>
      <c r="H2574" s="13">
        <v>1</v>
      </c>
      <c r="I2574" s="13">
        <v>0</v>
      </c>
      <c r="J2574" s="13">
        <v>0</v>
      </c>
      <c r="K2574" s="10">
        <v>1</v>
      </c>
      <c r="L2574" s="2">
        <v>146.97479999999999</v>
      </c>
      <c r="M2574" s="1">
        <v>45029.46875</v>
      </c>
      <c r="N2574" t="s">
        <v>137</v>
      </c>
    </row>
    <row r="2575" spans="1:14" x14ac:dyDescent="0.25">
      <c r="A2575" s="9" t="s">
        <v>5211</v>
      </c>
      <c r="B2575" s="10">
        <v>634</v>
      </c>
      <c r="C2575" s="10" t="s">
        <v>143</v>
      </c>
      <c r="D2575" t="s">
        <v>262</v>
      </c>
      <c r="E2575" s="6" t="s">
        <v>263</v>
      </c>
      <c r="F2575" s="11" t="s">
        <v>58</v>
      </c>
      <c r="G2575" s="2">
        <v>275.5308</v>
      </c>
      <c r="H2575" s="13">
        <v>1</v>
      </c>
      <c r="I2575" s="13">
        <v>0</v>
      </c>
      <c r="J2575" s="13">
        <v>0</v>
      </c>
      <c r="K2575" s="10">
        <v>1</v>
      </c>
      <c r="L2575" s="2">
        <v>275.5308</v>
      </c>
      <c r="M2575" s="1">
        <v>45030.322222222225</v>
      </c>
      <c r="N2575" t="s">
        <v>178</v>
      </c>
    </row>
    <row r="2576" spans="1:14" x14ac:dyDescent="0.25">
      <c r="A2576" s="9" t="s">
        <v>5211</v>
      </c>
      <c r="B2576" s="10">
        <v>714</v>
      </c>
      <c r="C2576" s="10" t="s">
        <v>143</v>
      </c>
      <c r="D2576" t="s">
        <v>2768</v>
      </c>
      <c r="E2576" t="s">
        <v>2769</v>
      </c>
      <c r="F2576" s="10" t="s">
        <v>15</v>
      </c>
      <c r="G2576" s="2">
        <v>33.718499999999999</v>
      </c>
      <c r="H2576" s="13">
        <v>1</v>
      </c>
      <c r="I2576" s="13">
        <v>0</v>
      </c>
      <c r="J2576" s="13">
        <v>0</v>
      </c>
      <c r="K2576" s="10">
        <v>1</v>
      </c>
      <c r="L2576" s="2">
        <v>33.718499999999999</v>
      </c>
      <c r="M2576" s="1">
        <v>45034.593055555553</v>
      </c>
      <c r="N2576" t="s">
        <v>26</v>
      </c>
    </row>
    <row r="2577" spans="1:14" x14ac:dyDescent="0.25">
      <c r="A2577" s="9" t="s">
        <v>5211</v>
      </c>
      <c r="B2577" s="10">
        <v>714</v>
      </c>
      <c r="C2577" s="10" t="s">
        <v>323</v>
      </c>
      <c r="D2577" t="s">
        <v>2866</v>
      </c>
      <c r="E2577" s="6" t="s">
        <v>2867</v>
      </c>
      <c r="F2577" s="11" t="s">
        <v>58</v>
      </c>
      <c r="G2577" s="2">
        <v>190.0651</v>
      </c>
      <c r="H2577" s="13">
        <v>1</v>
      </c>
      <c r="I2577" s="13">
        <v>0</v>
      </c>
      <c r="J2577" s="13">
        <v>0</v>
      </c>
      <c r="K2577" s="10">
        <v>1</v>
      </c>
      <c r="L2577" s="2">
        <v>190.0651</v>
      </c>
      <c r="M2577" s="1">
        <v>45040.643055555556</v>
      </c>
      <c r="N2577" t="s">
        <v>2868</v>
      </c>
    </row>
    <row r="2578" spans="1:14" x14ac:dyDescent="0.25">
      <c r="A2578" s="9" t="s">
        <v>5211</v>
      </c>
      <c r="B2578" s="10">
        <v>634</v>
      </c>
      <c r="C2578" s="10" t="s">
        <v>323</v>
      </c>
      <c r="D2578" t="s">
        <v>339</v>
      </c>
      <c r="E2578" t="s">
        <v>340</v>
      </c>
      <c r="F2578" s="10" t="s">
        <v>19</v>
      </c>
      <c r="G2578" s="2">
        <v>389.78039999999999</v>
      </c>
      <c r="H2578" s="13">
        <v>1</v>
      </c>
      <c r="I2578" s="13">
        <v>-1</v>
      </c>
      <c r="J2578" s="13">
        <v>1</v>
      </c>
      <c r="K2578" s="10">
        <v>1</v>
      </c>
      <c r="L2578" s="2">
        <v>389.78039999999999</v>
      </c>
      <c r="M2578" s="1">
        <v>45041.656944444447</v>
      </c>
      <c r="N2578" t="s">
        <v>178</v>
      </c>
    </row>
    <row r="2579" spans="1:14" x14ac:dyDescent="0.25">
      <c r="A2579" s="9" t="s">
        <v>5211</v>
      </c>
      <c r="B2579" s="10">
        <v>714</v>
      </c>
      <c r="C2579" s="10" t="s">
        <v>323</v>
      </c>
      <c r="D2579" t="s">
        <v>3311</v>
      </c>
      <c r="E2579" s="6" t="s">
        <v>3312</v>
      </c>
      <c r="F2579" s="11" t="s">
        <v>58</v>
      </c>
      <c r="G2579" s="2">
        <v>94.137699999999995</v>
      </c>
      <c r="H2579" s="13">
        <v>1</v>
      </c>
      <c r="I2579" s="13">
        <v>0</v>
      </c>
      <c r="J2579" s="13">
        <v>0</v>
      </c>
      <c r="K2579" s="10">
        <v>1</v>
      </c>
      <c r="L2579" s="2">
        <v>94.137699999999995</v>
      </c>
      <c r="M2579" s="1">
        <v>45044.35833333333</v>
      </c>
      <c r="N2579" t="s">
        <v>354</v>
      </c>
    </row>
    <row r="2580" spans="1:14" x14ac:dyDescent="0.25">
      <c r="A2580" s="9" t="s">
        <v>5211</v>
      </c>
      <c r="B2580" s="10">
        <v>714</v>
      </c>
      <c r="C2580" s="10" t="s">
        <v>143</v>
      </c>
      <c r="D2580" t="s">
        <v>2618</v>
      </c>
      <c r="E2580" t="s">
        <v>2619</v>
      </c>
      <c r="F2580" s="10" t="s">
        <v>29</v>
      </c>
      <c r="G2580" s="2">
        <v>12.7197</v>
      </c>
      <c r="H2580" s="13">
        <v>1</v>
      </c>
      <c r="I2580" s="13">
        <v>0</v>
      </c>
      <c r="J2580" s="13">
        <v>0</v>
      </c>
      <c r="K2580" s="10">
        <v>1</v>
      </c>
      <c r="L2580" s="2">
        <v>12.7197</v>
      </c>
      <c r="M2580" s="1">
        <v>45047.427083333336</v>
      </c>
      <c r="N2580" t="s">
        <v>40</v>
      </c>
    </row>
    <row r="2581" spans="1:14" x14ac:dyDescent="0.25">
      <c r="A2581" s="9" t="s">
        <v>5211</v>
      </c>
      <c r="B2581" s="10">
        <v>718</v>
      </c>
      <c r="C2581" s="10" t="s">
        <v>323</v>
      </c>
      <c r="D2581" t="s">
        <v>3857</v>
      </c>
      <c r="E2581" t="s">
        <v>3858</v>
      </c>
      <c r="F2581" s="10" t="s">
        <v>29</v>
      </c>
      <c r="G2581" s="2">
        <v>57.274000000000001</v>
      </c>
      <c r="H2581" s="13">
        <v>1</v>
      </c>
      <c r="I2581" s="13">
        <v>0</v>
      </c>
      <c r="J2581" s="13">
        <v>0</v>
      </c>
      <c r="K2581" s="10">
        <v>1</v>
      </c>
      <c r="L2581" s="2">
        <v>57.274000000000001</v>
      </c>
      <c r="M2581" s="1">
        <v>45055.906944444447</v>
      </c>
      <c r="N2581" t="s">
        <v>1179</v>
      </c>
    </row>
    <row r="2582" spans="1:14" x14ac:dyDescent="0.25">
      <c r="A2582" s="9" t="s">
        <v>5211</v>
      </c>
      <c r="B2582" s="10">
        <v>714</v>
      </c>
      <c r="C2582" s="10" t="s">
        <v>143</v>
      </c>
      <c r="D2582" t="s">
        <v>2559</v>
      </c>
      <c r="E2582" s="6" t="s">
        <v>2560</v>
      </c>
      <c r="F2582" s="11" t="s">
        <v>58</v>
      </c>
      <c r="G2582" s="2">
        <v>0</v>
      </c>
      <c r="H2582" s="13">
        <v>1</v>
      </c>
      <c r="I2582" s="13">
        <v>0</v>
      </c>
      <c r="J2582" s="13">
        <v>0</v>
      </c>
      <c r="K2582" s="10">
        <v>1</v>
      </c>
      <c r="L2582" s="2">
        <v>0</v>
      </c>
      <c r="M2582" s="1">
        <v>45082.586805555555</v>
      </c>
      <c r="N2582" t="s">
        <v>140</v>
      </c>
    </row>
    <row r="2583" spans="1:14" x14ac:dyDescent="0.25">
      <c r="A2583" s="9" t="s">
        <v>5211</v>
      </c>
      <c r="B2583" s="10">
        <v>634</v>
      </c>
      <c r="C2583" s="10" t="s">
        <v>70</v>
      </c>
      <c r="D2583" t="s">
        <v>4002</v>
      </c>
      <c r="E2583" t="s">
        <v>4003</v>
      </c>
      <c r="F2583" s="10" t="s">
        <v>29</v>
      </c>
      <c r="G2583" s="2">
        <v>4.0819999999999999</v>
      </c>
      <c r="H2583" s="13">
        <v>1</v>
      </c>
      <c r="I2583" s="13">
        <v>57</v>
      </c>
      <c r="J2583" s="13">
        <v>-57</v>
      </c>
      <c r="K2583" s="10">
        <v>1</v>
      </c>
      <c r="L2583" s="2">
        <v>4.0819999999999999</v>
      </c>
      <c r="M2583" s="1">
        <v>45083.593055555553</v>
      </c>
      <c r="N2583" t="s">
        <v>40</v>
      </c>
    </row>
    <row r="2584" spans="1:14" x14ac:dyDescent="0.25">
      <c r="A2584" s="9" t="s">
        <v>5211</v>
      </c>
      <c r="B2584" s="10">
        <v>714</v>
      </c>
      <c r="C2584" s="10" t="s">
        <v>143</v>
      </c>
      <c r="D2584" t="s">
        <v>2237</v>
      </c>
      <c r="E2584" t="s">
        <v>2238</v>
      </c>
      <c r="F2584" s="10" t="s">
        <v>29</v>
      </c>
      <c r="G2584" s="2">
        <v>51.0672</v>
      </c>
      <c r="H2584" s="13">
        <v>1</v>
      </c>
      <c r="I2584" s="13">
        <v>0</v>
      </c>
      <c r="J2584" s="13">
        <v>0</v>
      </c>
      <c r="K2584" s="10">
        <v>1</v>
      </c>
      <c r="L2584" s="2">
        <v>51.0672</v>
      </c>
      <c r="M2584" s="1">
        <v>45104.427777777775</v>
      </c>
      <c r="N2584" t="s">
        <v>195</v>
      </c>
    </row>
    <row r="2585" spans="1:14" x14ac:dyDescent="0.25">
      <c r="A2585" s="9" t="s">
        <v>5211</v>
      </c>
      <c r="B2585" s="10">
        <v>714</v>
      </c>
      <c r="C2585" s="10" t="s">
        <v>323</v>
      </c>
      <c r="D2585" t="s">
        <v>3245</v>
      </c>
      <c r="E2585" t="s">
        <v>3246</v>
      </c>
      <c r="F2585" s="10" t="s">
        <v>29</v>
      </c>
      <c r="G2585" s="2">
        <v>140.53110000000001</v>
      </c>
      <c r="H2585" s="13">
        <v>1</v>
      </c>
      <c r="I2585" s="13">
        <v>0</v>
      </c>
      <c r="J2585" s="13">
        <v>0</v>
      </c>
      <c r="K2585" s="10">
        <v>1</v>
      </c>
      <c r="L2585" s="2">
        <v>140.53110000000001</v>
      </c>
      <c r="M2585" s="1">
        <v>45138.829861111109</v>
      </c>
      <c r="N2585" t="s">
        <v>137</v>
      </c>
    </row>
    <row r="2586" spans="1:14" x14ac:dyDescent="0.25">
      <c r="A2586" s="9" t="s">
        <v>5211</v>
      </c>
      <c r="B2586" s="10">
        <v>718</v>
      </c>
      <c r="C2586" s="10" t="s">
        <v>323</v>
      </c>
      <c r="D2586" t="s">
        <v>4278</v>
      </c>
      <c r="E2586" t="s">
        <v>4279</v>
      </c>
      <c r="F2586" s="10" t="s">
        <v>29</v>
      </c>
      <c r="G2586" s="2">
        <v>172.636</v>
      </c>
      <c r="H2586" s="13">
        <v>1</v>
      </c>
      <c r="I2586" s="13">
        <v>0</v>
      </c>
      <c r="J2586" s="13">
        <v>0</v>
      </c>
      <c r="K2586" s="10">
        <v>1</v>
      </c>
      <c r="L2586" s="2">
        <v>172.636</v>
      </c>
      <c r="M2586" s="1">
        <v>45201.801388888889</v>
      </c>
      <c r="N2586" t="s">
        <v>1870</v>
      </c>
    </row>
    <row r="2587" spans="1:14" x14ac:dyDescent="0.25">
      <c r="A2587" s="9" t="s">
        <v>5211</v>
      </c>
      <c r="B2587" s="10">
        <v>636</v>
      </c>
      <c r="C2587" s="10" t="s">
        <v>323</v>
      </c>
      <c r="D2587" t="s">
        <v>4653</v>
      </c>
      <c r="E2587" t="s">
        <v>4654</v>
      </c>
      <c r="F2587" s="10" t="s">
        <v>1400</v>
      </c>
      <c r="G2587" s="2">
        <v>200.32769999999999</v>
      </c>
      <c r="H2587" s="13">
        <v>1</v>
      </c>
      <c r="I2587" s="13">
        <v>0</v>
      </c>
      <c r="J2587" s="13">
        <v>0</v>
      </c>
      <c r="K2587" s="10">
        <v>1</v>
      </c>
      <c r="L2587" s="2">
        <v>200.32769999999999</v>
      </c>
      <c r="M2587" s="1">
        <v>45216.415972222225</v>
      </c>
      <c r="N2587" t="s">
        <v>486</v>
      </c>
    </row>
    <row r="2588" spans="1:14" x14ac:dyDescent="0.25">
      <c r="A2588" s="9" t="s">
        <v>5211</v>
      </c>
      <c r="B2588" s="10">
        <v>718</v>
      </c>
      <c r="C2588" s="10" t="s">
        <v>323</v>
      </c>
      <c r="D2588" t="s">
        <v>4987</v>
      </c>
      <c r="E2588" t="s">
        <v>4988</v>
      </c>
      <c r="F2588" s="10" t="s">
        <v>29</v>
      </c>
      <c r="G2588" s="2">
        <v>203.7302</v>
      </c>
      <c r="H2588" s="13">
        <v>1</v>
      </c>
      <c r="I2588" s="13">
        <v>3</v>
      </c>
      <c r="J2588" s="13">
        <v>-3</v>
      </c>
      <c r="K2588" s="10">
        <v>1</v>
      </c>
      <c r="L2588" s="2">
        <v>203.7302</v>
      </c>
      <c r="M2588" s="1">
        <v>45250.457638888889</v>
      </c>
      <c r="N2588" t="s">
        <v>2379</v>
      </c>
    </row>
    <row r="2589" spans="1:14" x14ac:dyDescent="0.25">
      <c r="A2589" s="9" t="s">
        <v>5211</v>
      </c>
      <c r="B2589" s="10">
        <v>714</v>
      </c>
      <c r="C2589" s="10" t="s">
        <v>323</v>
      </c>
      <c r="D2589" t="s">
        <v>3380</v>
      </c>
      <c r="E2589" s="6" t="s">
        <v>3381</v>
      </c>
      <c r="F2589" s="11" t="s">
        <v>58</v>
      </c>
      <c r="G2589" s="2">
        <v>162.6361</v>
      </c>
      <c r="H2589" s="13">
        <v>1</v>
      </c>
      <c r="I2589" s="13">
        <v>0</v>
      </c>
      <c r="J2589" s="13">
        <v>0</v>
      </c>
      <c r="K2589" s="10">
        <v>1</v>
      </c>
      <c r="L2589" s="2">
        <v>162.6361</v>
      </c>
      <c r="M2589" s="1">
        <v>45350.46875</v>
      </c>
      <c r="N2589" t="s">
        <v>1229</v>
      </c>
    </row>
    <row r="2590" spans="1:14" x14ac:dyDescent="0.25">
      <c r="A2590" s="9" t="s">
        <v>5211</v>
      </c>
      <c r="B2590" s="10">
        <v>714</v>
      </c>
      <c r="C2590" s="10" t="s">
        <v>323</v>
      </c>
      <c r="D2590" t="s">
        <v>3444</v>
      </c>
      <c r="E2590" t="s">
        <v>3445</v>
      </c>
      <c r="F2590" s="10" t="s">
        <v>19</v>
      </c>
      <c r="G2590" s="2">
        <v>326.42140000000001</v>
      </c>
      <c r="H2590" s="13">
        <v>1</v>
      </c>
      <c r="I2590" s="13">
        <v>0</v>
      </c>
      <c r="J2590" s="13">
        <v>0</v>
      </c>
      <c r="K2590" s="10">
        <v>1</v>
      </c>
      <c r="L2590" s="2">
        <v>326.42140000000001</v>
      </c>
      <c r="M2590" s="1">
        <v>45356.538194444445</v>
      </c>
      <c r="N2590" t="s">
        <v>137</v>
      </c>
    </row>
    <row r="2591" spans="1:14" x14ac:dyDescent="0.25">
      <c r="A2591" s="9" t="s">
        <v>5211</v>
      </c>
      <c r="B2591" s="10">
        <v>714</v>
      </c>
      <c r="C2591" s="10" t="s">
        <v>323</v>
      </c>
      <c r="D2591" t="s">
        <v>3079</v>
      </c>
      <c r="E2591" s="6" t="s">
        <v>3080</v>
      </c>
      <c r="F2591" s="11" t="s">
        <v>58</v>
      </c>
      <c r="G2591" s="2">
        <v>110.3147</v>
      </c>
      <c r="H2591" s="13">
        <v>1</v>
      </c>
      <c r="I2591" s="13">
        <v>0</v>
      </c>
      <c r="J2591" s="13">
        <v>0</v>
      </c>
      <c r="K2591" s="10">
        <v>1</v>
      </c>
      <c r="L2591" s="2">
        <v>110.3147</v>
      </c>
      <c r="M2591" s="1">
        <v>45356.538194444445</v>
      </c>
      <c r="N2591" t="s">
        <v>137</v>
      </c>
    </row>
    <row r="2592" spans="1:14" x14ac:dyDescent="0.25">
      <c r="A2592" s="9" t="s">
        <v>5211</v>
      </c>
      <c r="B2592" s="10">
        <v>714</v>
      </c>
      <c r="C2592" s="10" t="s">
        <v>323</v>
      </c>
      <c r="D2592" t="s">
        <v>3143</v>
      </c>
      <c r="E2592" s="6" t="s">
        <v>3144</v>
      </c>
      <c r="F2592" s="11" t="s">
        <v>58</v>
      </c>
      <c r="G2592" s="2">
        <v>162.85239999999999</v>
      </c>
      <c r="H2592" s="13">
        <v>1</v>
      </c>
      <c r="I2592" s="13">
        <v>0</v>
      </c>
      <c r="J2592" s="13">
        <v>0</v>
      </c>
      <c r="K2592" s="10">
        <v>1</v>
      </c>
      <c r="L2592" s="2">
        <v>162.85239999999999</v>
      </c>
      <c r="M2592" s="1">
        <v>45356.538194444445</v>
      </c>
      <c r="N2592" t="s">
        <v>137</v>
      </c>
    </row>
    <row r="2593" spans="1:14" x14ac:dyDescent="0.25">
      <c r="A2593" s="9" t="s">
        <v>5211</v>
      </c>
      <c r="B2593" s="10">
        <v>714</v>
      </c>
      <c r="C2593" s="10" t="s">
        <v>323</v>
      </c>
      <c r="D2593" t="s">
        <v>3286</v>
      </c>
      <c r="E2593" s="6" t="s">
        <v>3287</v>
      </c>
      <c r="F2593" s="11" t="s">
        <v>58</v>
      </c>
      <c r="G2593" s="2">
        <v>248.01499999999999</v>
      </c>
      <c r="H2593" s="13">
        <v>1</v>
      </c>
      <c r="I2593" s="13">
        <v>0</v>
      </c>
      <c r="J2593" s="13">
        <v>0</v>
      </c>
      <c r="K2593" s="10">
        <v>1</v>
      </c>
      <c r="L2593" s="2">
        <v>248.01499999999999</v>
      </c>
      <c r="M2593" s="1">
        <v>45356.538194444445</v>
      </c>
      <c r="N2593" t="s">
        <v>137</v>
      </c>
    </row>
    <row r="2594" spans="1:14" x14ac:dyDescent="0.25">
      <c r="A2594" s="9" t="s">
        <v>5211</v>
      </c>
      <c r="B2594" s="10">
        <v>636</v>
      </c>
      <c r="C2594" s="10" t="s">
        <v>323</v>
      </c>
      <c r="D2594" t="s">
        <v>4589</v>
      </c>
      <c r="E2594" t="s">
        <v>4590</v>
      </c>
      <c r="F2594" s="10" t="s">
        <v>29</v>
      </c>
      <c r="G2594" s="2">
        <v>181.04069999999999</v>
      </c>
      <c r="H2594" s="13">
        <v>1</v>
      </c>
      <c r="I2594" s="13">
        <v>1</v>
      </c>
      <c r="J2594" s="13">
        <v>-1</v>
      </c>
      <c r="K2594" s="10">
        <v>1</v>
      </c>
      <c r="L2594" s="2">
        <v>181.04069999999999</v>
      </c>
      <c r="M2594" s="1">
        <v>45365.504166666666</v>
      </c>
      <c r="N2594" t="s">
        <v>151</v>
      </c>
    </row>
    <row r="2595" spans="1:14" x14ac:dyDescent="0.25">
      <c r="A2595" s="9" t="s">
        <v>5211</v>
      </c>
      <c r="B2595" s="10">
        <v>634</v>
      </c>
      <c r="C2595" s="10" t="s">
        <v>323</v>
      </c>
      <c r="D2595" t="s">
        <v>414</v>
      </c>
      <c r="E2595" s="6" t="s">
        <v>415</v>
      </c>
      <c r="F2595" s="11" t="s">
        <v>58</v>
      </c>
      <c r="G2595" s="2">
        <v>241.94409999999999</v>
      </c>
      <c r="H2595" s="13">
        <v>1</v>
      </c>
      <c r="I2595" s="13">
        <v>0</v>
      </c>
      <c r="J2595" s="13">
        <v>0</v>
      </c>
      <c r="K2595" s="10">
        <v>1</v>
      </c>
      <c r="L2595" s="2">
        <v>241.94409999999999</v>
      </c>
      <c r="M2595" s="1">
        <v>45366.492361111108</v>
      </c>
      <c r="N2595" t="s">
        <v>151</v>
      </c>
    </row>
    <row r="2596" spans="1:14" x14ac:dyDescent="0.25">
      <c r="A2596" s="9" t="s">
        <v>5211</v>
      </c>
      <c r="B2596" s="10">
        <v>714</v>
      </c>
      <c r="C2596" s="10" t="s">
        <v>323</v>
      </c>
      <c r="D2596" t="s">
        <v>3123</v>
      </c>
      <c r="E2596" t="s">
        <v>3124</v>
      </c>
      <c r="F2596" s="10" t="s">
        <v>35</v>
      </c>
      <c r="G2596" s="2">
        <v>120.7312</v>
      </c>
      <c r="H2596" s="13">
        <v>1</v>
      </c>
      <c r="I2596" s="13">
        <v>0</v>
      </c>
      <c r="J2596" s="13">
        <v>0</v>
      </c>
      <c r="K2596" s="10">
        <v>1</v>
      </c>
      <c r="L2596" s="2">
        <v>120.7312</v>
      </c>
      <c r="M2596" s="1">
        <v>45370.393750000003</v>
      </c>
      <c r="N2596" t="s">
        <v>2969</v>
      </c>
    </row>
    <row r="2597" spans="1:14" x14ac:dyDescent="0.25">
      <c r="A2597" s="9" t="s">
        <v>5211</v>
      </c>
      <c r="B2597" s="10">
        <v>714</v>
      </c>
      <c r="C2597" s="10" t="s">
        <v>323</v>
      </c>
      <c r="D2597" t="s">
        <v>5011</v>
      </c>
      <c r="E2597" t="s">
        <v>5012</v>
      </c>
      <c r="F2597" s="10" t="s">
        <v>29</v>
      </c>
      <c r="G2597" s="2">
        <v>103.64660000000001</v>
      </c>
      <c r="H2597" s="13">
        <v>1</v>
      </c>
      <c r="I2597" s="13">
        <v>4</v>
      </c>
      <c r="J2597" s="13">
        <v>-4</v>
      </c>
      <c r="K2597" s="10">
        <v>1</v>
      </c>
      <c r="L2597" s="2">
        <v>103.64660000000001</v>
      </c>
      <c r="M2597" s="1">
        <v>45370.393750000003</v>
      </c>
      <c r="N2597" t="s">
        <v>2969</v>
      </c>
    </row>
    <row r="2598" spans="1:14" x14ac:dyDescent="0.25">
      <c r="A2598" s="9" t="s">
        <v>5211</v>
      </c>
      <c r="B2598" s="10">
        <v>714</v>
      </c>
      <c r="C2598" s="10" t="s">
        <v>323</v>
      </c>
      <c r="D2598" t="s">
        <v>3389</v>
      </c>
      <c r="E2598" t="s">
        <v>3390</v>
      </c>
      <c r="F2598" s="10" t="s">
        <v>29</v>
      </c>
      <c r="G2598" s="2">
        <v>123.93770000000001</v>
      </c>
      <c r="H2598" s="13">
        <v>1</v>
      </c>
      <c r="I2598" s="13">
        <v>0</v>
      </c>
      <c r="J2598" s="13">
        <v>0</v>
      </c>
      <c r="K2598" s="10">
        <v>1</v>
      </c>
      <c r="L2598" s="2">
        <v>123.93770000000001</v>
      </c>
      <c r="M2598" s="1">
        <v>45370.397222222222</v>
      </c>
      <c r="N2598" t="s">
        <v>363</v>
      </c>
    </row>
    <row r="2599" spans="1:14" x14ac:dyDescent="0.25">
      <c r="A2599" s="9" t="s">
        <v>5211</v>
      </c>
      <c r="B2599" s="10">
        <v>634</v>
      </c>
      <c r="C2599" s="10" t="s">
        <v>323</v>
      </c>
      <c r="D2599" t="s">
        <v>361</v>
      </c>
      <c r="E2599" s="6" t="s">
        <v>362</v>
      </c>
      <c r="F2599" s="11" t="s">
        <v>58</v>
      </c>
      <c r="G2599" s="2">
        <v>97.167000000000002</v>
      </c>
      <c r="H2599" s="13">
        <v>1</v>
      </c>
      <c r="I2599" s="13">
        <v>0</v>
      </c>
      <c r="J2599" s="13">
        <v>0</v>
      </c>
      <c r="K2599" s="10">
        <v>1</v>
      </c>
      <c r="L2599" s="2">
        <v>97.167000000000002</v>
      </c>
      <c r="M2599" s="1">
        <v>45372.381249999999</v>
      </c>
      <c r="N2599" t="s">
        <v>363</v>
      </c>
    </row>
    <row r="2600" spans="1:14" x14ac:dyDescent="0.25">
      <c r="A2600" s="9" t="s">
        <v>5211</v>
      </c>
      <c r="B2600" s="10">
        <v>634</v>
      </c>
      <c r="C2600" s="10" t="s">
        <v>143</v>
      </c>
      <c r="D2600" t="s">
        <v>200</v>
      </c>
      <c r="E2600" s="6" t="s">
        <v>201</v>
      </c>
      <c r="F2600" s="11" t="s">
        <v>58</v>
      </c>
      <c r="G2600" s="2">
        <v>135.65979999999999</v>
      </c>
      <c r="H2600" s="13">
        <v>1</v>
      </c>
      <c r="I2600" s="13">
        <v>0</v>
      </c>
      <c r="J2600" s="13">
        <v>0</v>
      </c>
      <c r="K2600" s="10">
        <v>1</v>
      </c>
      <c r="L2600" s="2">
        <v>135.65979999999999</v>
      </c>
      <c r="M2600" s="1">
        <v>45372.486805555556</v>
      </c>
      <c r="N2600" t="s">
        <v>178</v>
      </c>
    </row>
    <row r="2601" spans="1:14" x14ac:dyDescent="0.25">
      <c r="A2601" s="9" t="s">
        <v>5211</v>
      </c>
      <c r="B2601" s="10">
        <v>634</v>
      </c>
      <c r="C2601" s="10" t="s">
        <v>143</v>
      </c>
      <c r="D2601" t="s">
        <v>317</v>
      </c>
      <c r="E2601" s="6" t="s">
        <v>318</v>
      </c>
      <c r="F2601" s="11" t="s">
        <v>58</v>
      </c>
      <c r="G2601" s="2">
        <v>324.40379999999999</v>
      </c>
      <c r="H2601" s="13">
        <v>1</v>
      </c>
      <c r="I2601" s="13">
        <v>0</v>
      </c>
      <c r="J2601" s="13">
        <v>0</v>
      </c>
      <c r="K2601" s="10">
        <v>1</v>
      </c>
      <c r="L2601" s="2">
        <v>324.40379999999999</v>
      </c>
      <c r="M2601" s="1">
        <v>45372.486805555556</v>
      </c>
      <c r="N2601" t="s">
        <v>178</v>
      </c>
    </row>
    <row r="2602" spans="1:14" x14ac:dyDescent="0.25">
      <c r="A2602" s="9" t="s">
        <v>5211</v>
      </c>
      <c r="B2602" s="10">
        <v>634</v>
      </c>
      <c r="C2602" s="10" t="s">
        <v>323</v>
      </c>
      <c r="D2602" t="s">
        <v>3887</v>
      </c>
      <c r="E2602" t="s">
        <v>3888</v>
      </c>
      <c r="F2602" s="10" t="s">
        <v>19</v>
      </c>
      <c r="G2602" s="2">
        <v>406.97930000000002</v>
      </c>
      <c r="H2602" s="13">
        <v>1</v>
      </c>
      <c r="I2602" s="13">
        <v>0</v>
      </c>
      <c r="J2602" s="13">
        <v>0</v>
      </c>
      <c r="K2602" s="10">
        <v>1</v>
      </c>
      <c r="L2602" s="2">
        <v>406.97930000000002</v>
      </c>
      <c r="M2602" s="1">
        <v>45372.486805555556</v>
      </c>
      <c r="N2602" t="s">
        <v>178</v>
      </c>
    </row>
    <row r="2603" spans="1:14" x14ac:dyDescent="0.25">
      <c r="A2603" s="9" t="s">
        <v>5211</v>
      </c>
      <c r="B2603" s="10">
        <v>714</v>
      </c>
      <c r="C2603" s="10" t="s">
        <v>143</v>
      </c>
      <c r="D2603" t="s">
        <v>2602</v>
      </c>
      <c r="E2603" s="6" t="s">
        <v>2603</v>
      </c>
      <c r="F2603" s="11" t="s">
        <v>58</v>
      </c>
      <c r="G2603" s="2">
        <v>15.2356</v>
      </c>
      <c r="H2603" s="13">
        <v>1</v>
      </c>
      <c r="I2603" s="13">
        <v>0</v>
      </c>
      <c r="J2603" s="13">
        <v>0</v>
      </c>
      <c r="K2603" s="10">
        <v>1</v>
      </c>
      <c r="L2603" s="2">
        <v>15.2356</v>
      </c>
      <c r="M2603" s="1">
        <v>45376.383333333331</v>
      </c>
      <c r="N2603" t="s">
        <v>26</v>
      </c>
    </row>
    <row r="2604" spans="1:14" x14ac:dyDescent="0.25">
      <c r="A2604" s="9" t="s">
        <v>5211</v>
      </c>
      <c r="B2604" s="10">
        <v>636</v>
      </c>
      <c r="C2604" s="10" t="s">
        <v>323</v>
      </c>
      <c r="D2604" t="s">
        <v>1440</v>
      </c>
      <c r="E2604" s="6" t="s">
        <v>1441</v>
      </c>
      <c r="F2604" s="11" t="s">
        <v>58</v>
      </c>
      <c r="G2604" s="2">
        <v>432.65649999999999</v>
      </c>
      <c r="H2604" s="13">
        <v>1</v>
      </c>
      <c r="I2604" s="13">
        <v>0</v>
      </c>
      <c r="J2604" s="13">
        <v>0</v>
      </c>
      <c r="K2604" s="10">
        <v>1</v>
      </c>
      <c r="L2604" s="2">
        <v>432.65649999999999</v>
      </c>
      <c r="M2604" s="1">
        <v>45379.454861111109</v>
      </c>
      <c r="N2604" t="s">
        <v>178</v>
      </c>
    </row>
    <row r="2605" spans="1:14" x14ac:dyDescent="0.25">
      <c r="A2605" s="9" t="s">
        <v>5211</v>
      </c>
      <c r="B2605" s="10">
        <v>718</v>
      </c>
      <c r="C2605" s="10" t="s">
        <v>143</v>
      </c>
      <c r="D2605" t="s">
        <v>5148</v>
      </c>
      <c r="E2605" t="s">
        <v>5149</v>
      </c>
      <c r="F2605" s="10" t="s">
        <v>29</v>
      </c>
      <c r="G2605" s="2">
        <v>35.5809</v>
      </c>
      <c r="H2605" s="13">
        <v>1</v>
      </c>
      <c r="I2605" s="13">
        <v>0</v>
      </c>
      <c r="J2605" s="13">
        <v>0</v>
      </c>
      <c r="K2605" s="10">
        <v>1</v>
      </c>
      <c r="L2605" s="2">
        <v>35.5809</v>
      </c>
      <c r="M2605" s="1">
        <v>45380.513888888891</v>
      </c>
      <c r="N2605" t="s">
        <v>310</v>
      </c>
    </row>
    <row r="2606" spans="1:14" x14ac:dyDescent="0.25">
      <c r="A2606" s="9" t="s">
        <v>5211</v>
      </c>
      <c r="B2606" s="10">
        <v>636</v>
      </c>
      <c r="C2606" s="10" t="s">
        <v>323</v>
      </c>
      <c r="D2606" t="s">
        <v>1464</v>
      </c>
      <c r="E2606" t="s">
        <v>1465</v>
      </c>
      <c r="F2606" s="10" t="s">
        <v>29</v>
      </c>
      <c r="G2606" s="2">
        <v>313.53769999999997</v>
      </c>
      <c r="H2606" s="13">
        <v>1</v>
      </c>
      <c r="I2606" s="13">
        <v>0</v>
      </c>
      <c r="J2606" s="13">
        <v>0</v>
      </c>
      <c r="K2606" s="10">
        <v>1</v>
      </c>
      <c r="L2606" s="2">
        <v>313.53769999999997</v>
      </c>
      <c r="M2606" s="1">
        <v>45383.443055555559</v>
      </c>
      <c r="N2606" t="s">
        <v>178</v>
      </c>
    </row>
    <row r="2607" spans="1:14" x14ac:dyDescent="0.25">
      <c r="A2607" s="9" t="s">
        <v>5211</v>
      </c>
      <c r="B2607" s="10">
        <v>714</v>
      </c>
      <c r="C2607" s="10" t="s">
        <v>323</v>
      </c>
      <c r="D2607" t="s">
        <v>3227</v>
      </c>
      <c r="E2607" t="s">
        <v>3228</v>
      </c>
      <c r="F2607" s="10" t="s">
        <v>29</v>
      </c>
      <c r="G2607" s="2">
        <v>24.5</v>
      </c>
      <c r="H2607" s="13">
        <v>1</v>
      </c>
      <c r="I2607" s="13">
        <v>0</v>
      </c>
      <c r="J2607" s="13">
        <v>0</v>
      </c>
      <c r="K2607" s="10">
        <v>1</v>
      </c>
      <c r="L2607" s="2">
        <v>24.5</v>
      </c>
      <c r="M2607" s="1">
        <v>45386.461111111108</v>
      </c>
      <c r="N2607" t="s">
        <v>310</v>
      </c>
    </row>
    <row r="2608" spans="1:14" x14ac:dyDescent="0.25">
      <c r="A2608" s="9" t="s">
        <v>5211</v>
      </c>
      <c r="B2608" s="10">
        <v>634</v>
      </c>
      <c r="C2608" s="10" t="s">
        <v>323</v>
      </c>
      <c r="D2608" t="s">
        <v>4322</v>
      </c>
      <c r="E2608" t="s">
        <v>4323</v>
      </c>
      <c r="F2608" s="10" t="s">
        <v>1400</v>
      </c>
      <c r="G2608" s="2">
        <v>520.6848</v>
      </c>
      <c r="H2608" s="13">
        <v>1</v>
      </c>
      <c r="I2608" s="13">
        <v>1</v>
      </c>
      <c r="J2608" s="13">
        <v>-1</v>
      </c>
      <c r="K2608" s="10">
        <v>1</v>
      </c>
      <c r="L2608" s="2">
        <v>520.6848</v>
      </c>
      <c r="M2608" s="1">
        <v>45390.51458333333</v>
      </c>
      <c r="N2608" t="s">
        <v>178</v>
      </c>
    </row>
    <row r="2609" spans="1:14" x14ac:dyDescent="0.25">
      <c r="A2609" s="9" t="s">
        <v>5211</v>
      </c>
      <c r="B2609" s="10">
        <v>634</v>
      </c>
      <c r="C2609" s="10" t="s">
        <v>143</v>
      </c>
      <c r="D2609" t="s">
        <v>2217</v>
      </c>
      <c r="E2609" s="6" t="s">
        <v>2218</v>
      </c>
      <c r="F2609" s="11" t="s">
        <v>58</v>
      </c>
      <c r="G2609" s="2">
        <v>15.020099999999999</v>
      </c>
      <c r="H2609" s="13">
        <v>1</v>
      </c>
      <c r="I2609" s="13">
        <v>2</v>
      </c>
      <c r="J2609" s="13">
        <v>-2</v>
      </c>
      <c r="K2609" s="10">
        <v>1</v>
      </c>
      <c r="L2609" s="2">
        <v>15.020099999999999</v>
      </c>
      <c r="M2609" s="1">
        <v>45391.530555555553</v>
      </c>
      <c r="N2609" t="s">
        <v>261</v>
      </c>
    </row>
    <row r="2610" spans="1:14" x14ac:dyDescent="0.25">
      <c r="A2610" s="9" t="s">
        <v>5211</v>
      </c>
      <c r="B2610" s="10">
        <v>634</v>
      </c>
      <c r="C2610" s="10" t="s">
        <v>323</v>
      </c>
      <c r="D2610" t="s">
        <v>451</v>
      </c>
      <c r="E2610" t="s">
        <v>452</v>
      </c>
      <c r="F2610" s="10" t="s">
        <v>29</v>
      </c>
      <c r="G2610" s="2">
        <v>151.92590000000001</v>
      </c>
      <c r="H2610" s="13">
        <v>1</v>
      </c>
      <c r="I2610" s="13">
        <v>-10</v>
      </c>
      <c r="J2610" s="13">
        <v>10</v>
      </c>
      <c r="K2610" s="10">
        <v>1</v>
      </c>
      <c r="L2610" s="2">
        <v>151.92590000000001</v>
      </c>
      <c r="M2610" s="1">
        <v>45393.545138888891</v>
      </c>
      <c r="N2610" t="s">
        <v>165</v>
      </c>
    </row>
    <row r="2611" spans="1:14" x14ac:dyDescent="0.25">
      <c r="A2611" s="9" t="s">
        <v>5211</v>
      </c>
      <c r="B2611" s="10">
        <v>714</v>
      </c>
      <c r="C2611" s="10" t="s">
        <v>323</v>
      </c>
      <c r="D2611" t="s">
        <v>2894</v>
      </c>
      <c r="E2611" s="6" t="s">
        <v>2895</v>
      </c>
      <c r="F2611" s="11" t="s">
        <v>58</v>
      </c>
      <c r="G2611" s="2">
        <v>195.6644</v>
      </c>
      <c r="H2611" s="13">
        <v>1</v>
      </c>
      <c r="I2611" s="13">
        <v>0</v>
      </c>
      <c r="J2611" s="13">
        <v>0</v>
      </c>
      <c r="K2611" s="10">
        <v>1</v>
      </c>
      <c r="L2611" s="2">
        <v>195.6644</v>
      </c>
      <c r="M2611" s="1">
        <v>45406.302083333336</v>
      </c>
      <c r="N2611" t="s">
        <v>159</v>
      </c>
    </row>
    <row r="2612" spans="1:14" x14ac:dyDescent="0.25">
      <c r="A2612" s="9" t="s">
        <v>5211</v>
      </c>
      <c r="B2612" s="10">
        <v>714</v>
      </c>
      <c r="C2612" s="10" t="s">
        <v>323</v>
      </c>
      <c r="D2612" t="s">
        <v>1624</v>
      </c>
      <c r="E2612" t="s">
        <v>1625</v>
      </c>
      <c r="F2612" s="10" t="s">
        <v>29</v>
      </c>
      <c r="G2612" s="2">
        <v>274.83980000000003</v>
      </c>
      <c r="H2612" s="13">
        <v>1</v>
      </c>
      <c r="I2612" s="13">
        <v>0</v>
      </c>
      <c r="J2612" s="13">
        <v>0</v>
      </c>
      <c r="K2612" s="10">
        <v>1</v>
      </c>
      <c r="L2612" s="2">
        <v>274.83980000000003</v>
      </c>
      <c r="M2612" s="1">
        <v>45406.48541666667</v>
      </c>
      <c r="N2612" t="s">
        <v>3361</v>
      </c>
    </row>
    <row r="2613" spans="1:14" x14ac:dyDescent="0.25">
      <c r="A2613" s="9" t="s">
        <v>5211</v>
      </c>
      <c r="B2613" s="10">
        <v>714</v>
      </c>
      <c r="C2613" s="10" t="s">
        <v>143</v>
      </c>
      <c r="D2613" t="s">
        <v>4809</v>
      </c>
      <c r="E2613" t="s">
        <v>4810</v>
      </c>
      <c r="F2613" s="10" t="s">
        <v>29</v>
      </c>
      <c r="G2613" s="2">
        <v>209.98390000000001</v>
      </c>
      <c r="H2613" s="13">
        <v>1</v>
      </c>
      <c r="I2613" s="13">
        <v>-2</v>
      </c>
      <c r="J2613" s="13">
        <v>2</v>
      </c>
      <c r="K2613" s="10">
        <v>1</v>
      </c>
      <c r="L2613" s="2">
        <v>209.98390000000001</v>
      </c>
      <c r="M2613" s="1">
        <v>45413.384027777778</v>
      </c>
      <c r="N2613" t="s">
        <v>501</v>
      </c>
    </row>
    <row r="2614" spans="1:14" x14ac:dyDescent="0.25">
      <c r="A2614" s="9" t="s">
        <v>5211</v>
      </c>
      <c r="B2614" s="10">
        <v>636</v>
      </c>
      <c r="C2614" s="10" t="s">
        <v>323</v>
      </c>
      <c r="D2614" t="s">
        <v>1564</v>
      </c>
      <c r="E2614" s="6" t="s">
        <v>1565</v>
      </c>
      <c r="F2614" s="11" t="s">
        <v>58</v>
      </c>
      <c r="G2614" s="2">
        <v>103.4028</v>
      </c>
      <c r="H2614" s="13">
        <v>1</v>
      </c>
      <c r="I2614" s="13">
        <v>0</v>
      </c>
      <c r="J2614" s="13">
        <v>0</v>
      </c>
      <c r="K2614" s="10">
        <v>1</v>
      </c>
      <c r="L2614" s="2">
        <v>103.4028</v>
      </c>
      <c r="M2614" s="1">
        <v>45419.637499999997</v>
      </c>
      <c r="N2614" t="s">
        <v>1067</v>
      </c>
    </row>
    <row r="2615" spans="1:14" x14ac:dyDescent="0.25">
      <c r="A2615" s="9" t="s">
        <v>5211</v>
      </c>
      <c r="B2615" s="10">
        <v>718</v>
      </c>
      <c r="C2615" s="10" t="s">
        <v>323</v>
      </c>
      <c r="D2615" t="s">
        <v>5206</v>
      </c>
      <c r="E2615" t="s">
        <v>5207</v>
      </c>
      <c r="F2615" s="10" t="s">
        <v>29</v>
      </c>
      <c r="G2615" s="2">
        <v>129.57640000000001</v>
      </c>
      <c r="H2615" s="13">
        <v>1</v>
      </c>
      <c r="I2615" s="13">
        <v>7</v>
      </c>
      <c r="J2615" s="13">
        <v>-7</v>
      </c>
      <c r="K2615" s="10">
        <v>1</v>
      </c>
      <c r="L2615" s="2">
        <v>129.57640000000001</v>
      </c>
      <c r="M2615" s="1">
        <v>45425.581250000003</v>
      </c>
      <c r="N2615" t="s">
        <v>216</v>
      </c>
    </row>
    <row r="2616" spans="1:14" x14ac:dyDescent="0.25">
      <c r="A2616" s="9" t="s">
        <v>5211</v>
      </c>
      <c r="B2616" s="10">
        <v>718</v>
      </c>
      <c r="C2616" s="10" t="s">
        <v>12</v>
      </c>
      <c r="D2616" t="s">
        <v>3584</v>
      </c>
      <c r="E2616" t="s">
        <v>3585</v>
      </c>
      <c r="F2616" s="10" t="s">
        <v>29</v>
      </c>
      <c r="G2616" s="2">
        <v>48.757199999999997</v>
      </c>
      <c r="H2616" s="13">
        <v>1</v>
      </c>
      <c r="I2616" s="13">
        <v>0</v>
      </c>
      <c r="J2616" s="13">
        <v>0</v>
      </c>
      <c r="K2616" s="10">
        <v>1</v>
      </c>
      <c r="L2616" s="2">
        <v>48.757199999999997</v>
      </c>
      <c r="M2616" s="1">
        <v>45433.568055555559</v>
      </c>
      <c r="N2616" t="s">
        <v>67</v>
      </c>
    </row>
    <row r="2617" spans="1:14" x14ac:dyDescent="0.25">
      <c r="A2617" s="9" t="s">
        <v>5211</v>
      </c>
      <c r="B2617" s="10">
        <v>714</v>
      </c>
      <c r="C2617" s="10" t="s">
        <v>12</v>
      </c>
      <c r="D2617" t="s">
        <v>1933</v>
      </c>
      <c r="E2617" t="s">
        <v>1934</v>
      </c>
      <c r="F2617" s="10" t="s">
        <v>35</v>
      </c>
      <c r="G2617" s="2">
        <v>12.911799999999999</v>
      </c>
      <c r="H2617" s="13">
        <v>1</v>
      </c>
      <c r="I2617" s="13">
        <v>0</v>
      </c>
      <c r="J2617" s="13">
        <v>0</v>
      </c>
      <c r="K2617" s="10">
        <v>1</v>
      </c>
      <c r="L2617" s="2">
        <v>12.911799999999999</v>
      </c>
      <c r="M2617" s="1">
        <v>45435.474999999999</v>
      </c>
      <c r="N2617" t="s">
        <v>67</v>
      </c>
    </row>
    <row r="2618" spans="1:14" x14ac:dyDescent="0.25">
      <c r="A2618" s="9" t="s">
        <v>5211</v>
      </c>
      <c r="B2618" s="10">
        <v>714</v>
      </c>
      <c r="C2618" s="10" t="s">
        <v>323</v>
      </c>
      <c r="D2618" t="s">
        <v>5083</v>
      </c>
      <c r="E2618" t="s">
        <v>5084</v>
      </c>
      <c r="F2618" s="10" t="s">
        <v>29</v>
      </c>
      <c r="G2618" s="2">
        <v>141.81819999999999</v>
      </c>
      <c r="H2618" s="13">
        <v>1</v>
      </c>
      <c r="I2618" s="13">
        <v>10</v>
      </c>
      <c r="J2618" s="13">
        <v>-10</v>
      </c>
      <c r="K2618" s="10">
        <v>1</v>
      </c>
      <c r="L2618" s="2">
        <v>141.81819999999999</v>
      </c>
      <c r="M2618" s="1">
        <v>45449.695138888892</v>
      </c>
      <c r="N2618" t="s">
        <v>1379</v>
      </c>
    </row>
    <row r="2619" spans="1:14" x14ac:dyDescent="0.25">
      <c r="A2619" s="9" t="s">
        <v>5211</v>
      </c>
      <c r="B2619" s="10">
        <v>714</v>
      </c>
      <c r="C2619" s="10" t="s">
        <v>323</v>
      </c>
      <c r="D2619" t="s">
        <v>2953</v>
      </c>
      <c r="E2619" s="6" t="s">
        <v>2954</v>
      </c>
      <c r="F2619" s="11" t="s">
        <v>58</v>
      </c>
      <c r="G2619" s="2">
        <v>174.00129999999999</v>
      </c>
      <c r="H2619" s="13">
        <v>1</v>
      </c>
      <c r="I2619" s="13">
        <v>0</v>
      </c>
      <c r="J2619" s="13">
        <v>0</v>
      </c>
      <c r="K2619" s="10">
        <v>1</v>
      </c>
      <c r="L2619" s="2">
        <v>174.00129999999999</v>
      </c>
      <c r="M2619" s="1">
        <v>45531.383333333331</v>
      </c>
      <c r="N2619" t="s">
        <v>1870</v>
      </c>
    </row>
    <row r="2620" spans="1:14" x14ac:dyDescent="0.25">
      <c r="A2620" s="9" t="s">
        <v>5211</v>
      </c>
      <c r="B2620" s="10">
        <v>636</v>
      </c>
      <c r="C2620" s="10" t="s">
        <v>323</v>
      </c>
      <c r="D2620" t="s">
        <v>1310</v>
      </c>
      <c r="E2620" t="s">
        <v>1311</v>
      </c>
      <c r="F2620" s="10" t="s">
        <v>29</v>
      </c>
      <c r="G2620" s="2">
        <v>186.95599999999999</v>
      </c>
      <c r="H2620" s="13">
        <v>1</v>
      </c>
      <c r="I2620" s="13">
        <v>-1</v>
      </c>
      <c r="J2620" s="13">
        <v>1</v>
      </c>
      <c r="K2620" s="10">
        <v>1</v>
      </c>
      <c r="L2620" s="2">
        <v>186.95599999999999</v>
      </c>
      <c r="M2620" s="1">
        <v>45559.338194444441</v>
      </c>
      <c r="N2620" t="s">
        <v>61</v>
      </c>
    </row>
    <row r="2621" spans="1:14" x14ac:dyDescent="0.25">
      <c r="A2621" s="9" t="s">
        <v>5211</v>
      </c>
      <c r="B2621" s="10">
        <v>714</v>
      </c>
      <c r="C2621" s="10" t="s">
        <v>143</v>
      </c>
      <c r="D2621" t="s">
        <v>4120</v>
      </c>
      <c r="E2621" s="6" t="s">
        <v>4121</v>
      </c>
      <c r="F2621" s="11" t="s">
        <v>58</v>
      </c>
      <c r="G2621" s="2">
        <v>36</v>
      </c>
      <c r="H2621" s="13">
        <v>1</v>
      </c>
      <c r="I2621" s="13">
        <v>58</v>
      </c>
      <c r="J2621" s="13">
        <v>-58</v>
      </c>
      <c r="K2621" s="10">
        <v>1</v>
      </c>
      <c r="L2621" s="2">
        <v>36</v>
      </c>
      <c r="M2621" s="1">
        <v>45559.475694444445</v>
      </c>
      <c r="N2621" t="s">
        <v>345</v>
      </c>
    </row>
    <row r="2622" spans="1:14" x14ac:dyDescent="0.25">
      <c r="A2622" s="9" t="s">
        <v>5211</v>
      </c>
      <c r="B2622" s="10">
        <v>636</v>
      </c>
      <c r="C2622" s="10" t="s">
        <v>323</v>
      </c>
      <c r="D2622" t="s">
        <v>3001</v>
      </c>
      <c r="E2622" t="s">
        <v>3002</v>
      </c>
      <c r="F2622" s="10" t="s">
        <v>35</v>
      </c>
      <c r="G2622" s="2">
        <v>219.17099999999999</v>
      </c>
      <c r="H2622" s="13">
        <v>1</v>
      </c>
      <c r="I2622" s="13">
        <v>1</v>
      </c>
      <c r="J2622" s="13">
        <v>-1</v>
      </c>
      <c r="K2622" s="10">
        <v>1</v>
      </c>
      <c r="L2622" s="2">
        <v>219.17099999999999</v>
      </c>
      <c r="M2622" s="1">
        <v>45581.537499999999</v>
      </c>
      <c r="N2622" t="s">
        <v>216</v>
      </c>
    </row>
    <row r="2623" spans="1:14" x14ac:dyDescent="0.25">
      <c r="A2623" s="9" t="s">
        <v>5211</v>
      </c>
      <c r="B2623" s="10">
        <v>714</v>
      </c>
      <c r="C2623" s="10" t="s">
        <v>143</v>
      </c>
      <c r="D2623" t="s">
        <v>2591</v>
      </c>
      <c r="E2623" t="s">
        <v>2592</v>
      </c>
      <c r="F2623" s="10" t="s">
        <v>29</v>
      </c>
      <c r="G2623" s="2">
        <v>35.742199999999997</v>
      </c>
      <c r="H2623" s="13">
        <v>1</v>
      </c>
      <c r="I2623" s="13">
        <v>0</v>
      </c>
      <c r="J2623" s="13">
        <v>0</v>
      </c>
      <c r="K2623" s="10">
        <v>1</v>
      </c>
      <c r="L2623" s="2">
        <v>35.742199999999997</v>
      </c>
      <c r="M2623" s="1">
        <v>45594.630555555559</v>
      </c>
      <c r="N2623" t="s">
        <v>2593</v>
      </c>
    </row>
    <row r="2624" spans="1:14" x14ac:dyDescent="0.25">
      <c r="A2624" s="9" t="s">
        <v>5211</v>
      </c>
      <c r="B2624" s="10">
        <v>714</v>
      </c>
      <c r="C2624" s="10" t="s">
        <v>323</v>
      </c>
      <c r="D2624" t="s">
        <v>5057</v>
      </c>
      <c r="E2624" t="s">
        <v>5058</v>
      </c>
      <c r="F2624" s="10" t="s">
        <v>1400</v>
      </c>
      <c r="G2624" s="2">
        <v>85.9161</v>
      </c>
      <c r="H2624" s="13">
        <v>1</v>
      </c>
      <c r="I2624" s="13">
        <v>0</v>
      </c>
      <c r="J2624" s="13">
        <v>0</v>
      </c>
      <c r="K2624" s="10">
        <v>1</v>
      </c>
      <c r="L2624" s="2">
        <v>85.9161</v>
      </c>
      <c r="M2624" s="1">
        <v>45594.630555555559</v>
      </c>
      <c r="N2624" t="s">
        <v>2593</v>
      </c>
    </row>
    <row r="2625" spans="1:14" x14ac:dyDescent="0.25">
      <c r="A2625" s="9" t="s">
        <v>5211</v>
      </c>
      <c r="B2625" s="10">
        <v>714</v>
      </c>
      <c r="C2625" s="10" t="s">
        <v>323</v>
      </c>
      <c r="D2625" t="s">
        <v>5069</v>
      </c>
      <c r="E2625" t="s">
        <v>5070</v>
      </c>
      <c r="F2625" s="10" t="s">
        <v>29</v>
      </c>
      <c r="G2625" s="2">
        <v>183.52269999999999</v>
      </c>
      <c r="H2625" s="13">
        <v>1</v>
      </c>
      <c r="I2625" s="13">
        <v>1</v>
      </c>
      <c r="J2625" s="13">
        <v>-1</v>
      </c>
      <c r="K2625" s="10">
        <v>1</v>
      </c>
      <c r="L2625" s="2">
        <v>183.52269999999999</v>
      </c>
      <c r="M2625" s="1">
        <v>45610.386805555558</v>
      </c>
      <c r="N2625" t="s">
        <v>2271</v>
      </c>
    </row>
    <row r="2626" spans="1:14" x14ac:dyDescent="0.25">
      <c r="A2626" s="9" t="s">
        <v>5211</v>
      </c>
      <c r="B2626" s="10">
        <v>636</v>
      </c>
      <c r="C2626" s="10" t="s">
        <v>323</v>
      </c>
      <c r="D2626" t="s">
        <v>1245</v>
      </c>
      <c r="E2626" s="6" t="s">
        <v>1246</v>
      </c>
      <c r="F2626" s="11" t="s">
        <v>58</v>
      </c>
      <c r="G2626" s="2">
        <v>216.6053</v>
      </c>
      <c r="H2626" s="13">
        <v>1</v>
      </c>
      <c r="I2626" s="13">
        <v>0</v>
      </c>
      <c r="J2626" s="13">
        <v>0</v>
      </c>
      <c r="K2626" s="10">
        <v>1</v>
      </c>
      <c r="L2626" s="2">
        <v>216.6053</v>
      </c>
      <c r="M2626" s="1">
        <v>45707.509722222225</v>
      </c>
      <c r="N2626" t="s">
        <v>151</v>
      </c>
    </row>
    <row r="2627" spans="1:14" x14ac:dyDescent="0.25">
      <c r="A2627" s="9" t="s">
        <v>5211</v>
      </c>
      <c r="B2627" s="10">
        <v>636</v>
      </c>
      <c r="C2627" s="10" t="s">
        <v>323</v>
      </c>
      <c r="D2627" t="s">
        <v>432</v>
      </c>
      <c r="E2627" t="s">
        <v>433</v>
      </c>
      <c r="F2627" s="10" t="s">
        <v>29</v>
      </c>
      <c r="G2627" s="2">
        <v>189.82140000000001</v>
      </c>
      <c r="H2627" s="13">
        <v>1</v>
      </c>
      <c r="I2627" s="13">
        <v>-4</v>
      </c>
      <c r="J2627" s="13">
        <v>4</v>
      </c>
      <c r="K2627" s="10">
        <v>1</v>
      </c>
      <c r="L2627" s="2">
        <v>189.82140000000001</v>
      </c>
      <c r="M2627" s="1">
        <v>45707.515277777777</v>
      </c>
      <c r="N2627" t="s">
        <v>151</v>
      </c>
    </row>
    <row r="2628" spans="1:14" x14ac:dyDescent="0.25">
      <c r="A2628" s="9" t="s">
        <v>5211</v>
      </c>
      <c r="B2628" s="10">
        <v>636</v>
      </c>
      <c r="C2628" s="10" t="s">
        <v>323</v>
      </c>
      <c r="D2628" t="s">
        <v>1576</v>
      </c>
      <c r="E2628" s="6" t="s">
        <v>1577</v>
      </c>
      <c r="F2628" s="11" t="s">
        <v>58</v>
      </c>
      <c r="G2628" s="2">
        <v>134.01060000000001</v>
      </c>
      <c r="H2628" s="13">
        <v>1</v>
      </c>
      <c r="I2628" s="13">
        <v>0</v>
      </c>
      <c r="J2628" s="13">
        <v>0</v>
      </c>
      <c r="K2628" s="10">
        <v>1</v>
      </c>
      <c r="L2628" s="2">
        <v>134.01060000000001</v>
      </c>
      <c r="M2628" s="1">
        <v>45708.388888888891</v>
      </c>
      <c r="N2628" t="s">
        <v>159</v>
      </c>
    </row>
    <row r="2629" spans="1:14" x14ac:dyDescent="0.25">
      <c r="A2629" s="9" t="s">
        <v>5211</v>
      </c>
      <c r="B2629" s="10">
        <v>636</v>
      </c>
      <c r="C2629" s="10" t="s">
        <v>323</v>
      </c>
      <c r="D2629" t="s">
        <v>428</v>
      </c>
      <c r="E2629" t="s">
        <v>429</v>
      </c>
      <c r="F2629" s="10" t="s">
        <v>29</v>
      </c>
      <c r="G2629" s="2">
        <v>395.61970000000002</v>
      </c>
      <c r="H2629" s="13">
        <v>1</v>
      </c>
      <c r="I2629" s="13">
        <v>0</v>
      </c>
      <c r="J2629" s="13">
        <v>0</v>
      </c>
      <c r="K2629" s="10">
        <v>1</v>
      </c>
      <c r="L2629" s="2">
        <v>395.61970000000002</v>
      </c>
      <c r="M2629" s="1">
        <v>45712.381249999999</v>
      </c>
      <c r="N2629" t="s">
        <v>159</v>
      </c>
    </row>
    <row r="2630" spans="1:14" x14ac:dyDescent="0.25">
      <c r="A2630" s="9" t="s">
        <v>5211</v>
      </c>
      <c r="B2630" s="10">
        <v>636</v>
      </c>
      <c r="C2630" s="10" t="s">
        <v>323</v>
      </c>
      <c r="D2630" t="s">
        <v>1642</v>
      </c>
      <c r="E2630" s="6" t="s">
        <v>1643</v>
      </c>
      <c r="F2630" s="11" t="s">
        <v>58</v>
      </c>
      <c r="G2630" s="2">
        <v>582.20500000000004</v>
      </c>
      <c r="H2630" s="13">
        <v>1</v>
      </c>
      <c r="I2630" s="13">
        <v>0</v>
      </c>
      <c r="J2630" s="13">
        <v>0</v>
      </c>
      <c r="K2630" s="10">
        <v>1</v>
      </c>
      <c r="L2630" s="2">
        <v>582.20500000000004</v>
      </c>
      <c r="M2630" s="1">
        <v>45712.381249999999</v>
      </c>
      <c r="N2630" t="s">
        <v>159</v>
      </c>
    </row>
    <row r="2631" spans="1:14" x14ac:dyDescent="0.25">
      <c r="A2631" s="9" t="s">
        <v>5211</v>
      </c>
      <c r="B2631" s="10">
        <v>636</v>
      </c>
      <c r="C2631" s="10" t="s">
        <v>323</v>
      </c>
      <c r="D2631" t="s">
        <v>1707</v>
      </c>
      <c r="E2631" t="s">
        <v>1708</v>
      </c>
      <c r="F2631" s="10" t="s">
        <v>29</v>
      </c>
      <c r="G2631" s="2">
        <v>161.08009999999999</v>
      </c>
      <c r="H2631" s="13">
        <v>1</v>
      </c>
      <c r="I2631" s="13">
        <v>-1</v>
      </c>
      <c r="J2631" s="13">
        <v>1</v>
      </c>
      <c r="K2631" s="10">
        <v>1</v>
      </c>
      <c r="L2631" s="2">
        <v>161.08009999999999</v>
      </c>
      <c r="M2631" s="1">
        <v>45712.382638888892</v>
      </c>
      <c r="N2631" t="s">
        <v>151</v>
      </c>
    </row>
    <row r="2632" spans="1:14" x14ac:dyDescent="0.25">
      <c r="A2632" s="9" t="s">
        <v>5211</v>
      </c>
      <c r="B2632" s="10">
        <v>636</v>
      </c>
      <c r="C2632" s="10" t="s">
        <v>323</v>
      </c>
      <c r="D2632" t="s">
        <v>337</v>
      </c>
      <c r="E2632" s="6" t="s">
        <v>338</v>
      </c>
      <c r="F2632" s="11" t="s">
        <v>58</v>
      </c>
      <c r="G2632" s="2">
        <v>197.7748</v>
      </c>
      <c r="H2632" s="13">
        <v>1</v>
      </c>
      <c r="I2632" s="13">
        <v>0</v>
      </c>
      <c r="J2632" s="13">
        <v>0</v>
      </c>
      <c r="K2632" s="10">
        <v>1</v>
      </c>
      <c r="L2632" s="2">
        <v>197.7748</v>
      </c>
      <c r="M2632" s="1">
        <v>45712.382638888892</v>
      </c>
      <c r="N2632" t="s">
        <v>151</v>
      </c>
    </row>
    <row r="2633" spans="1:14" x14ac:dyDescent="0.25">
      <c r="A2633" s="9" t="s">
        <v>5211</v>
      </c>
      <c r="B2633" s="10">
        <v>634</v>
      </c>
      <c r="C2633" s="10" t="s">
        <v>323</v>
      </c>
      <c r="D2633" t="s">
        <v>426</v>
      </c>
      <c r="E2633" t="s">
        <v>427</v>
      </c>
      <c r="F2633" s="10" t="s">
        <v>19</v>
      </c>
      <c r="G2633" s="2">
        <v>214.58690000000001</v>
      </c>
      <c r="H2633" s="13">
        <v>1</v>
      </c>
      <c r="I2633" s="13">
        <v>0</v>
      </c>
      <c r="J2633" s="13">
        <v>0</v>
      </c>
      <c r="K2633" s="10">
        <v>1</v>
      </c>
      <c r="L2633" s="2">
        <v>214.58690000000001</v>
      </c>
      <c r="M2633" s="1">
        <v>45712.435416666667</v>
      </c>
      <c r="N2633" t="s">
        <v>159</v>
      </c>
    </row>
    <row r="2634" spans="1:14" x14ac:dyDescent="0.25">
      <c r="A2634" s="9" t="s">
        <v>5211</v>
      </c>
      <c r="B2634" s="10">
        <v>634</v>
      </c>
      <c r="C2634" s="10" t="s">
        <v>323</v>
      </c>
      <c r="D2634" t="s">
        <v>428</v>
      </c>
      <c r="E2634" s="6" t="s">
        <v>429</v>
      </c>
      <c r="F2634" s="11" t="s">
        <v>58</v>
      </c>
      <c r="G2634" s="2">
        <v>394.37580000000003</v>
      </c>
      <c r="H2634" s="13">
        <v>1</v>
      </c>
      <c r="I2634" s="13">
        <v>0</v>
      </c>
      <c r="J2634" s="13">
        <v>0</v>
      </c>
      <c r="K2634" s="10">
        <v>1</v>
      </c>
      <c r="L2634" s="2">
        <v>394.37580000000003</v>
      </c>
      <c r="M2634" s="1">
        <v>45712.435416666667</v>
      </c>
      <c r="N2634" t="s">
        <v>159</v>
      </c>
    </row>
    <row r="2635" spans="1:14" x14ac:dyDescent="0.25">
      <c r="A2635" s="9" t="s">
        <v>5211</v>
      </c>
      <c r="B2635" s="10">
        <v>634</v>
      </c>
      <c r="C2635" s="10" t="s">
        <v>323</v>
      </c>
      <c r="D2635" t="s">
        <v>4347</v>
      </c>
      <c r="E2635" t="s">
        <v>4348</v>
      </c>
      <c r="F2635" s="10" t="s">
        <v>19</v>
      </c>
      <c r="G2635" s="2">
        <v>211.89670000000001</v>
      </c>
      <c r="H2635" s="13">
        <v>1</v>
      </c>
      <c r="I2635" s="13">
        <v>6</v>
      </c>
      <c r="J2635" s="13">
        <v>-6</v>
      </c>
      <c r="K2635" s="10">
        <v>1</v>
      </c>
      <c r="L2635" s="2">
        <v>211.89670000000001</v>
      </c>
      <c r="M2635" s="1">
        <v>45715.536805555559</v>
      </c>
      <c r="N2635" t="s">
        <v>159</v>
      </c>
    </row>
    <row r="2636" spans="1:14" x14ac:dyDescent="0.25">
      <c r="A2636" s="9" t="s">
        <v>5211</v>
      </c>
      <c r="B2636" s="10">
        <v>634</v>
      </c>
      <c r="C2636" s="10" t="s">
        <v>323</v>
      </c>
      <c r="D2636" t="s">
        <v>4270</v>
      </c>
      <c r="E2636" t="s">
        <v>4271</v>
      </c>
      <c r="F2636" s="10" t="s">
        <v>19</v>
      </c>
      <c r="G2636" s="2">
        <v>206.3629</v>
      </c>
      <c r="H2636" s="13">
        <v>1</v>
      </c>
      <c r="I2636" s="13">
        <v>0</v>
      </c>
      <c r="J2636" s="13">
        <v>0</v>
      </c>
      <c r="K2636" s="10">
        <v>1</v>
      </c>
      <c r="L2636" s="2">
        <v>206.3629</v>
      </c>
      <c r="M2636" s="1">
        <v>45715.536805555559</v>
      </c>
      <c r="N2636" t="s">
        <v>159</v>
      </c>
    </row>
    <row r="2637" spans="1:14" x14ac:dyDescent="0.25">
      <c r="A2637" s="9" t="s">
        <v>5211</v>
      </c>
      <c r="B2637" s="10">
        <v>634</v>
      </c>
      <c r="C2637" s="10" t="s">
        <v>323</v>
      </c>
      <c r="D2637" t="s">
        <v>1243</v>
      </c>
      <c r="E2637" t="s">
        <v>1244</v>
      </c>
      <c r="F2637" s="10" t="s">
        <v>19</v>
      </c>
      <c r="G2637" s="2">
        <v>162.59610000000001</v>
      </c>
      <c r="H2637" s="13">
        <v>1</v>
      </c>
      <c r="I2637" s="13">
        <v>0</v>
      </c>
      <c r="J2637" s="13">
        <v>0</v>
      </c>
      <c r="K2637" s="10">
        <v>1</v>
      </c>
      <c r="L2637" s="2">
        <v>162.59610000000001</v>
      </c>
      <c r="M2637" s="1">
        <v>45716.448611111111</v>
      </c>
      <c r="N2637" t="s">
        <v>151</v>
      </c>
    </row>
    <row r="2638" spans="1:14" x14ac:dyDescent="0.25">
      <c r="A2638" s="9" t="s">
        <v>5211</v>
      </c>
      <c r="B2638" s="10">
        <v>636</v>
      </c>
      <c r="C2638" s="10" t="s">
        <v>323</v>
      </c>
      <c r="D2638" t="s">
        <v>4631</v>
      </c>
      <c r="E2638" t="s">
        <v>4632</v>
      </c>
      <c r="F2638" s="10" t="s">
        <v>19</v>
      </c>
      <c r="G2638" s="2">
        <v>147.95609999999999</v>
      </c>
      <c r="H2638" s="13">
        <v>1</v>
      </c>
      <c r="I2638" s="13">
        <v>0</v>
      </c>
      <c r="J2638" s="13">
        <v>0</v>
      </c>
      <c r="K2638" s="10">
        <v>1</v>
      </c>
      <c r="L2638" s="2">
        <v>147.95609999999999</v>
      </c>
      <c r="M2638" s="1">
        <v>45721.366666666669</v>
      </c>
      <c r="N2638" t="s">
        <v>159</v>
      </c>
    </row>
    <row r="2639" spans="1:14" x14ac:dyDescent="0.25">
      <c r="A2639" s="9" t="s">
        <v>5211</v>
      </c>
      <c r="B2639" s="10">
        <v>636</v>
      </c>
      <c r="C2639" s="10" t="s">
        <v>143</v>
      </c>
      <c r="D2639" t="s">
        <v>934</v>
      </c>
      <c r="E2639" s="6" t="s">
        <v>935</v>
      </c>
      <c r="F2639" s="11" t="s">
        <v>58</v>
      </c>
      <c r="G2639" s="2">
        <v>147.70679999999999</v>
      </c>
      <c r="H2639" s="13">
        <v>1</v>
      </c>
      <c r="I2639" s="13">
        <v>0</v>
      </c>
      <c r="J2639" s="13">
        <v>0</v>
      </c>
      <c r="K2639" s="10">
        <v>1</v>
      </c>
      <c r="L2639" s="2">
        <v>147.70679999999999</v>
      </c>
      <c r="M2639" s="1">
        <v>45723.395138888889</v>
      </c>
      <c r="N2639" t="s">
        <v>165</v>
      </c>
    </row>
    <row r="2640" spans="1:14" x14ac:dyDescent="0.25">
      <c r="A2640" s="9" t="s">
        <v>5211</v>
      </c>
      <c r="B2640" s="10">
        <v>714</v>
      </c>
      <c r="C2640" s="10" t="s">
        <v>323</v>
      </c>
      <c r="D2640" t="s">
        <v>1322</v>
      </c>
      <c r="E2640" t="s">
        <v>1323</v>
      </c>
      <c r="F2640" s="10" t="s">
        <v>19</v>
      </c>
      <c r="G2640" s="2">
        <v>284.80959999999999</v>
      </c>
      <c r="H2640" s="13">
        <v>1</v>
      </c>
      <c r="I2640" s="13">
        <v>1</v>
      </c>
      <c r="J2640" s="13">
        <v>-1</v>
      </c>
      <c r="K2640" s="10">
        <v>1</v>
      </c>
      <c r="L2640" s="2">
        <v>284.80959999999999</v>
      </c>
      <c r="M2640" s="1">
        <v>45726.532638888886</v>
      </c>
      <c r="N2640" t="s">
        <v>2379</v>
      </c>
    </row>
    <row r="2641" spans="1:14" x14ac:dyDescent="0.25">
      <c r="A2641" s="9" t="s">
        <v>5211</v>
      </c>
      <c r="B2641" s="10">
        <v>714</v>
      </c>
      <c r="C2641" s="10" t="s">
        <v>323</v>
      </c>
      <c r="D2641" t="s">
        <v>3065</v>
      </c>
      <c r="E2641" t="s">
        <v>3066</v>
      </c>
      <c r="F2641" s="10" t="s">
        <v>29</v>
      </c>
      <c r="G2641" s="2">
        <v>270</v>
      </c>
      <c r="H2641" s="13">
        <v>1</v>
      </c>
      <c r="I2641" s="13">
        <v>0</v>
      </c>
      <c r="J2641" s="13">
        <v>0</v>
      </c>
      <c r="K2641" s="10">
        <v>1</v>
      </c>
      <c r="L2641" s="2">
        <v>270</v>
      </c>
      <c r="M2641" s="1">
        <v>45727.413888888892</v>
      </c>
      <c r="N2641" t="s">
        <v>1350</v>
      </c>
    </row>
    <row r="2642" spans="1:14" x14ac:dyDescent="0.25">
      <c r="A2642" s="9" t="s">
        <v>5211</v>
      </c>
      <c r="B2642" s="10">
        <v>636</v>
      </c>
      <c r="C2642" s="10" t="s">
        <v>143</v>
      </c>
      <c r="D2642" t="s">
        <v>1136</v>
      </c>
      <c r="E2642" t="s">
        <v>1137</v>
      </c>
      <c r="F2642" s="10" t="s">
        <v>35</v>
      </c>
      <c r="G2642" s="2">
        <v>150.71019999999999</v>
      </c>
      <c r="H2642" s="13">
        <v>1</v>
      </c>
      <c r="I2642" s="13">
        <v>0</v>
      </c>
      <c r="J2642" s="13">
        <v>0</v>
      </c>
      <c r="K2642" s="10">
        <v>1</v>
      </c>
      <c r="L2642" s="2">
        <v>150.71019999999999</v>
      </c>
      <c r="M2642" s="1">
        <v>45729.397916666669</v>
      </c>
      <c r="N2642" t="s">
        <v>178</v>
      </c>
    </row>
    <row r="2643" spans="1:14" x14ac:dyDescent="0.25">
      <c r="A2643" s="9" t="s">
        <v>5211</v>
      </c>
      <c r="B2643" s="10">
        <v>636</v>
      </c>
      <c r="C2643" s="10" t="s">
        <v>143</v>
      </c>
      <c r="D2643" t="s">
        <v>1188</v>
      </c>
      <c r="E2643" t="s">
        <v>1189</v>
      </c>
      <c r="F2643" s="10" t="s">
        <v>123</v>
      </c>
      <c r="G2643" s="2">
        <v>15.746499999999999</v>
      </c>
      <c r="H2643" s="13">
        <v>1</v>
      </c>
      <c r="I2643" s="13">
        <v>0</v>
      </c>
      <c r="J2643" s="13">
        <v>0</v>
      </c>
      <c r="K2643" s="10">
        <v>1</v>
      </c>
      <c r="L2643" s="2">
        <v>15.746499999999999</v>
      </c>
      <c r="M2643" s="1">
        <v>45729.422222222223</v>
      </c>
      <c r="N2643" t="s">
        <v>40</v>
      </c>
    </row>
    <row r="2644" spans="1:14" x14ac:dyDescent="0.25">
      <c r="A2644" s="9" t="s">
        <v>5211</v>
      </c>
      <c r="B2644" s="10">
        <v>714</v>
      </c>
      <c r="C2644" s="10" t="s">
        <v>323</v>
      </c>
      <c r="D2644" t="s">
        <v>4617</v>
      </c>
      <c r="E2644" t="s">
        <v>4618</v>
      </c>
      <c r="F2644" s="10" t="s">
        <v>19</v>
      </c>
      <c r="G2644" s="2">
        <v>164.55019999999999</v>
      </c>
      <c r="H2644" s="13">
        <v>1</v>
      </c>
      <c r="I2644" s="13">
        <v>0</v>
      </c>
      <c r="J2644" s="13">
        <v>0</v>
      </c>
      <c r="K2644" s="10">
        <v>1</v>
      </c>
      <c r="L2644" s="2">
        <v>164.55019999999999</v>
      </c>
      <c r="M2644" s="1">
        <v>45729.45</v>
      </c>
      <c r="N2644" t="s">
        <v>2384</v>
      </c>
    </row>
    <row r="2645" spans="1:14" x14ac:dyDescent="0.25">
      <c r="A2645" s="9" t="s">
        <v>5211</v>
      </c>
      <c r="B2645" s="10">
        <v>636</v>
      </c>
      <c r="C2645" s="10" t="s">
        <v>323</v>
      </c>
      <c r="D2645" t="s">
        <v>1470</v>
      </c>
      <c r="E2645" s="6" t="s">
        <v>1471</v>
      </c>
      <c r="F2645" s="11" t="s">
        <v>58</v>
      </c>
      <c r="G2645" s="2">
        <v>180.67760000000001</v>
      </c>
      <c r="H2645" s="13">
        <v>1</v>
      </c>
      <c r="I2645" s="13">
        <v>0</v>
      </c>
      <c r="J2645" s="13">
        <v>0</v>
      </c>
      <c r="K2645" s="10">
        <v>1</v>
      </c>
      <c r="L2645" s="2">
        <v>180.67760000000001</v>
      </c>
      <c r="M2645" s="1">
        <v>45733.642361111109</v>
      </c>
      <c r="N2645" t="s">
        <v>357</v>
      </c>
    </row>
    <row r="2646" spans="1:14" x14ac:dyDescent="0.25">
      <c r="A2646" s="9" t="s">
        <v>5211</v>
      </c>
      <c r="B2646" s="10">
        <v>714</v>
      </c>
      <c r="C2646" s="10" t="s">
        <v>323</v>
      </c>
      <c r="D2646" t="s">
        <v>4347</v>
      </c>
      <c r="E2646" t="s">
        <v>4348</v>
      </c>
      <c r="F2646" s="10" t="s">
        <v>29</v>
      </c>
      <c r="G2646" s="2">
        <v>189.31059999999999</v>
      </c>
      <c r="H2646" s="13">
        <v>1</v>
      </c>
      <c r="I2646" s="13">
        <v>6</v>
      </c>
      <c r="J2646" s="13">
        <v>-6</v>
      </c>
      <c r="K2646" s="10">
        <v>1</v>
      </c>
      <c r="L2646" s="2">
        <v>189.31059999999999</v>
      </c>
      <c r="M2646" s="1">
        <v>45735.563888888886</v>
      </c>
      <c r="N2646" t="s">
        <v>1234</v>
      </c>
    </row>
    <row r="2647" spans="1:14" x14ac:dyDescent="0.25">
      <c r="A2647" s="9" t="s">
        <v>5211</v>
      </c>
      <c r="B2647" s="10">
        <v>718</v>
      </c>
      <c r="C2647" s="10" t="s">
        <v>143</v>
      </c>
      <c r="D2647" t="s">
        <v>3792</v>
      </c>
      <c r="E2647" s="6" t="s">
        <v>3793</v>
      </c>
      <c r="F2647" s="11" t="s">
        <v>58</v>
      </c>
      <c r="G2647" s="2">
        <v>60</v>
      </c>
      <c r="H2647" s="13">
        <v>1</v>
      </c>
      <c r="I2647" s="13">
        <v>0</v>
      </c>
      <c r="J2647" s="13">
        <v>0</v>
      </c>
      <c r="K2647" s="10">
        <v>1</v>
      </c>
      <c r="L2647" s="2">
        <v>60</v>
      </c>
      <c r="M2647" s="1">
        <v>45741.47152777778</v>
      </c>
      <c r="N2647" t="s">
        <v>195</v>
      </c>
    </row>
    <row r="2648" spans="1:14" x14ac:dyDescent="0.25">
      <c r="A2648" s="9" t="s">
        <v>5211</v>
      </c>
      <c r="B2648" s="10">
        <v>718</v>
      </c>
      <c r="C2648" s="10" t="s">
        <v>143</v>
      </c>
      <c r="D2648" t="s">
        <v>2523</v>
      </c>
      <c r="E2648" t="s">
        <v>2524</v>
      </c>
      <c r="F2648" s="10" t="s">
        <v>29</v>
      </c>
      <c r="G2648" s="2">
        <v>17.677199999999999</v>
      </c>
      <c r="H2648" s="13">
        <v>1</v>
      </c>
      <c r="I2648" s="13">
        <v>1</v>
      </c>
      <c r="J2648" s="13">
        <v>-1</v>
      </c>
      <c r="K2648" s="10">
        <v>1</v>
      </c>
      <c r="L2648" s="2">
        <v>17.677199999999999</v>
      </c>
      <c r="M2648" s="1">
        <v>45742.504861111112</v>
      </c>
      <c r="N2648" t="s">
        <v>2225</v>
      </c>
    </row>
    <row r="2649" spans="1:14" x14ac:dyDescent="0.25">
      <c r="A2649" s="9" t="s">
        <v>5211</v>
      </c>
      <c r="B2649" s="10">
        <v>718</v>
      </c>
      <c r="C2649" s="10" t="s">
        <v>143</v>
      </c>
      <c r="D2649" t="s">
        <v>3719</v>
      </c>
      <c r="E2649" t="s">
        <v>3720</v>
      </c>
      <c r="F2649" s="10" t="s">
        <v>15</v>
      </c>
      <c r="G2649" s="2">
        <v>21.0443</v>
      </c>
      <c r="H2649" s="13">
        <v>1</v>
      </c>
      <c r="I2649" s="13">
        <v>0</v>
      </c>
      <c r="J2649" s="13">
        <v>0</v>
      </c>
      <c r="K2649" s="10">
        <v>1</v>
      </c>
      <c r="L2649" s="2">
        <v>21.0443</v>
      </c>
      <c r="M2649" s="1">
        <v>45742.504861111112</v>
      </c>
      <c r="N2649" t="s">
        <v>2225</v>
      </c>
    </row>
    <row r="2650" spans="1:14" x14ac:dyDescent="0.25">
      <c r="A2650" s="9" t="s">
        <v>5211</v>
      </c>
      <c r="B2650" s="10">
        <v>636</v>
      </c>
      <c r="C2650" s="10" t="s">
        <v>323</v>
      </c>
      <c r="D2650" t="s">
        <v>4629</v>
      </c>
      <c r="E2650" t="s">
        <v>4630</v>
      </c>
      <c r="F2650" s="10" t="s">
        <v>29</v>
      </c>
      <c r="G2650" s="2">
        <v>195.45670000000001</v>
      </c>
      <c r="H2650" s="13">
        <v>1</v>
      </c>
      <c r="I2650" s="13">
        <v>6</v>
      </c>
      <c r="J2650" s="13">
        <v>-6</v>
      </c>
      <c r="K2650" s="10">
        <v>1</v>
      </c>
      <c r="L2650" s="2">
        <v>195.45670000000001</v>
      </c>
      <c r="M2650" s="1">
        <v>45744.456944444442</v>
      </c>
      <c r="N2650" t="s">
        <v>330</v>
      </c>
    </row>
    <row r="2651" spans="1:14" x14ac:dyDescent="0.25">
      <c r="A2651" s="9" t="s">
        <v>5211</v>
      </c>
      <c r="B2651" s="10">
        <v>714</v>
      </c>
      <c r="C2651" s="10" t="s">
        <v>12</v>
      </c>
      <c r="D2651" t="s">
        <v>1966</v>
      </c>
      <c r="E2651" s="6" t="s">
        <v>1967</v>
      </c>
      <c r="F2651" s="11" t="s">
        <v>58</v>
      </c>
      <c r="G2651" s="2">
        <v>19.949100000000001</v>
      </c>
      <c r="H2651" s="13">
        <v>1</v>
      </c>
      <c r="I2651" s="13">
        <v>0</v>
      </c>
      <c r="J2651" s="13">
        <v>0</v>
      </c>
      <c r="K2651" s="10">
        <v>1</v>
      </c>
      <c r="L2651" s="2">
        <v>19.949100000000001</v>
      </c>
      <c r="M2651" s="1">
        <v>45745.311805555553</v>
      </c>
      <c r="N2651" t="s">
        <v>573</v>
      </c>
    </row>
    <row r="2652" spans="1:14" x14ac:dyDescent="0.25">
      <c r="A2652" s="9" t="s">
        <v>5211</v>
      </c>
      <c r="B2652" s="10">
        <v>714</v>
      </c>
      <c r="C2652" s="10" t="s">
        <v>323</v>
      </c>
      <c r="D2652" t="s">
        <v>462</v>
      </c>
      <c r="E2652" t="s">
        <v>463</v>
      </c>
      <c r="F2652" s="10" t="s">
        <v>35</v>
      </c>
      <c r="G2652" s="2">
        <v>35.4756</v>
      </c>
      <c r="H2652" s="13">
        <v>1</v>
      </c>
      <c r="I2652" s="13">
        <v>0</v>
      </c>
      <c r="J2652" s="13">
        <v>0</v>
      </c>
      <c r="K2652" s="10">
        <v>1</v>
      </c>
      <c r="L2652" s="2">
        <v>35.4756</v>
      </c>
      <c r="M2652" s="1">
        <v>45745.460416666669</v>
      </c>
      <c r="N2652" t="s">
        <v>2468</v>
      </c>
    </row>
    <row r="2653" spans="1:14" x14ac:dyDescent="0.25">
      <c r="A2653" s="9" t="s">
        <v>5211</v>
      </c>
      <c r="B2653" s="10">
        <v>718</v>
      </c>
      <c r="C2653" s="10" t="s">
        <v>143</v>
      </c>
      <c r="D2653" t="s">
        <v>2403</v>
      </c>
      <c r="E2653" s="6" t="s">
        <v>2404</v>
      </c>
      <c r="F2653" s="11" t="s">
        <v>58</v>
      </c>
      <c r="G2653" s="2">
        <v>103.43600000000001</v>
      </c>
      <c r="H2653" s="13">
        <v>1</v>
      </c>
      <c r="I2653" s="13">
        <v>0</v>
      </c>
      <c r="J2653" s="13">
        <v>0</v>
      </c>
      <c r="K2653" s="10">
        <v>1</v>
      </c>
      <c r="L2653" s="2">
        <v>103.43600000000001</v>
      </c>
      <c r="M2653" s="1">
        <v>45745.640277777777</v>
      </c>
      <c r="N2653" t="s">
        <v>67</v>
      </c>
    </row>
    <row r="2654" spans="1:14" x14ac:dyDescent="0.25">
      <c r="A2654" s="9" t="s">
        <v>5211</v>
      </c>
      <c r="B2654" s="10">
        <v>718</v>
      </c>
      <c r="C2654" s="10" t="s">
        <v>323</v>
      </c>
      <c r="D2654" t="s">
        <v>3514</v>
      </c>
      <c r="E2654" s="6" t="s">
        <v>3515</v>
      </c>
      <c r="F2654" s="11" t="s">
        <v>58</v>
      </c>
      <c r="G2654" s="2">
        <v>117.5716</v>
      </c>
      <c r="H2654" s="13">
        <v>1</v>
      </c>
      <c r="I2654" s="13">
        <v>6</v>
      </c>
      <c r="J2654" s="13">
        <v>-6</v>
      </c>
      <c r="K2654" s="10">
        <v>1</v>
      </c>
      <c r="L2654" s="2">
        <v>117.5716</v>
      </c>
      <c r="M2654" s="1">
        <v>45745.640277777777</v>
      </c>
      <c r="N2654" t="s">
        <v>67</v>
      </c>
    </row>
    <row r="2655" spans="1:14" x14ac:dyDescent="0.25">
      <c r="A2655" s="9" t="s">
        <v>5211</v>
      </c>
      <c r="B2655" s="10">
        <v>718</v>
      </c>
      <c r="C2655" s="10" t="s">
        <v>143</v>
      </c>
      <c r="D2655" t="s">
        <v>3747</v>
      </c>
      <c r="E2655" t="s">
        <v>3748</v>
      </c>
      <c r="F2655" s="10" t="s">
        <v>39</v>
      </c>
      <c r="G2655" s="2">
        <v>42.490499999999997</v>
      </c>
      <c r="H2655" s="13">
        <v>1</v>
      </c>
      <c r="I2655" s="13">
        <v>0</v>
      </c>
      <c r="J2655" s="13">
        <v>0</v>
      </c>
      <c r="K2655" s="10">
        <v>1</v>
      </c>
      <c r="L2655" s="2">
        <v>42.490499999999997</v>
      </c>
      <c r="M2655" s="1">
        <v>45747.695138888892</v>
      </c>
      <c r="N2655" t="s">
        <v>137</v>
      </c>
    </row>
    <row r="2656" spans="1:14" x14ac:dyDescent="0.25">
      <c r="A2656" s="9" t="s">
        <v>5211</v>
      </c>
      <c r="B2656" s="10">
        <v>636</v>
      </c>
      <c r="C2656" s="10" t="s">
        <v>323</v>
      </c>
      <c r="D2656" t="s">
        <v>4347</v>
      </c>
      <c r="E2656" t="s">
        <v>4348</v>
      </c>
      <c r="F2656" s="10" t="s">
        <v>19</v>
      </c>
      <c r="G2656" s="2">
        <v>175.5692</v>
      </c>
      <c r="H2656" s="13">
        <v>1</v>
      </c>
      <c r="I2656" s="13">
        <v>6</v>
      </c>
      <c r="J2656" s="13">
        <v>-6</v>
      </c>
      <c r="K2656" s="10">
        <v>1</v>
      </c>
      <c r="L2656" s="2">
        <v>175.5692</v>
      </c>
      <c r="M2656" s="1">
        <v>45748.797222222223</v>
      </c>
      <c r="N2656" t="s">
        <v>159</v>
      </c>
    </row>
    <row r="2657" spans="1:14" x14ac:dyDescent="0.25">
      <c r="A2657" s="9" t="s">
        <v>5211</v>
      </c>
      <c r="B2657" s="10">
        <v>634</v>
      </c>
      <c r="C2657" s="10" t="s">
        <v>323</v>
      </c>
      <c r="D2657" t="s">
        <v>4324</v>
      </c>
      <c r="E2657" s="6" t="s">
        <v>4325</v>
      </c>
      <c r="F2657" s="11" t="s">
        <v>58</v>
      </c>
      <c r="G2657" s="2">
        <v>116.0763</v>
      </c>
      <c r="H2657" s="13">
        <v>1</v>
      </c>
      <c r="I2657" s="13">
        <v>1</v>
      </c>
      <c r="J2657" s="13">
        <v>-1</v>
      </c>
      <c r="K2657" s="10">
        <v>1</v>
      </c>
      <c r="L2657" s="2">
        <v>116.0763</v>
      </c>
      <c r="M2657" s="1">
        <v>45749.272916666669</v>
      </c>
      <c r="N2657" t="s">
        <v>137</v>
      </c>
    </row>
    <row r="2658" spans="1:14" x14ac:dyDescent="0.25">
      <c r="A2658" s="9" t="s">
        <v>5211</v>
      </c>
      <c r="B2658" s="10">
        <v>714</v>
      </c>
      <c r="C2658" s="10" t="s">
        <v>323</v>
      </c>
      <c r="D2658" t="s">
        <v>4993</v>
      </c>
      <c r="E2658" t="s">
        <v>4994</v>
      </c>
      <c r="F2658" s="10" t="s">
        <v>29</v>
      </c>
      <c r="G2658" s="2">
        <v>145.27010000000001</v>
      </c>
      <c r="H2658" s="13">
        <v>1</v>
      </c>
      <c r="I2658" s="13">
        <v>1</v>
      </c>
      <c r="J2658" s="13">
        <v>-1</v>
      </c>
      <c r="K2658" s="10">
        <v>1</v>
      </c>
      <c r="L2658" s="2">
        <v>145.27010000000001</v>
      </c>
      <c r="M2658" s="1">
        <v>45749.45416666667</v>
      </c>
      <c r="N2658" t="s">
        <v>363</v>
      </c>
    </row>
    <row r="2659" spans="1:14" x14ac:dyDescent="0.25">
      <c r="A2659" s="9" t="s">
        <v>5211</v>
      </c>
      <c r="B2659" s="10">
        <v>714</v>
      </c>
      <c r="C2659" s="10" t="s">
        <v>143</v>
      </c>
      <c r="D2659" t="s">
        <v>2727</v>
      </c>
      <c r="E2659" t="s">
        <v>2728</v>
      </c>
      <c r="F2659" s="10" t="s">
        <v>19</v>
      </c>
      <c r="G2659" s="2">
        <v>40.701000000000001</v>
      </c>
      <c r="H2659" s="13">
        <v>1</v>
      </c>
      <c r="I2659" s="13">
        <v>0</v>
      </c>
      <c r="J2659" s="13">
        <v>0</v>
      </c>
      <c r="K2659" s="10">
        <v>1</v>
      </c>
      <c r="L2659" s="2">
        <v>40.701000000000001</v>
      </c>
      <c r="M2659" s="1">
        <v>45749.454861111109</v>
      </c>
      <c r="N2659" t="s">
        <v>2729</v>
      </c>
    </row>
    <row r="2660" spans="1:14" x14ac:dyDescent="0.25">
      <c r="A2660" s="9" t="s">
        <v>5211</v>
      </c>
      <c r="B2660" s="10">
        <v>714</v>
      </c>
      <c r="C2660" s="10" t="s">
        <v>323</v>
      </c>
      <c r="D2660" t="s">
        <v>5077</v>
      </c>
      <c r="E2660" s="6" t="s">
        <v>5078</v>
      </c>
      <c r="F2660" s="11" t="s">
        <v>58</v>
      </c>
      <c r="G2660" s="2">
        <v>106.1643</v>
      </c>
      <c r="H2660" s="13">
        <v>1</v>
      </c>
      <c r="I2660" s="13">
        <v>0</v>
      </c>
      <c r="J2660" s="13">
        <v>0</v>
      </c>
      <c r="K2660" s="10">
        <v>1</v>
      </c>
      <c r="L2660" s="2">
        <v>106.1643</v>
      </c>
      <c r="M2660" s="1">
        <v>45749.493750000001</v>
      </c>
      <c r="N2660" t="s">
        <v>2358</v>
      </c>
    </row>
    <row r="2661" spans="1:14" x14ac:dyDescent="0.25">
      <c r="A2661" s="9" t="s">
        <v>5211</v>
      </c>
      <c r="B2661" s="10">
        <v>714</v>
      </c>
      <c r="C2661" s="10" t="s">
        <v>323</v>
      </c>
      <c r="D2661" t="s">
        <v>3111</v>
      </c>
      <c r="E2661" t="s">
        <v>3112</v>
      </c>
      <c r="F2661" s="10" t="s">
        <v>29</v>
      </c>
      <c r="G2661" s="2">
        <v>250.81319999999999</v>
      </c>
      <c r="H2661" s="13">
        <v>1</v>
      </c>
      <c r="I2661" s="13">
        <v>0</v>
      </c>
      <c r="J2661" s="13">
        <v>0</v>
      </c>
      <c r="K2661" s="10">
        <v>1</v>
      </c>
      <c r="L2661" s="2">
        <v>250.81319999999999</v>
      </c>
      <c r="M2661" s="1">
        <v>45749.493750000001</v>
      </c>
      <c r="N2661" t="s">
        <v>2358</v>
      </c>
    </row>
    <row r="2662" spans="1:14" x14ac:dyDescent="0.25">
      <c r="A2662" s="9" t="s">
        <v>5211</v>
      </c>
      <c r="B2662" s="10">
        <v>714</v>
      </c>
      <c r="C2662" s="10" t="s">
        <v>143</v>
      </c>
      <c r="D2662" t="s">
        <v>2673</v>
      </c>
      <c r="E2662" t="s">
        <v>2674</v>
      </c>
      <c r="F2662" s="10" t="s">
        <v>35</v>
      </c>
      <c r="G2662" s="2">
        <v>120.5594</v>
      </c>
      <c r="H2662" s="13">
        <v>1</v>
      </c>
      <c r="I2662" s="13">
        <v>0</v>
      </c>
      <c r="J2662" s="13">
        <v>0</v>
      </c>
      <c r="K2662" s="10">
        <v>1</v>
      </c>
      <c r="L2662" s="2">
        <v>120.5594</v>
      </c>
      <c r="M2662" s="1">
        <v>45749.506249999999</v>
      </c>
      <c r="N2662" t="s">
        <v>137</v>
      </c>
    </row>
    <row r="2663" spans="1:14" x14ac:dyDescent="0.25">
      <c r="A2663" s="9" t="s">
        <v>5211</v>
      </c>
      <c r="B2663" s="10">
        <v>714</v>
      </c>
      <c r="C2663" s="10" t="s">
        <v>323</v>
      </c>
      <c r="D2663" t="s">
        <v>4964</v>
      </c>
      <c r="E2663" t="s">
        <v>4965</v>
      </c>
      <c r="F2663" s="10" t="s">
        <v>35</v>
      </c>
      <c r="G2663" s="2">
        <v>86.115799999999993</v>
      </c>
      <c r="H2663" s="13">
        <v>1</v>
      </c>
      <c r="I2663" s="13">
        <v>0</v>
      </c>
      <c r="J2663" s="13">
        <v>0</v>
      </c>
      <c r="K2663" s="10">
        <v>1</v>
      </c>
      <c r="L2663" s="2">
        <v>86.115799999999993</v>
      </c>
      <c r="M2663" s="1">
        <v>45749.506249999999</v>
      </c>
      <c r="N2663" t="s">
        <v>137</v>
      </c>
    </row>
    <row r="2664" spans="1:14" x14ac:dyDescent="0.25">
      <c r="A2664" s="9" t="s">
        <v>5211</v>
      </c>
      <c r="B2664" s="10">
        <v>714</v>
      </c>
      <c r="C2664" s="10" t="s">
        <v>143</v>
      </c>
      <c r="D2664" t="s">
        <v>4242</v>
      </c>
      <c r="E2664" t="s">
        <v>4243</v>
      </c>
      <c r="F2664" s="10" t="s">
        <v>35</v>
      </c>
      <c r="G2664" s="2">
        <v>24.502500000000001</v>
      </c>
      <c r="H2664" s="13">
        <v>1</v>
      </c>
      <c r="I2664" s="13">
        <v>48</v>
      </c>
      <c r="J2664" s="13">
        <v>-48</v>
      </c>
      <c r="K2664" s="10">
        <v>1</v>
      </c>
      <c r="L2664" s="2">
        <v>24.502500000000001</v>
      </c>
      <c r="M2664" s="1">
        <v>45749.587500000001</v>
      </c>
      <c r="N2664" t="s">
        <v>162</v>
      </c>
    </row>
    <row r="2665" spans="1:14" x14ac:dyDescent="0.25">
      <c r="A2665" s="9" t="s">
        <v>5211</v>
      </c>
      <c r="B2665" s="10">
        <v>714</v>
      </c>
      <c r="C2665" s="10" t="s">
        <v>12</v>
      </c>
      <c r="D2665" t="s">
        <v>1924</v>
      </c>
      <c r="E2665" t="s">
        <v>1925</v>
      </c>
      <c r="F2665" s="10" t="s">
        <v>29</v>
      </c>
      <c r="G2665" s="2">
        <v>10.626099999999999</v>
      </c>
      <c r="H2665" s="13">
        <v>1</v>
      </c>
      <c r="I2665" s="13">
        <v>0</v>
      </c>
      <c r="J2665" s="13">
        <v>0</v>
      </c>
      <c r="K2665" s="10">
        <v>1</v>
      </c>
      <c r="L2665" s="2">
        <v>10.626099999999999</v>
      </c>
      <c r="M2665" s="1">
        <v>45750.529861111114</v>
      </c>
      <c r="N2665" t="s">
        <v>16</v>
      </c>
    </row>
    <row r="2666" spans="1:14" x14ac:dyDescent="0.25">
      <c r="A2666" s="9" t="s">
        <v>5211</v>
      </c>
      <c r="B2666" s="10">
        <v>714</v>
      </c>
      <c r="C2666" s="10" t="s">
        <v>323</v>
      </c>
      <c r="D2666" t="s">
        <v>2892</v>
      </c>
      <c r="E2666" s="6" t="s">
        <v>2893</v>
      </c>
      <c r="F2666" s="11" t="s">
        <v>58</v>
      </c>
      <c r="G2666" s="2">
        <v>422.38350000000003</v>
      </c>
      <c r="H2666" s="13">
        <v>1</v>
      </c>
      <c r="I2666" s="13">
        <v>0</v>
      </c>
      <c r="J2666" s="13">
        <v>0</v>
      </c>
      <c r="K2666" s="10">
        <v>1</v>
      </c>
      <c r="L2666" s="2">
        <v>422.38350000000003</v>
      </c>
      <c r="M2666" s="1">
        <v>45752.665277777778</v>
      </c>
      <c r="N2666" t="s">
        <v>178</v>
      </c>
    </row>
    <row r="2667" spans="1:14" x14ac:dyDescent="0.25">
      <c r="A2667" s="9" t="s">
        <v>5211</v>
      </c>
      <c r="B2667" s="10">
        <v>714</v>
      </c>
      <c r="C2667" s="10" t="s">
        <v>323</v>
      </c>
      <c r="D2667" t="s">
        <v>4320</v>
      </c>
      <c r="E2667" t="s">
        <v>4321</v>
      </c>
      <c r="F2667" s="10" t="s">
        <v>19</v>
      </c>
      <c r="G2667" s="2">
        <v>210.88679999999999</v>
      </c>
      <c r="H2667" s="13">
        <v>1</v>
      </c>
      <c r="I2667" s="13">
        <v>4</v>
      </c>
      <c r="J2667" s="13">
        <v>-4</v>
      </c>
      <c r="K2667" s="10">
        <v>1</v>
      </c>
      <c r="L2667" s="2">
        <v>210.88679999999999</v>
      </c>
      <c r="M2667" s="1">
        <v>45752.665277777778</v>
      </c>
      <c r="N2667" t="s">
        <v>178</v>
      </c>
    </row>
    <row r="2668" spans="1:14" x14ac:dyDescent="0.25">
      <c r="A2668" s="9" t="s">
        <v>5211</v>
      </c>
      <c r="B2668" s="10">
        <v>714</v>
      </c>
      <c r="C2668" s="10" t="s">
        <v>323</v>
      </c>
      <c r="D2668" t="s">
        <v>4974</v>
      </c>
      <c r="E2668" t="s">
        <v>4975</v>
      </c>
      <c r="F2668" s="10" t="s">
        <v>29</v>
      </c>
      <c r="G2668" s="2">
        <v>397.46269999999998</v>
      </c>
      <c r="H2668" s="13">
        <v>1</v>
      </c>
      <c r="I2668" s="13">
        <v>-2</v>
      </c>
      <c r="J2668" s="13">
        <v>2</v>
      </c>
      <c r="K2668" s="10">
        <v>1</v>
      </c>
      <c r="L2668" s="2">
        <v>397.46269999999998</v>
      </c>
      <c r="M2668" s="1">
        <v>45752.665277777778</v>
      </c>
      <c r="N2668" t="s">
        <v>178</v>
      </c>
    </row>
    <row r="2669" spans="1:14" x14ac:dyDescent="0.25">
      <c r="A2669" s="9" t="s">
        <v>5211</v>
      </c>
      <c r="B2669" s="10">
        <v>636</v>
      </c>
      <c r="C2669" s="10" t="s">
        <v>323</v>
      </c>
      <c r="D2669" t="s">
        <v>4583</v>
      </c>
      <c r="E2669" t="s">
        <v>4584</v>
      </c>
      <c r="F2669" s="10" t="s">
        <v>29</v>
      </c>
      <c r="G2669" s="2">
        <v>177.2209</v>
      </c>
      <c r="H2669" s="13">
        <v>1</v>
      </c>
      <c r="I2669" s="13">
        <v>2</v>
      </c>
      <c r="J2669" s="13">
        <v>-2</v>
      </c>
      <c r="K2669" s="10">
        <v>1</v>
      </c>
      <c r="L2669" s="2">
        <v>177.2209</v>
      </c>
      <c r="M2669" s="1">
        <v>45755.520833333336</v>
      </c>
      <c r="N2669" t="s">
        <v>501</v>
      </c>
    </row>
    <row r="2670" spans="1:14" x14ac:dyDescent="0.25">
      <c r="A2670" s="9" t="s">
        <v>5211</v>
      </c>
      <c r="B2670" s="10">
        <v>718</v>
      </c>
      <c r="C2670" s="10" t="s">
        <v>323</v>
      </c>
      <c r="D2670" t="s">
        <v>5182</v>
      </c>
      <c r="E2670" t="s">
        <v>5183</v>
      </c>
      <c r="F2670" s="10" t="s">
        <v>23</v>
      </c>
      <c r="G2670" s="2">
        <v>95.282499999999999</v>
      </c>
      <c r="H2670" s="13">
        <v>1</v>
      </c>
      <c r="I2670" s="13">
        <v>4</v>
      </c>
      <c r="J2670" s="13">
        <v>-4</v>
      </c>
      <c r="K2670" s="10">
        <v>1</v>
      </c>
      <c r="L2670" s="2">
        <v>95.282499999999999</v>
      </c>
      <c r="M2670" s="1">
        <v>45757.637499999997</v>
      </c>
      <c r="N2670" t="s">
        <v>1870</v>
      </c>
    </row>
    <row r="2671" spans="1:14" x14ac:dyDescent="0.25">
      <c r="A2671" s="9" t="s">
        <v>5211</v>
      </c>
      <c r="B2671" s="10">
        <v>718</v>
      </c>
      <c r="C2671" s="10" t="s">
        <v>323</v>
      </c>
      <c r="D2671" t="s">
        <v>5180</v>
      </c>
      <c r="E2671" t="s">
        <v>5181</v>
      </c>
      <c r="F2671" s="10" t="s">
        <v>23</v>
      </c>
      <c r="G2671" s="2">
        <v>172.41589999999999</v>
      </c>
      <c r="H2671" s="13">
        <v>1</v>
      </c>
      <c r="I2671" s="13">
        <v>3</v>
      </c>
      <c r="J2671" s="13">
        <v>-3</v>
      </c>
      <c r="K2671" s="10">
        <v>1</v>
      </c>
      <c r="L2671" s="2">
        <v>172.41589999999999</v>
      </c>
      <c r="M2671" s="1">
        <v>45757.637499999997</v>
      </c>
      <c r="N2671" t="s">
        <v>1870</v>
      </c>
    </row>
    <row r="2672" spans="1:14" x14ac:dyDescent="0.25">
      <c r="A2672" s="9" t="s">
        <v>5211</v>
      </c>
      <c r="B2672" s="10">
        <v>714</v>
      </c>
      <c r="C2672" s="10" t="s">
        <v>143</v>
      </c>
      <c r="D2672" t="s">
        <v>4883</v>
      </c>
      <c r="E2672" t="s">
        <v>4884</v>
      </c>
      <c r="F2672" s="10" t="s">
        <v>29</v>
      </c>
      <c r="G2672" s="2">
        <v>41.407899999999998</v>
      </c>
      <c r="H2672" s="13">
        <v>1</v>
      </c>
      <c r="I2672" s="13">
        <v>0</v>
      </c>
      <c r="J2672" s="13">
        <v>0</v>
      </c>
      <c r="K2672" s="10">
        <v>1</v>
      </c>
      <c r="L2672" s="2">
        <v>41.407899999999998</v>
      </c>
      <c r="M2672" s="1">
        <v>45759.422222222223</v>
      </c>
      <c r="N2672" t="s">
        <v>140</v>
      </c>
    </row>
    <row r="2673" spans="1:14" x14ac:dyDescent="0.25">
      <c r="A2673" s="9" t="s">
        <v>5211</v>
      </c>
      <c r="B2673" s="10">
        <v>714</v>
      </c>
      <c r="C2673" s="10" t="s">
        <v>126</v>
      </c>
      <c r="D2673" t="s">
        <v>4747</v>
      </c>
      <c r="E2673" s="6" t="s">
        <v>4748</v>
      </c>
      <c r="F2673" s="11" t="s">
        <v>58</v>
      </c>
      <c r="G2673" s="2">
        <v>41.407899999999998</v>
      </c>
      <c r="H2673" s="13">
        <v>1</v>
      </c>
      <c r="I2673" s="13">
        <v>0</v>
      </c>
      <c r="J2673" s="13">
        <v>0</v>
      </c>
      <c r="K2673" s="10">
        <v>1</v>
      </c>
      <c r="L2673" s="2">
        <v>41.407899999999998</v>
      </c>
      <c r="M2673" s="1">
        <v>45759.422222222223</v>
      </c>
      <c r="N2673" t="s">
        <v>140</v>
      </c>
    </row>
    <row r="2674" spans="1:14" x14ac:dyDescent="0.25">
      <c r="A2674" s="9" t="s">
        <v>5211</v>
      </c>
      <c r="B2674" s="10">
        <v>714</v>
      </c>
      <c r="C2674" s="10" t="s">
        <v>143</v>
      </c>
      <c r="D2674" t="s">
        <v>4923</v>
      </c>
      <c r="E2674" t="s">
        <v>4924</v>
      </c>
      <c r="F2674" s="10" t="s">
        <v>15</v>
      </c>
      <c r="G2674" s="2">
        <v>15.5465</v>
      </c>
      <c r="H2674" s="13">
        <v>1</v>
      </c>
      <c r="I2674" s="13">
        <v>0</v>
      </c>
      <c r="J2674" s="13">
        <v>0</v>
      </c>
      <c r="K2674" s="10">
        <v>1</v>
      </c>
      <c r="L2674" s="2">
        <v>15.5465</v>
      </c>
      <c r="M2674" s="1">
        <v>45759.426388888889</v>
      </c>
      <c r="N2674" t="s">
        <v>2887</v>
      </c>
    </row>
    <row r="2675" spans="1:14" x14ac:dyDescent="0.25">
      <c r="A2675" s="9" t="s">
        <v>5211</v>
      </c>
      <c r="B2675" s="10">
        <v>636</v>
      </c>
      <c r="C2675" s="10" t="s">
        <v>1749</v>
      </c>
      <c r="D2675" t="s">
        <v>1770</v>
      </c>
      <c r="E2675" s="6" t="s">
        <v>1771</v>
      </c>
      <c r="F2675" s="11" t="s">
        <v>58</v>
      </c>
      <c r="G2675" s="2">
        <v>167.18039999999999</v>
      </c>
      <c r="H2675" s="13">
        <v>1</v>
      </c>
      <c r="I2675" s="13">
        <v>-2</v>
      </c>
      <c r="J2675" s="13">
        <v>2</v>
      </c>
      <c r="K2675" s="10">
        <v>1</v>
      </c>
      <c r="L2675" s="2">
        <v>167.18039999999999</v>
      </c>
      <c r="M2675" s="1">
        <v>45761.387499999997</v>
      </c>
      <c r="N2675" t="s">
        <v>797</v>
      </c>
    </row>
    <row r="2676" spans="1:14" x14ac:dyDescent="0.25">
      <c r="A2676" s="9" t="s">
        <v>5211</v>
      </c>
      <c r="B2676" s="10">
        <v>636</v>
      </c>
      <c r="C2676" s="10" t="s">
        <v>1749</v>
      </c>
      <c r="D2676" t="s">
        <v>4673</v>
      </c>
      <c r="E2676" t="s">
        <v>4674</v>
      </c>
      <c r="F2676" s="10" t="s">
        <v>15</v>
      </c>
      <c r="G2676" s="2">
        <v>15.224299999999999</v>
      </c>
      <c r="H2676" s="13">
        <v>1</v>
      </c>
      <c r="I2676" s="13">
        <v>2</v>
      </c>
      <c r="J2676" s="13">
        <v>-2</v>
      </c>
      <c r="K2676" s="10">
        <v>1</v>
      </c>
      <c r="L2676" s="2">
        <v>15.224299999999999</v>
      </c>
      <c r="M2676" s="1">
        <v>45761.387499999997</v>
      </c>
      <c r="N2676" t="s">
        <v>797</v>
      </c>
    </row>
    <row r="2677" spans="1:14" x14ac:dyDescent="0.25">
      <c r="A2677" s="9" t="s">
        <v>5211</v>
      </c>
      <c r="B2677" s="10">
        <v>636</v>
      </c>
      <c r="C2677" s="10" t="s">
        <v>1749</v>
      </c>
      <c r="D2677" t="s">
        <v>4671</v>
      </c>
      <c r="E2677" t="s">
        <v>4672</v>
      </c>
      <c r="F2677" s="10" t="s">
        <v>39</v>
      </c>
      <c r="G2677" s="2">
        <v>39.86</v>
      </c>
      <c r="H2677" s="13">
        <v>1</v>
      </c>
      <c r="I2677" s="13">
        <v>-6</v>
      </c>
      <c r="J2677" s="13">
        <v>6</v>
      </c>
      <c r="K2677" s="10">
        <v>1</v>
      </c>
      <c r="L2677" s="2">
        <v>39.86</v>
      </c>
      <c r="M2677" s="1">
        <v>45761.387499999997</v>
      </c>
      <c r="N2677" t="s">
        <v>797</v>
      </c>
    </row>
    <row r="2678" spans="1:14" x14ac:dyDescent="0.25">
      <c r="A2678" s="9" t="s">
        <v>5211</v>
      </c>
      <c r="B2678" s="10">
        <v>718</v>
      </c>
      <c r="C2678" s="10" t="s">
        <v>143</v>
      </c>
      <c r="D2678" t="s">
        <v>2780</v>
      </c>
      <c r="E2678" t="s">
        <v>2781</v>
      </c>
      <c r="F2678" s="10" t="s">
        <v>29</v>
      </c>
      <c r="G2678" s="2">
        <v>119.0082</v>
      </c>
      <c r="H2678" s="13">
        <v>1</v>
      </c>
      <c r="I2678" s="13">
        <v>0</v>
      </c>
      <c r="J2678" s="13">
        <v>0</v>
      </c>
      <c r="K2678" s="10">
        <v>1</v>
      </c>
      <c r="L2678" s="2">
        <v>119.0082</v>
      </c>
      <c r="M2678" s="1">
        <v>45761.745833333334</v>
      </c>
      <c r="N2678" t="s">
        <v>2898</v>
      </c>
    </row>
    <row r="2679" spans="1:14" x14ac:dyDescent="0.25">
      <c r="A2679" s="9" t="s">
        <v>5211</v>
      </c>
      <c r="B2679" s="10">
        <v>718</v>
      </c>
      <c r="C2679" s="10" t="s">
        <v>323</v>
      </c>
      <c r="D2679" t="s">
        <v>5178</v>
      </c>
      <c r="E2679" t="s">
        <v>5179</v>
      </c>
      <c r="F2679" s="10" t="s">
        <v>19</v>
      </c>
      <c r="G2679" s="2">
        <v>95.611699999999999</v>
      </c>
      <c r="H2679" s="13">
        <v>1</v>
      </c>
      <c r="I2679" s="13">
        <v>0</v>
      </c>
      <c r="J2679" s="13">
        <v>0</v>
      </c>
      <c r="K2679" s="10">
        <v>1</v>
      </c>
      <c r="L2679" s="2">
        <v>95.611699999999999</v>
      </c>
      <c r="M2679" s="1">
        <v>45762.447222222225</v>
      </c>
      <c r="N2679" t="s">
        <v>1062</v>
      </c>
    </row>
    <row r="2680" spans="1:14" x14ac:dyDescent="0.25">
      <c r="A2680" s="9" t="s">
        <v>5211</v>
      </c>
      <c r="B2680" s="10">
        <v>636</v>
      </c>
      <c r="C2680" s="10" t="s">
        <v>323</v>
      </c>
      <c r="D2680" t="s">
        <v>1554</v>
      </c>
      <c r="E2680" s="6" t="s">
        <v>1555</v>
      </c>
      <c r="F2680" s="11" t="s">
        <v>58</v>
      </c>
      <c r="G2680" s="2">
        <v>85.638400000000004</v>
      </c>
      <c r="H2680" s="13">
        <v>1</v>
      </c>
      <c r="I2680" s="13">
        <v>0</v>
      </c>
      <c r="J2680" s="13">
        <v>0</v>
      </c>
      <c r="K2680" s="10">
        <v>1</v>
      </c>
      <c r="L2680" s="2">
        <v>85.638400000000004</v>
      </c>
      <c r="M2680" s="1">
        <v>45763.347916666666</v>
      </c>
      <c r="N2680" t="s">
        <v>40</v>
      </c>
    </row>
    <row r="2681" spans="1:14" x14ac:dyDescent="0.25">
      <c r="A2681" s="9" t="s">
        <v>5211</v>
      </c>
      <c r="B2681" s="10">
        <v>714</v>
      </c>
      <c r="C2681" s="10" t="s">
        <v>126</v>
      </c>
      <c r="D2681" t="s">
        <v>2205</v>
      </c>
      <c r="E2681" t="s">
        <v>2206</v>
      </c>
      <c r="F2681" s="10" t="s">
        <v>29</v>
      </c>
      <c r="G2681" s="2">
        <v>24.090499999999999</v>
      </c>
      <c r="H2681" s="13">
        <v>1</v>
      </c>
      <c r="I2681" s="13">
        <v>-18</v>
      </c>
      <c r="J2681" s="13">
        <v>18</v>
      </c>
      <c r="K2681" s="10">
        <v>1</v>
      </c>
      <c r="L2681" s="2">
        <v>24.090499999999999</v>
      </c>
      <c r="M2681" s="1">
        <v>45764.423611111109</v>
      </c>
      <c r="N2681" t="s">
        <v>140</v>
      </c>
    </row>
    <row r="2682" spans="1:14" x14ac:dyDescent="0.25">
      <c r="A2682" s="9" t="s">
        <v>5211</v>
      </c>
      <c r="B2682" s="10">
        <v>714</v>
      </c>
      <c r="C2682" s="10" t="s">
        <v>126</v>
      </c>
      <c r="D2682" t="s">
        <v>2192</v>
      </c>
      <c r="E2682" t="s">
        <v>2193</v>
      </c>
      <c r="F2682" s="10" t="s">
        <v>35</v>
      </c>
      <c r="G2682" s="2">
        <v>55.89</v>
      </c>
      <c r="H2682" s="13">
        <v>1</v>
      </c>
      <c r="I2682" s="13">
        <v>0</v>
      </c>
      <c r="J2682" s="13">
        <v>0</v>
      </c>
      <c r="K2682" s="10">
        <v>1</v>
      </c>
      <c r="L2682" s="2">
        <v>55.89</v>
      </c>
      <c r="M2682" s="1">
        <v>45764.423611111109</v>
      </c>
      <c r="N2682" t="s">
        <v>140</v>
      </c>
    </row>
    <row r="2683" spans="1:14" x14ac:dyDescent="0.25">
      <c r="A2683" s="9" t="s">
        <v>5211</v>
      </c>
      <c r="B2683" s="10">
        <v>714</v>
      </c>
      <c r="C2683" s="10" t="s">
        <v>323</v>
      </c>
      <c r="D2683" t="s">
        <v>4985</v>
      </c>
      <c r="E2683" t="s">
        <v>4986</v>
      </c>
      <c r="F2683" s="10" t="s">
        <v>19</v>
      </c>
      <c r="G2683" s="2">
        <v>128.88630000000001</v>
      </c>
      <c r="H2683" s="13">
        <v>1</v>
      </c>
      <c r="I2683" s="13">
        <v>-3</v>
      </c>
      <c r="J2683" s="13">
        <v>3</v>
      </c>
      <c r="K2683" s="10">
        <v>1</v>
      </c>
      <c r="L2683" s="2">
        <v>128.88630000000001</v>
      </c>
      <c r="M2683" s="1">
        <v>45764.45416666667</v>
      </c>
      <c r="N2683" t="s">
        <v>1062</v>
      </c>
    </row>
    <row r="2684" spans="1:14" x14ac:dyDescent="0.25">
      <c r="A2684" s="9" t="s">
        <v>5211</v>
      </c>
      <c r="B2684" s="10">
        <v>714</v>
      </c>
      <c r="C2684" s="10" t="s">
        <v>143</v>
      </c>
      <c r="D2684" t="s">
        <v>2594</v>
      </c>
      <c r="E2684" t="s">
        <v>2595</v>
      </c>
      <c r="F2684" s="10" t="s">
        <v>29</v>
      </c>
      <c r="G2684" s="2">
        <v>56.060200000000002</v>
      </c>
      <c r="H2684" s="13">
        <v>1</v>
      </c>
      <c r="I2684" s="13">
        <v>0</v>
      </c>
      <c r="J2684" s="13">
        <v>0</v>
      </c>
      <c r="K2684" s="10">
        <v>1</v>
      </c>
      <c r="L2684" s="2">
        <v>56.060200000000002</v>
      </c>
      <c r="M2684" s="1">
        <v>45764.45416666667</v>
      </c>
      <c r="N2684" t="s">
        <v>1062</v>
      </c>
    </row>
    <row r="2685" spans="1:14" x14ac:dyDescent="0.25">
      <c r="A2685" s="9" t="s">
        <v>5211</v>
      </c>
      <c r="B2685" s="10">
        <v>714</v>
      </c>
      <c r="C2685" s="10" t="s">
        <v>143</v>
      </c>
      <c r="D2685" t="s">
        <v>2610</v>
      </c>
      <c r="E2685" t="s">
        <v>2611</v>
      </c>
      <c r="F2685" s="10" t="s">
        <v>19</v>
      </c>
      <c r="G2685" s="2">
        <v>158.44900000000001</v>
      </c>
      <c r="H2685" s="13">
        <v>1</v>
      </c>
      <c r="I2685" s="13">
        <v>0</v>
      </c>
      <c r="J2685" s="13">
        <v>0</v>
      </c>
      <c r="K2685" s="10">
        <v>1</v>
      </c>
      <c r="L2685" s="2">
        <v>158.44900000000001</v>
      </c>
      <c r="M2685" s="1">
        <v>45764.564583333333</v>
      </c>
      <c r="N2685" t="s">
        <v>137</v>
      </c>
    </row>
    <row r="2686" spans="1:14" x14ac:dyDescent="0.25">
      <c r="A2686" s="9" t="s">
        <v>5211</v>
      </c>
      <c r="B2686" s="10">
        <v>718</v>
      </c>
      <c r="C2686" s="10" t="s">
        <v>323</v>
      </c>
      <c r="D2686" t="s">
        <v>3966</v>
      </c>
      <c r="E2686" s="6" t="s">
        <v>3967</v>
      </c>
      <c r="F2686" s="11" t="s">
        <v>58</v>
      </c>
      <c r="G2686" s="2">
        <v>145.8948</v>
      </c>
      <c r="H2686" s="13">
        <v>1</v>
      </c>
      <c r="I2686" s="13">
        <v>0</v>
      </c>
      <c r="J2686" s="13">
        <v>0</v>
      </c>
      <c r="K2686" s="10">
        <v>1</v>
      </c>
      <c r="L2686" s="2">
        <v>145.8948</v>
      </c>
      <c r="M2686" s="1">
        <v>45765.5</v>
      </c>
      <c r="N2686" t="s">
        <v>2271</v>
      </c>
    </row>
    <row r="2687" spans="1:14" x14ac:dyDescent="0.25">
      <c r="A2687" s="9" t="s">
        <v>5211</v>
      </c>
      <c r="B2687" s="10">
        <v>718</v>
      </c>
      <c r="C2687" s="10" t="s">
        <v>323</v>
      </c>
      <c r="D2687" t="s">
        <v>3875</v>
      </c>
      <c r="E2687" t="s">
        <v>3876</v>
      </c>
      <c r="F2687" s="10" t="s">
        <v>35</v>
      </c>
      <c r="G2687" s="2">
        <v>127.658</v>
      </c>
      <c r="H2687" s="13">
        <v>1</v>
      </c>
      <c r="I2687" s="13">
        <v>0</v>
      </c>
      <c r="J2687" s="13">
        <v>0</v>
      </c>
      <c r="K2687" s="10">
        <v>1</v>
      </c>
      <c r="L2687" s="2">
        <v>127.658</v>
      </c>
      <c r="M2687" s="1">
        <v>45765.5</v>
      </c>
      <c r="N2687" t="s">
        <v>2271</v>
      </c>
    </row>
    <row r="2688" spans="1:14" x14ac:dyDescent="0.25">
      <c r="A2688" s="9" t="s">
        <v>5211</v>
      </c>
      <c r="B2688" s="10">
        <v>718</v>
      </c>
      <c r="C2688" s="10" t="s">
        <v>143</v>
      </c>
      <c r="D2688" t="s">
        <v>2634</v>
      </c>
      <c r="E2688" s="6" t="s">
        <v>2635</v>
      </c>
      <c r="F2688" s="11" t="s">
        <v>58</v>
      </c>
      <c r="G2688" s="2">
        <v>151.59379999999999</v>
      </c>
      <c r="H2688" s="13">
        <v>1</v>
      </c>
      <c r="I2688" s="13">
        <v>0</v>
      </c>
      <c r="J2688" s="13">
        <v>0</v>
      </c>
      <c r="K2688" s="10">
        <v>1</v>
      </c>
      <c r="L2688" s="2">
        <v>151.59379999999999</v>
      </c>
      <c r="M2688" s="1">
        <v>45765.5</v>
      </c>
      <c r="N2688" t="s">
        <v>2271</v>
      </c>
    </row>
    <row r="2689" spans="1:14" x14ac:dyDescent="0.25">
      <c r="A2689" s="9" t="s">
        <v>5211</v>
      </c>
      <c r="B2689" s="10">
        <v>714</v>
      </c>
      <c r="C2689" s="10" t="s">
        <v>323</v>
      </c>
      <c r="D2689" t="s">
        <v>3109</v>
      </c>
      <c r="E2689" t="s">
        <v>3110</v>
      </c>
      <c r="F2689" s="10" t="s">
        <v>29</v>
      </c>
      <c r="G2689" s="2">
        <v>348.2217</v>
      </c>
      <c r="H2689" s="13">
        <v>1</v>
      </c>
      <c r="I2689" s="13">
        <v>0</v>
      </c>
      <c r="J2689" s="13">
        <v>0</v>
      </c>
      <c r="K2689" s="10">
        <v>1</v>
      </c>
      <c r="L2689" s="2">
        <v>348.2217</v>
      </c>
      <c r="M2689" s="1">
        <v>45766.421527777777</v>
      </c>
      <c r="N2689" t="s">
        <v>178</v>
      </c>
    </row>
    <row r="2690" spans="1:14" x14ac:dyDescent="0.25">
      <c r="A2690" s="9" t="s">
        <v>5211</v>
      </c>
      <c r="B2690" s="10">
        <v>714</v>
      </c>
      <c r="C2690" s="10" t="s">
        <v>143</v>
      </c>
      <c r="D2690" t="s">
        <v>2426</v>
      </c>
      <c r="E2690" s="6" t="s">
        <v>2427</v>
      </c>
      <c r="F2690" s="11" t="s">
        <v>58</v>
      </c>
      <c r="G2690" s="2">
        <v>271.38119999999998</v>
      </c>
      <c r="H2690" s="13">
        <v>1</v>
      </c>
      <c r="I2690" s="13">
        <v>0</v>
      </c>
      <c r="J2690" s="13">
        <v>0</v>
      </c>
      <c r="K2690" s="10">
        <v>1</v>
      </c>
      <c r="L2690" s="2">
        <v>271.38119999999998</v>
      </c>
      <c r="M2690" s="1">
        <v>45766.421527777777</v>
      </c>
      <c r="N2690" t="s">
        <v>178</v>
      </c>
    </row>
    <row r="2691" spans="1:14" x14ac:dyDescent="0.25">
      <c r="A2691" s="9" t="s">
        <v>5211</v>
      </c>
      <c r="B2691" s="10">
        <v>714</v>
      </c>
      <c r="C2691" s="10" t="s">
        <v>323</v>
      </c>
      <c r="D2691" t="s">
        <v>3387</v>
      </c>
      <c r="E2691" s="6" t="s">
        <v>3388</v>
      </c>
      <c r="F2691" s="11" t="s">
        <v>58</v>
      </c>
      <c r="G2691" s="2">
        <v>348.2217</v>
      </c>
      <c r="H2691" s="13">
        <v>1</v>
      </c>
      <c r="I2691" s="13">
        <v>0</v>
      </c>
      <c r="J2691" s="13">
        <v>0</v>
      </c>
      <c r="K2691" s="10">
        <v>1</v>
      </c>
      <c r="L2691" s="2">
        <v>348.2217</v>
      </c>
      <c r="M2691" s="1">
        <v>45766.421527777777</v>
      </c>
      <c r="N2691" t="s">
        <v>178</v>
      </c>
    </row>
    <row r="2692" spans="1:14" x14ac:dyDescent="0.25">
      <c r="A2692" s="9" t="s">
        <v>5211</v>
      </c>
      <c r="B2692" s="10">
        <v>718</v>
      </c>
      <c r="C2692" s="10" t="s">
        <v>323</v>
      </c>
      <c r="D2692" t="s">
        <v>3923</v>
      </c>
      <c r="E2692" s="6" t="s">
        <v>3924</v>
      </c>
      <c r="F2692" s="11" t="s">
        <v>58</v>
      </c>
      <c r="G2692" s="2">
        <v>1842.6353999999999</v>
      </c>
      <c r="H2692" s="13">
        <v>1</v>
      </c>
      <c r="I2692" s="13">
        <v>0</v>
      </c>
      <c r="J2692" s="13">
        <v>0</v>
      </c>
      <c r="K2692" s="10">
        <v>1</v>
      </c>
      <c r="L2692" s="2">
        <v>1842.6353999999999</v>
      </c>
      <c r="M2692" s="1">
        <v>45768.57708333333</v>
      </c>
      <c r="N2692" t="s">
        <v>137</v>
      </c>
    </row>
    <row r="2693" spans="1:14" x14ac:dyDescent="0.25">
      <c r="A2693" s="9" t="s">
        <v>5211</v>
      </c>
      <c r="B2693" s="10">
        <v>718</v>
      </c>
      <c r="C2693" s="10" t="s">
        <v>323</v>
      </c>
      <c r="D2693" t="s">
        <v>1413</v>
      </c>
      <c r="E2693" s="6" t="s">
        <v>1414</v>
      </c>
      <c r="F2693" s="11" t="s">
        <v>58</v>
      </c>
      <c r="G2693" s="2">
        <v>236.2353</v>
      </c>
      <c r="H2693" s="13">
        <v>1</v>
      </c>
      <c r="I2693" s="13">
        <v>0</v>
      </c>
      <c r="J2693" s="13">
        <v>0</v>
      </c>
      <c r="K2693" s="10">
        <v>1</v>
      </c>
      <c r="L2693" s="2">
        <v>236.2353</v>
      </c>
      <c r="M2693" s="1">
        <v>45768.57708333333</v>
      </c>
      <c r="N2693" t="s">
        <v>137</v>
      </c>
    </row>
    <row r="2694" spans="1:14" x14ac:dyDescent="0.25">
      <c r="A2694" s="9" t="s">
        <v>5211</v>
      </c>
      <c r="B2694" s="10">
        <v>714</v>
      </c>
      <c r="C2694" s="10" t="s">
        <v>323</v>
      </c>
      <c r="D2694" t="s">
        <v>4978</v>
      </c>
      <c r="E2694" t="s">
        <v>4979</v>
      </c>
      <c r="F2694" s="10" t="s">
        <v>29</v>
      </c>
      <c r="G2694" s="2">
        <v>113.49290000000001</v>
      </c>
      <c r="H2694" s="13">
        <v>1</v>
      </c>
      <c r="I2694" s="13">
        <v>3</v>
      </c>
      <c r="J2694" s="13">
        <v>-3</v>
      </c>
      <c r="K2694" s="10">
        <v>1</v>
      </c>
      <c r="L2694" s="2">
        <v>113.49290000000001</v>
      </c>
      <c r="M2694" s="1">
        <v>45769.462500000001</v>
      </c>
      <c r="N2694" t="s">
        <v>1870</v>
      </c>
    </row>
    <row r="2695" spans="1:14" x14ac:dyDescent="0.25">
      <c r="A2695" s="9" t="s">
        <v>5211</v>
      </c>
      <c r="B2695" s="10">
        <v>634</v>
      </c>
      <c r="C2695" s="10" t="s">
        <v>143</v>
      </c>
      <c r="D2695" t="s">
        <v>2460</v>
      </c>
      <c r="E2695" s="6" t="s">
        <v>2461</v>
      </c>
      <c r="F2695" s="11" t="s">
        <v>58</v>
      </c>
      <c r="G2695" s="2">
        <v>18.075800000000001</v>
      </c>
      <c r="H2695" s="13">
        <v>1</v>
      </c>
      <c r="I2695" s="13">
        <v>1</v>
      </c>
      <c r="J2695" s="13">
        <v>-1</v>
      </c>
      <c r="K2695" s="10">
        <v>1</v>
      </c>
      <c r="L2695" s="2">
        <v>18.075800000000001</v>
      </c>
      <c r="M2695" s="1">
        <v>45776.305555555555</v>
      </c>
      <c r="N2695" t="s">
        <v>159</v>
      </c>
    </row>
    <row r="2696" spans="1:14" x14ac:dyDescent="0.25">
      <c r="A2696" s="9" t="s">
        <v>5211</v>
      </c>
      <c r="B2696" s="10">
        <v>714</v>
      </c>
      <c r="C2696" s="10" t="s">
        <v>323</v>
      </c>
      <c r="D2696" t="s">
        <v>3431</v>
      </c>
      <c r="E2696" t="s">
        <v>3432</v>
      </c>
      <c r="F2696" s="10" t="s">
        <v>19</v>
      </c>
      <c r="G2696" s="2">
        <v>298.94760000000002</v>
      </c>
      <c r="H2696" s="13">
        <v>1</v>
      </c>
      <c r="I2696" s="13">
        <v>0</v>
      </c>
      <c r="J2696" s="13">
        <v>0</v>
      </c>
      <c r="K2696" s="10">
        <v>1</v>
      </c>
      <c r="L2696" s="2">
        <v>298.94760000000002</v>
      </c>
      <c r="M2696" s="1">
        <v>45776.645833333336</v>
      </c>
      <c r="N2696" t="s">
        <v>501</v>
      </c>
    </row>
    <row r="2697" spans="1:14" x14ac:dyDescent="0.25">
      <c r="A2697" s="9" t="s">
        <v>5211</v>
      </c>
      <c r="B2697" s="10">
        <v>714</v>
      </c>
      <c r="C2697" s="10" t="s">
        <v>323</v>
      </c>
      <c r="D2697" t="s">
        <v>2941</v>
      </c>
      <c r="E2697" s="6" t="s">
        <v>2942</v>
      </c>
      <c r="F2697" s="11" t="s">
        <v>58</v>
      </c>
      <c r="G2697" s="2">
        <v>319.95479999999998</v>
      </c>
      <c r="H2697" s="13">
        <v>1</v>
      </c>
      <c r="I2697" s="13">
        <v>0</v>
      </c>
      <c r="J2697" s="13">
        <v>0</v>
      </c>
      <c r="K2697" s="10">
        <v>1</v>
      </c>
      <c r="L2697" s="2">
        <v>319.95479999999998</v>
      </c>
      <c r="M2697" s="1">
        <v>45776.645833333336</v>
      </c>
      <c r="N2697" t="s">
        <v>501</v>
      </c>
    </row>
    <row r="2698" spans="1:14" x14ac:dyDescent="0.25">
      <c r="A2698" s="9" t="s">
        <v>5211</v>
      </c>
      <c r="B2698" s="10">
        <v>634</v>
      </c>
      <c r="C2698" s="10" t="s">
        <v>12</v>
      </c>
      <c r="D2698" t="s">
        <v>65</v>
      </c>
      <c r="E2698" s="6" t="s">
        <v>66</v>
      </c>
      <c r="F2698" s="11" t="s">
        <v>58</v>
      </c>
      <c r="G2698" s="2">
        <v>40.71</v>
      </c>
      <c r="H2698" s="13">
        <v>1</v>
      </c>
      <c r="I2698" s="13">
        <v>0</v>
      </c>
      <c r="J2698" s="13">
        <v>0</v>
      </c>
      <c r="K2698" s="10">
        <v>1</v>
      </c>
      <c r="L2698" s="2">
        <v>40.71</v>
      </c>
      <c r="M2698" s="1">
        <v>45777.449305555558</v>
      </c>
      <c r="N2698" t="s">
        <v>67</v>
      </c>
    </row>
    <row r="2699" spans="1:14" x14ac:dyDescent="0.25">
      <c r="A2699" s="9" t="s">
        <v>5211</v>
      </c>
      <c r="B2699" s="10">
        <v>718</v>
      </c>
      <c r="C2699" s="10" t="s">
        <v>143</v>
      </c>
      <c r="D2699" t="s">
        <v>3824</v>
      </c>
      <c r="E2699" t="s">
        <v>3825</v>
      </c>
      <c r="F2699" s="10" t="s">
        <v>35</v>
      </c>
      <c r="G2699" s="2">
        <v>103.0159</v>
      </c>
      <c r="H2699" s="13">
        <v>1</v>
      </c>
      <c r="I2699" s="13">
        <v>0</v>
      </c>
      <c r="J2699" s="13">
        <v>0</v>
      </c>
      <c r="K2699" s="10">
        <v>1</v>
      </c>
      <c r="L2699" s="2">
        <v>103.0159</v>
      </c>
      <c r="M2699" s="1">
        <v>45777.463194444441</v>
      </c>
      <c r="N2699" t="s">
        <v>195</v>
      </c>
    </row>
    <row r="2700" spans="1:14" x14ac:dyDescent="0.25">
      <c r="A2700" s="9" t="s">
        <v>5211</v>
      </c>
      <c r="B2700" s="10">
        <v>718</v>
      </c>
      <c r="C2700" s="10" t="s">
        <v>323</v>
      </c>
      <c r="D2700" t="s">
        <v>3943</v>
      </c>
      <c r="E2700" s="6" t="s">
        <v>3944</v>
      </c>
      <c r="F2700" s="11" t="s">
        <v>58</v>
      </c>
      <c r="G2700" s="2">
        <v>603.38829999999996</v>
      </c>
      <c r="H2700" s="13">
        <v>1</v>
      </c>
      <c r="I2700" s="13">
        <v>0</v>
      </c>
      <c r="J2700" s="13">
        <v>0</v>
      </c>
      <c r="K2700" s="10">
        <v>1</v>
      </c>
      <c r="L2700" s="2">
        <v>603.38829999999996</v>
      </c>
      <c r="M2700" s="1">
        <v>45777.525000000001</v>
      </c>
      <c r="N2700" t="s">
        <v>3945</v>
      </c>
    </row>
    <row r="2701" spans="1:14" x14ac:dyDescent="0.25">
      <c r="A2701" s="9" t="s">
        <v>5211</v>
      </c>
      <c r="B2701" s="10">
        <v>714</v>
      </c>
      <c r="C2701" s="10" t="s">
        <v>323</v>
      </c>
      <c r="D2701" t="s">
        <v>5033</v>
      </c>
      <c r="E2701" t="s">
        <v>5034</v>
      </c>
      <c r="F2701" s="10" t="s">
        <v>29</v>
      </c>
      <c r="G2701" s="2">
        <v>103.32429999999999</v>
      </c>
      <c r="H2701" s="13">
        <v>1</v>
      </c>
      <c r="I2701" s="13">
        <v>1</v>
      </c>
      <c r="J2701" s="13">
        <v>-1</v>
      </c>
      <c r="K2701" s="10">
        <v>1</v>
      </c>
      <c r="L2701" s="2">
        <v>103.32429999999999</v>
      </c>
      <c r="M2701" s="1">
        <v>45777.836805555555</v>
      </c>
      <c r="N2701" t="s">
        <v>3439</v>
      </c>
    </row>
    <row r="2702" spans="1:14" x14ac:dyDescent="0.25">
      <c r="A2702" s="9" t="s">
        <v>5211</v>
      </c>
      <c r="B2702" s="10">
        <v>714</v>
      </c>
      <c r="C2702" s="10" t="s">
        <v>323</v>
      </c>
      <c r="D2702" t="s">
        <v>3516</v>
      </c>
      <c r="E2702" t="s">
        <v>3517</v>
      </c>
      <c r="F2702" s="10" t="s">
        <v>29</v>
      </c>
      <c r="G2702" s="2">
        <v>92.447999999999993</v>
      </c>
      <c r="H2702" s="13">
        <v>1</v>
      </c>
      <c r="I2702" s="13">
        <v>0</v>
      </c>
      <c r="J2702" s="13">
        <v>0</v>
      </c>
      <c r="K2702" s="10">
        <v>1</v>
      </c>
      <c r="L2702" s="2">
        <v>92.447999999999993</v>
      </c>
      <c r="M2702" s="1">
        <v>45777.836805555555</v>
      </c>
      <c r="N2702" t="s">
        <v>3439</v>
      </c>
    </row>
    <row r="2703" spans="1:14" x14ac:dyDescent="0.25">
      <c r="A2703" s="9" t="s">
        <v>5211</v>
      </c>
      <c r="B2703" s="10">
        <v>714</v>
      </c>
      <c r="C2703" s="10" t="s">
        <v>323</v>
      </c>
      <c r="D2703" t="s">
        <v>3437</v>
      </c>
      <c r="E2703" t="s">
        <v>3438</v>
      </c>
      <c r="F2703" s="10" t="s">
        <v>29</v>
      </c>
      <c r="G2703" s="2">
        <v>119.6386</v>
      </c>
      <c r="H2703" s="13">
        <v>1</v>
      </c>
      <c r="I2703" s="13">
        <v>0</v>
      </c>
      <c r="J2703" s="13">
        <v>0</v>
      </c>
      <c r="K2703" s="10">
        <v>1</v>
      </c>
      <c r="L2703" s="2">
        <v>119.6386</v>
      </c>
      <c r="M2703" s="1">
        <v>45777.836805555555</v>
      </c>
      <c r="N2703" t="s">
        <v>3439</v>
      </c>
    </row>
    <row r="2704" spans="1:14" x14ac:dyDescent="0.25">
      <c r="A2704" s="9" t="s">
        <v>5211</v>
      </c>
      <c r="B2704" s="10">
        <v>714</v>
      </c>
      <c r="C2704" s="10" t="s">
        <v>143</v>
      </c>
      <c r="D2704" t="s">
        <v>4507</v>
      </c>
      <c r="E2704" t="s">
        <v>4508</v>
      </c>
      <c r="F2704" s="10" t="s">
        <v>29</v>
      </c>
      <c r="G2704" s="2">
        <v>14.552099999999999</v>
      </c>
      <c r="H2704" s="13">
        <v>1</v>
      </c>
      <c r="I2704" s="13">
        <v>11</v>
      </c>
      <c r="J2704" s="13">
        <v>-11</v>
      </c>
      <c r="K2704" s="10">
        <v>1</v>
      </c>
      <c r="L2704" s="2">
        <v>14.552099999999999</v>
      </c>
      <c r="M2704" s="1">
        <v>45779.586805555555</v>
      </c>
      <c r="N2704" t="s">
        <v>175</v>
      </c>
    </row>
    <row r="2705" spans="1:14" x14ac:dyDescent="0.25">
      <c r="A2705" s="9" t="s">
        <v>5211</v>
      </c>
      <c r="B2705" s="10">
        <v>714</v>
      </c>
      <c r="C2705" s="10" t="s">
        <v>143</v>
      </c>
      <c r="D2705" t="s">
        <v>4929</v>
      </c>
      <c r="E2705" t="s">
        <v>4930</v>
      </c>
      <c r="F2705" s="10" t="s">
        <v>29</v>
      </c>
      <c r="G2705" s="2">
        <v>16.204799999999999</v>
      </c>
      <c r="H2705" s="13">
        <v>1</v>
      </c>
      <c r="I2705" s="13">
        <v>0</v>
      </c>
      <c r="J2705" s="13">
        <v>0</v>
      </c>
      <c r="K2705" s="10">
        <v>1</v>
      </c>
      <c r="L2705" s="2">
        <v>16.204799999999999</v>
      </c>
      <c r="M2705" s="1">
        <v>45784.364583333336</v>
      </c>
      <c r="N2705" t="s">
        <v>30</v>
      </c>
    </row>
    <row r="2706" spans="1:14" x14ac:dyDescent="0.25">
      <c r="A2706" s="9" t="s">
        <v>5211</v>
      </c>
      <c r="B2706" s="10">
        <v>714</v>
      </c>
      <c r="C2706" s="10" t="s">
        <v>323</v>
      </c>
      <c r="D2706" t="s">
        <v>5081</v>
      </c>
      <c r="E2706" t="s">
        <v>5082</v>
      </c>
      <c r="F2706" s="10" t="s">
        <v>29</v>
      </c>
      <c r="G2706" s="2">
        <v>82.304299999999998</v>
      </c>
      <c r="H2706" s="13">
        <v>1</v>
      </c>
      <c r="I2706" s="13">
        <v>1</v>
      </c>
      <c r="J2706" s="13">
        <v>-1</v>
      </c>
      <c r="K2706" s="10">
        <v>1</v>
      </c>
      <c r="L2706" s="2">
        <v>82.304299999999998</v>
      </c>
      <c r="M2706" s="1">
        <v>45784.364583333336</v>
      </c>
      <c r="N2706" t="s">
        <v>30</v>
      </c>
    </row>
    <row r="2707" spans="1:14" x14ac:dyDescent="0.25">
      <c r="A2707" s="9" t="s">
        <v>5211</v>
      </c>
      <c r="B2707" s="10">
        <v>714</v>
      </c>
      <c r="C2707" s="10" t="s">
        <v>143</v>
      </c>
      <c r="D2707" t="s">
        <v>2348</v>
      </c>
      <c r="E2707" t="s">
        <v>2349</v>
      </c>
      <c r="F2707" s="10" t="s">
        <v>29</v>
      </c>
      <c r="G2707" s="2">
        <v>21.748000000000001</v>
      </c>
      <c r="H2707" s="13">
        <v>1</v>
      </c>
      <c r="I2707" s="13">
        <v>0</v>
      </c>
      <c r="J2707" s="13">
        <v>0</v>
      </c>
      <c r="K2707" s="10">
        <v>1</v>
      </c>
      <c r="L2707" s="2">
        <v>21.748000000000001</v>
      </c>
      <c r="M2707" s="1">
        <v>45784.373611111114</v>
      </c>
      <c r="N2707" t="s">
        <v>67</v>
      </c>
    </row>
    <row r="2708" spans="1:14" x14ac:dyDescent="0.25">
      <c r="A2708" s="9" t="s">
        <v>5211</v>
      </c>
      <c r="B2708" s="10">
        <v>714</v>
      </c>
      <c r="C2708" s="10" t="s">
        <v>323</v>
      </c>
      <c r="D2708" t="s">
        <v>3315</v>
      </c>
      <c r="E2708" s="6" t="s">
        <v>3316</v>
      </c>
      <c r="F2708" s="11" t="s">
        <v>58</v>
      </c>
      <c r="G2708" s="2">
        <v>136.34209999999999</v>
      </c>
      <c r="H2708" s="13">
        <v>1</v>
      </c>
      <c r="I2708" s="13">
        <v>0</v>
      </c>
      <c r="J2708" s="13">
        <v>0</v>
      </c>
      <c r="K2708" s="10">
        <v>1</v>
      </c>
      <c r="L2708" s="2">
        <v>136.34209999999999</v>
      </c>
      <c r="M2708" s="1">
        <v>45784.373611111114</v>
      </c>
      <c r="N2708" t="s">
        <v>67</v>
      </c>
    </row>
    <row r="2709" spans="1:14" x14ac:dyDescent="0.25">
      <c r="A2709" s="9" t="s">
        <v>5211</v>
      </c>
      <c r="B2709" s="10">
        <v>714</v>
      </c>
      <c r="C2709" s="10" t="s">
        <v>143</v>
      </c>
      <c r="D2709" t="s">
        <v>2469</v>
      </c>
      <c r="E2709" t="s">
        <v>2470</v>
      </c>
      <c r="F2709" s="10" t="s">
        <v>29</v>
      </c>
      <c r="G2709" s="2">
        <v>32.951000000000001</v>
      </c>
      <c r="H2709" s="13">
        <v>1</v>
      </c>
      <c r="I2709" s="13">
        <v>0</v>
      </c>
      <c r="J2709" s="13">
        <v>0</v>
      </c>
      <c r="K2709" s="10">
        <v>1</v>
      </c>
      <c r="L2709" s="2">
        <v>32.951000000000001</v>
      </c>
      <c r="M2709" s="1">
        <v>45784.373611111114</v>
      </c>
      <c r="N2709" t="s">
        <v>67</v>
      </c>
    </row>
    <row r="2710" spans="1:14" x14ac:dyDescent="0.25">
      <c r="A2710" s="9" t="s">
        <v>5211</v>
      </c>
      <c r="B2710" s="10">
        <v>634</v>
      </c>
      <c r="C2710" s="10" t="s">
        <v>70</v>
      </c>
      <c r="D2710" t="s">
        <v>4054</v>
      </c>
      <c r="E2710" t="s">
        <v>4055</v>
      </c>
      <c r="F2710" s="10" t="s">
        <v>15</v>
      </c>
      <c r="G2710" s="2">
        <v>6.5552000000000001</v>
      </c>
      <c r="H2710" s="13">
        <v>1</v>
      </c>
      <c r="I2710" s="13">
        <v>0</v>
      </c>
      <c r="J2710" s="13">
        <v>0</v>
      </c>
      <c r="K2710" s="10">
        <v>1</v>
      </c>
      <c r="L2710" s="2">
        <v>6.5552000000000001</v>
      </c>
      <c r="M2710" s="1">
        <v>45784.474999999999</v>
      </c>
      <c r="N2710" t="s">
        <v>16</v>
      </c>
    </row>
    <row r="2711" spans="1:14" x14ac:dyDescent="0.25">
      <c r="A2711" s="9" t="s">
        <v>5211</v>
      </c>
      <c r="B2711" s="10">
        <v>714</v>
      </c>
      <c r="C2711" s="10" t="s">
        <v>143</v>
      </c>
      <c r="D2711" t="s">
        <v>232</v>
      </c>
      <c r="E2711" t="s">
        <v>233</v>
      </c>
      <c r="F2711" s="10" t="s">
        <v>19</v>
      </c>
      <c r="G2711" s="2">
        <v>68.489400000000003</v>
      </c>
      <c r="H2711" s="13">
        <v>1</v>
      </c>
      <c r="I2711" s="13">
        <v>0</v>
      </c>
      <c r="J2711" s="13">
        <v>0</v>
      </c>
      <c r="K2711" s="10">
        <v>1</v>
      </c>
      <c r="L2711" s="2">
        <v>68.489400000000003</v>
      </c>
      <c r="M2711" s="1">
        <v>45785.349305555559</v>
      </c>
      <c r="N2711" t="s">
        <v>2457</v>
      </c>
    </row>
    <row r="2712" spans="1:14" x14ac:dyDescent="0.25">
      <c r="A2712" s="9" t="s">
        <v>5211</v>
      </c>
      <c r="B2712" s="10">
        <v>636</v>
      </c>
      <c r="C2712" s="10" t="s">
        <v>143</v>
      </c>
      <c r="D2712" t="s">
        <v>1082</v>
      </c>
      <c r="E2712" t="s">
        <v>1083</v>
      </c>
      <c r="F2712" s="10" t="s">
        <v>19</v>
      </c>
      <c r="G2712" s="2">
        <v>179.16200000000001</v>
      </c>
      <c r="H2712" s="13">
        <v>1</v>
      </c>
      <c r="I2712" s="13">
        <v>0</v>
      </c>
      <c r="J2712" s="13">
        <v>0</v>
      </c>
      <c r="K2712" s="10">
        <v>1</v>
      </c>
      <c r="L2712" s="2">
        <v>179.16200000000001</v>
      </c>
      <c r="M2712" s="1">
        <v>45786.51666666667</v>
      </c>
      <c r="N2712" t="s">
        <v>216</v>
      </c>
    </row>
    <row r="2713" spans="1:14" x14ac:dyDescent="0.25">
      <c r="A2713" s="9" t="s">
        <v>5211</v>
      </c>
      <c r="B2713" s="10">
        <v>636</v>
      </c>
      <c r="C2713" s="10" t="s">
        <v>323</v>
      </c>
      <c r="D2713" t="s">
        <v>1703</v>
      </c>
      <c r="E2713" s="6" t="s">
        <v>1704</v>
      </c>
      <c r="F2713" s="11" t="s">
        <v>58</v>
      </c>
      <c r="G2713" s="2">
        <v>54.132599999999996</v>
      </c>
      <c r="H2713" s="13">
        <v>1</v>
      </c>
      <c r="I2713" s="13">
        <v>0</v>
      </c>
      <c r="J2713" s="13">
        <v>0</v>
      </c>
      <c r="K2713" s="10">
        <v>1</v>
      </c>
      <c r="L2713" s="2">
        <v>54.132599999999996</v>
      </c>
      <c r="M2713" s="1">
        <v>45791.495138888888</v>
      </c>
      <c r="N2713" t="s">
        <v>40</v>
      </c>
    </row>
    <row r="2714" spans="1:14" x14ac:dyDescent="0.25">
      <c r="A2714" s="9" t="s">
        <v>5211</v>
      </c>
      <c r="B2714" s="10">
        <v>714</v>
      </c>
      <c r="C2714" s="10" t="s">
        <v>323</v>
      </c>
      <c r="D2714" t="s">
        <v>3014</v>
      </c>
      <c r="E2714" s="6" t="s">
        <v>3015</v>
      </c>
      <c r="F2714" s="11" t="s">
        <v>58</v>
      </c>
      <c r="G2714" s="2">
        <v>154.64359999999999</v>
      </c>
      <c r="H2714" s="13">
        <v>1</v>
      </c>
      <c r="I2714" s="13">
        <v>0</v>
      </c>
      <c r="J2714" s="13">
        <v>0</v>
      </c>
      <c r="K2714" s="10">
        <v>1</v>
      </c>
      <c r="L2714" s="2">
        <v>154.64359999999999</v>
      </c>
      <c r="M2714" s="1">
        <v>45793.530555555553</v>
      </c>
      <c r="N2714" t="s">
        <v>1062</v>
      </c>
    </row>
    <row r="2715" spans="1:14" x14ac:dyDescent="0.25">
      <c r="A2715" s="9" t="s">
        <v>5211</v>
      </c>
      <c r="B2715" s="10">
        <v>714</v>
      </c>
      <c r="C2715" s="10" t="s">
        <v>323</v>
      </c>
      <c r="D2715" t="s">
        <v>3280</v>
      </c>
      <c r="E2715" t="s">
        <v>3281</v>
      </c>
      <c r="F2715" s="10" t="s">
        <v>29</v>
      </c>
      <c r="G2715" s="2">
        <v>171.8501</v>
      </c>
      <c r="H2715" s="13">
        <v>1</v>
      </c>
      <c r="I2715" s="13">
        <v>-1</v>
      </c>
      <c r="J2715" s="13">
        <v>1</v>
      </c>
      <c r="K2715" s="10">
        <v>1</v>
      </c>
      <c r="L2715" s="2">
        <v>171.8501</v>
      </c>
      <c r="M2715" s="1">
        <v>45793.530555555553</v>
      </c>
      <c r="N2715" t="s">
        <v>1062</v>
      </c>
    </row>
    <row r="2716" spans="1:14" x14ac:dyDescent="0.25">
      <c r="A2716" s="9" t="s">
        <v>5211</v>
      </c>
      <c r="B2716" s="10">
        <v>714</v>
      </c>
      <c r="C2716" s="10" t="s">
        <v>323</v>
      </c>
      <c r="D2716" t="s">
        <v>5089</v>
      </c>
      <c r="E2716" t="s">
        <v>5090</v>
      </c>
      <c r="F2716" s="10" t="s">
        <v>19</v>
      </c>
      <c r="G2716" s="2">
        <v>305.63729999999998</v>
      </c>
      <c r="H2716" s="13">
        <v>1</v>
      </c>
      <c r="I2716" s="13">
        <v>0</v>
      </c>
      <c r="J2716" s="13">
        <v>0</v>
      </c>
      <c r="K2716" s="10">
        <v>1</v>
      </c>
      <c r="L2716" s="2">
        <v>305.63729999999998</v>
      </c>
      <c r="M2716" s="1">
        <v>45797.415277777778</v>
      </c>
      <c r="N2716" t="s">
        <v>890</v>
      </c>
    </row>
    <row r="2717" spans="1:14" x14ac:dyDescent="0.25">
      <c r="A2717" s="9" t="s">
        <v>5211</v>
      </c>
      <c r="B2717" s="10">
        <v>714</v>
      </c>
      <c r="C2717" s="10" t="s">
        <v>323</v>
      </c>
      <c r="D2717" t="s">
        <v>3221</v>
      </c>
      <c r="E2717" t="s">
        <v>3222</v>
      </c>
      <c r="F2717" s="10" t="s">
        <v>29</v>
      </c>
      <c r="G2717" s="2">
        <v>193.2679</v>
      </c>
      <c r="H2717" s="13">
        <v>1</v>
      </c>
      <c r="I2717" s="13">
        <v>0</v>
      </c>
      <c r="J2717" s="13">
        <v>0</v>
      </c>
      <c r="K2717" s="10">
        <v>1</v>
      </c>
      <c r="L2717" s="2">
        <v>193.2679</v>
      </c>
      <c r="M2717" s="1">
        <v>45797.421527777777</v>
      </c>
      <c r="N2717" t="s">
        <v>885</v>
      </c>
    </row>
    <row r="2718" spans="1:14" x14ac:dyDescent="0.25">
      <c r="A2718" s="9" t="s">
        <v>5211</v>
      </c>
      <c r="B2718" s="10">
        <v>714</v>
      </c>
      <c r="C2718" s="10" t="s">
        <v>143</v>
      </c>
      <c r="D2718" t="s">
        <v>2697</v>
      </c>
      <c r="E2718" t="s">
        <v>2698</v>
      </c>
      <c r="F2718" s="10" t="s">
        <v>29</v>
      </c>
      <c r="G2718" s="2">
        <v>35.915100000000002</v>
      </c>
      <c r="H2718" s="13">
        <v>1</v>
      </c>
      <c r="I2718" s="13">
        <v>0</v>
      </c>
      <c r="J2718" s="13">
        <v>0</v>
      </c>
      <c r="K2718" s="10">
        <v>1</v>
      </c>
      <c r="L2718" s="2">
        <v>35.915100000000002</v>
      </c>
      <c r="M2718" s="1">
        <v>45797.421527777777</v>
      </c>
      <c r="N2718" t="s">
        <v>885</v>
      </c>
    </row>
    <row r="2719" spans="1:14" x14ac:dyDescent="0.25">
      <c r="A2719" s="9" t="s">
        <v>5211</v>
      </c>
      <c r="B2719" s="10">
        <v>714</v>
      </c>
      <c r="C2719" s="10" t="s">
        <v>143</v>
      </c>
      <c r="D2719" t="s">
        <v>4903</v>
      </c>
      <c r="E2719" t="s">
        <v>4904</v>
      </c>
      <c r="F2719" s="10" t="s">
        <v>15</v>
      </c>
      <c r="G2719" s="2">
        <v>28.254999999999999</v>
      </c>
      <c r="H2719" s="13">
        <v>1</v>
      </c>
      <c r="I2719" s="13">
        <v>1</v>
      </c>
      <c r="J2719" s="13">
        <v>-1</v>
      </c>
      <c r="K2719" s="10">
        <v>1</v>
      </c>
      <c r="L2719" s="2">
        <v>28.254999999999999</v>
      </c>
      <c r="M2719" s="1">
        <v>45799.356249999997</v>
      </c>
      <c r="N2719" t="s">
        <v>2468</v>
      </c>
    </row>
    <row r="2720" spans="1:14" x14ac:dyDescent="0.25">
      <c r="A2720" s="9" t="s">
        <v>5211</v>
      </c>
      <c r="B2720" s="10">
        <v>636</v>
      </c>
      <c r="C2720" s="10" t="s">
        <v>143</v>
      </c>
      <c r="D2720" t="s">
        <v>1045</v>
      </c>
      <c r="E2720" t="s">
        <v>1046</v>
      </c>
      <c r="F2720" s="10" t="s">
        <v>1047</v>
      </c>
      <c r="G2720" s="2">
        <v>73.268799999999999</v>
      </c>
      <c r="H2720" s="13">
        <v>1</v>
      </c>
      <c r="I2720" s="13">
        <v>0</v>
      </c>
      <c r="J2720" s="13">
        <v>0</v>
      </c>
      <c r="K2720" s="10">
        <v>1</v>
      </c>
      <c r="L2720" s="2">
        <v>73.268799999999999</v>
      </c>
      <c r="M2720" s="1">
        <v>45799.589583333334</v>
      </c>
      <c r="N2720" t="s">
        <v>216</v>
      </c>
    </row>
    <row r="2721" spans="1:14" x14ac:dyDescent="0.25">
      <c r="A2721" s="9" t="s">
        <v>5211</v>
      </c>
      <c r="B2721" s="10">
        <v>634</v>
      </c>
      <c r="C2721" s="10" t="s">
        <v>143</v>
      </c>
      <c r="D2721" t="s">
        <v>4244</v>
      </c>
      <c r="E2721" t="s">
        <v>4245</v>
      </c>
      <c r="F2721" s="10" t="s">
        <v>39</v>
      </c>
      <c r="G2721" s="2">
        <v>34.999200000000002</v>
      </c>
      <c r="H2721" s="13">
        <v>1</v>
      </c>
      <c r="I2721" s="13">
        <v>18</v>
      </c>
      <c r="J2721" s="13">
        <v>-18</v>
      </c>
      <c r="K2721" s="10">
        <v>1</v>
      </c>
      <c r="L2721" s="2">
        <v>34.999200000000002</v>
      </c>
      <c r="M2721" s="1">
        <v>45799.806944444441</v>
      </c>
      <c r="N2721" t="s">
        <v>2225</v>
      </c>
    </row>
    <row r="2722" spans="1:14" x14ac:dyDescent="0.25">
      <c r="A2722" s="9" t="s">
        <v>5211</v>
      </c>
      <c r="B2722" s="10">
        <v>636</v>
      </c>
      <c r="C2722" s="10" t="s">
        <v>323</v>
      </c>
      <c r="D2722" t="s">
        <v>1235</v>
      </c>
      <c r="E2722" s="6" t="s">
        <v>1236</v>
      </c>
      <c r="F2722" s="11" t="s">
        <v>58</v>
      </c>
      <c r="G2722" s="2">
        <v>177.63399999999999</v>
      </c>
      <c r="H2722" s="13">
        <v>1</v>
      </c>
      <c r="I2722" s="13">
        <v>0</v>
      </c>
      <c r="J2722" s="13">
        <v>0</v>
      </c>
      <c r="K2722" s="10">
        <v>1</v>
      </c>
      <c r="L2722" s="2">
        <v>177.63399999999999</v>
      </c>
      <c r="M2722" s="1">
        <v>45804.532638888886</v>
      </c>
      <c r="N2722" t="s">
        <v>137</v>
      </c>
    </row>
    <row r="2723" spans="1:14" x14ac:dyDescent="0.25">
      <c r="A2723" s="9" t="s">
        <v>5211</v>
      </c>
      <c r="B2723" s="10">
        <v>718</v>
      </c>
      <c r="C2723" s="10" t="s">
        <v>323</v>
      </c>
      <c r="D2723" t="s">
        <v>5200</v>
      </c>
      <c r="E2723" t="s">
        <v>5201</v>
      </c>
      <c r="F2723" s="10" t="s">
        <v>455</v>
      </c>
      <c r="G2723" s="2">
        <v>186.56270000000001</v>
      </c>
      <c r="H2723" s="13">
        <v>1</v>
      </c>
      <c r="I2723" s="13">
        <v>0</v>
      </c>
      <c r="J2723" s="13">
        <v>0</v>
      </c>
      <c r="K2723" s="10">
        <v>1</v>
      </c>
      <c r="L2723" s="2">
        <v>186.56270000000001</v>
      </c>
      <c r="M2723" s="1">
        <v>45807.445833333331</v>
      </c>
      <c r="N2723" t="s">
        <v>1870</v>
      </c>
    </row>
    <row r="2724" spans="1:14" x14ac:dyDescent="0.25">
      <c r="A2724" s="9" t="s">
        <v>5211</v>
      </c>
      <c r="B2724" s="10">
        <v>718</v>
      </c>
      <c r="C2724" s="10" t="s">
        <v>323</v>
      </c>
      <c r="D2724" t="s">
        <v>3051</v>
      </c>
      <c r="E2724" t="s">
        <v>3052</v>
      </c>
      <c r="F2724" s="10" t="s">
        <v>39</v>
      </c>
      <c r="G2724" s="2">
        <v>71.604399999999998</v>
      </c>
      <c r="H2724" s="13">
        <v>1</v>
      </c>
      <c r="I2724" s="13">
        <v>0</v>
      </c>
      <c r="J2724" s="13">
        <v>0</v>
      </c>
      <c r="K2724" s="10">
        <v>1</v>
      </c>
      <c r="L2724" s="2">
        <v>71.604399999999998</v>
      </c>
      <c r="M2724" s="1">
        <v>45813.561805555553</v>
      </c>
      <c r="N2724" t="s">
        <v>36</v>
      </c>
    </row>
    <row r="2725" spans="1:14" x14ac:dyDescent="0.25">
      <c r="A2725" s="9" t="s">
        <v>5211</v>
      </c>
      <c r="B2725" s="10">
        <v>714</v>
      </c>
      <c r="C2725" s="10" t="s">
        <v>323</v>
      </c>
      <c r="D2725" t="s">
        <v>3257</v>
      </c>
      <c r="E2725" s="6" t="s">
        <v>3258</v>
      </c>
      <c r="F2725" s="11" t="s">
        <v>58</v>
      </c>
      <c r="G2725" s="2">
        <v>73.321799999999996</v>
      </c>
      <c r="H2725" s="13">
        <v>1</v>
      </c>
      <c r="I2725" s="13">
        <v>0</v>
      </c>
      <c r="J2725" s="13">
        <v>0</v>
      </c>
      <c r="K2725" s="10">
        <v>1</v>
      </c>
      <c r="L2725" s="2">
        <v>73.321799999999996</v>
      </c>
      <c r="M2725" s="1">
        <v>45814.331944444442</v>
      </c>
      <c r="N2725" t="s">
        <v>1841</v>
      </c>
    </row>
    <row r="2726" spans="1:14" x14ac:dyDescent="0.25">
      <c r="A2726" s="9" t="s">
        <v>5211</v>
      </c>
      <c r="B2726" s="10">
        <v>714</v>
      </c>
      <c r="C2726" s="10" t="s">
        <v>323</v>
      </c>
      <c r="D2726" t="s">
        <v>3051</v>
      </c>
      <c r="E2726" t="s">
        <v>3052</v>
      </c>
      <c r="F2726" s="10" t="s">
        <v>29</v>
      </c>
      <c r="G2726" s="2">
        <v>71.984099999999998</v>
      </c>
      <c r="H2726" s="13">
        <v>1</v>
      </c>
      <c r="I2726" s="13">
        <v>0</v>
      </c>
      <c r="J2726" s="13">
        <v>0</v>
      </c>
      <c r="K2726" s="10">
        <v>1</v>
      </c>
      <c r="L2726" s="2">
        <v>71.984099999999998</v>
      </c>
      <c r="M2726" s="1">
        <v>45814.374305555553</v>
      </c>
      <c r="N2726" t="s">
        <v>36</v>
      </c>
    </row>
    <row r="2727" spans="1:14" x14ac:dyDescent="0.25">
      <c r="A2727" s="9" t="s">
        <v>5211</v>
      </c>
      <c r="B2727" s="10">
        <v>718</v>
      </c>
      <c r="C2727" s="10" t="s">
        <v>323</v>
      </c>
      <c r="D2727" t="s">
        <v>5099</v>
      </c>
      <c r="E2727" t="s">
        <v>5100</v>
      </c>
      <c r="F2727" s="10" t="s">
        <v>29</v>
      </c>
      <c r="G2727" s="2">
        <v>109.542</v>
      </c>
      <c r="H2727" s="13">
        <v>1</v>
      </c>
      <c r="I2727" s="13">
        <v>11</v>
      </c>
      <c r="J2727" s="13">
        <v>-11</v>
      </c>
      <c r="K2727" s="10">
        <v>1</v>
      </c>
      <c r="L2727" s="2">
        <v>109.542</v>
      </c>
      <c r="M2727" s="1">
        <v>45815.55972222222</v>
      </c>
      <c r="N2727" t="s">
        <v>903</v>
      </c>
    </row>
    <row r="2728" spans="1:14" x14ac:dyDescent="0.25">
      <c r="A2728" s="9" t="s">
        <v>5211</v>
      </c>
      <c r="B2728" s="10">
        <v>714</v>
      </c>
      <c r="C2728" s="10" t="s">
        <v>323</v>
      </c>
      <c r="D2728" t="s">
        <v>3317</v>
      </c>
      <c r="E2728" s="6" t="s">
        <v>3318</v>
      </c>
      <c r="F2728" s="11" t="s">
        <v>58</v>
      </c>
      <c r="G2728" s="2">
        <v>100.5264</v>
      </c>
      <c r="H2728" s="13">
        <v>1</v>
      </c>
      <c r="I2728" s="13">
        <v>0</v>
      </c>
      <c r="J2728" s="13">
        <v>0</v>
      </c>
      <c r="K2728" s="10">
        <v>1</v>
      </c>
      <c r="L2728" s="2">
        <v>100.5264</v>
      </c>
      <c r="M2728" s="1">
        <v>45826.474999999999</v>
      </c>
      <c r="N2728" t="s">
        <v>216</v>
      </c>
    </row>
    <row r="2729" spans="1:14" x14ac:dyDescent="0.25">
      <c r="A2729" s="9" t="s">
        <v>5211</v>
      </c>
      <c r="B2729" s="10">
        <v>634</v>
      </c>
      <c r="C2729" s="10" t="s">
        <v>323</v>
      </c>
      <c r="D2729" t="s">
        <v>343</v>
      </c>
      <c r="E2729" s="6" t="s">
        <v>344</v>
      </c>
      <c r="F2729" s="11" t="s">
        <v>58</v>
      </c>
      <c r="G2729" s="2">
        <v>134.30000000000001</v>
      </c>
      <c r="H2729" s="13">
        <v>1</v>
      </c>
      <c r="I2729" s="13">
        <v>0</v>
      </c>
      <c r="J2729" s="13">
        <v>0</v>
      </c>
      <c r="K2729" s="10">
        <v>1</v>
      </c>
      <c r="L2729" s="2">
        <v>134.30000000000001</v>
      </c>
      <c r="M2729" s="1">
        <v>45827.283333333333</v>
      </c>
      <c r="N2729" t="s">
        <v>345</v>
      </c>
    </row>
    <row r="2730" spans="1:14" x14ac:dyDescent="0.25">
      <c r="A2730" s="9" t="s">
        <v>5211</v>
      </c>
      <c r="B2730" s="10">
        <v>714</v>
      </c>
      <c r="C2730" s="10" t="s">
        <v>323</v>
      </c>
      <c r="D2730" t="s">
        <v>3382</v>
      </c>
      <c r="E2730" s="6" t="s">
        <v>3383</v>
      </c>
      <c r="F2730" s="11" t="s">
        <v>58</v>
      </c>
      <c r="G2730" s="2">
        <v>137.72649999999999</v>
      </c>
      <c r="H2730" s="13">
        <v>1</v>
      </c>
      <c r="I2730" s="13">
        <v>0</v>
      </c>
      <c r="J2730" s="13">
        <v>0</v>
      </c>
      <c r="K2730" s="10">
        <v>1</v>
      </c>
      <c r="L2730" s="2">
        <v>137.72649999999999</v>
      </c>
      <c r="M2730" s="1">
        <v>45827.372916666667</v>
      </c>
      <c r="N2730" t="s">
        <v>3384</v>
      </c>
    </row>
    <row r="2731" spans="1:14" x14ac:dyDescent="0.25">
      <c r="A2731" s="9" t="s">
        <v>5211</v>
      </c>
      <c r="B2731" s="10">
        <v>636</v>
      </c>
      <c r="C2731" s="10" t="s">
        <v>143</v>
      </c>
      <c r="D2731" t="s">
        <v>4547</v>
      </c>
      <c r="E2731" t="s">
        <v>4548</v>
      </c>
      <c r="F2731" s="10" t="s">
        <v>39</v>
      </c>
      <c r="G2731" s="2">
        <v>23.908899999999999</v>
      </c>
      <c r="H2731" s="13">
        <v>1</v>
      </c>
      <c r="I2731" s="13">
        <v>0</v>
      </c>
      <c r="J2731" s="13">
        <v>0</v>
      </c>
      <c r="K2731" s="10">
        <v>1</v>
      </c>
      <c r="L2731" s="2">
        <v>23.908899999999999</v>
      </c>
      <c r="M2731" s="1">
        <v>45827.498611111114</v>
      </c>
      <c r="N2731" t="s">
        <v>26</v>
      </c>
    </row>
    <row r="2732" spans="1:14" x14ac:dyDescent="0.25">
      <c r="A2732" s="9" t="s">
        <v>5211</v>
      </c>
      <c r="B2732" s="10">
        <v>634</v>
      </c>
      <c r="C2732" s="10" t="s">
        <v>143</v>
      </c>
      <c r="D2732" t="s">
        <v>271</v>
      </c>
      <c r="E2732" t="s">
        <v>272</v>
      </c>
      <c r="F2732" s="10" t="s">
        <v>39</v>
      </c>
      <c r="G2732" s="2">
        <v>20.048300000000001</v>
      </c>
      <c r="H2732" s="13">
        <v>1</v>
      </c>
      <c r="I2732" s="13">
        <v>0</v>
      </c>
      <c r="J2732" s="13">
        <v>0</v>
      </c>
      <c r="K2732" s="10">
        <v>1</v>
      </c>
      <c r="L2732" s="2">
        <v>20.048300000000001</v>
      </c>
      <c r="M2732" s="1">
        <v>45827.561805555553</v>
      </c>
      <c r="N2732" t="s">
        <v>40</v>
      </c>
    </row>
    <row r="2733" spans="1:14" x14ac:dyDescent="0.25">
      <c r="A2733" s="9" t="s">
        <v>5211</v>
      </c>
      <c r="B2733" s="10">
        <v>714</v>
      </c>
      <c r="C2733" s="10" t="s">
        <v>12</v>
      </c>
      <c r="D2733" t="s">
        <v>1916</v>
      </c>
      <c r="E2733" t="s">
        <v>1917</v>
      </c>
      <c r="F2733" s="10" t="s">
        <v>15</v>
      </c>
      <c r="G2733" s="2">
        <v>12.5905</v>
      </c>
      <c r="H2733" s="13">
        <v>1</v>
      </c>
      <c r="I2733" s="13">
        <v>0</v>
      </c>
      <c r="J2733" s="13">
        <v>0</v>
      </c>
      <c r="K2733" s="10">
        <v>1</v>
      </c>
      <c r="L2733" s="2">
        <v>12.5905</v>
      </c>
      <c r="M2733" s="1">
        <v>45835.335416666669</v>
      </c>
      <c r="N2733" t="s">
        <v>36</v>
      </c>
    </row>
    <row r="2734" spans="1:14" x14ac:dyDescent="0.25">
      <c r="A2734" s="9" t="s">
        <v>5211</v>
      </c>
      <c r="B2734" s="10">
        <v>714</v>
      </c>
      <c r="C2734" s="10" t="s">
        <v>143</v>
      </c>
      <c r="D2734" t="s">
        <v>4831</v>
      </c>
      <c r="E2734" t="s">
        <v>4832</v>
      </c>
      <c r="F2734" s="10" t="s">
        <v>29</v>
      </c>
      <c r="G2734" s="2">
        <v>151.39689999999999</v>
      </c>
      <c r="H2734" s="13">
        <v>1</v>
      </c>
      <c r="I2734" s="13">
        <v>0</v>
      </c>
      <c r="J2734" s="13">
        <v>0</v>
      </c>
      <c r="K2734" s="10">
        <v>1</v>
      </c>
      <c r="L2734" s="2">
        <v>151.39689999999999</v>
      </c>
      <c r="M2734" s="1">
        <v>45835.557638888888</v>
      </c>
      <c r="N2734" t="s">
        <v>137</v>
      </c>
    </row>
    <row r="2735" spans="1:14" x14ac:dyDescent="0.25">
      <c r="A2735" s="9" t="s">
        <v>5211</v>
      </c>
      <c r="B2735" s="10">
        <v>714</v>
      </c>
      <c r="C2735" s="10" t="s">
        <v>143</v>
      </c>
      <c r="D2735" t="s">
        <v>2770</v>
      </c>
      <c r="E2735" t="s">
        <v>2771</v>
      </c>
      <c r="F2735" s="10" t="s">
        <v>29</v>
      </c>
      <c r="G2735" s="2">
        <v>22.6311</v>
      </c>
      <c r="H2735" s="13">
        <v>1</v>
      </c>
      <c r="I2735" s="13">
        <v>0</v>
      </c>
      <c r="J2735" s="13">
        <v>0</v>
      </c>
      <c r="K2735" s="10">
        <v>1</v>
      </c>
      <c r="L2735" s="2">
        <v>22.6311</v>
      </c>
      <c r="M2735" s="1">
        <v>45840.47152777778</v>
      </c>
      <c r="N2735" t="s">
        <v>159</v>
      </c>
    </row>
    <row r="2736" spans="1:14" x14ac:dyDescent="0.25">
      <c r="A2736" s="9" t="s">
        <v>5211</v>
      </c>
      <c r="B2736" s="10">
        <v>718</v>
      </c>
      <c r="C2736" s="10" t="s">
        <v>70</v>
      </c>
      <c r="D2736" t="s">
        <v>4735</v>
      </c>
      <c r="E2736" t="s">
        <v>4736</v>
      </c>
      <c r="F2736" s="10" t="s">
        <v>29</v>
      </c>
      <c r="G2736" s="2">
        <v>6.1120999999999999</v>
      </c>
      <c r="H2736" s="13">
        <v>1</v>
      </c>
      <c r="I2736" s="13">
        <v>45</v>
      </c>
      <c r="J2736" s="13">
        <v>-45</v>
      </c>
      <c r="K2736" s="10">
        <v>1</v>
      </c>
      <c r="L2736" s="2">
        <v>6.1120999999999999</v>
      </c>
      <c r="M2736" s="1">
        <v>45840.633333333331</v>
      </c>
      <c r="N2736" t="s">
        <v>26</v>
      </c>
    </row>
    <row r="2737" spans="1:14" x14ac:dyDescent="0.25">
      <c r="A2737" s="9" t="s">
        <v>5211</v>
      </c>
      <c r="B2737" s="10">
        <v>636</v>
      </c>
      <c r="C2737" s="10" t="s">
        <v>323</v>
      </c>
      <c r="D2737" t="s">
        <v>4599</v>
      </c>
      <c r="E2737" t="s">
        <v>4600</v>
      </c>
      <c r="F2737" s="10" t="s">
        <v>29</v>
      </c>
      <c r="G2737" s="2">
        <v>114.2349</v>
      </c>
      <c r="H2737" s="13">
        <v>1</v>
      </c>
      <c r="I2737" s="13">
        <v>-4</v>
      </c>
      <c r="J2737" s="13">
        <v>4</v>
      </c>
      <c r="K2737" s="10">
        <v>1</v>
      </c>
      <c r="L2737" s="2">
        <v>114.2349</v>
      </c>
      <c r="M2737" s="1">
        <v>45841.400694444441</v>
      </c>
      <c r="N2737" t="s">
        <v>903</v>
      </c>
    </row>
    <row r="2738" spans="1:14" x14ac:dyDescent="0.25">
      <c r="A2738" s="9" t="s">
        <v>5211</v>
      </c>
      <c r="B2738" s="10">
        <v>718</v>
      </c>
      <c r="C2738" s="10" t="s">
        <v>143</v>
      </c>
      <c r="D2738" t="s">
        <v>2223</v>
      </c>
      <c r="E2738" t="s">
        <v>2224</v>
      </c>
      <c r="F2738" s="10" t="s">
        <v>39</v>
      </c>
      <c r="G2738" s="2">
        <v>15.22</v>
      </c>
      <c r="H2738" s="13">
        <v>1</v>
      </c>
      <c r="I2738" s="13">
        <v>3</v>
      </c>
      <c r="J2738" s="13">
        <v>-3</v>
      </c>
      <c r="K2738" s="10">
        <v>1</v>
      </c>
      <c r="L2738" s="2">
        <v>15.22</v>
      </c>
      <c r="M2738" s="1">
        <v>45856.443055555559</v>
      </c>
      <c r="N2738" t="s">
        <v>26</v>
      </c>
    </row>
    <row r="2739" spans="1:14" x14ac:dyDescent="0.25">
      <c r="A2739" s="9" t="s">
        <v>5211</v>
      </c>
      <c r="B2739" s="10">
        <v>714</v>
      </c>
      <c r="C2739" s="10" t="s">
        <v>143</v>
      </c>
      <c r="D2739" t="s">
        <v>4871</v>
      </c>
      <c r="E2739" t="s">
        <v>4872</v>
      </c>
      <c r="F2739" s="10" t="s">
        <v>29</v>
      </c>
      <c r="G2739" s="2">
        <v>74.469700000000003</v>
      </c>
      <c r="H2739" s="13">
        <v>1</v>
      </c>
      <c r="I2739" s="13">
        <v>2</v>
      </c>
      <c r="J2739" s="13">
        <v>-2</v>
      </c>
      <c r="K2739" s="10">
        <v>1</v>
      </c>
      <c r="L2739" s="2">
        <v>74.469700000000003</v>
      </c>
      <c r="M2739" s="1">
        <v>45862.625694444447</v>
      </c>
      <c r="N2739" t="s">
        <v>26</v>
      </c>
    </row>
    <row r="2740" spans="1:14" x14ac:dyDescent="0.25">
      <c r="A2740" s="9" t="s">
        <v>5211</v>
      </c>
      <c r="B2740" s="10">
        <v>714</v>
      </c>
      <c r="C2740" s="10" t="s">
        <v>143</v>
      </c>
      <c r="D2740" t="s">
        <v>2659</v>
      </c>
      <c r="E2740" t="s">
        <v>2660</v>
      </c>
      <c r="F2740" s="10" t="s">
        <v>15</v>
      </c>
      <c r="G2740" s="2">
        <v>19.160699999999999</v>
      </c>
      <c r="H2740" s="13">
        <v>1</v>
      </c>
      <c r="I2740" s="13">
        <v>0</v>
      </c>
      <c r="J2740" s="13">
        <v>0</v>
      </c>
      <c r="K2740" s="10">
        <v>1</v>
      </c>
      <c r="L2740" s="2">
        <v>19.160699999999999</v>
      </c>
      <c r="M2740" s="1">
        <v>45862.625694444447</v>
      </c>
      <c r="N2740" t="s">
        <v>26</v>
      </c>
    </row>
    <row r="2741" spans="1:14" x14ac:dyDescent="0.25">
      <c r="A2741" s="9" t="s">
        <v>5211</v>
      </c>
      <c r="B2741" s="10">
        <v>714</v>
      </c>
      <c r="C2741" s="10" t="s">
        <v>143</v>
      </c>
      <c r="D2741" t="s">
        <v>2790</v>
      </c>
      <c r="E2741" t="s">
        <v>2791</v>
      </c>
      <c r="F2741" s="10" t="s">
        <v>35</v>
      </c>
      <c r="G2741" s="2">
        <v>57.187199999999997</v>
      </c>
      <c r="H2741" s="13">
        <v>1</v>
      </c>
      <c r="I2741" s="13">
        <v>0</v>
      </c>
      <c r="J2741" s="13">
        <v>0</v>
      </c>
      <c r="K2741" s="10">
        <v>1</v>
      </c>
      <c r="L2741" s="2">
        <v>57.187199999999997</v>
      </c>
      <c r="M2741" s="1">
        <v>45889.563888888886</v>
      </c>
      <c r="N2741" t="s">
        <v>195</v>
      </c>
    </row>
    <row r="2742" spans="1:14" x14ac:dyDescent="0.25">
      <c r="A2742" s="9" t="s">
        <v>5211</v>
      </c>
      <c r="B2742" s="10">
        <v>714</v>
      </c>
      <c r="C2742" s="10" t="s">
        <v>70</v>
      </c>
      <c r="D2742" t="s">
        <v>2131</v>
      </c>
      <c r="E2742" t="s">
        <v>2132</v>
      </c>
      <c r="F2742" s="10" t="s">
        <v>29</v>
      </c>
      <c r="G2742" s="2">
        <v>7.4736000000000002</v>
      </c>
      <c r="H2742" s="13">
        <v>1</v>
      </c>
      <c r="I2742" s="13">
        <v>-6</v>
      </c>
      <c r="J2742" s="13">
        <v>6</v>
      </c>
      <c r="K2742" s="10">
        <v>1</v>
      </c>
      <c r="L2742" s="2">
        <v>7.4736000000000002</v>
      </c>
      <c r="M2742" s="1">
        <v>45891.435416666667</v>
      </c>
      <c r="N2742" t="s">
        <v>40</v>
      </c>
    </row>
    <row r="2743" spans="1:14" x14ac:dyDescent="0.25">
      <c r="A2743" s="9" t="s">
        <v>5211</v>
      </c>
      <c r="B2743" s="10">
        <v>714</v>
      </c>
      <c r="C2743" s="10" t="s">
        <v>143</v>
      </c>
      <c r="D2743" t="s">
        <v>2318</v>
      </c>
      <c r="E2743" t="s">
        <v>2319</v>
      </c>
      <c r="F2743" s="10" t="s">
        <v>19</v>
      </c>
      <c r="G2743" s="2">
        <v>160.58539999999999</v>
      </c>
      <c r="H2743" s="13">
        <v>1</v>
      </c>
      <c r="I2743" s="13">
        <v>0</v>
      </c>
      <c r="J2743" s="13">
        <v>0</v>
      </c>
      <c r="K2743" s="10">
        <v>1</v>
      </c>
      <c r="L2743" s="2">
        <v>160.58539999999999</v>
      </c>
      <c r="M2743" s="1">
        <v>45891.450694444444</v>
      </c>
      <c r="N2743" t="s">
        <v>376</v>
      </c>
    </row>
    <row r="2744" spans="1:14" x14ac:dyDescent="0.25">
      <c r="A2744" s="9" t="s">
        <v>5211</v>
      </c>
      <c r="B2744" s="10">
        <v>718</v>
      </c>
      <c r="C2744" s="10" t="s">
        <v>143</v>
      </c>
      <c r="D2744" t="s">
        <v>3810</v>
      </c>
      <c r="E2744" s="6" t="s">
        <v>3811</v>
      </c>
      <c r="F2744" s="11" t="s">
        <v>58</v>
      </c>
      <c r="G2744" s="2">
        <v>20.654299999999999</v>
      </c>
      <c r="H2744" s="13">
        <v>1</v>
      </c>
      <c r="I2744" s="13">
        <v>0</v>
      </c>
      <c r="J2744" s="13">
        <v>0</v>
      </c>
      <c r="K2744" s="10">
        <v>1</v>
      </c>
      <c r="L2744" s="2">
        <v>20.654299999999999</v>
      </c>
      <c r="M2744" s="1">
        <v>45897.446527777778</v>
      </c>
      <c r="N2744" t="s">
        <v>175</v>
      </c>
    </row>
    <row r="2745" spans="1:14" x14ac:dyDescent="0.25">
      <c r="A2745" s="9" t="s">
        <v>5211</v>
      </c>
      <c r="B2745" s="10">
        <v>636</v>
      </c>
      <c r="C2745" s="10" t="s">
        <v>143</v>
      </c>
      <c r="D2745" t="s">
        <v>1074</v>
      </c>
      <c r="E2745" s="6" t="s">
        <v>1075</v>
      </c>
      <c r="F2745" s="11" t="s">
        <v>58</v>
      </c>
      <c r="G2745" s="2">
        <v>20.378399999999999</v>
      </c>
      <c r="H2745" s="13">
        <v>1</v>
      </c>
      <c r="I2745" s="13">
        <v>0</v>
      </c>
      <c r="J2745" s="13">
        <v>0</v>
      </c>
      <c r="K2745" s="10">
        <v>1</v>
      </c>
      <c r="L2745" s="2">
        <v>20.378399999999999</v>
      </c>
      <c r="M2745" s="1">
        <v>45911.309027777781</v>
      </c>
      <c r="N2745" t="s">
        <v>140</v>
      </c>
    </row>
    <row r="2746" spans="1:14" x14ac:dyDescent="0.25">
      <c r="A2746" s="9" t="s">
        <v>5211</v>
      </c>
      <c r="B2746" s="10">
        <v>636</v>
      </c>
      <c r="C2746" s="10" t="s">
        <v>323</v>
      </c>
      <c r="D2746" t="s">
        <v>4633</v>
      </c>
      <c r="E2746" s="6" t="s">
        <v>4634</v>
      </c>
      <c r="F2746" s="11" t="s">
        <v>58</v>
      </c>
      <c r="G2746" s="2">
        <v>141.65690000000001</v>
      </c>
      <c r="H2746" s="13">
        <v>1</v>
      </c>
      <c r="I2746" s="13">
        <v>1</v>
      </c>
      <c r="J2746" s="13">
        <v>-1</v>
      </c>
      <c r="K2746" s="10">
        <v>1</v>
      </c>
      <c r="L2746" s="2">
        <v>141.65690000000001</v>
      </c>
      <c r="M2746" s="1">
        <v>45920.45416666667</v>
      </c>
      <c r="N2746" t="s">
        <v>345</v>
      </c>
    </row>
    <row r="2747" spans="1:14" x14ac:dyDescent="0.25">
      <c r="A2747" s="9" t="s">
        <v>5211</v>
      </c>
      <c r="B2747" s="10">
        <v>714</v>
      </c>
      <c r="C2747" s="10" t="s">
        <v>323</v>
      </c>
      <c r="D2747" t="s">
        <v>4958</v>
      </c>
      <c r="E2747" t="s">
        <v>4959</v>
      </c>
      <c r="F2747" s="10" t="s">
        <v>19</v>
      </c>
      <c r="G2747" s="2">
        <v>158</v>
      </c>
      <c r="H2747" s="13">
        <v>1</v>
      </c>
      <c r="I2747" s="13">
        <v>0</v>
      </c>
      <c r="J2747" s="13">
        <v>0</v>
      </c>
      <c r="K2747" s="10">
        <v>1</v>
      </c>
      <c r="L2747" s="2">
        <v>158</v>
      </c>
      <c r="M2747" s="1">
        <v>45922.334722222222</v>
      </c>
      <c r="N2747" t="s">
        <v>345</v>
      </c>
    </row>
    <row r="2748" spans="1:14" x14ac:dyDescent="0.25">
      <c r="A2748" s="9" t="s">
        <v>5211</v>
      </c>
      <c r="B2748" s="10">
        <v>714</v>
      </c>
      <c r="C2748" s="10" t="s">
        <v>143</v>
      </c>
      <c r="D2748" t="s">
        <v>4775</v>
      </c>
      <c r="E2748" t="s">
        <v>4776</v>
      </c>
      <c r="F2748" s="10" t="s">
        <v>19</v>
      </c>
      <c r="G2748" s="2">
        <v>14.667</v>
      </c>
      <c r="H2748" s="13">
        <v>1</v>
      </c>
      <c r="I2748" s="13">
        <v>0</v>
      </c>
      <c r="J2748" s="13">
        <v>0</v>
      </c>
      <c r="K2748" s="10">
        <v>1</v>
      </c>
      <c r="L2748" s="2">
        <v>14.667</v>
      </c>
      <c r="M2748" s="1">
        <v>45924.445138888892</v>
      </c>
      <c r="N2748" t="s">
        <v>140</v>
      </c>
    </row>
    <row r="2749" spans="1:14" x14ac:dyDescent="0.25">
      <c r="A2749" s="9" t="s">
        <v>5211</v>
      </c>
      <c r="B2749" s="10">
        <v>634</v>
      </c>
      <c r="C2749" s="10" t="s">
        <v>323</v>
      </c>
      <c r="D2749" t="s">
        <v>346</v>
      </c>
      <c r="E2749" t="s">
        <v>347</v>
      </c>
      <c r="F2749" s="10" t="s">
        <v>39</v>
      </c>
      <c r="G2749" s="2">
        <v>37.137700000000002</v>
      </c>
      <c r="H2749" s="13">
        <v>1</v>
      </c>
      <c r="I2749" s="13">
        <v>0</v>
      </c>
      <c r="J2749" s="13">
        <v>0</v>
      </c>
      <c r="K2749" s="10">
        <v>1</v>
      </c>
      <c r="L2749" s="2">
        <v>37.137700000000002</v>
      </c>
      <c r="M2749" s="1">
        <v>45925.515277777777</v>
      </c>
      <c r="N2749" t="s">
        <v>40</v>
      </c>
    </row>
    <row r="2750" spans="1:14" x14ac:dyDescent="0.25">
      <c r="A2750" s="9" t="s">
        <v>5211</v>
      </c>
      <c r="B2750" s="10">
        <v>636</v>
      </c>
      <c r="C2750" s="10" t="s">
        <v>143</v>
      </c>
      <c r="D2750" t="s">
        <v>2626</v>
      </c>
      <c r="E2750" s="6" t="s">
        <v>2627</v>
      </c>
      <c r="F2750" s="11" t="s">
        <v>58</v>
      </c>
      <c r="G2750" s="2">
        <v>79.688400000000001</v>
      </c>
      <c r="H2750" s="13">
        <v>1</v>
      </c>
      <c r="I2750" s="13">
        <v>0</v>
      </c>
      <c r="J2750" s="13">
        <v>0</v>
      </c>
      <c r="K2750" s="10">
        <v>1</v>
      </c>
      <c r="L2750" s="2">
        <v>79.688400000000001</v>
      </c>
      <c r="M2750" s="1">
        <v>45925.642361111109</v>
      </c>
      <c r="N2750" t="s">
        <v>26</v>
      </c>
    </row>
    <row r="2751" spans="1:14" x14ac:dyDescent="0.25">
      <c r="A2751" s="9" t="s">
        <v>5211</v>
      </c>
      <c r="B2751" s="10">
        <v>718</v>
      </c>
      <c r="C2751" s="10" t="s">
        <v>143</v>
      </c>
      <c r="D2751" t="s">
        <v>5160</v>
      </c>
      <c r="E2751" t="s">
        <v>5161</v>
      </c>
      <c r="F2751" s="10" t="s">
        <v>29</v>
      </c>
      <c r="G2751" s="2">
        <v>155.86760000000001</v>
      </c>
      <c r="H2751" s="13">
        <v>1</v>
      </c>
      <c r="I2751" s="13">
        <v>2</v>
      </c>
      <c r="J2751" s="13">
        <v>-2</v>
      </c>
      <c r="K2751" s="10">
        <v>1</v>
      </c>
      <c r="L2751" s="2">
        <v>155.86760000000001</v>
      </c>
      <c r="M2751" s="1">
        <v>45930.590277777781</v>
      </c>
      <c r="N2751" t="s">
        <v>137</v>
      </c>
    </row>
    <row r="2752" spans="1:14" x14ac:dyDescent="0.25">
      <c r="A2752" s="9" t="s">
        <v>5211</v>
      </c>
      <c r="B2752" s="10">
        <v>636</v>
      </c>
      <c r="C2752" s="10" t="s">
        <v>323</v>
      </c>
      <c r="D2752" t="s">
        <v>4649</v>
      </c>
      <c r="E2752" t="s">
        <v>4650</v>
      </c>
      <c r="F2752" s="10" t="s">
        <v>29</v>
      </c>
      <c r="G2752" s="2">
        <v>257.4975</v>
      </c>
      <c r="H2752" s="13">
        <v>1</v>
      </c>
      <c r="I2752" s="13">
        <v>3</v>
      </c>
      <c r="J2752" s="13">
        <v>-3</v>
      </c>
      <c r="K2752" s="10">
        <v>1</v>
      </c>
      <c r="L2752" s="2">
        <v>257.4975</v>
      </c>
      <c r="M2752" s="1">
        <v>45940.46597222222</v>
      </c>
      <c r="N2752" t="s">
        <v>486</v>
      </c>
    </row>
    <row r="2753" spans="1:14" x14ac:dyDescent="0.25">
      <c r="A2753" s="9" t="s">
        <v>5211</v>
      </c>
      <c r="B2753" s="10">
        <v>636</v>
      </c>
      <c r="C2753" s="10" t="s">
        <v>323</v>
      </c>
      <c r="D2753" t="s">
        <v>4581</v>
      </c>
      <c r="E2753" t="s">
        <v>4582</v>
      </c>
      <c r="F2753" s="10" t="s">
        <v>29</v>
      </c>
      <c r="G2753" s="2">
        <v>273.20249999999999</v>
      </c>
      <c r="H2753" s="13">
        <v>1</v>
      </c>
      <c r="I2753" s="13">
        <v>0</v>
      </c>
      <c r="J2753" s="13">
        <v>0</v>
      </c>
      <c r="K2753" s="10">
        <v>1</v>
      </c>
      <c r="L2753" s="2">
        <v>273.20249999999999</v>
      </c>
      <c r="M2753" s="1">
        <v>45940.46597222222</v>
      </c>
      <c r="N2753" t="s">
        <v>486</v>
      </c>
    </row>
    <row r="2754" spans="1:14" x14ac:dyDescent="0.25">
      <c r="A2754" s="9" t="s">
        <v>5211</v>
      </c>
      <c r="B2754" s="10">
        <v>718</v>
      </c>
      <c r="C2754" s="10" t="s">
        <v>323</v>
      </c>
      <c r="D2754" t="s">
        <v>4955</v>
      </c>
      <c r="E2754" t="s">
        <v>4956</v>
      </c>
      <c r="F2754" s="10" t="s">
        <v>158</v>
      </c>
      <c r="G2754" s="2">
        <v>360</v>
      </c>
      <c r="H2754" s="13">
        <v>1</v>
      </c>
      <c r="I2754" s="13">
        <v>6</v>
      </c>
      <c r="J2754" s="13">
        <v>-6</v>
      </c>
      <c r="K2754" s="10">
        <v>1</v>
      </c>
      <c r="L2754" s="2">
        <v>360</v>
      </c>
      <c r="M2754" s="1">
        <v>45940.623611111114</v>
      </c>
      <c r="N2754" t="s">
        <v>4957</v>
      </c>
    </row>
    <row r="2755" spans="1:14" x14ac:dyDescent="0.25">
      <c r="A2755" s="9" t="s">
        <v>5211</v>
      </c>
      <c r="B2755" s="10">
        <v>634</v>
      </c>
      <c r="C2755" s="10" t="s">
        <v>323</v>
      </c>
      <c r="D2755" t="s">
        <v>4258</v>
      </c>
      <c r="E2755" t="s">
        <v>4259</v>
      </c>
      <c r="F2755" s="10" t="s">
        <v>19</v>
      </c>
      <c r="G2755" s="2">
        <v>281.33179999999999</v>
      </c>
      <c r="H2755" s="13">
        <v>1</v>
      </c>
      <c r="I2755" s="13">
        <v>1</v>
      </c>
      <c r="J2755" s="13">
        <v>-1</v>
      </c>
      <c r="K2755" s="10">
        <v>1</v>
      </c>
      <c r="L2755" s="2">
        <v>281.33179999999999</v>
      </c>
      <c r="M2755" s="1">
        <v>45940.796527777777</v>
      </c>
      <c r="N2755" t="s">
        <v>486</v>
      </c>
    </row>
    <row r="2756" spans="1:14" x14ac:dyDescent="0.25">
      <c r="A2756" s="9" t="s">
        <v>5211</v>
      </c>
      <c r="B2756" s="10">
        <v>634</v>
      </c>
      <c r="C2756" s="10" t="s">
        <v>323</v>
      </c>
      <c r="D2756" t="s">
        <v>4262</v>
      </c>
      <c r="E2756" t="s">
        <v>4263</v>
      </c>
      <c r="F2756" s="10" t="s">
        <v>29</v>
      </c>
      <c r="G2756" s="2">
        <v>281.33179999999999</v>
      </c>
      <c r="H2756" s="13">
        <v>1</v>
      </c>
      <c r="I2756" s="13">
        <v>0</v>
      </c>
      <c r="J2756" s="13">
        <v>0</v>
      </c>
      <c r="K2756" s="10">
        <v>1</v>
      </c>
      <c r="L2756" s="2">
        <v>281.33179999999999</v>
      </c>
      <c r="M2756" s="1">
        <v>45940.796527777777</v>
      </c>
      <c r="N2756" t="s">
        <v>486</v>
      </c>
    </row>
    <row r="2757" spans="1:14" x14ac:dyDescent="0.25">
      <c r="A2757" s="9" t="s">
        <v>5211</v>
      </c>
      <c r="B2757" s="10">
        <v>714</v>
      </c>
      <c r="C2757" s="10" t="s">
        <v>323</v>
      </c>
      <c r="D2757" t="s">
        <v>1284</v>
      </c>
      <c r="E2757" t="s">
        <v>1285</v>
      </c>
      <c r="F2757" s="10" t="s">
        <v>19</v>
      </c>
      <c r="G2757" s="2">
        <v>145.6395</v>
      </c>
      <c r="H2757" s="13">
        <v>1</v>
      </c>
      <c r="I2757" s="13">
        <v>3</v>
      </c>
      <c r="J2757" s="13">
        <v>-3</v>
      </c>
      <c r="K2757" s="10">
        <v>1</v>
      </c>
      <c r="L2757" s="2">
        <v>145.6395</v>
      </c>
      <c r="M2757" s="1">
        <v>45943.52847222222</v>
      </c>
      <c r="N2757" t="s">
        <v>159</v>
      </c>
    </row>
    <row r="2758" spans="1:14" x14ac:dyDescent="0.25">
      <c r="A2758" s="9" t="s">
        <v>5211</v>
      </c>
      <c r="B2758" s="10">
        <v>714</v>
      </c>
      <c r="C2758" s="10" t="s">
        <v>323</v>
      </c>
      <c r="D2758" t="s">
        <v>4949</v>
      </c>
      <c r="E2758" t="s">
        <v>4950</v>
      </c>
      <c r="F2758" s="10" t="s">
        <v>19</v>
      </c>
      <c r="G2758" s="2">
        <v>234.03720000000001</v>
      </c>
      <c r="H2758" s="13">
        <v>1</v>
      </c>
      <c r="I2758" s="13">
        <v>1</v>
      </c>
      <c r="J2758" s="13">
        <v>-1</v>
      </c>
      <c r="K2758" s="10">
        <v>1</v>
      </c>
      <c r="L2758" s="2">
        <v>234.03720000000001</v>
      </c>
      <c r="M2758" s="1">
        <v>45946.671527777777</v>
      </c>
      <c r="N2758" t="s">
        <v>330</v>
      </c>
    </row>
    <row r="2759" spans="1:14" x14ac:dyDescent="0.25">
      <c r="A2759" s="9" t="s">
        <v>5211</v>
      </c>
      <c r="B2759" s="10">
        <v>714</v>
      </c>
      <c r="C2759" s="10" t="s">
        <v>323</v>
      </c>
      <c r="D2759" t="s">
        <v>5025</v>
      </c>
      <c r="E2759" t="s">
        <v>5026</v>
      </c>
      <c r="F2759" s="10" t="s">
        <v>19</v>
      </c>
      <c r="G2759" s="2">
        <v>142.1551</v>
      </c>
      <c r="H2759" s="13">
        <v>1</v>
      </c>
      <c r="I2759" s="13">
        <v>2</v>
      </c>
      <c r="J2759" s="13">
        <v>-2</v>
      </c>
      <c r="K2759" s="10">
        <v>1</v>
      </c>
      <c r="L2759" s="2">
        <v>142.1551</v>
      </c>
      <c r="M2759" s="1">
        <v>45958.446527777778</v>
      </c>
      <c r="N2759" t="s">
        <v>1870</v>
      </c>
    </row>
    <row r="2760" spans="1:14" x14ac:dyDescent="0.25">
      <c r="A2760" s="9" t="s">
        <v>5211</v>
      </c>
      <c r="B2760" s="10">
        <v>714</v>
      </c>
      <c r="C2760" s="10" t="s">
        <v>323</v>
      </c>
      <c r="D2760" t="s">
        <v>3873</v>
      </c>
      <c r="E2760" t="s">
        <v>3874</v>
      </c>
      <c r="F2760" s="10" t="s">
        <v>23</v>
      </c>
      <c r="G2760" s="2">
        <v>132.9503</v>
      </c>
      <c r="H2760" s="13">
        <v>1</v>
      </c>
      <c r="I2760" s="13">
        <v>3</v>
      </c>
      <c r="J2760" s="13">
        <v>-3</v>
      </c>
      <c r="K2760" s="10">
        <v>1</v>
      </c>
      <c r="L2760" s="2">
        <v>132.9503</v>
      </c>
      <c r="M2760" s="1">
        <v>45958.450694444444</v>
      </c>
      <c r="N2760" t="s">
        <v>1870</v>
      </c>
    </row>
    <row r="2761" spans="1:14" x14ac:dyDescent="0.25">
      <c r="A2761" s="9" t="s">
        <v>5211</v>
      </c>
      <c r="B2761" s="10">
        <v>714</v>
      </c>
      <c r="C2761" s="10" t="s">
        <v>323</v>
      </c>
      <c r="D2761" t="s">
        <v>4357</v>
      </c>
      <c r="E2761" t="s">
        <v>4358</v>
      </c>
      <c r="F2761" s="10" t="s">
        <v>23</v>
      </c>
      <c r="G2761" s="2">
        <v>246.9196</v>
      </c>
      <c r="H2761" s="13">
        <v>1</v>
      </c>
      <c r="I2761" s="13">
        <v>0</v>
      </c>
      <c r="J2761" s="13">
        <v>0</v>
      </c>
      <c r="K2761" s="10">
        <v>1</v>
      </c>
      <c r="L2761" s="2">
        <v>246.9196</v>
      </c>
      <c r="M2761" s="1">
        <v>45959.479166666664</v>
      </c>
      <c r="N2761" t="s">
        <v>151</v>
      </c>
    </row>
    <row r="2762" spans="1:14" x14ac:dyDescent="0.25">
      <c r="A2762" s="9" t="s">
        <v>5211</v>
      </c>
      <c r="B2762" s="10">
        <v>636</v>
      </c>
      <c r="C2762" s="10" t="s">
        <v>143</v>
      </c>
      <c r="D2762" t="s">
        <v>1021</v>
      </c>
      <c r="E2762" t="s">
        <v>1022</v>
      </c>
      <c r="F2762" s="10" t="s">
        <v>29</v>
      </c>
      <c r="G2762" s="2">
        <v>32.0167</v>
      </c>
      <c r="H2762" s="13">
        <v>1</v>
      </c>
      <c r="I2762" s="13">
        <v>0</v>
      </c>
      <c r="J2762" s="13">
        <v>0</v>
      </c>
      <c r="K2762" s="10">
        <v>1</v>
      </c>
      <c r="L2762" s="2">
        <v>32.0167</v>
      </c>
      <c r="M2762" s="1">
        <v>45959.526388888888</v>
      </c>
      <c r="N2762" t="s">
        <v>40</v>
      </c>
    </row>
    <row r="2763" spans="1:14" x14ac:dyDescent="0.25">
      <c r="A2763" s="9" t="s">
        <v>5211</v>
      </c>
      <c r="B2763" s="10">
        <v>714</v>
      </c>
      <c r="C2763" s="10" t="s">
        <v>323</v>
      </c>
      <c r="D2763" t="s">
        <v>5097</v>
      </c>
      <c r="E2763" t="s">
        <v>5098</v>
      </c>
      <c r="F2763" s="10" t="s">
        <v>455</v>
      </c>
      <c r="G2763" s="2">
        <v>75</v>
      </c>
      <c r="H2763" s="13">
        <v>1</v>
      </c>
      <c r="I2763" s="13">
        <v>19</v>
      </c>
      <c r="J2763" s="13">
        <v>-19</v>
      </c>
      <c r="K2763" s="10">
        <v>1</v>
      </c>
      <c r="L2763" s="2">
        <v>75</v>
      </c>
      <c r="M2763" s="1">
        <v>45959.618055555555</v>
      </c>
      <c r="N2763" t="s">
        <v>1224</v>
      </c>
    </row>
    <row r="2764" spans="1:14" x14ac:dyDescent="0.25">
      <c r="A2764" s="9" t="s">
        <v>5211</v>
      </c>
      <c r="B2764" s="10">
        <v>636</v>
      </c>
      <c r="C2764" s="10" t="s">
        <v>323</v>
      </c>
      <c r="D2764" t="s">
        <v>4659</v>
      </c>
      <c r="E2764" t="s">
        <v>4660</v>
      </c>
      <c r="F2764" s="10" t="s">
        <v>19</v>
      </c>
      <c r="G2764" s="2">
        <v>129.71190000000001</v>
      </c>
      <c r="H2764" s="13">
        <v>1</v>
      </c>
      <c r="I2764" s="13">
        <v>11</v>
      </c>
      <c r="J2764" s="13">
        <v>-11</v>
      </c>
      <c r="K2764" s="10">
        <v>1</v>
      </c>
      <c r="L2764" s="2">
        <v>129.71190000000001</v>
      </c>
      <c r="M2764" s="1">
        <v>45964.46875</v>
      </c>
      <c r="N2764" t="s">
        <v>151</v>
      </c>
    </row>
    <row r="2765" spans="1:14" x14ac:dyDescent="0.25">
      <c r="A2765" s="9" t="s">
        <v>5211</v>
      </c>
      <c r="B2765" s="10">
        <v>636</v>
      </c>
      <c r="C2765" s="10" t="s">
        <v>323</v>
      </c>
      <c r="D2765" t="s">
        <v>2832</v>
      </c>
      <c r="E2765" t="s">
        <v>2833</v>
      </c>
      <c r="F2765" s="10" t="s">
        <v>29</v>
      </c>
      <c r="G2765" s="2">
        <v>135.4314</v>
      </c>
      <c r="H2765" s="13">
        <v>1</v>
      </c>
      <c r="I2765" s="13">
        <v>1</v>
      </c>
      <c r="J2765" s="13">
        <v>-1</v>
      </c>
      <c r="K2765" s="10">
        <v>1</v>
      </c>
      <c r="L2765" s="2">
        <v>135.4314</v>
      </c>
      <c r="M2765" s="1">
        <v>45964.46875</v>
      </c>
      <c r="N2765" t="s">
        <v>151</v>
      </c>
    </row>
    <row r="2766" spans="1:14" x14ac:dyDescent="0.25">
      <c r="A2766" s="9" t="s">
        <v>5211</v>
      </c>
      <c r="B2766" s="10">
        <v>636</v>
      </c>
      <c r="C2766" s="10" t="s">
        <v>323</v>
      </c>
      <c r="D2766" t="s">
        <v>1558</v>
      </c>
      <c r="E2766" t="s">
        <v>1559</v>
      </c>
      <c r="F2766" s="10" t="s">
        <v>158</v>
      </c>
      <c r="G2766" s="2">
        <v>118.0643</v>
      </c>
      <c r="H2766" s="13">
        <v>1</v>
      </c>
      <c r="I2766" s="13">
        <v>0</v>
      </c>
      <c r="J2766" s="13">
        <v>0</v>
      </c>
      <c r="K2766" s="10">
        <v>1</v>
      </c>
      <c r="L2766" s="2">
        <v>118.0643</v>
      </c>
      <c r="M2766" s="1">
        <v>45964.526388888888</v>
      </c>
      <c r="N2766" t="s">
        <v>151</v>
      </c>
    </row>
    <row r="2767" spans="1:14" x14ac:dyDescent="0.25">
      <c r="A2767" s="9" t="s">
        <v>5211</v>
      </c>
      <c r="B2767" s="10">
        <v>636</v>
      </c>
      <c r="C2767" s="10" t="s">
        <v>323</v>
      </c>
      <c r="D2767" t="s">
        <v>4585</v>
      </c>
      <c r="E2767" t="s">
        <v>4586</v>
      </c>
      <c r="F2767" s="10" t="s">
        <v>23</v>
      </c>
      <c r="G2767" s="2">
        <v>211.6867</v>
      </c>
      <c r="H2767" s="13">
        <v>1</v>
      </c>
      <c r="I2767" s="13">
        <v>2</v>
      </c>
      <c r="J2767" s="13">
        <v>-2</v>
      </c>
      <c r="K2767" s="10">
        <v>1</v>
      </c>
      <c r="L2767" s="2">
        <v>211.6867</v>
      </c>
      <c r="M2767" s="1">
        <v>45964.586805555555</v>
      </c>
      <c r="N2767" t="s">
        <v>486</v>
      </c>
    </row>
    <row r="2768" spans="1:14" x14ac:dyDescent="0.25">
      <c r="A2768" s="9" t="s">
        <v>5211</v>
      </c>
      <c r="B2768" s="10">
        <v>636</v>
      </c>
      <c r="C2768" s="10" t="s">
        <v>323</v>
      </c>
      <c r="D2768" t="s">
        <v>1237</v>
      </c>
      <c r="E2768" s="6" t="s">
        <v>1238</v>
      </c>
      <c r="F2768" s="11" t="s">
        <v>58</v>
      </c>
      <c r="G2768" s="2">
        <v>278.81670000000003</v>
      </c>
      <c r="H2768" s="13">
        <v>1</v>
      </c>
      <c r="I2768" s="13">
        <v>0</v>
      </c>
      <c r="J2768" s="13">
        <v>0</v>
      </c>
      <c r="K2768" s="10">
        <v>1</v>
      </c>
      <c r="L2768" s="2">
        <v>278.81670000000003</v>
      </c>
      <c r="M2768" s="1">
        <v>45964.586805555555</v>
      </c>
      <c r="N2768" t="s">
        <v>486</v>
      </c>
    </row>
    <row r="2769" spans="1:14" x14ac:dyDescent="0.25">
      <c r="A2769" s="9" t="s">
        <v>5211</v>
      </c>
      <c r="B2769" s="10">
        <v>718</v>
      </c>
      <c r="C2769" s="10" t="s">
        <v>323</v>
      </c>
      <c r="D2769" t="s">
        <v>369</v>
      </c>
      <c r="E2769" t="s">
        <v>370</v>
      </c>
      <c r="F2769" s="10" t="s">
        <v>39</v>
      </c>
      <c r="G2769" s="2">
        <v>101.1944</v>
      </c>
      <c r="H2769" s="13">
        <v>1</v>
      </c>
      <c r="I2769" s="13">
        <v>4</v>
      </c>
      <c r="J2769" s="13">
        <v>-4</v>
      </c>
      <c r="K2769" s="10">
        <v>1</v>
      </c>
      <c r="L2769" s="2">
        <v>101.1944</v>
      </c>
      <c r="M2769" s="1">
        <v>45964.595138888886</v>
      </c>
      <c r="N2769" t="s">
        <v>1234</v>
      </c>
    </row>
    <row r="2770" spans="1:14" x14ac:dyDescent="0.25">
      <c r="A2770" s="9" t="s">
        <v>5211</v>
      </c>
      <c r="B2770" s="10">
        <v>718</v>
      </c>
      <c r="C2770" s="10" t="s">
        <v>323</v>
      </c>
      <c r="D2770" t="s">
        <v>5103</v>
      </c>
      <c r="E2770" t="s">
        <v>5104</v>
      </c>
      <c r="F2770" s="10" t="s">
        <v>23</v>
      </c>
      <c r="G2770" s="2">
        <v>141.28659999999999</v>
      </c>
      <c r="H2770" s="13">
        <v>1</v>
      </c>
      <c r="I2770" s="13">
        <v>5</v>
      </c>
      <c r="J2770" s="13">
        <v>-5</v>
      </c>
      <c r="K2770" s="10">
        <v>1</v>
      </c>
      <c r="L2770" s="2">
        <v>141.28659999999999</v>
      </c>
      <c r="M2770" s="1">
        <v>45964.595138888886</v>
      </c>
      <c r="N2770" t="s">
        <v>1234</v>
      </c>
    </row>
    <row r="2771" spans="1:14" x14ac:dyDescent="0.25">
      <c r="A2771" s="9" t="s">
        <v>5211</v>
      </c>
      <c r="B2771" s="10">
        <v>636</v>
      </c>
      <c r="C2771" s="10" t="s">
        <v>323</v>
      </c>
      <c r="D2771" t="s">
        <v>4601</v>
      </c>
      <c r="E2771" t="s">
        <v>4602</v>
      </c>
      <c r="F2771" s="10" t="s">
        <v>455</v>
      </c>
      <c r="G2771" s="2">
        <v>307.89830000000001</v>
      </c>
      <c r="H2771" s="13">
        <v>1</v>
      </c>
      <c r="I2771" s="13">
        <v>11</v>
      </c>
      <c r="J2771" s="13">
        <v>-11</v>
      </c>
      <c r="K2771" s="10">
        <v>1</v>
      </c>
      <c r="L2771" s="2">
        <v>307.89830000000001</v>
      </c>
      <c r="M2771" s="1">
        <v>45968.490277777775</v>
      </c>
      <c r="N2771" t="s">
        <v>151</v>
      </c>
    </row>
    <row r="2772" spans="1:14" x14ac:dyDescent="0.25">
      <c r="A2772" s="9" t="s">
        <v>5211</v>
      </c>
      <c r="B2772" s="10">
        <v>714</v>
      </c>
      <c r="C2772" s="10" t="s">
        <v>323</v>
      </c>
      <c r="D2772" t="s">
        <v>5029</v>
      </c>
      <c r="E2772" t="s">
        <v>5030</v>
      </c>
      <c r="F2772" s="10" t="s">
        <v>23</v>
      </c>
      <c r="G2772" s="2">
        <v>59.1723</v>
      </c>
      <c r="H2772" s="13">
        <v>1</v>
      </c>
      <c r="I2772" s="13">
        <v>15</v>
      </c>
      <c r="J2772" s="13">
        <v>-15</v>
      </c>
      <c r="K2772" s="10">
        <v>1</v>
      </c>
      <c r="L2772" s="2">
        <v>59.1723</v>
      </c>
      <c r="M2772" s="1">
        <v>45968.586805555555</v>
      </c>
      <c r="N2772" t="s">
        <v>40</v>
      </c>
    </row>
    <row r="2773" spans="1:14" x14ac:dyDescent="0.25">
      <c r="A2773" s="9" t="s">
        <v>5211</v>
      </c>
      <c r="B2773" s="10">
        <v>636</v>
      </c>
      <c r="C2773" s="10" t="s">
        <v>323</v>
      </c>
      <c r="D2773" t="s">
        <v>4665</v>
      </c>
      <c r="E2773" t="s">
        <v>4666</v>
      </c>
      <c r="F2773" s="10" t="s">
        <v>23</v>
      </c>
      <c r="G2773" s="2">
        <v>247.13220000000001</v>
      </c>
      <c r="H2773" s="13">
        <v>1</v>
      </c>
      <c r="I2773" s="13">
        <v>0</v>
      </c>
      <c r="J2773" s="13">
        <v>0</v>
      </c>
      <c r="K2773" s="10">
        <v>1</v>
      </c>
      <c r="L2773" s="2">
        <v>247.13220000000001</v>
      </c>
      <c r="M2773" s="1">
        <v>45971.493750000001</v>
      </c>
      <c r="N2773" t="s">
        <v>165</v>
      </c>
    </row>
    <row r="2774" spans="1:14" x14ac:dyDescent="0.25">
      <c r="A2774" s="9" t="s">
        <v>5211</v>
      </c>
      <c r="B2774" s="10">
        <v>636</v>
      </c>
      <c r="C2774" s="10" t="s">
        <v>323</v>
      </c>
      <c r="D2774" t="s">
        <v>1644</v>
      </c>
      <c r="E2774" t="s">
        <v>1645</v>
      </c>
      <c r="F2774" s="10" t="s">
        <v>29</v>
      </c>
      <c r="G2774" s="2">
        <v>346.35500000000002</v>
      </c>
      <c r="H2774" s="13">
        <v>1</v>
      </c>
      <c r="I2774" s="13">
        <v>0</v>
      </c>
      <c r="J2774" s="13">
        <v>0</v>
      </c>
      <c r="K2774" s="10">
        <v>1</v>
      </c>
      <c r="L2774" s="2">
        <v>346.35500000000002</v>
      </c>
      <c r="M2774" s="1">
        <v>45971.493750000001</v>
      </c>
      <c r="N2774" t="s">
        <v>165</v>
      </c>
    </row>
    <row r="2775" spans="1:14" x14ac:dyDescent="0.25">
      <c r="A2775" s="9" t="s">
        <v>5211</v>
      </c>
      <c r="B2775" s="10">
        <v>714</v>
      </c>
      <c r="C2775" s="10" t="s">
        <v>323</v>
      </c>
      <c r="D2775" t="s">
        <v>2920</v>
      </c>
      <c r="E2775" t="s">
        <v>2921</v>
      </c>
      <c r="F2775" s="10" t="s">
        <v>29</v>
      </c>
      <c r="G2775" s="2">
        <v>94.3703</v>
      </c>
      <c r="H2775" s="13">
        <v>1</v>
      </c>
      <c r="I2775" s="13">
        <v>0</v>
      </c>
      <c r="J2775" s="13">
        <v>0</v>
      </c>
      <c r="K2775" s="10">
        <v>1</v>
      </c>
      <c r="L2775" s="2">
        <v>94.3703</v>
      </c>
      <c r="M2775" s="1">
        <v>45979.525000000001</v>
      </c>
      <c r="N2775" t="s">
        <v>2268</v>
      </c>
    </row>
    <row r="2776" spans="1:14" x14ac:dyDescent="0.25">
      <c r="A2776" s="9" t="s">
        <v>5211</v>
      </c>
      <c r="B2776" s="10">
        <v>636</v>
      </c>
      <c r="C2776" s="10" t="s">
        <v>323</v>
      </c>
      <c r="D2776" t="s">
        <v>4593</v>
      </c>
      <c r="E2776" t="s">
        <v>4594</v>
      </c>
      <c r="F2776" s="10" t="s">
        <v>19</v>
      </c>
      <c r="G2776" s="2">
        <v>111.0656</v>
      </c>
      <c r="H2776" s="13">
        <v>1</v>
      </c>
      <c r="I2776" s="13">
        <v>1</v>
      </c>
      <c r="J2776" s="13">
        <v>-1</v>
      </c>
      <c r="K2776" s="10">
        <v>1</v>
      </c>
      <c r="L2776" s="2">
        <v>111.0656</v>
      </c>
      <c r="M2776" s="1">
        <v>45980.417361111111</v>
      </c>
      <c r="N2776" t="s">
        <v>40</v>
      </c>
    </row>
    <row r="2777" spans="1:14" x14ac:dyDescent="0.25">
      <c r="A2777" s="9" t="s">
        <v>5211</v>
      </c>
      <c r="B2777" s="10">
        <v>714</v>
      </c>
      <c r="C2777" s="10" t="s">
        <v>323</v>
      </c>
      <c r="D2777" t="s">
        <v>5079</v>
      </c>
      <c r="E2777" t="s">
        <v>5080</v>
      </c>
      <c r="F2777" s="10" t="s">
        <v>19</v>
      </c>
      <c r="G2777" s="2">
        <v>526.84500000000003</v>
      </c>
      <c r="H2777" s="13">
        <v>1</v>
      </c>
      <c r="I2777" s="13">
        <v>1</v>
      </c>
      <c r="J2777" s="13">
        <v>-1</v>
      </c>
      <c r="K2777" s="10">
        <v>1</v>
      </c>
      <c r="L2777" s="2">
        <v>526.84500000000003</v>
      </c>
      <c r="M2777" s="1">
        <v>45981.388888888891</v>
      </c>
      <c r="N2777" t="s">
        <v>159</v>
      </c>
    </row>
    <row r="2778" spans="1:14" x14ac:dyDescent="0.25">
      <c r="A2778" s="9" t="s">
        <v>5211</v>
      </c>
      <c r="B2778" s="10">
        <v>636</v>
      </c>
      <c r="C2778" s="10" t="s">
        <v>855</v>
      </c>
      <c r="D2778" t="s">
        <v>4459</v>
      </c>
      <c r="E2778" t="s">
        <v>4460</v>
      </c>
      <c r="F2778" s="10" t="s">
        <v>39</v>
      </c>
      <c r="G2778" s="2">
        <v>3.4184000000000001</v>
      </c>
      <c r="H2778" s="13">
        <v>1</v>
      </c>
      <c r="I2778" s="13">
        <v>149</v>
      </c>
      <c r="J2778" s="13">
        <v>-149</v>
      </c>
      <c r="K2778" s="10">
        <v>1</v>
      </c>
      <c r="L2778" s="2">
        <v>3.4184000000000001</v>
      </c>
      <c r="M2778" s="1">
        <v>45985.390972222223</v>
      </c>
      <c r="N2778" t="s">
        <v>652</v>
      </c>
    </row>
    <row r="2779" spans="1:14" x14ac:dyDescent="0.25">
      <c r="A2779" s="9" t="s">
        <v>5211</v>
      </c>
      <c r="B2779" s="10">
        <v>714</v>
      </c>
      <c r="C2779" s="10" t="s">
        <v>323</v>
      </c>
      <c r="D2779" t="s">
        <v>5031</v>
      </c>
      <c r="E2779" t="s">
        <v>5032</v>
      </c>
      <c r="F2779" s="10" t="s">
        <v>23</v>
      </c>
      <c r="G2779" s="2">
        <v>160.05670000000001</v>
      </c>
      <c r="H2779" s="13">
        <v>1</v>
      </c>
      <c r="I2779" s="13">
        <v>1</v>
      </c>
      <c r="J2779" s="13">
        <v>-1</v>
      </c>
      <c r="K2779" s="10">
        <v>1</v>
      </c>
      <c r="L2779" s="2">
        <v>160.05670000000001</v>
      </c>
      <c r="M2779" s="1">
        <v>45987.597222222219</v>
      </c>
      <c r="N2779" t="s">
        <v>2423</v>
      </c>
    </row>
    <row r="2780" spans="1:14" x14ac:dyDescent="0.25">
      <c r="A2780" s="9" t="s">
        <v>5211</v>
      </c>
      <c r="B2780" s="10">
        <v>714</v>
      </c>
      <c r="C2780" s="10" t="s">
        <v>143</v>
      </c>
      <c r="D2780" t="s">
        <v>4799</v>
      </c>
      <c r="E2780" t="s">
        <v>4800</v>
      </c>
      <c r="F2780" s="10" t="s">
        <v>19</v>
      </c>
      <c r="G2780" s="2">
        <v>30</v>
      </c>
      <c r="H2780" s="13">
        <v>1</v>
      </c>
      <c r="I2780" s="13">
        <v>15</v>
      </c>
      <c r="J2780" s="13">
        <v>-15</v>
      </c>
      <c r="K2780" s="10">
        <v>1</v>
      </c>
      <c r="L2780" s="2">
        <v>30</v>
      </c>
      <c r="M2780" s="1">
        <v>46002.387499999997</v>
      </c>
      <c r="N2780" t="s">
        <v>2444</v>
      </c>
    </row>
    <row r="2781" spans="1:14" x14ac:dyDescent="0.25">
      <c r="A2781" s="9" t="s">
        <v>5211</v>
      </c>
      <c r="B2781" s="10">
        <v>714</v>
      </c>
      <c r="C2781" s="10" t="s">
        <v>323</v>
      </c>
      <c r="D2781" t="s">
        <v>4647</v>
      </c>
      <c r="E2781" t="s">
        <v>4648</v>
      </c>
      <c r="F2781" s="10" t="s">
        <v>29</v>
      </c>
      <c r="G2781" s="2">
        <v>204</v>
      </c>
      <c r="H2781" s="13">
        <v>1</v>
      </c>
      <c r="I2781" s="13">
        <v>3</v>
      </c>
      <c r="J2781" s="13">
        <v>-3</v>
      </c>
      <c r="K2781" s="10">
        <v>1</v>
      </c>
      <c r="L2781" s="2">
        <v>204</v>
      </c>
      <c r="M2781" s="1">
        <v>46006.426388888889</v>
      </c>
      <c r="N2781" t="s">
        <v>2719</v>
      </c>
    </row>
    <row r="2782" spans="1:14" x14ac:dyDescent="0.25">
      <c r="A2782" s="9" t="s">
        <v>5211</v>
      </c>
      <c r="B2782" s="10">
        <v>714</v>
      </c>
      <c r="C2782" s="10" t="s">
        <v>323</v>
      </c>
      <c r="D2782" t="s">
        <v>4603</v>
      </c>
      <c r="E2782" t="s">
        <v>4604</v>
      </c>
      <c r="F2782" s="10" t="s">
        <v>158</v>
      </c>
      <c r="G2782" s="2">
        <v>159.41499999999999</v>
      </c>
      <c r="H2782" s="13">
        <v>1</v>
      </c>
      <c r="I2782" s="13">
        <v>11</v>
      </c>
      <c r="J2782" s="13">
        <v>-11</v>
      </c>
      <c r="K2782" s="10">
        <v>1</v>
      </c>
      <c r="L2782" s="2">
        <v>159.41499999999999</v>
      </c>
      <c r="M2782" s="1">
        <v>46072.501388888886</v>
      </c>
      <c r="N2782" t="s">
        <v>1234</v>
      </c>
    </row>
    <row r="2783" spans="1:14" x14ac:dyDescent="0.25">
      <c r="A2783" s="9" t="s">
        <v>5211</v>
      </c>
      <c r="B2783" s="10">
        <v>718</v>
      </c>
      <c r="C2783" s="10" t="s">
        <v>323</v>
      </c>
      <c r="D2783" t="s">
        <v>4266</v>
      </c>
      <c r="E2783" t="s">
        <v>4267</v>
      </c>
      <c r="F2783" s="10" t="s">
        <v>158</v>
      </c>
      <c r="G2783" s="2">
        <v>134.02699999999999</v>
      </c>
      <c r="H2783" s="13">
        <v>1</v>
      </c>
      <c r="I2783" s="13">
        <v>4</v>
      </c>
      <c r="J2783" s="13">
        <v>-4</v>
      </c>
      <c r="K2783" s="10">
        <v>1</v>
      </c>
      <c r="L2783" s="2">
        <v>134.02699999999999</v>
      </c>
      <c r="M2783" s="1">
        <v>46072.515972222223</v>
      </c>
      <c r="N2783" t="s">
        <v>1234</v>
      </c>
    </row>
    <row r="2784" spans="1:14" x14ac:dyDescent="0.25">
      <c r="A2784" s="9" t="s">
        <v>5211</v>
      </c>
      <c r="B2784" s="10">
        <v>718</v>
      </c>
      <c r="C2784" s="10" t="s">
        <v>323</v>
      </c>
      <c r="D2784" t="s">
        <v>4603</v>
      </c>
      <c r="E2784" t="s">
        <v>4604</v>
      </c>
      <c r="F2784" s="10" t="s">
        <v>43</v>
      </c>
      <c r="G2784" s="2">
        <v>159.41499999999999</v>
      </c>
      <c r="H2784" s="13">
        <v>1</v>
      </c>
      <c r="I2784" s="13">
        <v>11</v>
      </c>
      <c r="J2784" s="13">
        <v>-11</v>
      </c>
      <c r="K2784" s="10">
        <v>1</v>
      </c>
      <c r="L2784" s="2">
        <v>159.41499999999999</v>
      </c>
      <c r="M2784" s="1">
        <v>46072.515972222223</v>
      </c>
      <c r="N2784" t="s">
        <v>1234</v>
      </c>
    </row>
    <row r="2785" spans="1:14" x14ac:dyDescent="0.25">
      <c r="A2785" s="9" t="s">
        <v>5211</v>
      </c>
      <c r="B2785" s="10">
        <v>714</v>
      </c>
      <c r="C2785" s="10" t="s">
        <v>323</v>
      </c>
      <c r="D2785" t="s">
        <v>1361</v>
      </c>
      <c r="E2785" t="s">
        <v>1362</v>
      </c>
      <c r="F2785" s="10" t="s">
        <v>23</v>
      </c>
      <c r="G2785" s="2">
        <v>201.71469999999999</v>
      </c>
      <c r="H2785" s="13">
        <v>1</v>
      </c>
      <c r="I2785" s="13">
        <v>1</v>
      </c>
      <c r="J2785" s="13">
        <v>-1</v>
      </c>
      <c r="K2785" s="10">
        <v>1</v>
      </c>
      <c r="L2785" s="2">
        <v>201.71469999999999</v>
      </c>
      <c r="M2785" s="1">
        <v>46073.629861111112</v>
      </c>
      <c r="N2785" t="s">
        <v>159</v>
      </c>
    </row>
    <row r="2786" spans="1:14" x14ac:dyDescent="0.25">
      <c r="A2786" s="9" t="s">
        <v>5211</v>
      </c>
      <c r="B2786" s="10">
        <v>718</v>
      </c>
      <c r="C2786" s="10" t="s">
        <v>323</v>
      </c>
      <c r="D2786" t="s">
        <v>4349</v>
      </c>
      <c r="E2786" t="s">
        <v>4350</v>
      </c>
      <c r="F2786" s="10" t="s">
        <v>158</v>
      </c>
      <c r="G2786" s="2">
        <v>193.34960000000001</v>
      </c>
      <c r="H2786" s="13">
        <v>1</v>
      </c>
      <c r="I2786" s="13">
        <v>1</v>
      </c>
      <c r="J2786" s="13">
        <v>-1</v>
      </c>
      <c r="K2786" s="10">
        <v>1</v>
      </c>
      <c r="L2786" s="2">
        <v>193.34960000000001</v>
      </c>
      <c r="M2786" s="1">
        <v>46077.418055555558</v>
      </c>
      <c r="N2786" t="s">
        <v>151</v>
      </c>
    </row>
    <row r="2787" spans="1:14" x14ac:dyDescent="0.25">
      <c r="A2787" s="9" t="s">
        <v>5211</v>
      </c>
      <c r="B2787" s="10">
        <v>714</v>
      </c>
      <c r="C2787" s="10" t="s">
        <v>143</v>
      </c>
      <c r="D2787" t="s">
        <v>4172</v>
      </c>
      <c r="E2787" t="s">
        <v>4173</v>
      </c>
      <c r="F2787" s="10" t="s">
        <v>23</v>
      </c>
      <c r="G2787" s="2">
        <v>165.1841</v>
      </c>
      <c r="H2787" s="13">
        <v>1</v>
      </c>
      <c r="I2787" s="13">
        <v>2</v>
      </c>
      <c r="J2787" s="13">
        <v>-2</v>
      </c>
      <c r="K2787" s="10">
        <v>1</v>
      </c>
      <c r="L2787" s="2">
        <v>165.1841</v>
      </c>
      <c r="M2787" s="1">
        <v>46078.525694444441</v>
      </c>
      <c r="N2787" t="s">
        <v>354</v>
      </c>
    </row>
    <row r="2788" spans="1:14" x14ac:dyDescent="0.25">
      <c r="A2788" s="9" t="s">
        <v>5211</v>
      </c>
      <c r="B2788" s="10">
        <v>634</v>
      </c>
      <c r="C2788" s="10" t="s">
        <v>323</v>
      </c>
      <c r="D2788" t="s">
        <v>1298</v>
      </c>
      <c r="E2788" t="s">
        <v>1299</v>
      </c>
      <c r="F2788" s="10" t="s">
        <v>23</v>
      </c>
      <c r="G2788" s="2">
        <v>239.37450000000001</v>
      </c>
      <c r="H2788" s="13">
        <v>1</v>
      </c>
      <c r="I2788" s="13">
        <v>1</v>
      </c>
      <c r="J2788" s="13">
        <v>-1</v>
      </c>
      <c r="K2788" s="10">
        <v>1</v>
      </c>
      <c r="L2788" s="2">
        <v>239.37450000000001</v>
      </c>
      <c r="M2788" s="1">
        <v>46080.318749999999</v>
      </c>
      <c r="N2788" t="s">
        <v>151</v>
      </c>
    </row>
    <row r="2789" spans="1:14" x14ac:dyDescent="0.25">
      <c r="A2789" s="9" t="s">
        <v>5211</v>
      </c>
      <c r="B2789" s="10">
        <v>634</v>
      </c>
      <c r="C2789" s="10" t="s">
        <v>323</v>
      </c>
      <c r="D2789" t="s">
        <v>422</v>
      </c>
      <c r="E2789" t="s">
        <v>423</v>
      </c>
      <c r="F2789" s="10" t="s">
        <v>23</v>
      </c>
      <c r="G2789" s="2">
        <v>189.77379999999999</v>
      </c>
      <c r="H2789" s="13">
        <v>1</v>
      </c>
      <c r="I2789" s="13">
        <v>0</v>
      </c>
      <c r="J2789" s="13">
        <v>0</v>
      </c>
      <c r="K2789" s="10">
        <v>1</v>
      </c>
      <c r="L2789" s="2">
        <v>189.77379999999999</v>
      </c>
      <c r="M2789" s="1">
        <v>46080.504166666666</v>
      </c>
      <c r="N2789" t="s">
        <v>151</v>
      </c>
    </row>
    <row r="2790" spans="1:14" x14ac:dyDescent="0.25">
      <c r="A2790" s="9" t="s">
        <v>5211</v>
      </c>
      <c r="B2790" s="10">
        <v>634</v>
      </c>
      <c r="C2790" s="10" t="s">
        <v>323</v>
      </c>
      <c r="D2790" t="s">
        <v>4349</v>
      </c>
      <c r="E2790" t="s">
        <v>4350</v>
      </c>
      <c r="F2790" s="10" t="s">
        <v>23</v>
      </c>
      <c r="G2790" s="2">
        <v>170.60830000000001</v>
      </c>
      <c r="H2790" s="13">
        <v>1</v>
      </c>
      <c r="I2790" s="13">
        <v>1</v>
      </c>
      <c r="J2790" s="13">
        <v>-1</v>
      </c>
      <c r="K2790" s="10">
        <v>1</v>
      </c>
      <c r="L2790" s="2">
        <v>170.60830000000001</v>
      </c>
      <c r="M2790" s="1">
        <v>46080.506249999999</v>
      </c>
      <c r="N2790" t="s">
        <v>159</v>
      </c>
    </row>
    <row r="2791" spans="1:14" x14ac:dyDescent="0.25">
      <c r="A2791" s="9" t="s">
        <v>5211</v>
      </c>
      <c r="B2791" s="10">
        <v>634</v>
      </c>
      <c r="C2791" s="10" t="s">
        <v>323</v>
      </c>
      <c r="D2791" t="s">
        <v>4345</v>
      </c>
      <c r="E2791" t="s">
        <v>4346</v>
      </c>
      <c r="F2791" s="10" t="s">
        <v>19</v>
      </c>
      <c r="G2791" s="2">
        <v>259.35160000000002</v>
      </c>
      <c r="H2791" s="13">
        <v>1</v>
      </c>
      <c r="I2791" s="13">
        <v>1</v>
      </c>
      <c r="J2791" s="13">
        <v>-1</v>
      </c>
      <c r="K2791" s="10">
        <v>1</v>
      </c>
      <c r="L2791" s="2">
        <v>259.35160000000002</v>
      </c>
      <c r="M2791" s="1">
        <v>46083.431250000001</v>
      </c>
      <c r="N2791" t="s">
        <v>151</v>
      </c>
    </row>
    <row r="2792" spans="1:14" x14ac:dyDescent="0.25">
      <c r="A2792" s="9" t="s">
        <v>5211</v>
      </c>
      <c r="B2792" s="10">
        <v>634</v>
      </c>
      <c r="C2792" s="10" t="s">
        <v>323</v>
      </c>
      <c r="D2792" t="s">
        <v>4335</v>
      </c>
      <c r="E2792" t="s">
        <v>4336</v>
      </c>
      <c r="F2792" s="10" t="s">
        <v>19</v>
      </c>
      <c r="G2792" s="2">
        <v>128.55719999999999</v>
      </c>
      <c r="H2792" s="13">
        <v>1</v>
      </c>
      <c r="I2792" s="13">
        <v>4</v>
      </c>
      <c r="J2792" s="13">
        <v>-4</v>
      </c>
      <c r="K2792" s="10">
        <v>1</v>
      </c>
      <c r="L2792" s="2">
        <v>128.55719999999999</v>
      </c>
      <c r="M2792" s="1">
        <v>46083.431250000001</v>
      </c>
      <c r="N2792" t="s">
        <v>151</v>
      </c>
    </row>
    <row r="2793" spans="1:14" x14ac:dyDescent="0.25">
      <c r="A2793" s="9" t="s">
        <v>5211</v>
      </c>
      <c r="B2793" s="10">
        <v>634</v>
      </c>
      <c r="C2793" s="10" t="s">
        <v>323</v>
      </c>
      <c r="D2793" t="s">
        <v>456</v>
      </c>
      <c r="E2793" s="6" t="s">
        <v>457</v>
      </c>
      <c r="F2793" s="11" t="s">
        <v>58</v>
      </c>
      <c r="G2793" s="2">
        <v>184.916</v>
      </c>
      <c r="H2793" s="13">
        <v>1</v>
      </c>
      <c r="I2793" s="13">
        <v>0</v>
      </c>
      <c r="J2793" s="13">
        <v>0</v>
      </c>
      <c r="K2793" s="10">
        <v>1</v>
      </c>
      <c r="L2793" s="2">
        <v>184.916</v>
      </c>
      <c r="M2793" s="1">
        <v>46083.431250000001</v>
      </c>
      <c r="N2793" t="s">
        <v>151</v>
      </c>
    </row>
    <row r="2794" spans="1:14" x14ac:dyDescent="0.25">
      <c r="A2794" s="9" t="s">
        <v>5211</v>
      </c>
      <c r="B2794" s="10">
        <v>714</v>
      </c>
      <c r="C2794" s="10" t="s">
        <v>323</v>
      </c>
      <c r="D2794" t="s">
        <v>3510</v>
      </c>
      <c r="E2794" t="s">
        <v>3511</v>
      </c>
      <c r="F2794" s="10" t="s">
        <v>19</v>
      </c>
      <c r="G2794" s="2">
        <v>136.8723</v>
      </c>
      <c r="H2794" s="13">
        <v>1</v>
      </c>
      <c r="I2794" s="13">
        <v>0</v>
      </c>
      <c r="J2794" s="13">
        <v>0</v>
      </c>
      <c r="K2794" s="10">
        <v>1</v>
      </c>
      <c r="L2794" s="2">
        <v>136.8723</v>
      </c>
      <c r="M2794" s="1">
        <v>46083.444444444445</v>
      </c>
      <c r="N2794" t="s">
        <v>137</v>
      </c>
    </row>
    <row r="2795" spans="1:14" x14ac:dyDescent="0.25">
      <c r="A2795" s="9" t="s">
        <v>5211</v>
      </c>
      <c r="B2795" s="10">
        <v>714</v>
      </c>
      <c r="C2795" s="10" t="s">
        <v>323</v>
      </c>
      <c r="D2795" t="s">
        <v>3450</v>
      </c>
      <c r="E2795" t="s">
        <v>3451</v>
      </c>
      <c r="F2795" s="10" t="s">
        <v>29</v>
      </c>
      <c r="G2795" s="2">
        <v>161.9716</v>
      </c>
      <c r="H2795" s="13">
        <v>1</v>
      </c>
      <c r="I2795" s="13">
        <v>0</v>
      </c>
      <c r="J2795" s="13">
        <v>0</v>
      </c>
      <c r="K2795" s="10">
        <v>1</v>
      </c>
      <c r="L2795" s="2">
        <v>161.9716</v>
      </c>
      <c r="M2795" s="1">
        <v>46083.444444444445</v>
      </c>
      <c r="N2795" t="s">
        <v>137</v>
      </c>
    </row>
    <row r="2796" spans="1:14" x14ac:dyDescent="0.25">
      <c r="A2796" s="9" t="s">
        <v>5211</v>
      </c>
      <c r="B2796" s="10">
        <v>714</v>
      </c>
      <c r="C2796" s="10" t="s">
        <v>143</v>
      </c>
      <c r="D2796" t="s">
        <v>2324</v>
      </c>
      <c r="E2796" t="s">
        <v>2325</v>
      </c>
      <c r="F2796" s="10" t="s">
        <v>29</v>
      </c>
      <c r="G2796" s="2">
        <v>85.165000000000006</v>
      </c>
      <c r="H2796" s="13">
        <v>1</v>
      </c>
      <c r="I2796" s="13">
        <v>0</v>
      </c>
      <c r="J2796" s="13">
        <v>0</v>
      </c>
      <c r="K2796" s="10">
        <v>1</v>
      </c>
      <c r="L2796" s="2">
        <v>85.165000000000006</v>
      </c>
      <c r="M2796" s="1">
        <v>46083.444444444445</v>
      </c>
      <c r="N2796" t="s">
        <v>137</v>
      </c>
    </row>
    <row r="2797" spans="1:14" x14ac:dyDescent="0.25">
      <c r="A2797" s="9" t="s">
        <v>5211</v>
      </c>
      <c r="B2797" s="10">
        <v>636</v>
      </c>
      <c r="C2797" s="10" t="s">
        <v>323</v>
      </c>
      <c r="D2797" t="s">
        <v>1340</v>
      </c>
      <c r="E2797" t="s">
        <v>1341</v>
      </c>
      <c r="F2797" s="10" t="s">
        <v>29</v>
      </c>
      <c r="G2797" s="2">
        <v>361.99189999999999</v>
      </c>
      <c r="H2797" s="13">
        <v>1</v>
      </c>
      <c r="I2797" s="13">
        <v>0</v>
      </c>
      <c r="J2797" s="13">
        <v>0</v>
      </c>
      <c r="K2797" s="10">
        <v>1</v>
      </c>
      <c r="L2797" s="2">
        <v>361.99189999999999</v>
      </c>
      <c r="M2797" s="1">
        <v>46083.459722222222</v>
      </c>
      <c r="N2797" t="s">
        <v>137</v>
      </c>
    </row>
    <row r="2798" spans="1:14" x14ac:dyDescent="0.25">
      <c r="A2798" s="9" t="s">
        <v>5211</v>
      </c>
      <c r="B2798" s="10">
        <v>636</v>
      </c>
      <c r="C2798" s="10" t="s">
        <v>323</v>
      </c>
      <c r="D2798" t="s">
        <v>1276</v>
      </c>
      <c r="E2798" t="s">
        <v>1277</v>
      </c>
      <c r="F2798" s="10" t="s">
        <v>29</v>
      </c>
      <c r="G2798" s="2">
        <v>635.80640000000005</v>
      </c>
      <c r="H2798" s="13">
        <v>1</v>
      </c>
      <c r="I2798" s="13">
        <v>0</v>
      </c>
      <c r="J2798" s="13">
        <v>0</v>
      </c>
      <c r="K2798" s="10">
        <v>1</v>
      </c>
      <c r="L2798" s="2">
        <v>635.80640000000005</v>
      </c>
      <c r="M2798" s="1">
        <v>46083.459722222222</v>
      </c>
      <c r="N2798" t="s">
        <v>137</v>
      </c>
    </row>
    <row r="2799" spans="1:14" x14ac:dyDescent="0.25">
      <c r="A2799" s="9" t="s">
        <v>5211</v>
      </c>
      <c r="B2799" s="10">
        <v>636</v>
      </c>
      <c r="C2799" s="10" t="s">
        <v>323</v>
      </c>
      <c r="D2799" t="s">
        <v>1478</v>
      </c>
      <c r="E2799" t="s">
        <v>1479</v>
      </c>
      <c r="F2799" s="10" t="s">
        <v>19</v>
      </c>
      <c r="G2799" s="2">
        <v>315.58269999999999</v>
      </c>
      <c r="H2799" s="13">
        <v>1</v>
      </c>
      <c r="I2799" s="13">
        <v>0</v>
      </c>
      <c r="J2799" s="13">
        <v>0</v>
      </c>
      <c r="K2799" s="10">
        <v>1</v>
      </c>
      <c r="L2799" s="2">
        <v>315.58269999999999</v>
      </c>
      <c r="M2799" s="1">
        <v>46083.459722222222</v>
      </c>
      <c r="N2799" t="s">
        <v>137</v>
      </c>
    </row>
    <row r="2800" spans="1:14" x14ac:dyDescent="0.25">
      <c r="A2800" s="9" t="s">
        <v>5211</v>
      </c>
      <c r="B2800" s="10">
        <v>636</v>
      </c>
      <c r="C2800" s="10" t="s">
        <v>323</v>
      </c>
      <c r="D2800" t="s">
        <v>1674</v>
      </c>
      <c r="E2800" t="s">
        <v>1675</v>
      </c>
      <c r="F2800" s="10" t="s">
        <v>19</v>
      </c>
      <c r="G2800" s="2">
        <v>259.89170000000001</v>
      </c>
      <c r="H2800" s="13">
        <v>1</v>
      </c>
      <c r="I2800" s="13">
        <v>0</v>
      </c>
      <c r="J2800" s="13">
        <v>0</v>
      </c>
      <c r="K2800" s="10">
        <v>1</v>
      </c>
      <c r="L2800" s="2">
        <v>259.89170000000001</v>
      </c>
      <c r="M2800" s="1">
        <v>46083.459722222222</v>
      </c>
      <c r="N2800" t="s">
        <v>137</v>
      </c>
    </row>
    <row r="2801" spans="1:14" x14ac:dyDescent="0.25">
      <c r="A2801" s="9" t="s">
        <v>5211</v>
      </c>
      <c r="B2801" s="10">
        <v>636</v>
      </c>
      <c r="C2801" s="10" t="s">
        <v>323</v>
      </c>
      <c r="D2801" t="s">
        <v>474</v>
      </c>
      <c r="E2801" t="s">
        <v>475</v>
      </c>
      <c r="F2801" s="10" t="s">
        <v>29</v>
      </c>
      <c r="G2801" s="2">
        <v>109.866</v>
      </c>
      <c r="H2801" s="13">
        <v>1</v>
      </c>
      <c r="I2801" s="13">
        <v>0</v>
      </c>
      <c r="J2801" s="13">
        <v>0</v>
      </c>
      <c r="K2801" s="10">
        <v>1</v>
      </c>
      <c r="L2801" s="2">
        <v>109.866</v>
      </c>
      <c r="M2801" s="1">
        <v>46083.459722222222</v>
      </c>
      <c r="N2801" t="s">
        <v>137</v>
      </c>
    </row>
    <row r="2802" spans="1:14" x14ac:dyDescent="0.25">
      <c r="A2802" s="9" t="s">
        <v>5211</v>
      </c>
      <c r="B2802" s="10">
        <v>636</v>
      </c>
      <c r="C2802" s="10" t="s">
        <v>143</v>
      </c>
      <c r="D2802" t="s">
        <v>1192</v>
      </c>
      <c r="E2802" t="s">
        <v>1193</v>
      </c>
      <c r="F2802" s="10" t="s">
        <v>23</v>
      </c>
      <c r="G2802" s="2">
        <v>85.863299999999995</v>
      </c>
      <c r="H2802" s="13">
        <v>1</v>
      </c>
      <c r="I2802" s="13">
        <v>0</v>
      </c>
      <c r="J2802" s="13">
        <v>0</v>
      </c>
      <c r="K2802" s="10">
        <v>1</v>
      </c>
      <c r="L2802" s="2">
        <v>85.863299999999995</v>
      </c>
      <c r="M2802" s="1">
        <v>46083.459722222222</v>
      </c>
      <c r="N2802" t="s">
        <v>137</v>
      </c>
    </row>
    <row r="2803" spans="1:14" x14ac:dyDescent="0.25">
      <c r="A2803" s="9" t="s">
        <v>5211</v>
      </c>
      <c r="B2803" s="10">
        <v>636</v>
      </c>
      <c r="C2803" s="10" t="s">
        <v>323</v>
      </c>
      <c r="D2803" t="s">
        <v>1739</v>
      </c>
      <c r="E2803" t="s">
        <v>1740</v>
      </c>
      <c r="F2803" s="10" t="s">
        <v>19</v>
      </c>
      <c r="G2803" s="2">
        <v>232.0461</v>
      </c>
      <c r="H2803" s="13">
        <v>1</v>
      </c>
      <c r="I2803" s="13">
        <v>0</v>
      </c>
      <c r="J2803" s="13">
        <v>0</v>
      </c>
      <c r="K2803" s="10">
        <v>1</v>
      </c>
      <c r="L2803" s="2">
        <v>232.0461</v>
      </c>
      <c r="M2803" s="1">
        <v>46083.459722222222</v>
      </c>
      <c r="N2803" t="s">
        <v>137</v>
      </c>
    </row>
    <row r="2804" spans="1:14" x14ac:dyDescent="0.25">
      <c r="A2804" s="9" t="s">
        <v>5211</v>
      </c>
      <c r="B2804" s="10">
        <v>636</v>
      </c>
      <c r="C2804" s="10" t="s">
        <v>323</v>
      </c>
      <c r="D2804" t="s">
        <v>1494</v>
      </c>
      <c r="E2804" t="s">
        <v>1495</v>
      </c>
      <c r="F2804" s="10" t="s">
        <v>19</v>
      </c>
      <c r="G2804" s="2">
        <v>232.0461</v>
      </c>
      <c r="H2804" s="13">
        <v>1</v>
      </c>
      <c r="I2804" s="13">
        <v>0</v>
      </c>
      <c r="J2804" s="13">
        <v>0</v>
      </c>
      <c r="K2804" s="10">
        <v>1</v>
      </c>
      <c r="L2804" s="2">
        <v>232.0461</v>
      </c>
      <c r="M2804" s="1">
        <v>46083.459722222222</v>
      </c>
      <c r="N2804" t="s">
        <v>137</v>
      </c>
    </row>
    <row r="2805" spans="1:14" x14ac:dyDescent="0.25">
      <c r="A2805" s="9" t="s">
        <v>5211</v>
      </c>
      <c r="B2805" s="10">
        <v>718</v>
      </c>
      <c r="C2805" s="10" t="s">
        <v>323</v>
      </c>
      <c r="D2805" t="s">
        <v>3921</v>
      </c>
      <c r="E2805" t="s">
        <v>3922</v>
      </c>
      <c r="F2805" s="10" t="s">
        <v>158</v>
      </c>
      <c r="G2805" s="2">
        <v>180.8109</v>
      </c>
      <c r="H2805" s="13">
        <v>1</v>
      </c>
      <c r="I2805" s="13">
        <v>0</v>
      </c>
      <c r="J2805" s="13">
        <v>0</v>
      </c>
      <c r="K2805" s="10">
        <v>1</v>
      </c>
      <c r="L2805" s="2">
        <v>180.8109</v>
      </c>
      <c r="M2805" s="1">
        <v>46084.40347222222</v>
      </c>
      <c r="N2805" t="s">
        <v>137</v>
      </c>
    </row>
    <row r="2806" spans="1:14" x14ac:dyDescent="0.25">
      <c r="A2806" s="9" t="s">
        <v>5211</v>
      </c>
      <c r="B2806" s="10">
        <v>718</v>
      </c>
      <c r="C2806" s="10" t="s">
        <v>323</v>
      </c>
      <c r="D2806" t="s">
        <v>3294</v>
      </c>
      <c r="E2806" t="s">
        <v>3295</v>
      </c>
      <c r="F2806" s="10" t="s">
        <v>23</v>
      </c>
      <c r="G2806" s="2">
        <v>144.96039999999999</v>
      </c>
      <c r="H2806" s="13">
        <v>1</v>
      </c>
      <c r="I2806" s="13">
        <v>0</v>
      </c>
      <c r="J2806" s="13">
        <v>0</v>
      </c>
      <c r="K2806" s="10">
        <v>1</v>
      </c>
      <c r="L2806" s="2">
        <v>144.96039999999999</v>
      </c>
      <c r="M2806" s="1">
        <v>46084.40347222222</v>
      </c>
      <c r="N2806" t="s">
        <v>137</v>
      </c>
    </row>
    <row r="2807" spans="1:14" x14ac:dyDescent="0.25">
      <c r="A2807" s="9" t="s">
        <v>5211</v>
      </c>
      <c r="B2807" s="10">
        <v>718</v>
      </c>
      <c r="C2807" s="10" t="s">
        <v>126</v>
      </c>
      <c r="D2807" t="s">
        <v>135</v>
      </c>
      <c r="E2807" t="s">
        <v>136</v>
      </c>
      <c r="F2807" s="10" t="s">
        <v>158</v>
      </c>
      <c r="G2807" s="2">
        <v>511.25830000000002</v>
      </c>
      <c r="H2807" s="13">
        <v>1</v>
      </c>
      <c r="I2807" s="13">
        <v>0</v>
      </c>
      <c r="J2807" s="13">
        <v>0</v>
      </c>
      <c r="K2807" s="10">
        <v>1</v>
      </c>
      <c r="L2807" s="2">
        <v>511.25830000000002</v>
      </c>
      <c r="M2807" s="1">
        <v>46084.40347222222</v>
      </c>
      <c r="N2807" t="s">
        <v>137</v>
      </c>
    </row>
    <row r="2808" spans="1:14" x14ac:dyDescent="0.25">
      <c r="A2808" s="9" t="s">
        <v>5211</v>
      </c>
      <c r="B2808" s="10">
        <v>714</v>
      </c>
      <c r="C2808" s="10" t="s">
        <v>143</v>
      </c>
      <c r="D2808" t="s">
        <v>2255</v>
      </c>
      <c r="E2808" t="s">
        <v>2256</v>
      </c>
      <c r="F2808" s="10" t="s">
        <v>23</v>
      </c>
      <c r="G2808" s="2">
        <v>164.17529999999999</v>
      </c>
      <c r="H2808" s="13">
        <v>1</v>
      </c>
      <c r="I2808" s="13">
        <v>0</v>
      </c>
      <c r="J2808" s="13">
        <v>0</v>
      </c>
      <c r="K2808" s="10">
        <v>1</v>
      </c>
      <c r="L2808" s="2">
        <v>164.17529999999999</v>
      </c>
      <c r="M2808" s="1">
        <v>46085.367361111108</v>
      </c>
      <c r="N2808" t="s">
        <v>2257</v>
      </c>
    </row>
    <row r="2809" spans="1:14" x14ac:dyDescent="0.25">
      <c r="A2809" s="9" t="s">
        <v>5211</v>
      </c>
      <c r="B2809" s="10">
        <v>636</v>
      </c>
      <c r="C2809" s="10" t="s">
        <v>323</v>
      </c>
      <c r="D2809" t="s">
        <v>1369</v>
      </c>
      <c r="E2809" t="s">
        <v>1370</v>
      </c>
      <c r="F2809" s="10" t="s">
        <v>19</v>
      </c>
      <c r="G2809" s="2">
        <v>205.03049999999999</v>
      </c>
      <c r="H2809" s="13">
        <v>1</v>
      </c>
      <c r="I2809" s="13">
        <v>0</v>
      </c>
      <c r="J2809" s="13">
        <v>0</v>
      </c>
      <c r="K2809" s="10">
        <v>1</v>
      </c>
      <c r="L2809" s="2">
        <v>205.03049999999999</v>
      </c>
      <c r="M2809" s="1">
        <v>46086.3125</v>
      </c>
      <c r="N2809" t="s">
        <v>1229</v>
      </c>
    </row>
    <row r="2810" spans="1:14" x14ac:dyDescent="0.25">
      <c r="A2810" s="9" t="s">
        <v>5211</v>
      </c>
      <c r="B2810" s="10">
        <v>636</v>
      </c>
      <c r="C2810" s="10" t="s">
        <v>323</v>
      </c>
      <c r="D2810" t="s">
        <v>1484</v>
      </c>
      <c r="E2810" t="s">
        <v>1485</v>
      </c>
      <c r="F2810" s="10" t="s">
        <v>29</v>
      </c>
      <c r="G2810" s="2">
        <v>238.1</v>
      </c>
      <c r="H2810" s="13">
        <v>1</v>
      </c>
      <c r="I2810" s="13">
        <v>0</v>
      </c>
      <c r="J2810" s="13">
        <v>0</v>
      </c>
      <c r="K2810" s="10">
        <v>1</v>
      </c>
      <c r="L2810" s="2">
        <v>238.1</v>
      </c>
      <c r="M2810" s="1">
        <v>46086.3125</v>
      </c>
      <c r="N2810" t="s">
        <v>1229</v>
      </c>
    </row>
    <row r="2811" spans="1:14" x14ac:dyDescent="0.25">
      <c r="A2811" s="9" t="s">
        <v>5211</v>
      </c>
      <c r="B2811" s="10">
        <v>714</v>
      </c>
      <c r="C2811" s="10" t="s">
        <v>323</v>
      </c>
      <c r="D2811" t="s">
        <v>3147</v>
      </c>
      <c r="E2811" t="s">
        <v>3148</v>
      </c>
      <c r="F2811" s="10" t="s">
        <v>23</v>
      </c>
      <c r="G2811" s="2">
        <v>150.32169999999999</v>
      </c>
      <c r="H2811" s="13">
        <v>1</v>
      </c>
      <c r="I2811" s="13">
        <v>0</v>
      </c>
      <c r="J2811" s="13">
        <v>0</v>
      </c>
      <c r="K2811" s="10">
        <v>1</v>
      </c>
      <c r="L2811" s="2">
        <v>150.32169999999999</v>
      </c>
      <c r="M2811" s="1">
        <v>46086.355555555558</v>
      </c>
      <c r="N2811" t="s">
        <v>2271</v>
      </c>
    </row>
    <row r="2812" spans="1:14" x14ac:dyDescent="0.25">
      <c r="A2812" s="9" t="s">
        <v>5211</v>
      </c>
      <c r="B2812" s="10">
        <v>714</v>
      </c>
      <c r="C2812" s="10" t="s">
        <v>323</v>
      </c>
      <c r="D2812" t="s">
        <v>3041</v>
      </c>
      <c r="E2812" t="s">
        <v>3042</v>
      </c>
      <c r="F2812" s="10" t="s">
        <v>29</v>
      </c>
      <c r="G2812" s="2">
        <v>133.2397</v>
      </c>
      <c r="H2812" s="13">
        <v>1</v>
      </c>
      <c r="I2812" s="13">
        <v>0</v>
      </c>
      <c r="J2812" s="13">
        <v>0</v>
      </c>
      <c r="K2812" s="10">
        <v>1</v>
      </c>
      <c r="L2812" s="2">
        <v>133.2397</v>
      </c>
      <c r="M2812" s="1">
        <v>46086.355555555558</v>
      </c>
      <c r="N2812" t="s">
        <v>2271</v>
      </c>
    </row>
    <row r="2813" spans="1:14" x14ac:dyDescent="0.25">
      <c r="A2813" s="9" t="s">
        <v>5211</v>
      </c>
      <c r="B2813" s="10">
        <v>714</v>
      </c>
      <c r="C2813" s="10" t="s">
        <v>323</v>
      </c>
      <c r="D2813" t="s">
        <v>2959</v>
      </c>
      <c r="E2813" t="s">
        <v>2960</v>
      </c>
      <c r="F2813" s="10" t="s">
        <v>19</v>
      </c>
      <c r="G2813" s="2">
        <v>115.0189</v>
      </c>
      <c r="H2813" s="13">
        <v>1</v>
      </c>
      <c r="I2813" s="13">
        <v>0</v>
      </c>
      <c r="J2813" s="13">
        <v>0</v>
      </c>
      <c r="K2813" s="10">
        <v>1</v>
      </c>
      <c r="L2813" s="2">
        <v>115.0189</v>
      </c>
      <c r="M2813" s="1">
        <v>46086.355555555558</v>
      </c>
      <c r="N2813" t="s">
        <v>2271</v>
      </c>
    </row>
    <row r="2814" spans="1:14" x14ac:dyDescent="0.25">
      <c r="A2814" s="9" t="s">
        <v>5211</v>
      </c>
      <c r="B2814" s="10">
        <v>718</v>
      </c>
      <c r="C2814" s="10" t="s">
        <v>143</v>
      </c>
      <c r="D2814" t="s">
        <v>4172</v>
      </c>
      <c r="E2814" t="s">
        <v>4173</v>
      </c>
      <c r="F2814" s="10" t="s">
        <v>29</v>
      </c>
      <c r="G2814" s="2">
        <v>165.1841</v>
      </c>
      <c r="H2814" s="13">
        <v>1</v>
      </c>
      <c r="I2814" s="13">
        <v>2</v>
      </c>
      <c r="J2814" s="13">
        <v>-2</v>
      </c>
      <c r="K2814" s="10">
        <v>1</v>
      </c>
      <c r="L2814" s="2">
        <v>165.1841</v>
      </c>
      <c r="M2814" s="1">
        <v>46087.388194444444</v>
      </c>
      <c r="N2814" t="s">
        <v>354</v>
      </c>
    </row>
    <row r="2815" spans="1:14" x14ac:dyDescent="0.25">
      <c r="A2815" s="9" t="s">
        <v>5211</v>
      </c>
      <c r="B2815" s="10">
        <v>718</v>
      </c>
      <c r="C2815" s="10" t="s">
        <v>323</v>
      </c>
      <c r="D2815" t="s">
        <v>1472</v>
      </c>
      <c r="E2815" t="s">
        <v>1473</v>
      </c>
      <c r="F2815" s="10" t="s">
        <v>29</v>
      </c>
      <c r="G2815" s="2">
        <v>183.53790000000001</v>
      </c>
      <c r="H2815" s="13">
        <v>1</v>
      </c>
      <c r="I2815" s="13">
        <v>1</v>
      </c>
      <c r="J2815" s="13">
        <v>-1</v>
      </c>
      <c r="K2815" s="10">
        <v>1</v>
      </c>
      <c r="L2815" s="2">
        <v>183.53790000000001</v>
      </c>
      <c r="M2815" s="1">
        <v>46087.388194444444</v>
      </c>
      <c r="N2815" t="s">
        <v>354</v>
      </c>
    </row>
    <row r="2816" spans="1:14" x14ac:dyDescent="0.25">
      <c r="A2816" s="9" t="s">
        <v>5211</v>
      </c>
      <c r="B2816" s="10">
        <v>714</v>
      </c>
      <c r="C2816" s="10" t="s">
        <v>323</v>
      </c>
      <c r="D2816" t="s">
        <v>4968</v>
      </c>
      <c r="E2816" t="s">
        <v>4969</v>
      </c>
      <c r="F2816" s="10" t="s">
        <v>23</v>
      </c>
      <c r="G2816" s="2">
        <v>148.25559999999999</v>
      </c>
      <c r="H2816" s="13">
        <v>1</v>
      </c>
      <c r="I2816" s="13">
        <v>3</v>
      </c>
      <c r="J2816" s="13">
        <v>-3</v>
      </c>
      <c r="K2816" s="10">
        <v>1</v>
      </c>
      <c r="L2816" s="2">
        <v>148.25559999999999</v>
      </c>
      <c r="M2816" s="1">
        <v>46087.429861111108</v>
      </c>
      <c r="N2816" t="s">
        <v>159</v>
      </c>
    </row>
    <row r="2817" spans="1:14" x14ac:dyDescent="0.25">
      <c r="A2817" s="9" t="s">
        <v>5211</v>
      </c>
      <c r="B2817" s="10">
        <v>718</v>
      </c>
      <c r="C2817" s="10" t="s">
        <v>323</v>
      </c>
      <c r="D2817" t="s">
        <v>3855</v>
      </c>
      <c r="E2817" t="s">
        <v>3856</v>
      </c>
      <c r="F2817" s="10" t="s">
        <v>19</v>
      </c>
      <c r="G2817" s="2">
        <v>128.006</v>
      </c>
      <c r="H2817" s="13">
        <v>1</v>
      </c>
      <c r="I2817" s="13">
        <v>0</v>
      </c>
      <c r="J2817" s="13">
        <v>0</v>
      </c>
      <c r="K2817" s="10">
        <v>1</v>
      </c>
      <c r="L2817" s="2">
        <v>128.006</v>
      </c>
      <c r="M2817" s="1">
        <v>46091.34652777778</v>
      </c>
      <c r="N2817" t="s">
        <v>159</v>
      </c>
    </row>
    <row r="2818" spans="1:14" x14ac:dyDescent="0.25">
      <c r="A2818" s="9" t="s">
        <v>5211</v>
      </c>
      <c r="B2818" s="10">
        <v>718</v>
      </c>
      <c r="C2818" s="10" t="s">
        <v>323</v>
      </c>
      <c r="D2818" t="s">
        <v>4300</v>
      </c>
      <c r="E2818" t="s">
        <v>4301</v>
      </c>
      <c r="F2818" s="10" t="s">
        <v>43</v>
      </c>
      <c r="G2818" s="2">
        <v>144.8272</v>
      </c>
      <c r="H2818" s="13">
        <v>1</v>
      </c>
      <c r="I2818" s="13">
        <v>28</v>
      </c>
      <c r="J2818" s="13">
        <v>-28</v>
      </c>
      <c r="K2818" s="10">
        <v>1</v>
      </c>
      <c r="L2818" s="2">
        <v>144.8272</v>
      </c>
      <c r="M2818" s="1">
        <v>46091.34652777778</v>
      </c>
      <c r="N2818" t="s">
        <v>159</v>
      </c>
    </row>
    <row r="2819" spans="1:14" x14ac:dyDescent="0.25">
      <c r="A2819" s="9" t="s">
        <v>5211</v>
      </c>
      <c r="B2819" s="10">
        <v>718</v>
      </c>
      <c r="C2819" s="10" t="s">
        <v>323</v>
      </c>
      <c r="D2819" t="s">
        <v>4968</v>
      </c>
      <c r="E2819" t="s">
        <v>4969</v>
      </c>
      <c r="F2819" s="10" t="s">
        <v>29</v>
      </c>
      <c r="G2819" s="2">
        <v>145.46129999999999</v>
      </c>
      <c r="H2819" s="13">
        <v>1</v>
      </c>
      <c r="I2819" s="13">
        <v>3</v>
      </c>
      <c r="J2819" s="13">
        <v>-3</v>
      </c>
      <c r="K2819" s="10">
        <v>1</v>
      </c>
      <c r="L2819" s="2">
        <v>145.46129999999999</v>
      </c>
      <c r="M2819" s="1">
        <v>46091.34652777778</v>
      </c>
      <c r="N2819" t="s">
        <v>159</v>
      </c>
    </row>
    <row r="2820" spans="1:14" x14ac:dyDescent="0.25">
      <c r="A2820" s="9" t="s">
        <v>5211</v>
      </c>
      <c r="B2820" s="10">
        <v>636</v>
      </c>
      <c r="C2820" s="10" t="s">
        <v>323</v>
      </c>
      <c r="D2820" t="s">
        <v>1568</v>
      </c>
      <c r="E2820" t="s">
        <v>1569</v>
      </c>
      <c r="F2820" s="10" t="s">
        <v>29</v>
      </c>
      <c r="G2820" s="2">
        <v>243.75630000000001</v>
      </c>
      <c r="H2820" s="13">
        <v>1</v>
      </c>
      <c r="I2820" s="13">
        <v>0</v>
      </c>
      <c r="J2820" s="13">
        <v>0</v>
      </c>
      <c r="K2820" s="10">
        <v>1</v>
      </c>
      <c r="L2820" s="2">
        <v>243.75630000000001</v>
      </c>
      <c r="M2820" s="1">
        <v>46092.434027777781</v>
      </c>
      <c r="N2820" t="s">
        <v>357</v>
      </c>
    </row>
    <row r="2821" spans="1:14" x14ac:dyDescent="0.25">
      <c r="A2821" s="9" t="s">
        <v>5211</v>
      </c>
      <c r="B2821" s="10">
        <v>718</v>
      </c>
      <c r="C2821" s="10" t="s">
        <v>323</v>
      </c>
      <c r="D2821" t="s">
        <v>2856</v>
      </c>
      <c r="E2821" t="s">
        <v>2857</v>
      </c>
      <c r="F2821" s="10" t="s">
        <v>29</v>
      </c>
      <c r="G2821" s="2">
        <v>164.77610000000001</v>
      </c>
      <c r="H2821" s="13">
        <v>1</v>
      </c>
      <c r="I2821" s="13">
        <v>0</v>
      </c>
      <c r="J2821" s="13">
        <v>0</v>
      </c>
      <c r="K2821" s="10">
        <v>1</v>
      </c>
      <c r="L2821" s="2">
        <v>164.77610000000001</v>
      </c>
      <c r="M2821" s="1">
        <v>46092.524305555555</v>
      </c>
      <c r="N2821" t="s">
        <v>2257</v>
      </c>
    </row>
    <row r="2822" spans="1:14" x14ac:dyDescent="0.25">
      <c r="A2822" s="9" t="s">
        <v>5211</v>
      </c>
      <c r="B2822" s="10">
        <v>718</v>
      </c>
      <c r="C2822" s="10" t="s">
        <v>323</v>
      </c>
      <c r="D2822" t="s">
        <v>3452</v>
      </c>
      <c r="E2822" t="s">
        <v>3453</v>
      </c>
      <c r="F2822" s="10" t="s">
        <v>29</v>
      </c>
      <c r="G2822" s="2">
        <v>164.77610000000001</v>
      </c>
      <c r="H2822" s="13">
        <v>1</v>
      </c>
      <c r="I2822" s="13">
        <v>0</v>
      </c>
      <c r="J2822" s="13">
        <v>0</v>
      </c>
      <c r="K2822" s="10">
        <v>1</v>
      </c>
      <c r="L2822" s="2">
        <v>164.77610000000001</v>
      </c>
      <c r="M2822" s="1">
        <v>46092.524305555555</v>
      </c>
      <c r="N2822" t="s">
        <v>2257</v>
      </c>
    </row>
    <row r="2823" spans="1:14" x14ac:dyDescent="0.25">
      <c r="A2823" s="9" t="s">
        <v>5211</v>
      </c>
      <c r="B2823" s="10">
        <v>714</v>
      </c>
      <c r="C2823" s="10" t="s">
        <v>323</v>
      </c>
      <c r="D2823" t="s">
        <v>3861</v>
      </c>
      <c r="E2823" t="s">
        <v>3862</v>
      </c>
      <c r="F2823" s="10" t="s">
        <v>19</v>
      </c>
      <c r="G2823" s="2">
        <v>214.70269999999999</v>
      </c>
      <c r="H2823" s="13">
        <v>1</v>
      </c>
      <c r="I2823" s="13">
        <v>1</v>
      </c>
      <c r="J2823" s="13">
        <v>-1</v>
      </c>
      <c r="K2823" s="10">
        <v>1</v>
      </c>
      <c r="L2823" s="2">
        <v>214.70269999999999</v>
      </c>
      <c r="M2823" s="1">
        <v>46093.634722222225</v>
      </c>
      <c r="N2823" t="s">
        <v>2257</v>
      </c>
    </row>
    <row r="2824" spans="1:14" x14ac:dyDescent="0.25">
      <c r="A2824" s="9" t="s">
        <v>5211</v>
      </c>
      <c r="B2824" s="10">
        <v>714</v>
      </c>
      <c r="C2824" s="10" t="s">
        <v>143</v>
      </c>
      <c r="D2824" t="s">
        <v>4497</v>
      </c>
      <c r="E2824" t="s">
        <v>4498</v>
      </c>
      <c r="F2824" s="10" t="s">
        <v>29</v>
      </c>
      <c r="G2824" s="2">
        <v>14.9975</v>
      </c>
      <c r="H2824" s="13">
        <v>1</v>
      </c>
      <c r="I2824" s="13">
        <v>12</v>
      </c>
      <c r="J2824" s="13">
        <v>-12</v>
      </c>
      <c r="K2824" s="10">
        <v>1</v>
      </c>
      <c r="L2824" s="2">
        <v>14.9975</v>
      </c>
      <c r="M2824" s="1">
        <v>46094.427083333336</v>
      </c>
      <c r="N2824" t="s">
        <v>26</v>
      </c>
    </row>
    <row r="2825" spans="1:14" x14ac:dyDescent="0.25">
      <c r="A2825" s="9" t="s">
        <v>5211</v>
      </c>
      <c r="B2825" s="10">
        <v>634</v>
      </c>
      <c r="C2825" s="10" t="s">
        <v>323</v>
      </c>
      <c r="D2825" t="s">
        <v>4357</v>
      </c>
      <c r="E2825" t="s">
        <v>4358</v>
      </c>
      <c r="F2825" s="10" t="s">
        <v>23</v>
      </c>
      <c r="G2825" s="2">
        <v>252.9494</v>
      </c>
      <c r="H2825" s="13">
        <v>1</v>
      </c>
      <c r="I2825" s="13">
        <v>0</v>
      </c>
      <c r="J2825" s="13">
        <v>0</v>
      </c>
      <c r="K2825" s="10">
        <v>1</v>
      </c>
      <c r="L2825" s="2">
        <v>252.9494</v>
      </c>
      <c r="M2825" s="1">
        <v>46094.540277777778</v>
      </c>
      <c r="N2825" t="s">
        <v>159</v>
      </c>
    </row>
    <row r="2826" spans="1:14" x14ac:dyDescent="0.25">
      <c r="A2826" s="9" t="s">
        <v>5211</v>
      </c>
      <c r="B2826" s="10">
        <v>634</v>
      </c>
      <c r="C2826" s="10" t="s">
        <v>323</v>
      </c>
      <c r="D2826" t="s">
        <v>495</v>
      </c>
      <c r="E2826" t="s">
        <v>496</v>
      </c>
      <c r="F2826" s="10" t="s">
        <v>158</v>
      </c>
      <c r="G2826" s="2">
        <v>271.0172</v>
      </c>
      <c r="H2826" s="13">
        <v>1</v>
      </c>
      <c r="I2826" s="13">
        <v>0</v>
      </c>
      <c r="J2826" s="13">
        <v>0</v>
      </c>
      <c r="K2826" s="10">
        <v>1</v>
      </c>
      <c r="L2826" s="2">
        <v>271.0172</v>
      </c>
      <c r="M2826" s="1">
        <v>46094.540277777778</v>
      </c>
      <c r="N2826" t="s">
        <v>159</v>
      </c>
    </row>
    <row r="2827" spans="1:14" x14ac:dyDescent="0.25">
      <c r="A2827" s="9" t="s">
        <v>5211</v>
      </c>
      <c r="B2827" s="10">
        <v>636</v>
      </c>
      <c r="C2827" s="10" t="s">
        <v>323</v>
      </c>
      <c r="D2827" t="s">
        <v>1363</v>
      </c>
      <c r="E2827" t="s">
        <v>1364</v>
      </c>
      <c r="F2827" s="10" t="s">
        <v>19</v>
      </c>
      <c r="G2827" s="2">
        <v>251.3065</v>
      </c>
      <c r="H2827" s="13">
        <v>1</v>
      </c>
      <c r="I2827" s="13">
        <v>0</v>
      </c>
      <c r="J2827" s="13">
        <v>0</v>
      </c>
      <c r="K2827" s="10">
        <v>1</v>
      </c>
      <c r="L2827" s="2">
        <v>251.3065</v>
      </c>
      <c r="M2827" s="1">
        <v>46098.375694444447</v>
      </c>
      <c r="N2827" t="s">
        <v>1229</v>
      </c>
    </row>
    <row r="2828" spans="1:14" x14ac:dyDescent="0.25">
      <c r="A2828" s="9" t="s">
        <v>5211</v>
      </c>
      <c r="B2828" s="10">
        <v>636</v>
      </c>
      <c r="C2828" s="10" t="s">
        <v>323</v>
      </c>
      <c r="D2828" t="s">
        <v>4300</v>
      </c>
      <c r="E2828" t="s">
        <v>4301</v>
      </c>
      <c r="F2828" s="10" t="s">
        <v>43</v>
      </c>
      <c r="G2828" s="2">
        <v>145.1771</v>
      </c>
      <c r="H2828" s="13">
        <v>1</v>
      </c>
      <c r="I2828" s="13">
        <v>28</v>
      </c>
      <c r="J2828" s="13">
        <v>-28</v>
      </c>
      <c r="K2828" s="10">
        <v>1</v>
      </c>
      <c r="L2828" s="2">
        <v>145.1771</v>
      </c>
      <c r="M2828" s="1">
        <v>46098.375694444447</v>
      </c>
      <c r="N2828" t="s">
        <v>1229</v>
      </c>
    </row>
    <row r="2829" spans="1:14" x14ac:dyDescent="0.25">
      <c r="A2829" s="9" t="s">
        <v>5211</v>
      </c>
      <c r="B2829" s="10">
        <v>714</v>
      </c>
      <c r="C2829" s="10" t="s">
        <v>143</v>
      </c>
      <c r="D2829" t="s">
        <v>2596</v>
      </c>
      <c r="E2829" t="s">
        <v>2597</v>
      </c>
      <c r="F2829" s="10" t="s">
        <v>23</v>
      </c>
      <c r="G2829" s="2">
        <v>84.996799999999993</v>
      </c>
      <c r="H2829" s="13">
        <v>1</v>
      </c>
      <c r="I2829" s="13">
        <v>0</v>
      </c>
      <c r="J2829" s="13">
        <v>0</v>
      </c>
      <c r="K2829" s="10">
        <v>1</v>
      </c>
      <c r="L2829" s="2">
        <v>84.996799999999993</v>
      </c>
      <c r="M2829" s="1">
        <v>46098.381249999999</v>
      </c>
      <c r="N2829" t="s">
        <v>885</v>
      </c>
    </row>
    <row r="2830" spans="1:14" x14ac:dyDescent="0.25">
      <c r="A2830" s="9" t="s">
        <v>5211</v>
      </c>
      <c r="B2830" s="10">
        <v>714</v>
      </c>
      <c r="C2830" s="10" t="s">
        <v>323</v>
      </c>
      <c r="D2830" t="s">
        <v>3101</v>
      </c>
      <c r="E2830" t="s">
        <v>3102</v>
      </c>
      <c r="F2830" s="10" t="s">
        <v>29</v>
      </c>
      <c r="G2830" s="2">
        <v>109.7427</v>
      </c>
      <c r="H2830" s="13">
        <v>1</v>
      </c>
      <c r="I2830" s="13">
        <v>0</v>
      </c>
      <c r="J2830" s="13">
        <v>0</v>
      </c>
      <c r="K2830" s="10">
        <v>1</v>
      </c>
      <c r="L2830" s="2">
        <v>109.7427</v>
      </c>
      <c r="M2830" s="1">
        <v>46098.381249999999</v>
      </c>
      <c r="N2830" t="s">
        <v>885</v>
      </c>
    </row>
    <row r="2831" spans="1:14" x14ac:dyDescent="0.25">
      <c r="A2831" s="9" t="s">
        <v>5211</v>
      </c>
      <c r="B2831" s="10">
        <v>714</v>
      </c>
      <c r="C2831" s="10" t="s">
        <v>143</v>
      </c>
      <c r="D2831" t="s">
        <v>2477</v>
      </c>
      <c r="E2831" t="s">
        <v>2478</v>
      </c>
      <c r="F2831" s="10" t="s">
        <v>29</v>
      </c>
      <c r="G2831" s="2">
        <v>69.934100000000001</v>
      </c>
      <c r="H2831" s="13">
        <v>1</v>
      </c>
      <c r="I2831" s="13">
        <v>0</v>
      </c>
      <c r="J2831" s="13">
        <v>0</v>
      </c>
      <c r="K2831" s="10">
        <v>1</v>
      </c>
      <c r="L2831" s="2">
        <v>69.934100000000001</v>
      </c>
      <c r="M2831" s="1">
        <v>46098.381249999999</v>
      </c>
      <c r="N2831" t="s">
        <v>885</v>
      </c>
    </row>
    <row r="2832" spans="1:14" x14ac:dyDescent="0.25">
      <c r="A2832" s="9" t="s">
        <v>5211</v>
      </c>
      <c r="B2832" s="10">
        <v>634</v>
      </c>
      <c r="C2832" s="10" t="s">
        <v>126</v>
      </c>
      <c r="D2832" t="s">
        <v>141</v>
      </c>
      <c r="E2832" t="s">
        <v>142</v>
      </c>
      <c r="F2832" s="10" t="s">
        <v>29</v>
      </c>
      <c r="G2832" s="2">
        <v>498.5607</v>
      </c>
      <c r="H2832" s="13">
        <v>1</v>
      </c>
      <c r="I2832" s="13">
        <v>0</v>
      </c>
      <c r="J2832" s="13">
        <v>0</v>
      </c>
      <c r="K2832" s="10">
        <v>1</v>
      </c>
      <c r="L2832" s="2">
        <v>498.5607</v>
      </c>
      <c r="M2832" s="1">
        <v>46099.42083333333</v>
      </c>
      <c r="N2832" t="s">
        <v>137</v>
      </c>
    </row>
    <row r="2833" spans="1:14" x14ac:dyDescent="0.25">
      <c r="A2833" s="9" t="s">
        <v>5211</v>
      </c>
      <c r="B2833" s="10">
        <v>634</v>
      </c>
      <c r="C2833" s="10" t="s">
        <v>143</v>
      </c>
      <c r="D2833" t="s">
        <v>289</v>
      </c>
      <c r="E2833" t="s">
        <v>290</v>
      </c>
      <c r="F2833" s="10" t="s">
        <v>158</v>
      </c>
      <c r="G2833" s="2">
        <v>170.13380000000001</v>
      </c>
      <c r="H2833" s="13">
        <v>1</v>
      </c>
      <c r="I2833" s="13">
        <v>0</v>
      </c>
      <c r="J2833" s="13">
        <v>0</v>
      </c>
      <c r="K2833" s="10">
        <v>1</v>
      </c>
      <c r="L2833" s="2">
        <v>170.13380000000001</v>
      </c>
      <c r="M2833" s="1">
        <v>46099.42083333333</v>
      </c>
      <c r="N2833" t="s">
        <v>137</v>
      </c>
    </row>
    <row r="2834" spans="1:14" x14ac:dyDescent="0.25">
      <c r="A2834" s="9" t="s">
        <v>5211</v>
      </c>
      <c r="B2834" s="10">
        <v>634</v>
      </c>
      <c r="C2834" s="10" t="s">
        <v>126</v>
      </c>
      <c r="D2834" t="s">
        <v>135</v>
      </c>
      <c r="E2834" t="s">
        <v>136</v>
      </c>
      <c r="F2834" s="10" t="s">
        <v>29</v>
      </c>
      <c r="G2834" s="2">
        <v>498.5607</v>
      </c>
      <c r="H2834" s="13">
        <v>1</v>
      </c>
      <c r="I2834" s="13">
        <v>0</v>
      </c>
      <c r="J2834" s="13">
        <v>0</v>
      </c>
      <c r="K2834" s="10">
        <v>1</v>
      </c>
      <c r="L2834" s="2">
        <v>498.5607</v>
      </c>
      <c r="M2834" s="1">
        <v>46099.42083333333</v>
      </c>
      <c r="N2834" t="s">
        <v>137</v>
      </c>
    </row>
    <row r="2835" spans="1:14" x14ac:dyDescent="0.25">
      <c r="A2835" s="9" t="s">
        <v>5211</v>
      </c>
      <c r="B2835" s="10">
        <v>714</v>
      </c>
      <c r="C2835" s="10" t="s">
        <v>323</v>
      </c>
      <c r="D2835" t="s">
        <v>430</v>
      </c>
      <c r="E2835" t="s">
        <v>431</v>
      </c>
      <c r="F2835" s="10" t="s">
        <v>158</v>
      </c>
      <c r="G2835" s="2">
        <v>210.92310000000001</v>
      </c>
      <c r="H2835" s="13">
        <v>1</v>
      </c>
      <c r="I2835" s="13">
        <v>0</v>
      </c>
      <c r="J2835" s="13">
        <v>0</v>
      </c>
      <c r="K2835" s="10">
        <v>1</v>
      </c>
      <c r="L2835" s="2">
        <v>210.92310000000001</v>
      </c>
      <c r="M2835" s="1">
        <v>46099.674305555556</v>
      </c>
      <c r="N2835" t="s">
        <v>159</v>
      </c>
    </row>
    <row r="2836" spans="1:14" x14ac:dyDescent="0.25">
      <c r="A2836" s="9" t="s">
        <v>5211</v>
      </c>
      <c r="B2836" s="10">
        <v>636</v>
      </c>
      <c r="C2836" s="10" t="s">
        <v>323</v>
      </c>
      <c r="D2836" t="s">
        <v>1292</v>
      </c>
      <c r="E2836" t="s">
        <v>1293</v>
      </c>
      <c r="F2836" s="10" t="s">
        <v>29</v>
      </c>
      <c r="G2836" s="2">
        <v>333.27249999999998</v>
      </c>
      <c r="H2836" s="13">
        <v>1</v>
      </c>
      <c r="I2836" s="13">
        <v>0</v>
      </c>
      <c r="J2836" s="13">
        <v>0</v>
      </c>
      <c r="K2836" s="10">
        <v>1</v>
      </c>
      <c r="L2836" s="2">
        <v>333.27249999999998</v>
      </c>
      <c r="M2836" s="1">
        <v>46100.392361111109</v>
      </c>
      <c r="N2836" t="s">
        <v>137</v>
      </c>
    </row>
    <row r="2837" spans="1:14" x14ac:dyDescent="0.25">
      <c r="A2837" s="9" t="s">
        <v>5211</v>
      </c>
      <c r="B2837" s="10">
        <v>636</v>
      </c>
      <c r="C2837" s="10" t="s">
        <v>323</v>
      </c>
      <c r="D2837" t="s">
        <v>3131</v>
      </c>
      <c r="E2837" t="s">
        <v>3132</v>
      </c>
      <c r="F2837" s="10" t="s">
        <v>158</v>
      </c>
      <c r="G2837" s="2">
        <v>41.358199999999997</v>
      </c>
      <c r="H2837" s="13">
        <v>1</v>
      </c>
      <c r="I2837" s="13">
        <v>-21</v>
      </c>
      <c r="J2837" s="13">
        <v>21</v>
      </c>
      <c r="K2837" s="10">
        <v>1</v>
      </c>
      <c r="L2837" s="2">
        <v>41.358199999999997</v>
      </c>
      <c r="M2837" s="1">
        <v>46100.393750000003</v>
      </c>
      <c r="N2837" t="s">
        <v>2268</v>
      </c>
    </row>
    <row r="2838" spans="1:14" x14ac:dyDescent="0.25">
      <c r="A2838" s="9" t="s">
        <v>5211</v>
      </c>
      <c r="B2838" s="10">
        <v>714</v>
      </c>
      <c r="C2838" s="10" t="s">
        <v>323</v>
      </c>
      <c r="D2838" t="s">
        <v>4585</v>
      </c>
      <c r="E2838" t="s">
        <v>4586</v>
      </c>
      <c r="F2838" s="10" t="s">
        <v>23</v>
      </c>
      <c r="G2838" s="2">
        <v>169.28139999999999</v>
      </c>
      <c r="H2838" s="13">
        <v>1</v>
      </c>
      <c r="I2838" s="13">
        <v>2</v>
      </c>
      <c r="J2838" s="13">
        <v>-2</v>
      </c>
      <c r="K2838" s="10">
        <v>1</v>
      </c>
      <c r="L2838" s="2">
        <v>169.28139999999999</v>
      </c>
      <c r="M2838" s="1">
        <v>46101.384722222225</v>
      </c>
      <c r="N2838" t="s">
        <v>2257</v>
      </c>
    </row>
    <row r="2839" spans="1:14" x14ac:dyDescent="0.25">
      <c r="A2839" s="9" t="s">
        <v>5211</v>
      </c>
      <c r="B2839" s="10">
        <v>714</v>
      </c>
      <c r="C2839" s="10" t="s">
        <v>323</v>
      </c>
      <c r="D2839" t="s">
        <v>324</v>
      </c>
      <c r="E2839" t="s">
        <v>325</v>
      </c>
      <c r="F2839" s="10" t="s">
        <v>19</v>
      </c>
      <c r="G2839" s="2">
        <v>189.5951</v>
      </c>
      <c r="H2839" s="13">
        <v>1</v>
      </c>
      <c r="I2839" s="13">
        <v>0</v>
      </c>
      <c r="J2839" s="13">
        <v>0</v>
      </c>
      <c r="K2839" s="10">
        <v>1</v>
      </c>
      <c r="L2839" s="2">
        <v>189.5951</v>
      </c>
      <c r="M2839" s="1">
        <v>46101.384722222225</v>
      </c>
      <c r="N2839" t="s">
        <v>2257</v>
      </c>
    </row>
    <row r="2840" spans="1:14" x14ac:dyDescent="0.25">
      <c r="A2840" s="9" t="s">
        <v>5211</v>
      </c>
      <c r="B2840" s="10">
        <v>636</v>
      </c>
      <c r="C2840" s="10" t="s">
        <v>323</v>
      </c>
      <c r="D2840" t="s">
        <v>1269</v>
      </c>
      <c r="E2840" t="s">
        <v>1270</v>
      </c>
      <c r="F2840" s="10" t="s">
        <v>23</v>
      </c>
      <c r="G2840" s="2">
        <v>74.886700000000005</v>
      </c>
      <c r="H2840" s="13">
        <v>1</v>
      </c>
      <c r="I2840" s="13">
        <v>0</v>
      </c>
      <c r="J2840" s="13">
        <v>0</v>
      </c>
      <c r="K2840" s="10">
        <v>1</v>
      </c>
      <c r="L2840" s="2">
        <v>74.886700000000005</v>
      </c>
      <c r="M2840" s="1">
        <v>46101.626388888886</v>
      </c>
      <c r="N2840" t="s">
        <v>1271</v>
      </c>
    </row>
    <row r="2841" spans="1:14" x14ac:dyDescent="0.25">
      <c r="A2841" s="9" t="s">
        <v>5211</v>
      </c>
      <c r="B2841" s="10">
        <v>714</v>
      </c>
      <c r="C2841" s="10" t="s">
        <v>323</v>
      </c>
      <c r="D2841" t="s">
        <v>392</v>
      </c>
      <c r="E2841" t="s">
        <v>393</v>
      </c>
      <c r="F2841" s="10" t="s">
        <v>19</v>
      </c>
      <c r="G2841" s="2">
        <v>223.017</v>
      </c>
      <c r="H2841" s="13">
        <v>1</v>
      </c>
      <c r="I2841" s="13">
        <v>0</v>
      </c>
      <c r="J2841" s="13">
        <v>0</v>
      </c>
      <c r="K2841" s="10">
        <v>1</v>
      </c>
      <c r="L2841" s="2">
        <v>223.017</v>
      </c>
      <c r="M2841" s="1">
        <v>46104.46597222222</v>
      </c>
      <c r="N2841" t="s">
        <v>137</v>
      </c>
    </row>
    <row r="2842" spans="1:14" x14ac:dyDescent="0.25">
      <c r="A2842" s="9" t="s">
        <v>5211</v>
      </c>
      <c r="B2842" s="10">
        <v>714</v>
      </c>
      <c r="C2842" s="10" t="s">
        <v>323</v>
      </c>
      <c r="D2842" t="s">
        <v>1525</v>
      </c>
      <c r="E2842" t="s">
        <v>1526</v>
      </c>
      <c r="F2842" s="10" t="s">
        <v>19</v>
      </c>
      <c r="G2842" s="2">
        <v>872.67499999999995</v>
      </c>
      <c r="H2842" s="13">
        <v>1</v>
      </c>
      <c r="I2842" s="13">
        <v>0</v>
      </c>
      <c r="J2842" s="13">
        <v>0</v>
      </c>
      <c r="K2842" s="10">
        <v>1</v>
      </c>
      <c r="L2842" s="2">
        <v>872.67499999999995</v>
      </c>
      <c r="M2842" s="1">
        <v>46104.46597222222</v>
      </c>
      <c r="N2842" t="s">
        <v>137</v>
      </c>
    </row>
    <row r="2843" spans="1:14" x14ac:dyDescent="0.25">
      <c r="A2843" s="9" t="s">
        <v>5211</v>
      </c>
      <c r="B2843" s="10">
        <v>714</v>
      </c>
      <c r="C2843" s="10" t="s">
        <v>323</v>
      </c>
      <c r="D2843" t="s">
        <v>2957</v>
      </c>
      <c r="E2843" t="s">
        <v>2958</v>
      </c>
      <c r="F2843" s="10" t="s">
        <v>19</v>
      </c>
      <c r="G2843" s="2">
        <v>1153.8703</v>
      </c>
      <c r="H2843" s="13">
        <v>1</v>
      </c>
      <c r="I2843" s="13">
        <v>0</v>
      </c>
      <c r="J2843" s="13">
        <v>0</v>
      </c>
      <c r="K2843" s="10">
        <v>1</v>
      </c>
      <c r="L2843" s="2">
        <v>1153.8703</v>
      </c>
      <c r="M2843" s="1">
        <v>46104.46597222222</v>
      </c>
      <c r="N2843" t="s">
        <v>137</v>
      </c>
    </row>
    <row r="2844" spans="1:14" x14ac:dyDescent="0.25">
      <c r="A2844" s="9" t="s">
        <v>5211</v>
      </c>
      <c r="B2844" s="10">
        <v>714</v>
      </c>
      <c r="C2844" s="10" t="s">
        <v>323</v>
      </c>
      <c r="D2844" t="s">
        <v>2955</v>
      </c>
      <c r="E2844" t="s">
        <v>2956</v>
      </c>
      <c r="F2844" s="10" t="s">
        <v>19</v>
      </c>
      <c r="G2844" s="2">
        <v>1551.4223</v>
      </c>
      <c r="H2844" s="13">
        <v>1</v>
      </c>
      <c r="I2844" s="13">
        <v>0</v>
      </c>
      <c r="J2844" s="13">
        <v>0</v>
      </c>
      <c r="K2844" s="10">
        <v>1</v>
      </c>
      <c r="L2844" s="2">
        <v>1551.4223</v>
      </c>
      <c r="M2844" s="1">
        <v>46104.46597222222</v>
      </c>
      <c r="N2844" t="s">
        <v>137</v>
      </c>
    </row>
    <row r="2845" spans="1:14" x14ac:dyDescent="0.25">
      <c r="A2845" s="9" t="s">
        <v>5211</v>
      </c>
      <c r="B2845" s="10">
        <v>714</v>
      </c>
      <c r="C2845" s="10" t="s">
        <v>12</v>
      </c>
      <c r="D2845" t="s">
        <v>1928</v>
      </c>
      <c r="E2845" t="s">
        <v>1929</v>
      </c>
      <c r="F2845" s="10" t="s">
        <v>19</v>
      </c>
      <c r="G2845" s="2">
        <v>614.1046</v>
      </c>
      <c r="H2845" s="13">
        <v>1</v>
      </c>
      <c r="I2845" s="13">
        <v>0</v>
      </c>
      <c r="J2845" s="13">
        <v>0</v>
      </c>
      <c r="K2845" s="10">
        <v>1</v>
      </c>
      <c r="L2845" s="2">
        <v>614.1046</v>
      </c>
      <c r="M2845" s="1">
        <v>46104.46597222222</v>
      </c>
      <c r="N2845" t="s">
        <v>137</v>
      </c>
    </row>
    <row r="2846" spans="1:14" x14ac:dyDescent="0.25">
      <c r="A2846" s="9" t="s">
        <v>5211</v>
      </c>
      <c r="B2846" s="10">
        <v>714</v>
      </c>
      <c r="C2846" s="10" t="s">
        <v>323</v>
      </c>
      <c r="D2846" t="s">
        <v>1634</v>
      </c>
      <c r="E2846" t="s">
        <v>1635</v>
      </c>
      <c r="F2846" s="10" t="s">
        <v>19</v>
      </c>
      <c r="G2846" s="2">
        <v>266.65069999999997</v>
      </c>
      <c r="H2846" s="13">
        <v>1</v>
      </c>
      <c r="I2846" s="13">
        <v>0</v>
      </c>
      <c r="J2846" s="13">
        <v>0</v>
      </c>
      <c r="K2846" s="10">
        <v>1</v>
      </c>
      <c r="L2846" s="2">
        <v>266.65069999999997</v>
      </c>
      <c r="M2846" s="1">
        <v>46104.46597222222</v>
      </c>
      <c r="N2846" t="s">
        <v>137</v>
      </c>
    </row>
    <row r="2847" spans="1:14" x14ac:dyDescent="0.25">
      <c r="A2847" s="9" t="s">
        <v>5211</v>
      </c>
      <c r="B2847" s="10">
        <v>714</v>
      </c>
      <c r="C2847" s="10" t="s">
        <v>323</v>
      </c>
      <c r="D2847" t="s">
        <v>3215</v>
      </c>
      <c r="E2847" t="s">
        <v>3216</v>
      </c>
      <c r="F2847" s="10" t="s">
        <v>29</v>
      </c>
      <c r="G2847" s="2">
        <v>164.83860000000001</v>
      </c>
      <c r="H2847" s="13">
        <v>1</v>
      </c>
      <c r="I2847" s="13">
        <v>0</v>
      </c>
      <c r="J2847" s="13">
        <v>0</v>
      </c>
      <c r="K2847" s="10">
        <v>1</v>
      </c>
      <c r="L2847" s="2">
        <v>164.83860000000001</v>
      </c>
      <c r="M2847" s="1">
        <v>46104.46597222222</v>
      </c>
      <c r="N2847" t="s">
        <v>137</v>
      </c>
    </row>
    <row r="2848" spans="1:14" x14ac:dyDescent="0.25">
      <c r="A2848" s="9" t="s">
        <v>5211</v>
      </c>
      <c r="B2848" s="10">
        <v>714</v>
      </c>
      <c r="C2848" s="10" t="s">
        <v>323</v>
      </c>
      <c r="D2848" t="s">
        <v>3103</v>
      </c>
      <c r="E2848" t="s">
        <v>3104</v>
      </c>
      <c r="F2848" s="10" t="s">
        <v>29</v>
      </c>
      <c r="G2848" s="2">
        <v>4654.2668000000003</v>
      </c>
      <c r="H2848" s="13">
        <v>1</v>
      </c>
      <c r="I2848" s="13">
        <v>0</v>
      </c>
      <c r="J2848" s="13">
        <v>0</v>
      </c>
      <c r="K2848" s="10">
        <v>1</v>
      </c>
      <c r="L2848" s="2">
        <v>4654.2668000000003</v>
      </c>
      <c r="M2848" s="1">
        <v>46104.46597222222</v>
      </c>
      <c r="N2848" t="s">
        <v>137</v>
      </c>
    </row>
    <row r="2849" spans="1:14" x14ac:dyDescent="0.25">
      <c r="A2849" s="9" t="s">
        <v>5211</v>
      </c>
      <c r="B2849" s="10">
        <v>714</v>
      </c>
      <c r="C2849" s="10" t="s">
        <v>323</v>
      </c>
      <c r="D2849" t="s">
        <v>3413</v>
      </c>
      <c r="E2849" t="s">
        <v>3414</v>
      </c>
      <c r="F2849" s="10" t="s">
        <v>29</v>
      </c>
      <c r="G2849" s="2">
        <v>3684.6279</v>
      </c>
      <c r="H2849" s="13">
        <v>1</v>
      </c>
      <c r="I2849" s="13">
        <v>0</v>
      </c>
      <c r="J2849" s="13">
        <v>0</v>
      </c>
      <c r="K2849" s="10">
        <v>1</v>
      </c>
      <c r="L2849" s="2">
        <v>3684.6279</v>
      </c>
      <c r="M2849" s="1">
        <v>46104.46597222222</v>
      </c>
      <c r="N2849" t="s">
        <v>137</v>
      </c>
    </row>
    <row r="2850" spans="1:14" x14ac:dyDescent="0.25">
      <c r="A2850" s="9" t="s">
        <v>5211</v>
      </c>
      <c r="B2850" s="10">
        <v>714</v>
      </c>
      <c r="C2850" s="10" t="s">
        <v>323</v>
      </c>
      <c r="D2850" t="s">
        <v>3411</v>
      </c>
      <c r="E2850" t="s">
        <v>3412</v>
      </c>
      <c r="F2850" s="10" t="s">
        <v>19</v>
      </c>
      <c r="G2850" s="2">
        <v>712.68460000000005</v>
      </c>
      <c r="H2850" s="13">
        <v>1</v>
      </c>
      <c r="I2850" s="13">
        <v>0</v>
      </c>
      <c r="J2850" s="13">
        <v>0</v>
      </c>
      <c r="K2850" s="10">
        <v>1</v>
      </c>
      <c r="L2850" s="2">
        <v>712.68460000000005</v>
      </c>
      <c r="M2850" s="1">
        <v>46104.46597222222</v>
      </c>
      <c r="N2850" t="s">
        <v>137</v>
      </c>
    </row>
    <row r="2851" spans="1:14" x14ac:dyDescent="0.25">
      <c r="A2851" s="9" t="s">
        <v>5211</v>
      </c>
      <c r="B2851" s="10">
        <v>636</v>
      </c>
      <c r="C2851" s="10" t="s">
        <v>143</v>
      </c>
      <c r="D2851" t="s">
        <v>1048</v>
      </c>
      <c r="E2851" t="s">
        <v>1049</v>
      </c>
      <c r="F2851" s="10" t="s">
        <v>29</v>
      </c>
      <c r="G2851" s="2">
        <v>129.31379999999999</v>
      </c>
      <c r="H2851" s="13">
        <v>1</v>
      </c>
      <c r="I2851" s="13">
        <v>0</v>
      </c>
      <c r="J2851" s="13">
        <v>0</v>
      </c>
      <c r="K2851" s="10">
        <v>1</v>
      </c>
      <c r="L2851" s="2">
        <v>129.31379999999999</v>
      </c>
      <c r="M2851" s="1">
        <v>46104.520833333336</v>
      </c>
      <c r="N2851" t="s">
        <v>137</v>
      </c>
    </row>
    <row r="2852" spans="1:14" x14ac:dyDescent="0.25">
      <c r="A2852" s="9" t="s">
        <v>5211</v>
      </c>
      <c r="B2852" s="10">
        <v>636</v>
      </c>
      <c r="C2852" s="10" t="s">
        <v>323</v>
      </c>
      <c r="D2852" t="s">
        <v>1646</v>
      </c>
      <c r="E2852" t="s">
        <v>1647</v>
      </c>
      <c r="F2852" s="10" t="s">
        <v>19</v>
      </c>
      <c r="G2852" s="2">
        <v>263.41699999999997</v>
      </c>
      <c r="H2852" s="13">
        <v>1</v>
      </c>
      <c r="I2852" s="13">
        <v>0</v>
      </c>
      <c r="J2852" s="13">
        <v>0</v>
      </c>
      <c r="K2852" s="10">
        <v>1</v>
      </c>
      <c r="L2852" s="2">
        <v>263.41699999999997</v>
      </c>
      <c r="M2852" s="1">
        <v>46104.520833333336</v>
      </c>
      <c r="N2852" t="s">
        <v>137</v>
      </c>
    </row>
    <row r="2853" spans="1:14" x14ac:dyDescent="0.25">
      <c r="A2853" s="9" t="s">
        <v>5211</v>
      </c>
      <c r="B2853" s="10">
        <v>718</v>
      </c>
      <c r="C2853" s="10" t="s">
        <v>323</v>
      </c>
      <c r="D2853" t="s">
        <v>1674</v>
      </c>
      <c r="E2853" t="s">
        <v>1675</v>
      </c>
      <c r="F2853" s="10" t="s">
        <v>23</v>
      </c>
      <c r="G2853" s="2">
        <v>270.24459999999999</v>
      </c>
      <c r="H2853" s="13">
        <v>1</v>
      </c>
      <c r="I2853" s="13">
        <v>0</v>
      </c>
      <c r="J2853" s="13">
        <v>0</v>
      </c>
      <c r="K2853" s="10">
        <v>1</v>
      </c>
      <c r="L2853" s="2">
        <v>270.24459999999999</v>
      </c>
      <c r="M2853" s="1">
        <v>46104.570138888892</v>
      </c>
      <c r="N2853" t="s">
        <v>137</v>
      </c>
    </row>
    <row r="2854" spans="1:14" x14ac:dyDescent="0.25">
      <c r="A2854" s="9" t="s">
        <v>5211</v>
      </c>
      <c r="B2854" s="10">
        <v>714</v>
      </c>
      <c r="C2854" s="10" t="s">
        <v>323</v>
      </c>
      <c r="D2854" t="s">
        <v>5095</v>
      </c>
      <c r="E2854" t="s">
        <v>5096</v>
      </c>
      <c r="F2854" s="10" t="s">
        <v>23</v>
      </c>
      <c r="G2854" s="2">
        <v>118.77509999999999</v>
      </c>
      <c r="H2854" s="13">
        <v>1</v>
      </c>
      <c r="I2854" s="13">
        <v>9</v>
      </c>
      <c r="J2854" s="13">
        <v>-9</v>
      </c>
      <c r="K2854" s="10">
        <v>1</v>
      </c>
      <c r="L2854" s="2">
        <v>118.77509999999999</v>
      </c>
      <c r="M2854" s="1">
        <v>46105.390277777777</v>
      </c>
      <c r="N2854" t="s">
        <v>2257</v>
      </c>
    </row>
    <row r="2855" spans="1:14" x14ac:dyDescent="0.25">
      <c r="A2855" s="9" t="s">
        <v>5211</v>
      </c>
      <c r="B2855" s="10">
        <v>714</v>
      </c>
      <c r="C2855" s="10" t="s">
        <v>143</v>
      </c>
      <c r="D2855" t="s">
        <v>2290</v>
      </c>
      <c r="E2855" t="s">
        <v>2291</v>
      </c>
      <c r="F2855" s="10" t="s">
        <v>19</v>
      </c>
      <c r="G2855" s="2">
        <v>21.477799999999998</v>
      </c>
      <c r="H2855" s="13">
        <v>1</v>
      </c>
      <c r="I2855" s="13">
        <v>0</v>
      </c>
      <c r="J2855" s="13">
        <v>0</v>
      </c>
      <c r="K2855" s="10">
        <v>1</v>
      </c>
      <c r="L2855" s="2">
        <v>21.477799999999998</v>
      </c>
      <c r="M2855" s="1">
        <v>46105.490972222222</v>
      </c>
      <c r="N2855" t="s">
        <v>310</v>
      </c>
    </row>
    <row r="2856" spans="1:14" x14ac:dyDescent="0.25">
      <c r="A2856" s="9" t="s">
        <v>5211</v>
      </c>
      <c r="B2856" s="10">
        <v>636</v>
      </c>
      <c r="C2856" s="10" t="s">
        <v>143</v>
      </c>
      <c r="D2856" t="s">
        <v>210</v>
      </c>
      <c r="E2856" t="s">
        <v>211</v>
      </c>
      <c r="F2856" s="10" t="s">
        <v>23</v>
      </c>
      <c r="G2856" s="2">
        <v>157.0609</v>
      </c>
      <c r="H2856" s="13">
        <v>1</v>
      </c>
      <c r="I2856" s="13">
        <v>0</v>
      </c>
      <c r="J2856" s="13">
        <v>0</v>
      </c>
      <c r="K2856" s="10">
        <v>1</v>
      </c>
      <c r="L2856" s="2">
        <v>157.0609</v>
      </c>
      <c r="M2856" s="1">
        <v>46105.497916666667</v>
      </c>
      <c r="N2856" t="s">
        <v>165</v>
      </c>
    </row>
    <row r="2857" spans="1:14" x14ac:dyDescent="0.25">
      <c r="A2857" s="9" t="s">
        <v>5211</v>
      </c>
      <c r="B2857" s="10">
        <v>636</v>
      </c>
      <c r="C2857" s="10" t="s">
        <v>143</v>
      </c>
      <c r="D2857" t="s">
        <v>1072</v>
      </c>
      <c r="E2857" t="s">
        <v>1073</v>
      </c>
      <c r="F2857" s="10" t="s">
        <v>158</v>
      </c>
      <c r="G2857" s="2">
        <v>170.52330000000001</v>
      </c>
      <c r="H2857" s="13">
        <v>1</v>
      </c>
      <c r="I2857" s="13">
        <v>0</v>
      </c>
      <c r="J2857" s="13">
        <v>0</v>
      </c>
      <c r="K2857" s="10">
        <v>1</v>
      </c>
      <c r="L2857" s="2">
        <v>170.52330000000001</v>
      </c>
      <c r="M2857" s="1">
        <v>46105.497916666667</v>
      </c>
      <c r="N2857" t="s">
        <v>165</v>
      </c>
    </row>
    <row r="2858" spans="1:14" x14ac:dyDescent="0.25">
      <c r="A2858" s="9" t="s">
        <v>5211</v>
      </c>
      <c r="B2858" s="10">
        <v>636</v>
      </c>
      <c r="C2858" s="10" t="s">
        <v>143</v>
      </c>
      <c r="D2858" t="s">
        <v>1084</v>
      </c>
      <c r="E2858" t="s">
        <v>1085</v>
      </c>
      <c r="F2858" s="10" t="s">
        <v>19</v>
      </c>
      <c r="G2858" s="2">
        <v>263.63799999999998</v>
      </c>
      <c r="H2858" s="13">
        <v>1</v>
      </c>
      <c r="I2858" s="13">
        <v>0</v>
      </c>
      <c r="J2858" s="13">
        <v>0</v>
      </c>
      <c r="K2858" s="10">
        <v>1</v>
      </c>
      <c r="L2858" s="2">
        <v>263.63799999999998</v>
      </c>
      <c r="M2858" s="1">
        <v>46105.497916666667</v>
      </c>
      <c r="N2858" t="s">
        <v>165</v>
      </c>
    </row>
    <row r="2859" spans="1:14" x14ac:dyDescent="0.25">
      <c r="A2859" s="9" t="s">
        <v>5211</v>
      </c>
      <c r="B2859" s="10">
        <v>714</v>
      </c>
      <c r="C2859" s="10" t="s">
        <v>143</v>
      </c>
      <c r="D2859" t="s">
        <v>2284</v>
      </c>
      <c r="E2859" t="s">
        <v>2285</v>
      </c>
      <c r="F2859" s="10" t="s">
        <v>23</v>
      </c>
      <c r="G2859" s="2">
        <v>41.631500000000003</v>
      </c>
      <c r="H2859" s="13">
        <v>1</v>
      </c>
      <c r="I2859" s="13">
        <v>-2</v>
      </c>
      <c r="J2859" s="13">
        <v>2</v>
      </c>
      <c r="K2859" s="10">
        <v>1</v>
      </c>
      <c r="L2859" s="2">
        <v>41.631500000000003</v>
      </c>
      <c r="M2859" s="1">
        <v>46105.560416666667</v>
      </c>
      <c r="N2859" t="s">
        <v>216</v>
      </c>
    </row>
    <row r="2860" spans="1:14" x14ac:dyDescent="0.25">
      <c r="A2860" s="9" t="s">
        <v>5211</v>
      </c>
      <c r="B2860" s="10">
        <v>636</v>
      </c>
      <c r="C2860" s="10" t="s">
        <v>143</v>
      </c>
      <c r="D2860" t="s">
        <v>1015</v>
      </c>
      <c r="E2860" t="s">
        <v>1016</v>
      </c>
      <c r="F2860" s="10" t="s">
        <v>23</v>
      </c>
      <c r="G2860" s="2">
        <v>185.6026</v>
      </c>
      <c r="H2860" s="13">
        <v>1</v>
      </c>
      <c r="I2860" s="13">
        <v>0</v>
      </c>
      <c r="J2860" s="13">
        <v>0</v>
      </c>
      <c r="K2860" s="10">
        <v>1</v>
      </c>
      <c r="L2860" s="2">
        <v>185.6026</v>
      </c>
      <c r="M2860" s="1">
        <v>46106.444444444445</v>
      </c>
      <c r="N2860" t="s">
        <v>357</v>
      </c>
    </row>
    <row r="2861" spans="1:14" x14ac:dyDescent="0.25">
      <c r="A2861" s="9" t="s">
        <v>5211</v>
      </c>
      <c r="B2861" s="10">
        <v>636</v>
      </c>
      <c r="C2861" s="10" t="s">
        <v>323</v>
      </c>
      <c r="D2861" t="s">
        <v>1417</v>
      </c>
      <c r="E2861" t="s">
        <v>1418</v>
      </c>
      <c r="F2861" s="10" t="s">
        <v>23</v>
      </c>
      <c r="G2861" s="2">
        <v>205.39689999999999</v>
      </c>
      <c r="H2861" s="13">
        <v>1</v>
      </c>
      <c r="I2861" s="13">
        <v>0</v>
      </c>
      <c r="J2861" s="13">
        <v>0</v>
      </c>
      <c r="K2861" s="10">
        <v>1</v>
      </c>
      <c r="L2861" s="2">
        <v>205.39689999999999</v>
      </c>
      <c r="M2861" s="1">
        <v>46106.444444444445</v>
      </c>
      <c r="N2861" t="s">
        <v>357</v>
      </c>
    </row>
    <row r="2862" spans="1:14" x14ac:dyDescent="0.25">
      <c r="A2862" s="9" t="s">
        <v>5211</v>
      </c>
      <c r="B2862" s="10">
        <v>634</v>
      </c>
      <c r="C2862" s="10" t="s">
        <v>143</v>
      </c>
      <c r="D2862" t="s">
        <v>4206</v>
      </c>
      <c r="E2862" t="s">
        <v>4207</v>
      </c>
      <c r="F2862" s="10" t="s">
        <v>39</v>
      </c>
      <c r="G2862" s="2">
        <v>26.206800000000001</v>
      </c>
      <c r="H2862" s="13">
        <v>1</v>
      </c>
      <c r="I2862" s="13">
        <v>8</v>
      </c>
      <c r="J2862" s="13">
        <v>-8</v>
      </c>
      <c r="K2862" s="10">
        <v>1</v>
      </c>
      <c r="L2862" s="2">
        <v>26.206800000000001</v>
      </c>
      <c r="M2862" s="1">
        <v>46106.45</v>
      </c>
      <c r="N2862" t="s">
        <v>268</v>
      </c>
    </row>
    <row r="2863" spans="1:14" x14ac:dyDescent="0.25">
      <c r="A2863" s="9" t="s">
        <v>5211</v>
      </c>
      <c r="B2863" s="10">
        <v>634</v>
      </c>
      <c r="C2863" s="10" t="s">
        <v>143</v>
      </c>
      <c r="D2863" t="s">
        <v>266</v>
      </c>
      <c r="E2863" t="s">
        <v>267</v>
      </c>
      <c r="F2863" s="10" t="s">
        <v>29</v>
      </c>
      <c r="G2863" s="2">
        <v>26.206800000000001</v>
      </c>
      <c r="H2863" s="13">
        <v>1</v>
      </c>
      <c r="I2863" s="13">
        <v>0</v>
      </c>
      <c r="J2863" s="13">
        <v>0</v>
      </c>
      <c r="K2863" s="10">
        <v>1</v>
      </c>
      <c r="L2863" s="2">
        <v>26.206800000000001</v>
      </c>
      <c r="M2863" s="1">
        <v>46106.45</v>
      </c>
      <c r="N2863" t="s">
        <v>268</v>
      </c>
    </row>
    <row r="2864" spans="1:14" x14ac:dyDescent="0.25">
      <c r="A2864" s="9" t="s">
        <v>5211</v>
      </c>
      <c r="B2864" s="10">
        <v>636</v>
      </c>
      <c r="C2864" s="10" t="s">
        <v>323</v>
      </c>
      <c r="D2864" t="s">
        <v>1390</v>
      </c>
      <c r="E2864" t="s">
        <v>1391</v>
      </c>
      <c r="F2864" s="10" t="s">
        <v>29</v>
      </c>
      <c r="G2864" s="2">
        <v>141.916</v>
      </c>
      <c r="H2864" s="13">
        <v>1</v>
      </c>
      <c r="I2864" s="13">
        <v>-6</v>
      </c>
      <c r="J2864" s="13">
        <v>6</v>
      </c>
      <c r="K2864" s="10">
        <v>1</v>
      </c>
      <c r="L2864" s="2">
        <v>141.916</v>
      </c>
      <c r="M2864" s="1">
        <v>46107.402083333334</v>
      </c>
      <c r="N2864" t="s">
        <v>354</v>
      </c>
    </row>
    <row r="2865" spans="1:14" x14ac:dyDescent="0.25">
      <c r="A2865" s="9" t="s">
        <v>5211</v>
      </c>
      <c r="B2865" s="10">
        <v>636</v>
      </c>
      <c r="C2865" s="10" t="s">
        <v>323</v>
      </c>
      <c r="D2865" t="s">
        <v>1375</v>
      </c>
      <c r="E2865" t="s">
        <v>1376</v>
      </c>
      <c r="F2865" s="10" t="s">
        <v>19</v>
      </c>
      <c r="G2865" s="2">
        <v>327.96550000000002</v>
      </c>
      <c r="H2865" s="13">
        <v>1</v>
      </c>
      <c r="I2865" s="13">
        <v>-2</v>
      </c>
      <c r="J2865" s="13">
        <v>2</v>
      </c>
      <c r="K2865" s="10">
        <v>1</v>
      </c>
      <c r="L2865" s="2">
        <v>327.96550000000002</v>
      </c>
      <c r="M2865" s="1">
        <v>46107.522222222222</v>
      </c>
      <c r="N2865" t="s">
        <v>178</v>
      </c>
    </row>
    <row r="2866" spans="1:14" x14ac:dyDescent="0.25">
      <c r="A2866" s="9" t="s">
        <v>5211</v>
      </c>
      <c r="B2866" s="10">
        <v>636</v>
      </c>
      <c r="C2866" s="10" t="s">
        <v>323</v>
      </c>
      <c r="D2866" t="s">
        <v>1536</v>
      </c>
      <c r="E2866" t="s">
        <v>1537</v>
      </c>
      <c r="F2866" s="10" t="s">
        <v>29</v>
      </c>
      <c r="G2866" s="2">
        <v>351.8175</v>
      </c>
      <c r="H2866" s="13">
        <v>1</v>
      </c>
      <c r="I2866" s="13">
        <v>0</v>
      </c>
      <c r="J2866" s="13">
        <v>0</v>
      </c>
      <c r="K2866" s="10">
        <v>1</v>
      </c>
      <c r="L2866" s="2">
        <v>351.8175</v>
      </c>
      <c r="M2866" s="1">
        <v>46107.522222222222</v>
      </c>
      <c r="N2866" t="s">
        <v>178</v>
      </c>
    </row>
    <row r="2867" spans="1:14" x14ac:dyDescent="0.25">
      <c r="A2867" s="9" t="s">
        <v>5211</v>
      </c>
      <c r="B2867" s="10">
        <v>636</v>
      </c>
      <c r="C2867" s="10" t="s">
        <v>143</v>
      </c>
      <c r="D2867" t="s">
        <v>1054</v>
      </c>
      <c r="E2867" t="s">
        <v>1055</v>
      </c>
      <c r="F2867" s="10" t="s">
        <v>23</v>
      </c>
      <c r="G2867" s="2">
        <v>107.3342</v>
      </c>
      <c r="H2867" s="13">
        <v>1</v>
      </c>
      <c r="I2867" s="13">
        <v>0</v>
      </c>
      <c r="J2867" s="13">
        <v>0</v>
      </c>
      <c r="K2867" s="10">
        <v>1</v>
      </c>
      <c r="L2867" s="2">
        <v>107.3342</v>
      </c>
      <c r="M2867" s="1">
        <v>46107.522222222222</v>
      </c>
      <c r="N2867" t="s">
        <v>178</v>
      </c>
    </row>
    <row r="2868" spans="1:14" x14ac:dyDescent="0.25">
      <c r="A2868" s="9" t="s">
        <v>5211</v>
      </c>
      <c r="B2868" s="10">
        <v>636</v>
      </c>
      <c r="C2868" s="10" t="s">
        <v>143</v>
      </c>
      <c r="D2868" t="s">
        <v>1167</v>
      </c>
      <c r="E2868" t="s">
        <v>1168</v>
      </c>
      <c r="F2868" s="10" t="s">
        <v>19</v>
      </c>
      <c r="G2868" s="2">
        <v>134.76400000000001</v>
      </c>
      <c r="H2868" s="13">
        <v>1</v>
      </c>
      <c r="I2868" s="13">
        <v>0</v>
      </c>
      <c r="J2868" s="13">
        <v>0</v>
      </c>
      <c r="K2868" s="10">
        <v>1</v>
      </c>
      <c r="L2868" s="2">
        <v>134.76400000000001</v>
      </c>
      <c r="M2868" s="1">
        <v>46107.522222222222</v>
      </c>
      <c r="N2868" t="s">
        <v>178</v>
      </c>
    </row>
    <row r="2869" spans="1:14" x14ac:dyDescent="0.25">
      <c r="A2869" s="9" t="s">
        <v>5211</v>
      </c>
      <c r="B2869" s="10">
        <v>636</v>
      </c>
      <c r="C2869" s="10" t="s">
        <v>323</v>
      </c>
      <c r="D2869" t="s">
        <v>1743</v>
      </c>
      <c r="E2869" t="s">
        <v>1744</v>
      </c>
      <c r="F2869" s="10" t="s">
        <v>19</v>
      </c>
      <c r="G2869" s="2">
        <v>304.11340000000001</v>
      </c>
      <c r="H2869" s="13">
        <v>1</v>
      </c>
      <c r="I2869" s="13">
        <v>0</v>
      </c>
      <c r="J2869" s="13">
        <v>0</v>
      </c>
      <c r="K2869" s="10">
        <v>1</v>
      </c>
      <c r="L2869" s="2">
        <v>304.11340000000001</v>
      </c>
      <c r="M2869" s="1">
        <v>46107.522222222222</v>
      </c>
      <c r="N2869" t="s">
        <v>178</v>
      </c>
    </row>
    <row r="2870" spans="1:14" x14ac:dyDescent="0.25">
      <c r="A2870" s="9" t="s">
        <v>5211</v>
      </c>
      <c r="B2870" s="10">
        <v>636</v>
      </c>
      <c r="C2870" s="10" t="s">
        <v>323</v>
      </c>
      <c r="D2870" t="s">
        <v>1670</v>
      </c>
      <c r="E2870" t="s">
        <v>1671</v>
      </c>
      <c r="F2870" s="10" t="s">
        <v>29</v>
      </c>
      <c r="G2870" s="2">
        <v>447.22559999999999</v>
      </c>
      <c r="H2870" s="13">
        <v>1</v>
      </c>
      <c r="I2870" s="13">
        <v>0</v>
      </c>
      <c r="J2870" s="13">
        <v>0</v>
      </c>
      <c r="K2870" s="10">
        <v>1</v>
      </c>
      <c r="L2870" s="2">
        <v>447.22559999999999</v>
      </c>
      <c r="M2870" s="1">
        <v>46107.522222222222</v>
      </c>
      <c r="N2870" t="s">
        <v>178</v>
      </c>
    </row>
    <row r="2871" spans="1:14" x14ac:dyDescent="0.25">
      <c r="A2871" s="9" t="s">
        <v>5211</v>
      </c>
      <c r="B2871" s="10">
        <v>636</v>
      </c>
      <c r="C2871" s="10" t="s">
        <v>323</v>
      </c>
      <c r="D2871" t="s">
        <v>381</v>
      </c>
      <c r="E2871" t="s">
        <v>382</v>
      </c>
      <c r="F2871" s="10" t="s">
        <v>29</v>
      </c>
      <c r="G2871" s="2">
        <v>204.25620000000001</v>
      </c>
      <c r="H2871" s="13">
        <v>1</v>
      </c>
      <c r="I2871" s="13">
        <v>0</v>
      </c>
      <c r="J2871" s="13">
        <v>0</v>
      </c>
      <c r="K2871" s="10">
        <v>1</v>
      </c>
      <c r="L2871" s="2">
        <v>204.25620000000001</v>
      </c>
      <c r="M2871" s="1">
        <v>46107.539583333331</v>
      </c>
      <c r="N2871" t="s">
        <v>295</v>
      </c>
    </row>
    <row r="2872" spans="1:14" x14ac:dyDescent="0.25">
      <c r="A2872" s="9" t="s">
        <v>5211</v>
      </c>
      <c r="B2872" s="10">
        <v>636</v>
      </c>
      <c r="C2872" s="10" t="s">
        <v>143</v>
      </c>
      <c r="D2872" t="s">
        <v>1112</v>
      </c>
      <c r="E2872" t="s">
        <v>1113</v>
      </c>
      <c r="F2872" s="10" t="s">
        <v>29</v>
      </c>
      <c r="G2872" s="2">
        <v>252.25409999999999</v>
      </c>
      <c r="H2872" s="13">
        <v>1</v>
      </c>
      <c r="I2872" s="13">
        <v>0</v>
      </c>
      <c r="J2872" s="13">
        <v>0</v>
      </c>
      <c r="K2872" s="10">
        <v>1</v>
      </c>
      <c r="L2872" s="2">
        <v>252.25409999999999</v>
      </c>
      <c r="M2872" s="1">
        <v>46108.503472222219</v>
      </c>
      <c r="N2872" t="s">
        <v>151</v>
      </c>
    </row>
    <row r="2873" spans="1:14" x14ac:dyDescent="0.25">
      <c r="A2873" s="9" t="s">
        <v>5211</v>
      </c>
      <c r="B2873" s="10">
        <v>714</v>
      </c>
      <c r="C2873" s="10" t="s">
        <v>323</v>
      </c>
      <c r="D2873" t="s">
        <v>493</v>
      </c>
      <c r="E2873" t="s">
        <v>494</v>
      </c>
      <c r="F2873" s="10" t="s">
        <v>158</v>
      </c>
      <c r="G2873" s="2">
        <v>290.74259999999998</v>
      </c>
      <c r="H2873" s="13">
        <v>1</v>
      </c>
      <c r="I2873" s="13">
        <v>0</v>
      </c>
      <c r="J2873" s="13">
        <v>0</v>
      </c>
      <c r="K2873" s="10">
        <v>1</v>
      </c>
      <c r="L2873" s="2">
        <v>290.74259999999998</v>
      </c>
      <c r="M2873" s="1">
        <v>46111.46597222222</v>
      </c>
      <c r="N2873" t="s">
        <v>2358</v>
      </c>
    </row>
    <row r="2874" spans="1:14" x14ac:dyDescent="0.25">
      <c r="A2874" s="9" t="s">
        <v>5211</v>
      </c>
      <c r="B2874" s="10">
        <v>714</v>
      </c>
      <c r="C2874" s="10" t="s">
        <v>323</v>
      </c>
      <c r="D2874" t="s">
        <v>3176</v>
      </c>
      <c r="E2874" s="6" t="s">
        <v>3177</v>
      </c>
      <c r="F2874" s="11" t="s">
        <v>58</v>
      </c>
      <c r="G2874" s="2">
        <v>133.9503</v>
      </c>
      <c r="H2874" s="13">
        <v>1</v>
      </c>
      <c r="I2874" s="13">
        <v>0</v>
      </c>
      <c r="J2874" s="13">
        <v>0</v>
      </c>
      <c r="K2874" s="10">
        <v>1</v>
      </c>
      <c r="L2874" s="2">
        <v>133.9503</v>
      </c>
      <c r="M2874" s="1">
        <v>46112.315972222219</v>
      </c>
      <c r="N2874" t="s">
        <v>36</v>
      </c>
    </row>
    <row r="2875" spans="1:14" x14ac:dyDescent="0.25">
      <c r="A2875" s="9" t="s">
        <v>5211</v>
      </c>
      <c r="B2875" s="10">
        <v>714</v>
      </c>
      <c r="C2875" s="10" t="s">
        <v>143</v>
      </c>
      <c r="D2875" t="s">
        <v>4843</v>
      </c>
      <c r="E2875" t="s">
        <v>4844</v>
      </c>
      <c r="F2875" s="10" t="s">
        <v>39</v>
      </c>
      <c r="G2875" s="2">
        <v>100.4379</v>
      </c>
      <c r="H2875" s="13">
        <v>1</v>
      </c>
      <c r="I2875" s="13">
        <v>2</v>
      </c>
      <c r="J2875" s="13">
        <v>-2</v>
      </c>
      <c r="K2875" s="10">
        <v>1</v>
      </c>
      <c r="L2875" s="2">
        <v>100.4379</v>
      </c>
      <c r="M2875" s="1">
        <v>46112.315972222219</v>
      </c>
      <c r="N2875" t="s">
        <v>36</v>
      </c>
    </row>
    <row r="2876" spans="1:14" x14ac:dyDescent="0.25">
      <c r="A2876" s="9" t="s">
        <v>5211</v>
      </c>
      <c r="B2876" s="10">
        <v>636</v>
      </c>
      <c r="C2876" s="10" t="s">
        <v>323</v>
      </c>
      <c r="D2876" t="s">
        <v>1373</v>
      </c>
      <c r="E2876" t="s">
        <v>1374</v>
      </c>
      <c r="F2876" s="10" t="s">
        <v>29</v>
      </c>
      <c r="G2876" s="2">
        <v>247.91419999999999</v>
      </c>
      <c r="H2876" s="13">
        <v>1</v>
      </c>
      <c r="I2876" s="13">
        <v>0</v>
      </c>
      <c r="J2876" s="13">
        <v>0</v>
      </c>
      <c r="K2876" s="10">
        <v>1</v>
      </c>
      <c r="L2876" s="2">
        <v>247.91419999999999</v>
      </c>
      <c r="M2876" s="1">
        <v>46112.343055555553</v>
      </c>
      <c r="N2876" t="s">
        <v>137</v>
      </c>
    </row>
    <row r="2877" spans="1:14" x14ac:dyDescent="0.25">
      <c r="A2877" s="9" t="s">
        <v>5211</v>
      </c>
      <c r="B2877" s="10">
        <v>718</v>
      </c>
      <c r="C2877" s="10" t="s">
        <v>323</v>
      </c>
      <c r="D2877" t="s">
        <v>3482</v>
      </c>
      <c r="E2877" t="s">
        <v>3483</v>
      </c>
      <c r="F2877" s="10" t="s">
        <v>23</v>
      </c>
      <c r="G2877" s="2">
        <v>216.23599999999999</v>
      </c>
      <c r="H2877" s="13">
        <v>1</v>
      </c>
      <c r="I2877" s="13">
        <v>3</v>
      </c>
      <c r="J2877" s="13">
        <v>-3</v>
      </c>
      <c r="K2877" s="10">
        <v>1</v>
      </c>
      <c r="L2877" s="2">
        <v>216.23599999999999</v>
      </c>
      <c r="M2877" s="1">
        <v>46112.350694444445</v>
      </c>
      <c r="N2877" t="s">
        <v>36</v>
      </c>
    </row>
    <row r="2878" spans="1:14" x14ac:dyDescent="0.25">
      <c r="A2878" s="9" t="s">
        <v>5211</v>
      </c>
      <c r="B2878" s="10">
        <v>718</v>
      </c>
      <c r="C2878" s="10" t="s">
        <v>143</v>
      </c>
      <c r="D2878" t="s">
        <v>4835</v>
      </c>
      <c r="E2878" t="s">
        <v>4836</v>
      </c>
      <c r="F2878" s="10" t="s">
        <v>23</v>
      </c>
      <c r="G2878" s="2">
        <v>37.555300000000003</v>
      </c>
      <c r="H2878" s="13">
        <v>1</v>
      </c>
      <c r="I2878" s="13">
        <v>5</v>
      </c>
      <c r="J2878" s="13">
        <v>-5</v>
      </c>
      <c r="K2878" s="10">
        <v>1</v>
      </c>
      <c r="L2878" s="2">
        <v>37.555300000000003</v>
      </c>
      <c r="M2878" s="1">
        <v>46112.350694444445</v>
      </c>
      <c r="N2878" t="s">
        <v>36</v>
      </c>
    </row>
    <row r="2879" spans="1:14" x14ac:dyDescent="0.25">
      <c r="A2879" s="9" t="s">
        <v>5211</v>
      </c>
      <c r="B2879" s="10">
        <v>718</v>
      </c>
      <c r="C2879" s="10" t="s">
        <v>143</v>
      </c>
      <c r="D2879" t="s">
        <v>5144</v>
      </c>
      <c r="E2879" t="s">
        <v>5145</v>
      </c>
      <c r="F2879" s="10" t="s">
        <v>39</v>
      </c>
      <c r="G2879" s="2">
        <v>38.3399</v>
      </c>
      <c r="H2879" s="13">
        <v>1</v>
      </c>
      <c r="I2879" s="13">
        <v>1</v>
      </c>
      <c r="J2879" s="13">
        <v>-1</v>
      </c>
      <c r="K2879" s="10">
        <v>1</v>
      </c>
      <c r="L2879" s="2">
        <v>38.3399</v>
      </c>
      <c r="M2879" s="1">
        <v>46112.350694444445</v>
      </c>
      <c r="N2879" t="s">
        <v>36</v>
      </c>
    </row>
    <row r="2880" spans="1:14" x14ac:dyDescent="0.25">
      <c r="A2880" s="9" t="s">
        <v>5211</v>
      </c>
      <c r="B2880" s="10">
        <v>718</v>
      </c>
      <c r="C2880" s="10" t="s">
        <v>143</v>
      </c>
      <c r="D2880" t="s">
        <v>2336</v>
      </c>
      <c r="E2880" t="s">
        <v>2337</v>
      </c>
      <c r="F2880" s="10" t="s">
        <v>23</v>
      </c>
      <c r="G2880" s="2">
        <v>168.09450000000001</v>
      </c>
      <c r="H2880" s="13">
        <v>1</v>
      </c>
      <c r="I2880" s="13">
        <v>0</v>
      </c>
      <c r="J2880" s="13">
        <v>0</v>
      </c>
      <c r="K2880" s="10">
        <v>1</v>
      </c>
      <c r="L2880" s="2">
        <v>168.09450000000001</v>
      </c>
      <c r="M2880" s="1">
        <v>46112.350694444445</v>
      </c>
      <c r="N2880" t="s">
        <v>36</v>
      </c>
    </row>
    <row r="2881" spans="1:14" x14ac:dyDescent="0.25">
      <c r="A2881" s="9" t="s">
        <v>5211</v>
      </c>
      <c r="B2881" s="10">
        <v>718</v>
      </c>
      <c r="C2881" s="10" t="s">
        <v>143</v>
      </c>
      <c r="D2881" t="s">
        <v>4849</v>
      </c>
      <c r="E2881" t="s">
        <v>4850</v>
      </c>
      <c r="F2881" s="10" t="s">
        <v>23</v>
      </c>
      <c r="G2881" s="2">
        <v>182.6251</v>
      </c>
      <c r="H2881" s="13">
        <v>1</v>
      </c>
      <c r="I2881" s="13">
        <v>3</v>
      </c>
      <c r="J2881" s="13">
        <v>-3</v>
      </c>
      <c r="K2881" s="10">
        <v>1</v>
      </c>
      <c r="L2881" s="2">
        <v>182.6251</v>
      </c>
      <c r="M2881" s="1">
        <v>46112.350694444445</v>
      </c>
      <c r="N2881" t="s">
        <v>36</v>
      </c>
    </row>
    <row r="2882" spans="1:14" x14ac:dyDescent="0.25">
      <c r="A2882" s="9" t="s">
        <v>5211</v>
      </c>
      <c r="B2882" s="10">
        <v>718</v>
      </c>
      <c r="C2882" s="10" t="s">
        <v>143</v>
      </c>
      <c r="D2882" t="s">
        <v>4545</v>
      </c>
      <c r="E2882" t="s">
        <v>4546</v>
      </c>
      <c r="F2882" s="10" t="s">
        <v>39</v>
      </c>
      <c r="G2882" s="2">
        <v>34.177599999999998</v>
      </c>
      <c r="H2882" s="13">
        <v>1</v>
      </c>
      <c r="I2882" s="13">
        <v>1</v>
      </c>
      <c r="J2882" s="13">
        <v>-1</v>
      </c>
      <c r="K2882" s="10">
        <v>1</v>
      </c>
      <c r="L2882" s="2">
        <v>34.177599999999998</v>
      </c>
      <c r="M2882" s="1">
        <v>46112.350694444445</v>
      </c>
      <c r="N2882" t="s">
        <v>36</v>
      </c>
    </row>
    <row r="2883" spans="1:14" x14ac:dyDescent="0.25">
      <c r="A2883" s="9" t="s">
        <v>5211</v>
      </c>
      <c r="B2883" s="10">
        <v>718</v>
      </c>
      <c r="C2883" s="10" t="s">
        <v>323</v>
      </c>
      <c r="D2883" t="s">
        <v>3033</v>
      </c>
      <c r="E2883" t="s">
        <v>3034</v>
      </c>
      <c r="F2883" s="10" t="s">
        <v>39</v>
      </c>
      <c r="G2883" s="2">
        <v>63.408799999999999</v>
      </c>
      <c r="H2883" s="13">
        <v>1</v>
      </c>
      <c r="I2883" s="13">
        <v>1</v>
      </c>
      <c r="J2883" s="13">
        <v>-1</v>
      </c>
      <c r="K2883" s="10">
        <v>1</v>
      </c>
      <c r="L2883" s="2">
        <v>63.408799999999999</v>
      </c>
      <c r="M2883" s="1">
        <v>46112.350694444445</v>
      </c>
      <c r="N2883" t="s">
        <v>36</v>
      </c>
    </row>
    <row r="2884" spans="1:14" x14ac:dyDescent="0.25">
      <c r="A2884" s="9" t="s">
        <v>5211</v>
      </c>
      <c r="B2884" s="10">
        <v>636</v>
      </c>
      <c r="C2884" s="10" t="s">
        <v>12</v>
      </c>
      <c r="D2884" t="s">
        <v>4399</v>
      </c>
      <c r="E2884" t="s">
        <v>4400</v>
      </c>
      <c r="F2884" s="10" t="s">
        <v>39</v>
      </c>
      <c r="G2884" s="2">
        <v>7.3402000000000003</v>
      </c>
      <c r="H2884" s="13">
        <v>1</v>
      </c>
      <c r="I2884" s="13">
        <v>0</v>
      </c>
      <c r="J2884" s="13">
        <v>0</v>
      </c>
      <c r="K2884" s="10">
        <v>1</v>
      </c>
      <c r="L2884" s="2">
        <v>7.3402000000000003</v>
      </c>
      <c r="M2884" s="1">
        <v>46112.457638888889</v>
      </c>
      <c r="N2884" t="s">
        <v>40</v>
      </c>
    </row>
    <row r="2885" spans="1:14" x14ac:dyDescent="0.25">
      <c r="A2885" s="9" t="s">
        <v>5211</v>
      </c>
      <c r="B2885" s="10">
        <v>634</v>
      </c>
      <c r="C2885" s="10" t="s">
        <v>70</v>
      </c>
      <c r="D2885" t="s">
        <v>88</v>
      </c>
      <c r="E2885" t="s">
        <v>89</v>
      </c>
      <c r="F2885" s="10" t="s">
        <v>29</v>
      </c>
      <c r="G2885" s="2">
        <v>18.239999999999998</v>
      </c>
      <c r="H2885" s="13">
        <v>1</v>
      </c>
      <c r="I2885" s="13">
        <v>0</v>
      </c>
      <c r="J2885" s="13">
        <v>0</v>
      </c>
      <c r="K2885" s="10">
        <v>1</v>
      </c>
      <c r="L2885" s="2">
        <v>18.239999999999998</v>
      </c>
      <c r="M2885" s="1">
        <v>46113.434027777781</v>
      </c>
      <c r="N2885" t="s">
        <v>16</v>
      </c>
    </row>
    <row r="2886" spans="1:14" x14ac:dyDescent="0.25">
      <c r="A2886" s="9" t="s">
        <v>5211</v>
      </c>
      <c r="B2886" s="10">
        <v>636</v>
      </c>
      <c r="C2886" s="10" t="s">
        <v>143</v>
      </c>
      <c r="D2886" t="s">
        <v>1050</v>
      </c>
      <c r="E2886" t="s">
        <v>1051</v>
      </c>
      <c r="F2886" s="10" t="s">
        <v>19</v>
      </c>
      <c r="G2886" s="2">
        <v>159.2105</v>
      </c>
      <c r="H2886" s="13">
        <v>1</v>
      </c>
      <c r="I2886" s="13">
        <v>0</v>
      </c>
      <c r="J2886" s="13">
        <v>0</v>
      </c>
      <c r="K2886" s="10">
        <v>1</v>
      </c>
      <c r="L2886" s="2">
        <v>159.2105</v>
      </c>
      <c r="M2886" s="1">
        <v>46113.468055555553</v>
      </c>
      <c r="N2886" t="s">
        <v>486</v>
      </c>
    </row>
    <row r="2887" spans="1:14" x14ac:dyDescent="0.25">
      <c r="A2887" s="9" t="s">
        <v>5211</v>
      </c>
      <c r="B2887" s="10">
        <v>636</v>
      </c>
      <c r="C2887" s="10" t="s">
        <v>323</v>
      </c>
      <c r="D2887" t="s">
        <v>1380</v>
      </c>
      <c r="E2887" t="s">
        <v>1381</v>
      </c>
      <c r="F2887" s="10" t="s">
        <v>29</v>
      </c>
      <c r="G2887" s="2">
        <v>293.5444</v>
      </c>
      <c r="H2887" s="13">
        <v>1</v>
      </c>
      <c r="I2887" s="13">
        <v>0</v>
      </c>
      <c r="J2887" s="13">
        <v>0</v>
      </c>
      <c r="K2887" s="10">
        <v>1</v>
      </c>
      <c r="L2887" s="2">
        <v>293.5444</v>
      </c>
      <c r="M2887" s="1">
        <v>46113.468055555553</v>
      </c>
      <c r="N2887" t="s">
        <v>486</v>
      </c>
    </row>
    <row r="2888" spans="1:14" x14ac:dyDescent="0.25">
      <c r="A2888" s="9" t="s">
        <v>5211</v>
      </c>
      <c r="B2888" s="10">
        <v>634</v>
      </c>
      <c r="C2888" s="10" t="s">
        <v>323</v>
      </c>
      <c r="D2888" t="s">
        <v>341</v>
      </c>
      <c r="E2888" t="s">
        <v>342</v>
      </c>
      <c r="F2888" s="10" t="s">
        <v>29</v>
      </c>
      <c r="G2888" s="2">
        <v>292.77339999999998</v>
      </c>
      <c r="H2888" s="13">
        <v>1</v>
      </c>
      <c r="I2888" s="13">
        <v>0</v>
      </c>
      <c r="J2888" s="13">
        <v>0</v>
      </c>
      <c r="K2888" s="10">
        <v>1</v>
      </c>
      <c r="L2888" s="2">
        <v>292.77339999999998</v>
      </c>
      <c r="M2888" s="1">
        <v>46113.665277777778</v>
      </c>
      <c r="N2888" t="s">
        <v>137</v>
      </c>
    </row>
    <row r="2889" spans="1:14" x14ac:dyDescent="0.25">
      <c r="A2889" s="9" t="s">
        <v>5211</v>
      </c>
      <c r="B2889" s="10">
        <v>634</v>
      </c>
      <c r="C2889" s="10" t="s">
        <v>143</v>
      </c>
      <c r="D2889" t="s">
        <v>187</v>
      </c>
      <c r="E2889" t="s">
        <v>188</v>
      </c>
      <c r="F2889" s="10" t="s">
        <v>29</v>
      </c>
      <c r="G2889" s="2">
        <v>121.9889</v>
      </c>
      <c r="H2889" s="13">
        <v>1</v>
      </c>
      <c r="I2889" s="13">
        <v>0</v>
      </c>
      <c r="J2889" s="13">
        <v>0</v>
      </c>
      <c r="K2889" s="10">
        <v>1</v>
      </c>
      <c r="L2889" s="2">
        <v>121.9889</v>
      </c>
      <c r="M2889" s="1">
        <v>46113.665277777778</v>
      </c>
      <c r="N2889" t="s">
        <v>137</v>
      </c>
    </row>
    <row r="2890" spans="1:14" x14ac:dyDescent="0.25">
      <c r="A2890" s="9" t="s">
        <v>5211</v>
      </c>
      <c r="B2890" s="10">
        <v>634</v>
      </c>
      <c r="C2890" s="10" t="s">
        <v>323</v>
      </c>
      <c r="D2890" t="s">
        <v>445</v>
      </c>
      <c r="E2890" t="s">
        <v>446</v>
      </c>
      <c r="F2890" s="10" t="s">
        <v>29</v>
      </c>
      <c r="G2890" s="2">
        <v>229.33920000000001</v>
      </c>
      <c r="H2890" s="13">
        <v>1</v>
      </c>
      <c r="I2890" s="13">
        <v>-2</v>
      </c>
      <c r="J2890" s="13">
        <v>2</v>
      </c>
      <c r="K2890" s="10">
        <v>1</v>
      </c>
      <c r="L2890" s="2">
        <v>229.33920000000001</v>
      </c>
      <c r="M2890" s="1">
        <v>46113.665277777778</v>
      </c>
      <c r="N2890" t="s">
        <v>137</v>
      </c>
    </row>
    <row r="2891" spans="1:14" x14ac:dyDescent="0.25">
      <c r="A2891" s="9" t="s">
        <v>5211</v>
      </c>
      <c r="B2891" s="10">
        <v>636</v>
      </c>
      <c r="C2891" s="10" t="s">
        <v>70</v>
      </c>
      <c r="D2891" t="s">
        <v>853</v>
      </c>
      <c r="E2891" t="s">
        <v>854</v>
      </c>
      <c r="F2891" s="10" t="s">
        <v>39</v>
      </c>
      <c r="G2891" s="2">
        <v>11.5572</v>
      </c>
      <c r="H2891" s="13">
        <v>1</v>
      </c>
      <c r="I2891" s="13">
        <v>0</v>
      </c>
      <c r="J2891" s="13">
        <v>0</v>
      </c>
      <c r="K2891" s="10">
        <v>1</v>
      </c>
      <c r="L2891" s="2">
        <v>11.5572</v>
      </c>
      <c r="M2891" s="1">
        <v>46114.597916666666</v>
      </c>
      <c r="N2891" t="s">
        <v>797</v>
      </c>
    </row>
    <row r="2892" spans="1:14" x14ac:dyDescent="0.25">
      <c r="A2892" s="9" t="s">
        <v>5211</v>
      </c>
      <c r="B2892" s="10">
        <v>636</v>
      </c>
      <c r="C2892" s="10" t="s">
        <v>70</v>
      </c>
      <c r="D2892" t="s">
        <v>4431</v>
      </c>
      <c r="E2892" t="s">
        <v>4432</v>
      </c>
      <c r="F2892" s="10" t="s">
        <v>29</v>
      </c>
      <c r="G2892" s="2">
        <v>11.3306</v>
      </c>
      <c r="H2892" s="13">
        <v>1</v>
      </c>
      <c r="I2892" s="13">
        <v>6</v>
      </c>
      <c r="J2892" s="13">
        <v>-6</v>
      </c>
      <c r="K2892" s="10">
        <v>1</v>
      </c>
      <c r="L2892" s="2">
        <v>11.3306</v>
      </c>
      <c r="M2892" s="1">
        <v>46114.597916666666</v>
      </c>
      <c r="N2892" t="s">
        <v>797</v>
      </c>
    </row>
    <row r="2893" spans="1:14" x14ac:dyDescent="0.25">
      <c r="A2893" s="9" t="s">
        <v>5211</v>
      </c>
      <c r="B2893" s="10">
        <v>636</v>
      </c>
      <c r="C2893" s="10" t="s">
        <v>1208</v>
      </c>
      <c r="D2893" t="s">
        <v>1209</v>
      </c>
      <c r="E2893" t="s">
        <v>1210</v>
      </c>
      <c r="F2893" s="10" t="s">
        <v>29</v>
      </c>
      <c r="G2893" s="2">
        <v>117.85250000000001</v>
      </c>
      <c r="H2893" s="13">
        <v>1</v>
      </c>
      <c r="I2893" s="13">
        <v>0</v>
      </c>
      <c r="J2893" s="13">
        <v>0</v>
      </c>
      <c r="K2893" s="10">
        <v>1</v>
      </c>
      <c r="L2893" s="2">
        <v>117.85250000000001</v>
      </c>
      <c r="M2893" s="1">
        <v>46114.597916666666</v>
      </c>
      <c r="N2893" t="s">
        <v>797</v>
      </c>
    </row>
    <row r="2894" spans="1:14" x14ac:dyDescent="0.25">
      <c r="A2894" s="9" t="s">
        <v>5211</v>
      </c>
      <c r="B2894" s="10">
        <v>636</v>
      </c>
      <c r="C2894" s="10" t="s">
        <v>1749</v>
      </c>
      <c r="D2894" t="s">
        <v>1798</v>
      </c>
      <c r="E2894" t="s">
        <v>1799</v>
      </c>
      <c r="F2894" s="10" t="s">
        <v>29</v>
      </c>
      <c r="G2894" s="2">
        <v>48.155099999999997</v>
      </c>
      <c r="H2894" s="13">
        <v>1</v>
      </c>
      <c r="I2894" s="13">
        <v>0</v>
      </c>
      <c r="J2894" s="13">
        <v>0</v>
      </c>
      <c r="K2894" s="10">
        <v>1</v>
      </c>
      <c r="L2894" s="2">
        <v>48.155099999999997</v>
      </c>
      <c r="M2894" s="1">
        <v>46114.597916666666</v>
      </c>
      <c r="N2894" t="s">
        <v>797</v>
      </c>
    </row>
    <row r="2895" spans="1:14" x14ac:dyDescent="0.25">
      <c r="A2895" s="9" t="s">
        <v>5211</v>
      </c>
      <c r="B2895" s="10">
        <v>636</v>
      </c>
      <c r="C2895" s="10" t="s">
        <v>1749</v>
      </c>
      <c r="D2895" t="s">
        <v>1788</v>
      </c>
      <c r="E2895" t="s">
        <v>1789</v>
      </c>
      <c r="F2895" s="10" t="s">
        <v>15</v>
      </c>
      <c r="G2895" s="2">
        <v>14.091200000000001</v>
      </c>
      <c r="H2895" s="13">
        <v>1</v>
      </c>
      <c r="I2895" s="13">
        <v>0</v>
      </c>
      <c r="J2895" s="13">
        <v>0</v>
      </c>
      <c r="K2895" s="10">
        <v>1</v>
      </c>
      <c r="L2895" s="2">
        <v>14.091200000000001</v>
      </c>
      <c r="M2895" s="1">
        <v>46114.597916666666</v>
      </c>
      <c r="N2895" t="s">
        <v>797</v>
      </c>
    </row>
    <row r="2896" spans="1:14" x14ac:dyDescent="0.25">
      <c r="A2896" s="9" t="s">
        <v>5211</v>
      </c>
      <c r="B2896" s="10">
        <v>636</v>
      </c>
      <c r="C2896" s="10" t="s">
        <v>323</v>
      </c>
      <c r="D2896" t="s">
        <v>1610</v>
      </c>
      <c r="E2896" t="s">
        <v>1611</v>
      </c>
      <c r="F2896" s="10" t="s">
        <v>29</v>
      </c>
      <c r="G2896" s="2">
        <v>52.404000000000003</v>
      </c>
      <c r="H2896" s="13">
        <v>1</v>
      </c>
      <c r="I2896" s="13">
        <v>0</v>
      </c>
      <c r="J2896" s="13">
        <v>0</v>
      </c>
      <c r="K2896" s="10">
        <v>1</v>
      </c>
      <c r="L2896" s="2">
        <v>52.404000000000003</v>
      </c>
      <c r="M2896" s="1">
        <v>46114.597916666666</v>
      </c>
      <c r="N2896" t="s">
        <v>797</v>
      </c>
    </row>
    <row r="2897" spans="1:14" x14ac:dyDescent="0.25">
      <c r="A2897" s="9" t="s">
        <v>5211</v>
      </c>
      <c r="B2897" s="10">
        <v>636</v>
      </c>
      <c r="C2897" s="10" t="s">
        <v>1749</v>
      </c>
      <c r="D2897" t="s">
        <v>1790</v>
      </c>
      <c r="E2897" t="s">
        <v>1791</v>
      </c>
      <c r="F2897" s="10" t="s">
        <v>39</v>
      </c>
      <c r="G2897" s="2">
        <v>16.9817</v>
      </c>
      <c r="H2897" s="13">
        <v>1</v>
      </c>
      <c r="I2897" s="13">
        <v>0</v>
      </c>
      <c r="J2897" s="13">
        <v>0</v>
      </c>
      <c r="K2897" s="10">
        <v>1</v>
      </c>
      <c r="L2897" s="2">
        <v>16.9817</v>
      </c>
      <c r="M2897" s="1">
        <v>46114.597916666666</v>
      </c>
      <c r="N2897" t="s">
        <v>797</v>
      </c>
    </row>
    <row r="2898" spans="1:14" x14ac:dyDescent="0.25">
      <c r="A2898" s="9" t="s">
        <v>5211</v>
      </c>
      <c r="B2898" s="10">
        <v>636</v>
      </c>
      <c r="C2898" s="10" t="s">
        <v>323</v>
      </c>
      <c r="D2898" t="s">
        <v>1608</v>
      </c>
      <c r="E2898" t="s">
        <v>1609</v>
      </c>
      <c r="F2898" s="10" t="s">
        <v>29</v>
      </c>
      <c r="G2898" s="2">
        <v>170.55119999999999</v>
      </c>
      <c r="H2898" s="13">
        <v>1</v>
      </c>
      <c r="I2898" s="13">
        <v>0</v>
      </c>
      <c r="J2898" s="13">
        <v>0</v>
      </c>
      <c r="K2898" s="10">
        <v>1</v>
      </c>
      <c r="L2898" s="2">
        <v>170.55119999999999</v>
      </c>
      <c r="M2898" s="1">
        <v>46114.612500000003</v>
      </c>
      <c r="N2898" t="s">
        <v>330</v>
      </c>
    </row>
    <row r="2899" spans="1:14" x14ac:dyDescent="0.25">
      <c r="A2899" s="9" t="s">
        <v>5211</v>
      </c>
      <c r="B2899" s="10">
        <v>636</v>
      </c>
      <c r="C2899" s="10" t="s">
        <v>323</v>
      </c>
      <c r="D2899" t="s">
        <v>491</v>
      </c>
      <c r="E2899" t="s">
        <v>492</v>
      </c>
      <c r="F2899" s="10" t="s">
        <v>23</v>
      </c>
      <c r="G2899" s="2">
        <v>152.8938</v>
      </c>
      <c r="H2899" s="13">
        <v>1</v>
      </c>
      <c r="I2899" s="13">
        <v>-1</v>
      </c>
      <c r="J2899" s="13">
        <v>1</v>
      </c>
      <c r="K2899" s="10">
        <v>1</v>
      </c>
      <c r="L2899" s="2">
        <v>152.8938</v>
      </c>
      <c r="M2899" s="1">
        <v>46114.612500000003</v>
      </c>
      <c r="N2899" t="s">
        <v>330</v>
      </c>
    </row>
    <row r="2900" spans="1:14" x14ac:dyDescent="0.25">
      <c r="A2900" s="9" t="s">
        <v>5211</v>
      </c>
      <c r="B2900" s="10">
        <v>636</v>
      </c>
      <c r="C2900" s="10" t="s">
        <v>323</v>
      </c>
      <c r="D2900" t="s">
        <v>328</v>
      </c>
      <c r="E2900" t="s">
        <v>329</v>
      </c>
      <c r="F2900" s="10" t="s">
        <v>19</v>
      </c>
      <c r="G2900" s="2">
        <v>134.64570000000001</v>
      </c>
      <c r="H2900" s="13">
        <v>1</v>
      </c>
      <c r="I2900" s="13">
        <v>-3</v>
      </c>
      <c r="J2900" s="13">
        <v>3</v>
      </c>
      <c r="K2900" s="10">
        <v>1</v>
      </c>
      <c r="L2900" s="2">
        <v>134.64570000000001</v>
      </c>
      <c r="M2900" s="1">
        <v>46114.612500000003</v>
      </c>
      <c r="N2900" t="s">
        <v>330</v>
      </c>
    </row>
    <row r="2901" spans="1:14" x14ac:dyDescent="0.25">
      <c r="A2901" s="9" t="s">
        <v>5211</v>
      </c>
      <c r="B2901" s="10">
        <v>636</v>
      </c>
      <c r="C2901" s="10" t="s">
        <v>323</v>
      </c>
      <c r="D2901" t="s">
        <v>1719</v>
      </c>
      <c r="E2901" t="s">
        <v>1720</v>
      </c>
      <c r="F2901" s="10" t="s">
        <v>23</v>
      </c>
      <c r="G2901" s="2">
        <v>192.99209999999999</v>
      </c>
      <c r="H2901" s="13">
        <v>1</v>
      </c>
      <c r="I2901" s="13">
        <v>0</v>
      </c>
      <c r="J2901" s="13">
        <v>0</v>
      </c>
      <c r="K2901" s="10">
        <v>1</v>
      </c>
      <c r="L2901" s="2">
        <v>192.99209999999999</v>
      </c>
      <c r="M2901" s="1">
        <v>46114.612500000003</v>
      </c>
      <c r="N2901" t="s">
        <v>330</v>
      </c>
    </row>
    <row r="2902" spans="1:14" x14ac:dyDescent="0.25">
      <c r="A2902" s="9" t="s">
        <v>5211</v>
      </c>
      <c r="B2902" s="10">
        <v>636</v>
      </c>
      <c r="C2902" s="10" t="s">
        <v>143</v>
      </c>
      <c r="D2902" t="s">
        <v>1159</v>
      </c>
      <c r="E2902" t="s">
        <v>1160</v>
      </c>
      <c r="F2902" s="10" t="s">
        <v>23</v>
      </c>
      <c r="G2902" s="2">
        <v>224.40940000000001</v>
      </c>
      <c r="H2902" s="13">
        <v>1</v>
      </c>
      <c r="I2902" s="13">
        <v>0</v>
      </c>
      <c r="J2902" s="13">
        <v>0</v>
      </c>
      <c r="K2902" s="10">
        <v>1</v>
      </c>
      <c r="L2902" s="2">
        <v>224.40940000000001</v>
      </c>
      <c r="M2902" s="1">
        <v>46114.612500000003</v>
      </c>
      <c r="N2902" t="s">
        <v>330</v>
      </c>
    </row>
    <row r="2903" spans="1:14" x14ac:dyDescent="0.25">
      <c r="A2903" s="9" t="s">
        <v>5211</v>
      </c>
      <c r="B2903" s="10">
        <v>636</v>
      </c>
      <c r="C2903" s="10" t="s">
        <v>323</v>
      </c>
      <c r="D2903" t="s">
        <v>1697</v>
      </c>
      <c r="E2903" t="s">
        <v>1698</v>
      </c>
      <c r="F2903" s="10" t="s">
        <v>29</v>
      </c>
      <c r="G2903" s="2">
        <v>282.7559</v>
      </c>
      <c r="H2903" s="13">
        <v>1</v>
      </c>
      <c r="I2903" s="13">
        <v>0</v>
      </c>
      <c r="J2903" s="13">
        <v>0</v>
      </c>
      <c r="K2903" s="10">
        <v>1</v>
      </c>
      <c r="L2903" s="2">
        <v>282.7559</v>
      </c>
      <c r="M2903" s="1">
        <v>46114.612500000003</v>
      </c>
      <c r="N2903" t="s">
        <v>330</v>
      </c>
    </row>
    <row r="2904" spans="1:14" x14ac:dyDescent="0.25">
      <c r="A2904" s="9" t="s">
        <v>5211</v>
      </c>
      <c r="B2904" s="10">
        <v>636</v>
      </c>
      <c r="C2904" s="10" t="s">
        <v>70</v>
      </c>
      <c r="D2904" t="s">
        <v>831</v>
      </c>
      <c r="E2904" t="s">
        <v>832</v>
      </c>
      <c r="F2904" s="10" t="s">
        <v>39</v>
      </c>
      <c r="G2904" s="2">
        <v>7.2522000000000002</v>
      </c>
      <c r="H2904" s="13">
        <v>1</v>
      </c>
      <c r="I2904" s="13">
        <v>0</v>
      </c>
      <c r="J2904" s="13">
        <v>0</v>
      </c>
      <c r="K2904" s="10">
        <v>1</v>
      </c>
      <c r="L2904" s="2">
        <v>7.2522000000000002</v>
      </c>
      <c r="M2904" s="1">
        <v>46115.417361111111</v>
      </c>
      <c r="N2904" t="s">
        <v>573</v>
      </c>
    </row>
    <row r="2905" spans="1:14" x14ac:dyDescent="0.25">
      <c r="A2905" s="9" t="s">
        <v>5211</v>
      </c>
      <c r="B2905" s="10">
        <v>636</v>
      </c>
      <c r="C2905" s="10" t="s">
        <v>70</v>
      </c>
      <c r="D2905" t="s">
        <v>843</v>
      </c>
      <c r="E2905" t="s">
        <v>844</v>
      </c>
      <c r="F2905" s="10" t="s">
        <v>39</v>
      </c>
      <c r="G2905" s="2">
        <v>7.3682999999999996</v>
      </c>
      <c r="H2905" s="13">
        <v>1</v>
      </c>
      <c r="I2905" s="13">
        <v>0</v>
      </c>
      <c r="J2905" s="13">
        <v>0</v>
      </c>
      <c r="K2905" s="10">
        <v>1</v>
      </c>
      <c r="L2905" s="2">
        <v>7.3682999999999996</v>
      </c>
      <c r="M2905" s="1">
        <v>46115.417361111111</v>
      </c>
      <c r="N2905" t="s">
        <v>573</v>
      </c>
    </row>
    <row r="2906" spans="1:14" x14ac:dyDescent="0.25">
      <c r="A2906" s="9" t="s">
        <v>5211</v>
      </c>
      <c r="B2906" s="10">
        <v>636</v>
      </c>
      <c r="C2906" s="10" t="s">
        <v>70</v>
      </c>
      <c r="D2906" t="s">
        <v>604</v>
      </c>
      <c r="E2906" t="s">
        <v>605</v>
      </c>
      <c r="F2906" s="10" t="s">
        <v>39</v>
      </c>
      <c r="G2906" s="2">
        <v>6.1853999999999996</v>
      </c>
      <c r="H2906" s="13">
        <v>1</v>
      </c>
      <c r="I2906" s="13">
        <v>0</v>
      </c>
      <c r="J2906" s="13">
        <v>0</v>
      </c>
      <c r="K2906" s="10">
        <v>1</v>
      </c>
      <c r="L2906" s="2">
        <v>6.1853999999999996</v>
      </c>
      <c r="M2906" s="1">
        <v>46115.438194444447</v>
      </c>
      <c r="N2906" t="s">
        <v>16</v>
      </c>
    </row>
    <row r="2907" spans="1:14" x14ac:dyDescent="0.25">
      <c r="A2907" s="9" t="s">
        <v>5211</v>
      </c>
      <c r="B2907" s="10">
        <v>718</v>
      </c>
      <c r="C2907" s="10" t="s">
        <v>143</v>
      </c>
      <c r="D2907" t="s">
        <v>2784</v>
      </c>
      <c r="E2907" t="s">
        <v>2785</v>
      </c>
      <c r="F2907" s="10" t="s">
        <v>29</v>
      </c>
      <c r="G2907" s="2">
        <v>58.783499999999997</v>
      </c>
      <c r="H2907" s="13">
        <v>1</v>
      </c>
      <c r="I2907" s="13">
        <v>0</v>
      </c>
      <c r="J2907" s="13">
        <v>0</v>
      </c>
      <c r="K2907" s="10">
        <v>1</v>
      </c>
      <c r="L2907" s="2">
        <v>58.783499999999997</v>
      </c>
      <c r="M2907" s="1">
        <v>46115.507638888892</v>
      </c>
      <c r="N2907" t="s">
        <v>1062</v>
      </c>
    </row>
    <row r="2908" spans="1:14" x14ac:dyDescent="0.25">
      <c r="A2908" s="9" t="s">
        <v>5211</v>
      </c>
      <c r="B2908" s="10">
        <v>718</v>
      </c>
      <c r="C2908" s="10" t="s">
        <v>143</v>
      </c>
      <c r="D2908" t="s">
        <v>2594</v>
      </c>
      <c r="E2908" t="s">
        <v>2595</v>
      </c>
      <c r="F2908" s="10" t="s">
        <v>29</v>
      </c>
      <c r="G2908" s="2">
        <v>58.552500000000002</v>
      </c>
      <c r="H2908" s="13">
        <v>1</v>
      </c>
      <c r="I2908" s="13">
        <v>0</v>
      </c>
      <c r="J2908" s="13">
        <v>0</v>
      </c>
      <c r="K2908" s="10">
        <v>1</v>
      </c>
      <c r="L2908" s="2">
        <v>58.552500000000002</v>
      </c>
      <c r="M2908" s="1">
        <v>46115.507638888892</v>
      </c>
      <c r="N2908" t="s">
        <v>1062</v>
      </c>
    </row>
    <row r="2909" spans="1:14" x14ac:dyDescent="0.25">
      <c r="A2909" s="9" t="s">
        <v>5211</v>
      </c>
      <c r="B2909" s="10">
        <v>714</v>
      </c>
      <c r="C2909" s="10" t="s">
        <v>143</v>
      </c>
      <c r="D2909" t="s">
        <v>2249</v>
      </c>
      <c r="E2909" t="s">
        <v>2250</v>
      </c>
      <c r="F2909" s="10" t="s">
        <v>35</v>
      </c>
      <c r="G2909" s="2">
        <v>59.564100000000003</v>
      </c>
      <c r="H2909" s="13">
        <v>1</v>
      </c>
      <c r="I2909" s="13">
        <v>0</v>
      </c>
      <c r="J2909" s="13">
        <v>0</v>
      </c>
      <c r="K2909" s="10">
        <v>1</v>
      </c>
      <c r="L2909" s="2">
        <v>59.564100000000003</v>
      </c>
      <c r="M2909" s="1">
        <v>46115.573611111111</v>
      </c>
      <c r="N2909" t="s">
        <v>1062</v>
      </c>
    </row>
    <row r="2910" spans="1:14" x14ac:dyDescent="0.25">
      <c r="A2910" s="9" t="s">
        <v>5211</v>
      </c>
      <c r="B2910" s="10">
        <v>714</v>
      </c>
      <c r="C2910" s="10" t="s">
        <v>323</v>
      </c>
      <c r="D2910" t="s">
        <v>2860</v>
      </c>
      <c r="E2910" t="s">
        <v>2861</v>
      </c>
      <c r="F2910" s="10" t="s">
        <v>29</v>
      </c>
      <c r="G2910" s="2">
        <v>131.79400000000001</v>
      </c>
      <c r="H2910" s="13">
        <v>1</v>
      </c>
      <c r="I2910" s="13">
        <v>0</v>
      </c>
      <c r="J2910" s="13">
        <v>0</v>
      </c>
      <c r="K2910" s="10">
        <v>1</v>
      </c>
      <c r="L2910" s="2">
        <v>131.79400000000001</v>
      </c>
      <c r="M2910" s="1">
        <v>46118.304861111108</v>
      </c>
      <c r="N2910" t="s">
        <v>2423</v>
      </c>
    </row>
    <row r="2911" spans="1:14" x14ac:dyDescent="0.25">
      <c r="A2911" s="9" t="s">
        <v>5211</v>
      </c>
      <c r="B2911" s="10">
        <v>714</v>
      </c>
      <c r="C2911" s="10" t="s">
        <v>323</v>
      </c>
      <c r="D2911" t="s">
        <v>3151</v>
      </c>
      <c r="E2911" t="s">
        <v>3152</v>
      </c>
      <c r="F2911" s="10" t="s">
        <v>29</v>
      </c>
      <c r="G2911" s="2">
        <v>154.97040000000001</v>
      </c>
      <c r="H2911" s="13">
        <v>1</v>
      </c>
      <c r="I2911" s="13">
        <v>0</v>
      </c>
      <c r="J2911" s="13">
        <v>0</v>
      </c>
      <c r="K2911" s="10">
        <v>1</v>
      </c>
      <c r="L2911" s="2">
        <v>154.97040000000001</v>
      </c>
      <c r="M2911" s="1">
        <v>46118.304861111108</v>
      </c>
      <c r="N2911" t="s">
        <v>2423</v>
      </c>
    </row>
    <row r="2912" spans="1:14" x14ac:dyDescent="0.25">
      <c r="A2912" s="9" t="s">
        <v>5211</v>
      </c>
      <c r="B2912" s="10">
        <v>714</v>
      </c>
      <c r="C2912" s="10" t="s">
        <v>143</v>
      </c>
      <c r="D2912" t="s">
        <v>2695</v>
      </c>
      <c r="E2912" t="s">
        <v>2696</v>
      </c>
      <c r="F2912" s="10" t="s">
        <v>23</v>
      </c>
      <c r="G2912" s="2">
        <v>59.497599999999998</v>
      </c>
      <c r="H2912" s="13">
        <v>1</v>
      </c>
      <c r="I2912" s="13">
        <v>0</v>
      </c>
      <c r="J2912" s="13">
        <v>0</v>
      </c>
      <c r="K2912" s="10">
        <v>1</v>
      </c>
      <c r="L2912" s="2">
        <v>59.497599999999998</v>
      </c>
      <c r="M2912" s="1">
        <v>46118.304861111108</v>
      </c>
      <c r="N2912" t="s">
        <v>2423</v>
      </c>
    </row>
    <row r="2913" spans="1:14" x14ac:dyDescent="0.25">
      <c r="A2913" s="9" t="s">
        <v>5211</v>
      </c>
      <c r="B2913" s="10">
        <v>718</v>
      </c>
      <c r="C2913" s="10" t="s">
        <v>323</v>
      </c>
      <c r="D2913" t="s">
        <v>3849</v>
      </c>
      <c r="E2913" t="s">
        <v>3850</v>
      </c>
      <c r="F2913" s="10" t="s">
        <v>23</v>
      </c>
      <c r="G2913" s="2">
        <v>211.30860000000001</v>
      </c>
      <c r="H2913" s="13">
        <v>1</v>
      </c>
      <c r="I2913" s="13">
        <v>0</v>
      </c>
      <c r="J2913" s="13">
        <v>0</v>
      </c>
      <c r="K2913" s="10">
        <v>1</v>
      </c>
      <c r="L2913" s="2">
        <v>211.30860000000001</v>
      </c>
      <c r="M2913" s="1">
        <v>46118.523611111108</v>
      </c>
      <c r="N2913" t="s">
        <v>137</v>
      </c>
    </row>
    <row r="2914" spans="1:14" x14ac:dyDescent="0.25">
      <c r="A2914" s="9" t="s">
        <v>5211</v>
      </c>
      <c r="B2914" s="10">
        <v>718</v>
      </c>
      <c r="C2914" s="10" t="s">
        <v>323</v>
      </c>
      <c r="D2914" t="s">
        <v>3119</v>
      </c>
      <c r="E2914" t="s">
        <v>3120</v>
      </c>
      <c r="F2914" s="10" t="s">
        <v>19</v>
      </c>
      <c r="G2914" s="2">
        <v>1113.8747000000001</v>
      </c>
      <c r="H2914" s="13">
        <v>1</v>
      </c>
      <c r="I2914" s="13">
        <v>0</v>
      </c>
      <c r="J2914" s="13">
        <v>0</v>
      </c>
      <c r="K2914" s="10">
        <v>1</v>
      </c>
      <c r="L2914" s="2">
        <v>1113.8747000000001</v>
      </c>
      <c r="M2914" s="1">
        <v>46118.523611111108</v>
      </c>
      <c r="N2914" t="s">
        <v>137</v>
      </c>
    </row>
    <row r="2915" spans="1:14" x14ac:dyDescent="0.25">
      <c r="A2915" s="9" t="s">
        <v>5211</v>
      </c>
      <c r="B2915" s="10">
        <v>718</v>
      </c>
      <c r="C2915" s="10" t="s">
        <v>323</v>
      </c>
      <c r="D2915" t="s">
        <v>5184</v>
      </c>
      <c r="E2915" t="s">
        <v>5185</v>
      </c>
      <c r="F2915" s="10" t="s">
        <v>29</v>
      </c>
      <c r="G2915" s="2">
        <v>127.768</v>
      </c>
      <c r="H2915" s="13">
        <v>1</v>
      </c>
      <c r="I2915" s="13">
        <v>0</v>
      </c>
      <c r="J2915" s="13">
        <v>0</v>
      </c>
      <c r="K2915" s="10">
        <v>1</v>
      </c>
      <c r="L2915" s="2">
        <v>127.768</v>
      </c>
      <c r="M2915" s="1">
        <v>46118.523611111108</v>
      </c>
      <c r="N2915" t="s">
        <v>137</v>
      </c>
    </row>
    <row r="2916" spans="1:14" x14ac:dyDescent="0.25">
      <c r="A2916" s="9" t="s">
        <v>5211</v>
      </c>
      <c r="B2916" s="10">
        <v>718</v>
      </c>
      <c r="C2916" s="10" t="s">
        <v>323</v>
      </c>
      <c r="D2916" t="s">
        <v>3941</v>
      </c>
      <c r="E2916" t="s">
        <v>3942</v>
      </c>
      <c r="F2916" s="10" t="s">
        <v>29</v>
      </c>
      <c r="G2916" s="2">
        <v>285.02089999999998</v>
      </c>
      <c r="H2916" s="13">
        <v>1</v>
      </c>
      <c r="I2916" s="13">
        <v>0</v>
      </c>
      <c r="J2916" s="13">
        <v>0</v>
      </c>
      <c r="K2916" s="10">
        <v>1</v>
      </c>
      <c r="L2916" s="2">
        <v>285.02089999999998</v>
      </c>
      <c r="M2916" s="1">
        <v>46118.523611111108</v>
      </c>
      <c r="N2916" t="s">
        <v>137</v>
      </c>
    </row>
    <row r="2917" spans="1:14" x14ac:dyDescent="0.25">
      <c r="A2917" s="9" t="s">
        <v>5211</v>
      </c>
      <c r="B2917" s="10">
        <v>718</v>
      </c>
      <c r="C2917" s="10" t="s">
        <v>323</v>
      </c>
      <c r="D2917" t="s">
        <v>3899</v>
      </c>
      <c r="E2917" t="s">
        <v>3900</v>
      </c>
      <c r="F2917" s="10" t="s">
        <v>19</v>
      </c>
      <c r="G2917" s="2">
        <v>245.70769999999999</v>
      </c>
      <c r="H2917" s="13">
        <v>1</v>
      </c>
      <c r="I2917" s="13">
        <v>0</v>
      </c>
      <c r="J2917" s="13">
        <v>0</v>
      </c>
      <c r="K2917" s="10">
        <v>1</v>
      </c>
      <c r="L2917" s="2">
        <v>245.70769999999999</v>
      </c>
      <c r="M2917" s="1">
        <v>46118.523611111108</v>
      </c>
      <c r="N2917" t="s">
        <v>137</v>
      </c>
    </row>
    <row r="2918" spans="1:14" x14ac:dyDescent="0.25">
      <c r="A2918" s="9" t="s">
        <v>5211</v>
      </c>
      <c r="B2918" s="10">
        <v>714</v>
      </c>
      <c r="C2918" s="10" t="s">
        <v>70</v>
      </c>
      <c r="D2918" t="s">
        <v>3661</v>
      </c>
      <c r="E2918" t="s">
        <v>3662</v>
      </c>
      <c r="F2918" s="10" t="s">
        <v>39</v>
      </c>
      <c r="G2918" s="2">
        <v>10.129799999999999</v>
      </c>
      <c r="H2918" s="13">
        <v>1</v>
      </c>
      <c r="I2918" s="13">
        <v>-17</v>
      </c>
      <c r="J2918" s="13">
        <v>17</v>
      </c>
      <c r="K2918" s="10">
        <v>1</v>
      </c>
      <c r="L2918" s="2">
        <v>10.129799999999999</v>
      </c>
      <c r="M2918" s="1">
        <v>46118.575694444444</v>
      </c>
      <c r="N2918" t="s">
        <v>573</v>
      </c>
    </row>
    <row r="2919" spans="1:14" x14ac:dyDescent="0.25">
      <c r="A2919" s="9" t="s">
        <v>5211</v>
      </c>
      <c r="B2919" s="10">
        <v>718</v>
      </c>
      <c r="C2919" s="10" t="s">
        <v>323</v>
      </c>
      <c r="D2919" t="s">
        <v>3334</v>
      </c>
      <c r="E2919" t="s">
        <v>3335</v>
      </c>
      <c r="F2919" s="10" t="s">
        <v>29</v>
      </c>
      <c r="G2919" s="2">
        <v>215.39</v>
      </c>
      <c r="H2919" s="13">
        <v>1</v>
      </c>
      <c r="I2919" s="13">
        <v>0</v>
      </c>
      <c r="J2919" s="13">
        <v>0</v>
      </c>
      <c r="K2919" s="10">
        <v>1</v>
      </c>
      <c r="L2919" s="2">
        <v>215.39</v>
      </c>
      <c r="M2919" s="1">
        <v>46118.605555555558</v>
      </c>
      <c r="N2919" t="s">
        <v>2379</v>
      </c>
    </row>
    <row r="2920" spans="1:14" x14ac:dyDescent="0.25">
      <c r="A2920" s="9" t="s">
        <v>5211</v>
      </c>
      <c r="B2920" s="10">
        <v>636</v>
      </c>
      <c r="C2920" s="10" t="s">
        <v>143</v>
      </c>
      <c r="D2920" t="s">
        <v>1127</v>
      </c>
      <c r="E2920" t="s">
        <v>1128</v>
      </c>
      <c r="F2920" s="10" t="s">
        <v>39</v>
      </c>
      <c r="G2920" s="2">
        <v>30.049399999999999</v>
      </c>
      <c r="H2920" s="13">
        <v>1</v>
      </c>
      <c r="I2920" s="13">
        <v>0</v>
      </c>
      <c r="J2920" s="13">
        <v>0</v>
      </c>
      <c r="K2920" s="10">
        <v>1</v>
      </c>
      <c r="L2920" s="2">
        <v>30.049399999999999</v>
      </c>
      <c r="M2920" s="1">
        <v>46119.349305555559</v>
      </c>
      <c r="N2920" t="s">
        <v>652</v>
      </c>
    </row>
    <row r="2921" spans="1:14" x14ac:dyDescent="0.25">
      <c r="A2921" s="9" t="s">
        <v>5211</v>
      </c>
      <c r="B2921" s="10">
        <v>636</v>
      </c>
      <c r="C2921" s="10" t="s">
        <v>70</v>
      </c>
      <c r="D2921" t="s">
        <v>650</v>
      </c>
      <c r="E2921" t="s">
        <v>651</v>
      </c>
      <c r="F2921" s="10" t="s">
        <v>39</v>
      </c>
      <c r="G2921" s="2">
        <v>9.6532</v>
      </c>
      <c r="H2921" s="13">
        <v>1</v>
      </c>
      <c r="I2921" s="13">
        <v>0</v>
      </c>
      <c r="J2921" s="13">
        <v>0</v>
      </c>
      <c r="K2921" s="10">
        <v>1</v>
      </c>
      <c r="L2921" s="2">
        <v>9.6532</v>
      </c>
      <c r="M2921" s="1">
        <v>46119.349305555559</v>
      </c>
      <c r="N2921" t="s">
        <v>652</v>
      </c>
    </row>
    <row r="2922" spans="1:14" x14ac:dyDescent="0.25">
      <c r="A2922" s="9" t="s">
        <v>5211</v>
      </c>
      <c r="B2922" s="10">
        <v>634</v>
      </c>
      <c r="C2922" s="10" t="s">
        <v>323</v>
      </c>
      <c r="D2922" t="s">
        <v>484</v>
      </c>
      <c r="E2922" t="s">
        <v>485</v>
      </c>
      <c r="F2922" s="10" t="s">
        <v>23</v>
      </c>
      <c r="G2922" s="2">
        <v>469.70069999999998</v>
      </c>
      <c r="H2922" s="13">
        <v>1</v>
      </c>
      <c r="I2922" s="13">
        <v>0</v>
      </c>
      <c r="J2922" s="13">
        <v>0</v>
      </c>
      <c r="K2922" s="10">
        <v>1</v>
      </c>
      <c r="L2922" s="2">
        <v>469.70069999999998</v>
      </c>
      <c r="M2922" s="1">
        <v>46119.536111111112</v>
      </c>
      <c r="N2922" t="s">
        <v>486</v>
      </c>
    </row>
    <row r="2923" spans="1:14" x14ac:dyDescent="0.25">
      <c r="A2923" s="9" t="s">
        <v>5211</v>
      </c>
      <c r="B2923" s="10">
        <v>634</v>
      </c>
      <c r="C2923" s="10" t="s">
        <v>323</v>
      </c>
      <c r="D2923" t="s">
        <v>3478</v>
      </c>
      <c r="E2923" t="s">
        <v>3479</v>
      </c>
      <c r="F2923" s="10" t="s">
        <v>23</v>
      </c>
      <c r="G2923" s="2">
        <v>130.28139999999999</v>
      </c>
      <c r="H2923" s="13">
        <v>1</v>
      </c>
      <c r="I2923" s="13">
        <v>0</v>
      </c>
      <c r="J2923" s="13">
        <v>0</v>
      </c>
      <c r="K2923" s="10">
        <v>1</v>
      </c>
      <c r="L2923" s="2">
        <v>130.28139999999999</v>
      </c>
      <c r="M2923" s="1">
        <v>46119.536805555559</v>
      </c>
      <c r="N2923" t="s">
        <v>371</v>
      </c>
    </row>
    <row r="2924" spans="1:14" x14ac:dyDescent="0.25">
      <c r="A2924" s="9" t="s">
        <v>5211</v>
      </c>
      <c r="B2924" s="10">
        <v>634</v>
      </c>
      <c r="C2924" s="10" t="s">
        <v>323</v>
      </c>
      <c r="D2924" t="s">
        <v>491</v>
      </c>
      <c r="E2924" t="s">
        <v>492</v>
      </c>
      <c r="F2924" s="10" t="s">
        <v>19</v>
      </c>
      <c r="G2924" s="2">
        <v>158.982</v>
      </c>
      <c r="H2924" s="13">
        <v>1</v>
      </c>
      <c r="I2924" s="13">
        <v>-1</v>
      </c>
      <c r="J2924" s="13">
        <v>1</v>
      </c>
      <c r="K2924" s="10">
        <v>1</v>
      </c>
      <c r="L2924" s="2">
        <v>158.982</v>
      </c>
      <c r="M2924" s="1">
        <v>46119.536805555559</v>
      </c>
      <c r="N2924" t="s">
        <v>371</v>
      </c>
    </row>
    <row r="2925" spans="1:14" x14ac:dyDescent="0.25">
      <c r="A2925" s="9" t="s">
        <v>5211</v>
      </c>
      <c r="B2925" s="10">
        <v>718</v>
      </c>
      <c r="C2925" s="10" t="s">
        <v>323</v>
      </c>
      <c r="D2925" t="s">
        <v>3929</v>
      </c>
      <c r="E2925" t="s">
        <v>3930</v>
      </c>
      <c r="F2925" s="10" t="s">
        <v>29</v>
      </c>
      <c r="G2925" s="2">
        <v>54.135300000000001</v>
      </c>
      <c r="H2925" s="13">
        <v>1</v>
      </c>
      <c r="I2925" s="13">
        <v>0</v>
      </c>
      <c r="J2925" s="13">
        <v>0</v>
      </c>
      <c r="K2925" s="10">
        <v>1</v>
      </c>
      <c r="L2925" s="2">
        <v>54.135300000000001</v>
      </c>
      <c r="M2925" s="1">
        <v>46119.56527777778</v>
      </c>
      <c r="N2925" t="s">
        <v>40</v>
      </c>
    </row>
    <row r="2926" spans="1:14" x14ac:dyDescent="0.25">
      <c r="A2926" s="9" t="s">
        <v>5211</v>
      </c>
      <c r="B2926" s="10">
        <v>714</v>
      </c>
      <c r="C2926" s="10" t="s">
        <v>143</v>
      </c>
      <c r="D2926" t="s">
        <v>2657</v>
      </c>
      <c r="E2926" t="s">
        <v>2658</v>
      </c>
      <c r="F2926" s="10" t="s">
        <v>29</v>
      </c>
      <c r="G2926" s="2">
        <v>65.8536</v>
      </c>
      <c r="H2926" s="13">
        <v>1</v>
      </c>
      <c r="I2926" s="13">
        <v>0</v>
      </c>
      <c r="J2926" s="13">
        <v>0</v>
      </c>
      <c r="K2926" s="10">
        <v>1</v>
      </c>
      <c r="L2926" s="2">
        <v>65.8536</v>
      </c>
      <c r="M2926" s="1">
        <v>46119.573611111111</v>
      </c>
      <c r="N2926" t="s">
        <v>137</v>
      </c>
    </row>
    <row r="2927" spans="1:14" x14ac:dyDescent="0.25">
      <c r="A2927" s="9" t="s">
        <v>5211</v>
      </c>
      <c r="B2927" s="10">
        <v>714</v>
      </c>
      <c r="C2927" s="10" t="s">
        <v>323</v>
      </c>
      <c r="D2927" t="s">
        <v>3119</v>
      </c>
      <c r="E2927" t="s">
        <v>3120</v>
      </c>
      <c r="F2927" s="10" t="s">
        <v>29</v>
      </c>
      <c r="G2927" s="2">
        <v>1148.2165</v>
      </c>
      <c r="H2927" s="13">
        <v>1</v>
      </c>
      <c r="I2927" s="13">
        <v>0</v>
      </c>
      <c r="J2927" s="13">
        <v>0</v>
      </c>
      <c r="K2927" s="10">
        <v>1</v>
      </c>
      <c r="L2927" s="2">
        <v>1148.2165</v>
      </c>
      <c r="M2927" s="1">
        <v>46119.573611111111</v>
      </c>
      <c r="N2927" t="s">
        <v>137</v>
      </c>
    </row>
    <row r="2928" spans="1:14" x14ac:dyDescent="0.25">
      <c r="A2928" s="9" t="s">
        <v>5211</v>
      </c>
      <c r="B2928" s="10">
        <v>714</v>
      </c>
      <c r="C2928" s="10" t="s">
        <v>323</v>
      </c>
      <c r="D2928" t="s">
        <v>3288</v>
      </c>
      <c r="E2928" t="s">
        <v>3289</v>
      </c>
      <c r="F2928" s="10" t="s">
        <v>29</v>
      </c>
      <c r="G2928" s="2">
        <v>861.16229999999996</v>
      </c>
      <c r="H2928" s="13">
        <v>1</v>
      </c>
      <c r="I2928" s="13">
        <v>0</v>
      </c>
      <c r="J2928" s="13">
        <v>0</v>
      </c>
      <c r="K2928" s="10">
        <v>1</v>
      </c>
      <c r="L2928" s="2">
        <v>861.16229999999996</v>
      </c>
      <c r="M2928" s="1">
        <v>46119.573611111111</v>
      </c>
      <c r="N2928" t="s">
        <v>137</v>
      </c>
    </row>
    <row r="2929" spans="1:14" x14ac:dyDescent="0.25">
      <c r="A2929" s="9" t="s">
        <v>5211</v>
      </c>
      <c r="B2929" s="10">
        <v>636</v>
      </c>
      <c r="C2929" s="10" t="s">
        <v>143</v>
      </c>
      <c r="D2929" t="s">
        <v>4230</v>
      </c>
      <c r="E2929" t="s">
        <v>4231</v>
      </c>
      <c r="F2929" s="10" t="s">
        <v>158</v>
      </c>
      <c r="G2929" s="2">
        <v>185.21879999999999</v>
      </c>
      <c r="H2929" s="13">
        <v>1</v>
      </c>
      <c r="I2929" s="13">
        <v>8</v>
      </c>
      <c r="J2929" s="13">
        <v>-8</v>
      </c>
      <c r="K2929" s="10">
        <v>1</v>
      </c>
      <c r="L2929" s="2">
        <v>185.21879999999999</v>
      </c>
      <c r="M2929" s="1">
        <v>46119.593055555553</v>
      </c>
      <c r="N2929" t="s">
        <v>236</v>
      </c>
    </row>
    <row r="2930" spans="1:14" x14ac:dyDescent="0.25">
      <c r="A2930" s="9" t="s">
        <v>5211</v>
      </c>
      <c r="B2930" s="10">
        <v>714</v>
      </c>
      <c r="C2930" s="10" t="s">
        <v>70</v>
      </c>
      <c r="D2930" t="s">
        <v>2089</v>
      </c>
      <c r="E2930" t="s">
        <v>2090</v>
      </c>
      <c r="F2930" s="10" t="s">
        <v>29</v>
      </c>
      <c r="G2930" s="2">
        <v>7.2713000000000001</v>
      </c>
      <c r="H2930" s="13">
        <v>1</v>
      </c>
      <c r="I2930" s="13">
        <v>0</v>
      </c>
      <c r="J2930" s="13">
        <v>0</v>
      </c>
      <c r="K2930" s="10">
        <v>1</v>
      </c>
      <c r="L2930" s="2">
        <v>7.2713000000000001</v>
      </c>
      <c r="M2930" s="1">
        <v>46119.635416666664</v>
      </c>
      <c r="N2930" t="s">
        <v>40</v>
      </c>
    </row>
    <row r="2931" spans="1:14" x14ac:dyDescent="0.25">
      <c r="A2931" s="9" t="s">
        <v>5211</v>
      </c>
      <c r="B2931" s="10">
        <v>718</v>
      </c>
      <c r="C2931" s="10" t="s">
        <v>12</v>
      </c>
      <c r="D2931" t="s">
        <v>3595</v>
      </c>
      <c r="E2931" t="s">
        <v>3596</v>
      </c>
      <c r="F2931" s="10" t="s">
        <v>39</v>
      </c>
      <c r="G2931" s="2">
        <v>8.5731000000000002</v>
      </c>
      <c r="H2931" s="13">
        <v>1</v>
      </c>
      <c r="I2931" s="13">
        <v>0</v>
      </c>
      <c r="J2931" s="13">
        <v>0</v>
      </c>
      <c r="K2931" s="10">
        <v>1</v>
      </c>
      <c r="L2931" s="2">
        <v>8.5731000000000002</v>
      </c>
      <c r="M2931" s="1">
        <v>46119.636111111111</v>
      </c>
      <c r="N2931" t="s">
        <v>573</v>
      </c>
    </row>
    <row r="2932" spans="1:14" x14ac:dyDescent="0.25">
      <c r="A2932" s="9" t="s">
        <v>5211</v>
      </c>
      <c r="B2932" s="10">
        <v>634</v>
      </c>
      <c r="C2932" s="10" t="s">
        <v>323</v>
      </c>
      <c r="D2932" t="s">
        <v>1225</v>
      </c>
      <c r="E2932" t="s">
        <v>1226</v>
      </c>
      <c r="F2932" s="10" t="s">
        <v>19</v>
      </c>
      <c r="G2932" s="2">
        <v>381.31650000000002</v>
      </c>
      <c r="H2932" s="13">
        <v>1</v>
      </c>
      <c r="I2932" s="13">
        <v>0</v>
      </c>
      <c r="J2932" s="13">
        <v>0</v>
      </c>
      <c r="K2932" s="10">
        <v>1</v>
      </c>
      <c r="L2932" s="2">
        <v>381.31650000000002</v>
      </c>
      <c r="M2932" s="1">
        <v>46119.724999999999</v>
      </c>
      <c r="N2932" t="s">
        <v>165</v>
      </c>
    </row>
    <row r="2933" spans="1:14" x14ac:dyDescent="0.25">
      <c r="A2933" s="9" t="s">
        <v>5211</v>
      </c>
      <c r="B2933" s="10">
        <v>634</v>
      </c>
      <c r="C2933" s="10" t="s">
        <v>143</v>
      </c>
      <c r="D2933" t="s">
        <v>279</v>
      </c>
      <c r="E2933" t="s">
        <v>280</v>
      </c>
      <c r="F2933" s="10" t="s">
        <v>19</v>
      </c>
      <c r="G2933" s="2">
        <v>187.08340000000001</v>
      </c>
      <c r="H2933" s="13">
        <v>1</v>
      </c>
      <c r="I2933" s="13">
        <v>0</v>
      </c>
      <c r="J2933" s="13">
        <v>0</v>
      </c>
      <c r="K2933" s="10">
        <v>1</v>
      </c>
      <c r="L2933" s="2">
        <v>187.08340000000001</v>
      </c>
      <c r="M2933" s="1">
        <v>46119.724999999999</v>
      </c>
      <c r="N2933" t="s">
        <v>165</v>
      </c>
    </row>
    <row r="2934" spans="1:14" x14ac:dyDescent="0.25">
      <c r="A2934" s="9" t="s">
        <v>5211</v>
      </c>
      <c r="B2934" s="10">
        <v>634</v>
      </c>
      <c r="C2934" s="10" t="s">
        <v>143</v>
      </c>
      <c r="D2934" t="s">
        <v>281</v>
      </c>
      <c r="E2934" t="s">
        <v>282</v>
      </c>
      <c r="F2934" s="10" t="s">
        <v>23</v>
      </c>
      <c r="G2934" s="2">
        <v>160.86789999999999</v>
      </c>
      <c r="H2934" s="13">
        <v>1</v>
      </c>
      <c r="I2934" s="13">
        <v>0</v>
      </c>
      <c r="J2934" s="13">
        <v>0</v>
      </c>
      <c r="K2934" s="10">
        <v>1</v>
      </c>
      <c r="L2934" s="2">
        <v>160.86789999999999</v>
      </c>
      <c r="M2934" s="1">
        <v>46119.724999999999</v>
      </c>
      <c r="N2934" t="s">
        <v>165</v>
      </c>
    </row>
    <row r="2935" spans="1:14" x14ac:dyDescent="0.25">
      <c r="A2935" s="9" t="s">
        <v>5211</v>
      </c>
      <c r="B2935" s="10">
        <v>636</v>
      </c>
      <c r="C2935" s="10" t="s">
        <v>143</v>
      </c>
      <c r="D2935" t="s">
        <v>4489</v>
      </c>
      <c r="E2935" t="s">
        <v>4490</v>
      </c>
      <c r="F2935" s="10" t="s">
        <v>158</v>
      </c>
      <c r="G2935" s="2">
        <v>175.75</v>
      </c>
      <c r="H2935" s="13">
        <v>1</v>
      </c>
      <c r="I2935" s="13">
        <v>0</v>
      </c>
      <c r="J2935" s="13">
        <v>0</v>
      </c>
      <c r="K2935" s="10">
        <v>1</v>
      </c>
      <c r="L2935" s="2">
        <v>175.75</v>
      </c>
      <c r="M2935" s="1">
        <v>46119.725694444445</v>
      </c>
      <c r="N2935" t="s">
        <v>165</v>
      </c>
    </row>
    <row r="2936" spans="1:14" x14ac:dyDescent="0.25">
      <c r="A2936" s="9" t="s">
        <v>5211</v>
      </c>
      <c r="B2936" s="10">
        <v>636</v>
      </c>
      <c r="C2936" s="10" t="s">
        <v>323</v>
      </c>
      <c r="D2936" t="s">
        <v>1666</v>
      </c>
      <c r="E2936" t="s">
        <v>1667</v>
      </c>
      <c r="F2936" s="10" t="s">
        <v>29</v>
      </c>
      <c r="G2936" s="2">
        <v>170.0438</v>
      </c>
      <c r="H2936" s="13">
        <v>1</v>
      </c>
      <c r="I2936" s="13">
        <v>0</v>
      </c>
      <c r="J2936" s="13">
        <v>0</v>
      </c>
      <c r="K2936" s="10">
        <v>1</v>
      </c>
      <c r="L2936" s="2">
        <v>170.0438</v>
      </c>
      <c r="M2936" s="1">
        <v>46119.725694444445</v>
      </c>
      <c r="N2936" t="s">
        <v>165</v>
      </c>
    </row>
    <row r="2937" spans="1:14" x14ac:dyDescent="0.25">
      <c r="A2937" s="9" t="s">
        <v>5211</v>
      </c>
      <c r="B2937" s="10">
        <v>634</v>
      </c>
      <c r="C2937" s="10" t="s">
        <v>143</v>
      </c>
      <c r="D2937" t="s">
        <v>239</v>
      </c>
      <c r="E2937" t="s">
        <v>240</v>
      </c>
      <c r="F2937" s="10" t="s">
        <v>29</v>
      </c>
      <c r="G2937" s="2">
        <v>46.620699999999999</v>
      </c>
      <c r="H2937" s="13">
        <v>1</v>
      </c>
      <c r="I2937" s="13">
        <v>0</v>
      </c>
      <c r="J2937" s="13">
        <v>0</v>
      </c>
      <c r="K2937" s="10">
        <v>1</v>
      </c>
      <c r="L2937" s="2">
        <v>46.620699999999999</v>
      </c>
      <c r="M2937" s="1">
        <v>46120.659722222219</v>
      </c>
      <c r="N2937" t="s">
        <v>30</v>
      </c>
    </row>
    <row r="2938" spans="1:14" x14ac:dyDescent="0.25">
      <c r="A2938" s="9" t="s">
        <v>5211</v>
      </c>
      <c r="B2938" s="10">
        <v>634</v>
      </c>
      <c r="C2938" s="10" t="s">
        <v>323</v>
      </c>
      <c r="D2938" t="s">
        <v>440</v>
      </c>
      <c r="E2938" t="s">
        <v>441</v>
      </c>
      <c r="F2938" s="10" t="s">
        <v>43</v>
      </c>
      <c r="G2938" s="2">
        <v>131.7039</v>
      </c>
      <c r="H2938" s="13">
        <v>1</v>
      </c>
      <c r="I2938" s="13">
        <v>0</v>
      </c>
      <c r="J2938" s="13">
        <v>0</v>
      </c>
      <c r="K2938" s="10">
        <v>1</v>
      </c>
      <c r="L2938" s="2">
        <v>131.7039</v>
      </c>
      <c r="M2938" s="1">
        <v>46120.659722222219</v>
      </c>
      <c r="N2938" t="s">
        <v>30</v>
      </c>
    </row>
    <row r="2939" spans="1:14" x14ac:dyDescent="0.25">
      <c r="A2939" s="9" t="s">
        <v>5211</v>
      </c>
      <c r="B2939" s="10">
        <v>714</v>
      </c>
      <c r="C2939" s="10" t="s">
        <v>323</v>
      </c>
      <c r="D2939" t="s">
        <v>3368</v>
      </c>
      <c r="E2939" t="s">
        <v>3369</v>
      </c>
      <c r="F2939" s="10" t="s">
        <v>23</v>
      </c>
      <c r="G2939" s="2">
        <v>86.517799999999994</v>
      </c>
      <c r="H2939" s="13">
        <v>1</v>
      </c>
      <c r="I2939" s="13">
        <v>0</v>
      </c>
      <c r="J2939" s="13">
        <v>0</v>
      </c>
      <c r="K2939" s="10">
        <v>1</v>
      </c>
      <c r="L2939" s="2">
        <v>86.517799999999994</v>
      </c>
      <c r="M2939" s="1">
        <v>46120.681250000001</v>
      </c>
      <c r="N2939" t="s">
        <v>865</v>
      </c>
    </row>
    <row r="2940" spans="1:14" x14ac:dyDescent="0.25">
      <c r="A2940" s="9" t="s">
        <v>5211</v>
      </c>
      <c r="B2940" s="10">
        <v>636</v>
      </c>
      <c r="C2940" s="10" t="s">
        <v>70</v>
      </c>
      <c r="D2940" t="s">
        <v>634</v>
      </c>
      <c r="E2940" t="s">
        <v>635</v>
      </c>
      <c r="F2940" s="10" t="s">
        <v>39</v>
      </c>
      <c r="G2940" s="2">
        <v>15.945399999999999</v>
      </c>
      <c r="H2940" s="13">
        <v>1</v>
      </c>
      <c r="I2940" s="13">
        <v>0</v>
      </c>
      <c r="J2940" s="13">
        <v>0</v>
      </c>
      <c r="K2940" s="10">
        <v>1</v>
      </c>
      <c r="L2940" s="2">
        <v>15.945399999999999</v>
      </c>
      <c r="M2940" s="1">
        <v>46122.352083333331</v>
      </c>
      <c r="N2940" t="s">
        <v>573</v>
      </c>
    </row>
    <row r="2941" spans="1:14" x14ac:dyDescent="0.25">
      <c r="A2941" s="9" t="s">
        <v>5211</v>
      </c>
      <c r="B2941" s="10">
        <v>636</v>
      </c>
      <c r="C2941" s="10" t="s">
        <v>70</v>
      </c>
      <c r="D2941" t="s">
        <v>4439</v>
      </c>
      <c r="E2941" t="s">
        <v>4440</v>
      </c>
      <c r="F2941" s="10" t="s">
        <v>39</v>
      </c>
      <c r="G2941" s="2">
        <v>11.7706</v>
      </c>
      <c r="H2941" s="13">
        <v>1</v>
      </c>
      <c r="I2941" s="13">
        <v>17</v>
      </c>
      <c r="J2941" s="13">
        <v>-17</v>
      </c>
      <c r="K2941" s="10">
        <v>1</v>
      </c>
      <c r="L2941" s="2">
        <v>11.7706</v>
      </c>
      <c r="M2941" s="1">
        <v>46122.352083333331</v>
      </c>
      <c r="N2941" t="s">
        <v>573</v>
      </c>
    </row>
    <row r="2942" spans="1:14" x14ac:dyDescent="0.25">
      <c r="A2942" s="9" t="s">
        <v>5211</v>
      </c>
      <c r="B2942" s="10">
        <v>636</v>
      </c>
      <c r="C2942" s="10" t="s">
        <v>70</v>
      </c>
      <c r="D2942" t="s">
        <v>771</v>
      </c>
      <c r="E2942" t="s">
        <v>772</v>
      </c>
      <c r="F2942" s="10" t="s">
        <v>39</v>
      </c>
      <c r="G2942" s="2">
        <v>10.610900000000001</v>
      </c>
      <c r="H2942" s="13">
        <v>1</v>
      </c>
      <c r="I2942" s="13">
        <v>0</v>
      </c>
      <c r="J2942" s="13">
        <v>0</v>
      </c>
      <c r="K2942" s="10">
        <v>1</v>
      </c>
      <c r="L2942" s="2">
        <v>10.610900000000001</v>
      </c>
      <c r="M2942" s="1">
        <v>46122.352083333331</v>
      </c>
      <c r="N2942" t="s">
        <v>573</v>
      </c>
    </row>
    <row r="2943" spans="1:14" x14ac:dyDescent="0.25">
      <c r="A2943" s="9" t="s">
        <v>5211</v>
      </c>
      <c r="B2943" s="10">
        <v>714</v>
      </c>
      <c r="C2943" s="10" t="s">
        <v>323</v>
      </c>
      <c r="D2943" t="s">
        <v>5039</v>
      </c>
      <c r="E2943" t="s">
        <v>5040</v>
      </c>
      <c r="F2943" s="10" t="s">
        <v>29</v>
      </c>
      <c r="G2943" s="2">
        <v>188.29560000000001</v>
      </c>
      <c r="H2943" s="13">
        <v>1</v>
      </c>
      <c r="I2943" s="13">
        <v>0</v>
      </c>
      <c r="J2943" s="13">
        <v>0</v>
      </c>
      <c r="K2943" s="10">
        <v>1</v>
      </c>
      <c r="L2943" s="2">
        <v>188.29560000000001</v>
      </c>
      <c r="M2943" s="1">
        <v>46122.433333333334</v>
      </c>
      <c r="N2943" t="s">
        <v>2225</v>
      </c>
    </row>
    <row r="2944" spans="1:14" x14ac:dyDescent="0.25">
      <c r="A2944" s="9" t="s">
        <v>5211</v>
      </c>
      <c r="B2944" s="10">
        <v>636</v>
      </c>
      <c r="C2944" s="10" t="s">
        <v>126</v>
      </c>
      <c r="D2944" t="s">
        <v>863</v>
      </c>
      <c r="E2944" t="s">
        <v>864</v>
      </c>
      <c r="F2944" s="10" t="s">
        <v>112</v>
      </c>
      <c r="G2944" s="2">
        <v>7.3979999999999997</v>
      </c>
      <c r="H2944" s="13">
        <v>1</v>
      </c>
      <c r="I2944" s="13">
        <v>0</v>
      </c>
      <c r="J2944" s="13">
        <v>0</v>
      </c>
      <c r="K2944" s="10">
        <v>1</v>
      </c>
      <c r="L2944" s="2">
        <v>7.3979999999999997</v>
      </c>
      <c r="M2944" s="1">
        <v>46122.463194444441</v>
      </c>
      <c r="N2944" t="s">
        <v>16</v>
      </c>
    </row>
    <row r="2945" spans="1:14" x14ac:dyDescent="0.25">
      <c r="A2945" s="9" t="s">
        <v>5211</v>
      </c>
      <c r="B2945" s="10">
        <v>636</v>
      </c>
      <c r="C2945" s="10" t="s">
        <v>70</v>
      </c>
      <c r="D2945" t="s">
        <v>579</v>
      </c>
      <c r="E2945" t="s">
        <v>580</v>
      </c>
      <c r="F2945" s="10" t="s">
        <v>23</v>
      </c>
      <c r="G2945" s="2">
        <v>10.9862</v>
      </c>
      <c r="H2945" s="13">
        <v>1</v>
      </c>
      <c r="I2945" s="13">
        <v>0</v>
      </c>
      <c r="J2945" s="13">
        <v>0</v>
      </c>
      <c r="K2945" s="10">
        <v>1</v>
      </c>
      <c r="L2945" s="2">
        <v>10.9862</v>
      </c>
      <c r="M2945" s="1">
        <v>46122.463194444441</v>
      </c>
      <c r="N2945" t="s">
        <v>16</v>
      </c>
    </row>
    <row r="2946" spans="1:14" x14ac:dyDescent="0.25">
      <c r="A2946" s="9" t="s">
        <v>5211</v>
      </c>
      <c r="B2946" s="10">
        <v>636</v>
      </c>
      <c r="C2946" s="10" t="s">
        <v>323</v>
      </c>
      <c r="D2946" t="s">
        <v>4312</v>
      </c>
      <c r="E2946" t="s">
        <v>4313</v>
      </c>
      <c r="F2946" s="10" t="s">
        <v>158</v>
      </c>
      <c r="G2946" s="2">
        <v>102.6867</v>
      </c>
      <c r="H2946" s="13">
        <v>1</v>
      </c>
      <c r="I2946" s="13">
        <v>5</v>
      </c>
      <c r="J2946" s="13">
        <v>-5</v>
      </c>
      <c r="K2946" s="10">
        <v>1</v>
      </c>
      <c r="L2946" s="2">
        <v>102.6867</v>
      </c>
      <c r="M2946" s="1">
        <v>46122.613888888889</v>
      </c>
      <c r="N2946" t="s">
        <v>151</v>
      </c>
    </row>
    <row r="2947" spans="1:14" x14ac:dyDescent="0.25">
      <c r="A2947" s="9" t="s">
        <v>5211</v>
      </c>
      <c r="B2947" s="10">
        <v>636</v>
      </c>
      <c r="C2947" s="10" t="s">
        <v>126</v>
      </c>
      <c r="D2947" t="s">
        <v>879</v>
      </c>
      <c r="E2947" t="s">
        <v>880</v>
      </c>
      <c r="F2947" s="10" t="s">
        <v>39</v>
      </c>
      <c r="G2947" s="2">
        <v>47.112499999999997</v>
      </c>
      <c r="H2947" s="13">
        <v>1</v>
      </c>
      <c r="I2947" s="13">
        <v>0</v>
      </c>
      <c r="J2947" s="13">
        <v>0</v>
      </c>
      <c r="K2947" s="10">
        <v>1</v>
      </c>
      <c r="L2947" s="2">
        <v>47.112499999999997</v>
      </c>
      <c r="M2947" s="1">
        <v>46125.313194444447</v>
      </c>
      <c r="N2947" t="s">
        <v>140</v>
      </c>
    </row>
    <row r="2948" spans="1:14" x14ac:dyDescent="0.25">
      <c r="A2948" s="9" t="s">
        <v>5211</v>
      </c>
      <c r="B2948" s="10">
        <v>636</v>
      </c>
      <c r="C2948" s="10" t="s">
        <v>126</v>
      </c>
      <c r="D2948" t="s">
        <v>881</v>
      </c>
      <c r="E2948" t="s">
        <v>882</v>
      </c>
      <c r="F2948" s="10" t="s">
        <v>29</v>
      </c>
      <c r="G2948" s="2">
        <v>15.4626</v>
      </c>
      <c r="H2948" s="13">
        <v>1</v>
      </c>
      <c r="I2948" s="13">
        <v>0</v>
      </c>
      <c r="J2948" s="13">
        <v>0</v>
      </c>
      <c r="K2948" s="10">
        <v>1</v>
      </c>
      <c r="L2948" s="2">
        <v>15.4626</v>
      </c>
      <c r="M2948" s="1">
        <v>46125.313194444447</v>
      </c>
      <c r="N2948" t="s">
        <v>140</v>
      </c>
    </row>
    <row r="2949" spans="1:14" x14ac:dyDescent="0.25">
      <c r="A2949" s="9" t="s">
        <v>5211</v>
      </c>
      <c r="B2949" s="10">
        <v>714</v>
      </c>
      <c r="C2949" s="10" t="s">
        <v>323</v>
      </c>
      <c r="D2949" t="s">
        <v>4933</v>
      </c>
      <c r="E2949" t="s">
        <v>4934</v>
      </c>
      <c r="F2949" s="10" t="s">
        <v>158</v>
      </c>
      <c r="G2949" s="2">
        <v>103.32389999999999</v>
      </c>
      <c r="H2949" s="13">
        <v>1</v>
      </c>
      <c r="I2949" s="13">
        <v>27</v>
      </c>
      <c r="J2949" s="13">
        <v>-27</v>
      </c>
      <c r="K2949" s="10">
        <v>1</v>
      </c>
      <c r="L2949" s="2">
        <v>103.32389999999999</v>
      </c>
      <c r="M2949" s="1">
        <v>46125.352083333331</v>
      </c>
      <c r="N2949" t="s">
        <v>903</v>
      </c>
    </row>
    <row r="2950" spans="1:14" x14ac:dyDescent="0.25">
      <c r="A2950" s="9" t="s">
        <v>5211</v>
      </c>
      <c r="B2950" s="10">
        <v>636</v>
      </c>
      <c r="C2950" s="10" t="s">
        <v>323</v>
      </c>
      <c r="D2950" t="s">
        <v>4655</v>
      </c>
      <c r="E2950" t="s">
        <v>4656</v>
      </c>
      <c r="F2950" s="10" t="s">
        <v>23</v>
      </c>
      <c r="G2950" s="2">
        <v>94.926699999999997</v>
      </c>
      <c r="H2950" s="13">
        <v>1</v>
      </c>
      <c r="I2950" s="13">
        <v>0</v>
      </c>
      <c r="J2950" s="13">
        <v>0</v>
      </c>
      <c r="K2950" s="10">
        <v>1</v>
      </c>
      <c r="L2950" s="2">
        <v>94.926699999999997</v>
      </c>
      <c r="M2950" s="1">
        <v>46125.395833333336</v>
      </c>
      <c r="N2950" t="s">
        <v>40</v>
      </c>
    </row>
    <row r="2951" spans="1:14" x14ac:dyDescent="0.25">
      <c r="A2951" s="9" t="s">
        <v>5211</v>
      </c>
      <c r="B2951" s="10">
        <v>636</v>
      </c>
      <c r="C2951" s="10" t="s">
        <v>143</v>
      </c>
      <c r="D2951" t="s">
        <v>1003</v>
      </c>
      <c r="E2951" t="s">
        <v>1004</v>
      </c>
      <c r="F2951" s="10" t="s">
        <v>23</v>
      </c>
      <c r="G2951" s="2">
        <v>115.6289</v>
      </c>
      <c r="H2951" s="13">
        <v>1</v>
      </c>
      <c r="I2951" s="13">
        <v>0</v>
      </c>
      <c r="J2951" s="13">
        <v>0</v>
      </c>
      <c r="K2951" s="10">
        <v>1</v>
      </c>
      <c r="L2951" s="2">
        <v>115.6289</v>
      </c>
      <c r="M2951" s="1">
        <v>46125.407638888886</v>
      </c>
      <c r="N2951" t="s">
        <v>295</v>
      </c>
    </row>
    <row r="2952" spans="1:14" x14ac:dyDescent="0.25">
      <c r="A2952" s="9" t="s">
        <v>5211</v>
      </c>
      <c r="B2952" s="10">
        <v>714</v>
      </c>
      <c r="C2952" s="10" t="s">
        <v>323</v>
      </c>
      <c r="D2952" t="s">
        <v>3376</v>
      </c>
      <c r="E2952" t="s">
        <v>3377</v>
      </c>
      <c r="F2952" s="10" t="s">
        <v>19</v>
      </c>
      <c r="G2952" s="2">
        <v>207.78890000000001</v>
      </c>
      <c r="H2952" s="13">
        <v>1</v>
      </c>
      <c r="I2952" s="13">
        <v>0</v>
      </c>
      <c r="J2952" s="13">
        <v>0</v>
      </c>
      <c r="K2952" s="10">
        <v>1</v>
      </c>
      <c r="L2952" s="2">
        <v>207.78890000000001</v>
      </c>
      <c r="M2952" s="1">
        <v>46126.29791666667</v>
      </c>
      <c r="N2952" t="s">
        <v>2379</v>
      </c>
    </row>
    <row r="2953" spans="1:14" x14ac:dyDescent="0.25">
      <c r="A2953" s="9" t="s">
        <v>5211</v>
      </c>
      <c r="B2953" s="10">
        <v>714</v>
      </c>
      <c r="C2953" s="10" t="s">
        <v>323</v>
      </c>
      <c r="D2953" t="s">
        <v>4989</v>
      </c>
      <c r="E2953" t="s">
        <v>4990</v>
      </c>
      <c r="F2953" s="10" t="s">
        <v>19</v>
      </c>
      <c r="G2953" s="2">
        <v>296.86020000000002</v>
      </c>
      <c r="H2953" s="13">
        <v>1</v>
      </c>
      <c r="I2953" s="13">
        <v>9</v>
      </c>
      <c r="J2953" s="13">
        <v>-9</v>
      </c>
      <c r="K2953" s="10">
        <v>1</v>
      </c>
      <c r="L2953" s="2">
        <v>296.86020000000002</v>
      </c>
      <c r="M2953" s="1">
        <v>46126.29791666667</v>
      </c>
      <c r="N2953" t="s">
        <v>2379</v>
      </c>
    </row>
    <row r="2954" spans="1:14" x14ac:dyDescent="0.25">
      <c r="A2954" s="9" t="s">
        <v>5211</v>
      </c>
      <c r="B2954" s="10">
        <v>714</v>
      </c>
      <c r="C2954" s="10" t="s">
        <v>323</v>
      </c>
      <c r="D2954" t="s">
        <v>3251</v>
      </c>
      <c r="E2954" t="s">
        <v>3252</v>
      </c>
      <c r="F2954" s="10" t="s">
        <v>158</v>
      </c>
      <c r="G2954" s="2">
        <v>100.0842</v>
      </c>
      <c r="H2954" s="13">
        <v>1</v>
      </c>
      <c r="I2954" s="13">
        <v>-1</v>
      </c>
      <c r="J2954" s="13">
        <v>1</v>
      </c>
      <c r="K2954" s="10">
        <v>1</v>
      </c>
      <c r="L2954" s="2">
        <v>100.0842</v>
      </c>
      <c r="M2954" s="1">
        <v>46126.29791666667</v>
      </c>
      <c r="N2954" t="s">
        <v>2379</v>
      </c>
    </row>
    <row r="2955" spans="1:14" x14ac:dyDescent="0.25">
      <c r="A2955" s="9" t="s">
        <v>5211</v>
      </c>
      <c r="B2955" s="10">
        <v>714</v>
      </c>
      <c r="C2955" s="10" t="s">
        <v>323</v>
      </c>
      <c r="D2955" t="s">
        <v>3069</v>
      </c>
      <c r="E2955" t="s">
        <v>3070</v>
      </c>
      <c r="F2955" s="10" t="s">
        <v>29</v>
      </c>
      <c r="G2955" s="2">
        <v>258.33210000000003</v>
      </c>
      <c r="H2955" s="13">
        <v>1</v>
      </c>
      <c r="I2955" s="13">
        <v>0</v>
      </c>
      <c r="J2955" s="13">
        <v>0</v>
      </c>
      <c r="K2955" s="10">
        <v>1</v>
      </c>
      <c r="L2955" s="2">
        <v>258.33210000000003</v>
      </c>
      <c r="M2955" s="1">
        <v>46126.29791666667</v>
      </c>
      <c r="N2955" t="s">
        <v>2379</v>
      </c>
    </row>
    <row r="2956" spans="1:14" x14ac:dyDescent="0.25">
      <c r="A2956" s="9" t="s">
        <v>5211</v>
      </c>
      <c r="B2956" s="10">
        <v>634</v>
      </c>
      <c r="C2956" s="10" t="s">
        <v>323</v>
      </c>
      <c r="D2956" t="s">
        <v>4294</v>
      </c>
      <c r="E2956" t="s">
        <v>4295</v>
      </c>
      <c r="F2956" s="10" t="s">
        <v>158</v>
      </c>
      <c r="G2956" s="2">
        <v>216.41239999999999</v>
      </c>
      <c r="H2956" s="13">
        <v>1</v>
      </c>
      <c r="I2956" s="13">
        <v>25</v>
      </c>
      <c r="J2956" s="13">
        <v>-25</v>
      </c>
      <c r="K2956" s="10">
        <v>1</v>
      </c>
      <c r="L2956" s="2">
        <v>216.41239999999999</v>
      </c>
      <c r="M2956" s="1">
        <v>46126.436805555553</v>
      </c>
      <c r="N2956" t="s">
        <v>151</v>
      </c>
    </row>
    <row r="2957" spans="1:14" x14ac:dyDescent="0.25">
      <c r="A2957" s="9" t="s">
        <v>5211</v>
      </c>
      <c r="B2957" s="10">
        <v>634</v>
      </c>
      <c r="C2957" s="10" t="s">
        <v>323</v>
      </c>
      <c r="D2957" t="s">
        <v>4300</v>
      </c>
      <c r="E2957" t="s">
        <v>4301</v>
      </c>
      <c r="F2957" s="10" t="s">
        <v>43</v>
      </c>
      <c r="G2957" s="2">
        <v>145.99959999999999</v>
      </c>
      <c r="H2957" s="13">
        <v>1</v>
      </c>
      <c r="I2957" s="13">
        <v>28</v>
      </c>
      <c r="J2957" s="13">
        <v>-28</v>
      </c>
      <c r="K2957" s="10">
        <v>1</v>
      </c>
      <c r="L2957" s="2">
        <v>145.99959999999999</v>
      </c>
      <c r="M2957" s="1">
        <v>46126.436805555553</v>
      </c>
      <c r="N2957" t="s">
        <v>151</v>
      </c>
    </row>
    <row r="2958" spans="1:14" x14ac:dyDescent="0.25">
      <c r="A2958" s="9" t="s">
        <v>5211</v>
      </c>
      <c r="B2958" s="10">
        <v>714</v>
      </c>
      <c r="C2958" s="10" t="s">
        <v>12</v>
      </c>
      <c r="D2958" t="s">
        <v>1878</v>
      </c>
      <c r="E2958" t="s">
        <v>1879</v>
      </c>
      <c r="F2958" s="10" t="s">
        <v>19</v>
      </c>
      <c r="G2958" s="2">
        <v>46.029800000000002</v>
      </c>
      <c r="H2958" s="13">
        <v>1</v>
      </c>
      <c r="I2958" s="13">
        <v>0</v>
      </c>
      <c r="J2958" s="13">
        <v>0</v>
      </c>
      <c r="K2958" s="10">
        <v>1</v>
      </c>
      <c r="L2958" s="2">
        <v>46.029800000000002</v>
      </c>
      <c r="M2958" s="1">
        <v>46126.649305555555</v>
      </c>
      <c r="N2958" t="s">
        <v>67</v>
      </c>
    </row>
    <row r="2959" spans="1:14" x14ac:dyDescent="0.25">
      <c r="A2959" s="9" t="s">
        <v>5211</v>
      </c>
      <c r="B2959" s="10">
        <v>714</v>
      </c>
      <c r="C2959" s="10" t="s">
        <v>143</v>
      </c>
      <c r="D2959" t="s">
        <v>2385</v>
      </c>
      <c r="E2959" t="s">
        <v>2386</v>
      </c>
      <c r="F2959" s="10" t="s">
        <v>19</v>
      </c>
      <c r="G2959" s="2">
        <v>167.2193</v>
      </c>
      <c r="H2959" s="13">
        <v>1</v>
      </c>
      <c r="I2959" s="13">
        <v>0</v>
      </c>
      <c r="J2959" s="13">
        <v>0</v>
      </c>
      <c r="K2959" s="10">
        <v>1</v>
      </c>
      <c r="L2959" s="2">
        <v>167.2193</v>
      </c>
      <c r="M2959" s="1">
        <v>46126.649305555555</v>
      </c>
      <c r="N2959" t="s">
        <v>67</v>
      </c>
    </row>
    <row r="2960" spans="1:14" x14ac:dyDescent="0.25">
      <c r="A2960" s="9" t="s">
        <v>5211</v>
      </c>
      <c r="B2960" s="10">
        <v>714</v>
      </c>
      <c r="C2960" s="10" t="s">
        <v>323</v>
      </c>
      <c r="D2960" t="s">
        <v>2973</v>
      </c>
      <c r="E2960" t="s">
        <v>2974</v>
      </c>
      <c r="F2960" s="10" t="s">
        <v>29</v>
      </c>
      <c r="G2960" s="2">
        <v>72.320499999999996</v>
      </c>
      <c r="H2960" s="13">
        <v>1</v>
      </c>
      <c r="I2960" s="13">
        <v>0</v>
      </c>
      <c r="J2960" s="13">
        <v>0</v>
      </c>
      <c r="K2960" s="10">
        <v>1</v>
      </c>
      <c r="L2960" s="2">
        <v>72.320499999999996</v>
      </c>
      <c r="M2960" s="1">
        <v>46126.649305555555</v>
      </c>
      <c r="N2960" t="s">
        <v>67</v>
      </c>
    </row>
    <row r="2961" spans="1:14" x14ac:dyDescent="0.25">
      <c r="A2961" s="9" t="s">
        <v>5211</v>
      </c>
      <c r="B2961" s="10">
        <v>714</v>
      </c>
      <c r="C2961" s="10" t="s">
        <v>143</v>
      </c>
      <c r="D2961" t="s">
        <v>2547</v>
      </c>
      <c r="E2961" t="s">
        <v>2548</v>
      </c>
      <c r="F2961" s="10" t="s">
        <v>29</v>
      </c>
      <c r="G2961" s="2">
        <v>139.45339999999999</v>
      </c>
      <c r="H2961" s="13">
        <v>1</v>
      </c>
      <c r="I2961" s="13">
        <v>0</v>
      </c>
      <c r="J2961" s="13">
        <v>0</v>
      </c>
      <c r="K2961" s="10">
        <v>1</v>
      </c>
      <c r="L2961" s="2">
        <v>139.45339999999999</v>
      </c>
      <c r="M2961" s="1">
        <v>46126.649305555555</v>
      </c>
      <c r="N2961" t="s">
        <v>67</v>
      </c>
    </row>
    <row r="2962" spans="1:14" x14ac:dyDescent="0.25">
      <c r="A2962" s="9" t="s">
        <v>5211</v>
      </c>
      <c r="B2962" s="10">
        <v>634</v>
      </c>
      <c r="C2962" s="10" t="s">
        <v>143</v>
      </c>
      <c r="D2962" t="s">
        <v>4084</v>
      </c>
      <c r="E2962" s="6" t="s">
        <v>4085</v>
      </c>
      <c r="F2962" s="11" t="s">
        <v>58</v>
      </c>
      <c r="G2962" s="2">
        <v>46.498100000000001</v>
      </c>
      <c r="H2962" s="13">
        <v>1</v>
      </c>
      <c r="I2962" s="13">
        <v>0</v>
      </c>
      <c r="J2962" s="13">
        <v>0</v>
      </c>
      <c r="K2962" s="10">
        <v>1</v>
      </c>
      <c r="L2962" s="2">
        <v>46.498100000000001</v>
      </c>
      <c r="M2962" s="1">
        <v>46126.656944444447</v>
      </c>
      <c r="N2962" t="s">
        <v>26</v>
      </c>
    </row>
    <row r="2963" spans="1:14" x14ac:dyDescent="0.25">
      <c r="A2963" s="9" t="s">
        <v>5211</v>
      </c>
      <c r="B2963" s="10">
        <v>714</v>
      </c>
      <c r="C2963" s="10" t="s">
        <v>143</v>
      </c>
      <c r="D2963" t="s">
        <v>4551</v>
      </c>
      <c r="E2963" t="s">
        <v>4552</v>
      </c>
      <c r="F2963" s="10" t="s">
        <v>19</v>
      </c>
      <c r="G2963" s="2">
        <v>278.87259999999998</v>
      </c>
      <c r="H2963" s="13">
        <v>1</v>
      </c>
      <c r="I2963" s="13">
        <v>0</v>
      </c>
      <c r="J2963" s="13">
        <v>0</v>
      </c>
      <c r="K2963" s="10">
        <v>1</v>
      </c>
      <c r="L2963" s="2">
        <v>278.87259999999998</v>
      </c>
      <c r="M2963" s="1">
        <v>46126.695833333331</v>
      </c>
      <c r="N2963" t="s">
        <v>178</v>
      </c>
    </row>
    <row r="2964" spans="1:14" x14ac:dyDescent="0.25">
      <c r="A2964" s="9" t="s">
        <v>5211</v>
      </c>
      <c r="B2964" s="10">
        <v>714</v>
      </c>
      <c r="C2964" s="10" t="s">
        <v>323</v>
      </c>
      <c r="D2964" t="s">
        <v>1644</v>
      </c>
      <c r="E2964" t="s">
        <v>1645</v>
      </c>
      <c r="F2964" s="10" t="s">
        <v>29</v>
      </c>
      <c r="G2964" s="2">
        <v>350.07409999999999</v>
      </c>
      <c r="H2964" s="13">
        <v>1</v>
      </c>
      <c r="I2964" s="13">
        <v>0</v>
      </c>
      <c r="J2964" s="13">
        <v>0</v>
      </c>
      <c r="K2964" s="10">
        <v>1</v>
      </c>
      <c r="L2964" s="2">
        <v>350.07409999999999</v>
      </c>
      <c r="M2964" s="1">
        <v>46126.695833333331</v>
      </c>
      <c r="N2964" t="s">
        <v>178</v>
      </c>
    </row>
    <row r="2965" spans="1:14" x14ac:dyDescent="0.25">
      <c r="A2965" s="9" t="s">
        <v>5211</v>
      </c>
      <c r="B2965" s="10">
        <v>714</v>
      </c>
      <c r="C2965" s="10" t="s">
        <v>143</v>
      </c>
      <c r="D2965" t="s">
        <v>2679</v>
      </c>
      <c r="E2965" t="s">
        <v>2680</v>
      </c>
      <c r="F2965" s="10" t="s">
        <v>29</v>
      </c>
      <c r="G2965" s="2">
        <v>338.2072</v>
      </c>
      <c r="H2965" s="13">
        <v>1</v>
      </c>
      <c r="I2965" s="13">
        <v>0</v>
      </c>
      <c r="J2965" s="13">
        <v>0</v>
      </c>
      <c r="K2965" s="10">
        <v>1</v>
      </c>
      <c r="L2965" s="2">
        <v>338.2072</v>
      </c>
      <c r="M2965" s="1">
        <v>46126.695833333331</v>
      </c>
      <c r="N2965" t="s">
        <v>178</v>
      </c>
    </row>
    <row r="2966" spans="1:14" x14ac:dyDescent="0.25">
      <c r="A2966" s="9" t="s">
        <v>5211</v>
      </c>
      <c r="B2966" s="10">
        <v>714</v>
      </c>
      <c r="C2966" s="10" t="s">
        <v>143</v>
      </c>
      <c r="D2966" t="s">
        <v>1204</v>
      </c>
      <c r="E2966" t="s">
        <v>1205</v>
      </c>
      <c r="F2966" s="10" t="s">
        <v>29</v>
      </c>
      <c r="G2966" s="2">
        <v>278.87259999999998</v>
      </c>
      <c r="H2966" s="13">
        <v>1</v>
      </c>
      <c r="I2966" s="13">
        <v>0</v>
      </c>
      <c r="J2966" s="13">
        <v>0</v>
      </c>
      <c r="K2966" s="10">
        <v>1</v>
      </c>
      <c r="L2966" s="2">
        <v>278.87259999999998</v>
      </c>
      <c r="M2966" s="1">
        <v>46126.695833333331</v>
      </c>
      <c r="N2966" t="s">
        <v>178</v>
      </c>
    </row>
    <row r="2967" spans="1:14" x14ac:dyDescent="0.25">
      <c r="A2967" s="9" t="s">
        <v>5211</v>
      </c>
      <c r="B2967" s="10">
        <v>714</v>
      </c>
      <c r="C2967" s="10" t="s">
        <v>323</v>
      </c>
      <c r="D2967" t="s">
        <v>5067</v>
      </c>
      <c r="E2967" t="s">
        <v>5068</v>
      </c>
      <c r="F2967" s="10" t="s">
        <v>455</v>
      </c>
      <c r="G2967" s="2">
        <v>323.76339999999999</v>
      </c>
      <c r="H2967" s="13">
        <v>1</v>
      </c>
      <c r="I2967" s="13">
        <v>13</v>
      </c>
      <c r="J2967" s="13">
        <v>-13</v>
      </c>
      <c r="K2967" s="10">
        <v>1</v>
      </c>
      <c r="L2967" s="2">
        <v>323.76339999999999</v>
      </c>
      <c r="M2967" s="1">
        <v>46126.711805555555</v>
      </c>
      <c r="N2967" t="s">
        <v>178</v>
      </c>
    </row>
    <row r="2968" spans="1:14" x14ac:dyDescent="0.25">
      <c r="A2968" s="9" t="s">
        <v>5211</v>
      </c>
      <c r="B2968" s="10">
        <v>714</v>
      </c>
      <c r="C2968" s="10" t="s">
        <v>323</v>
      </c>
      <c r="D2968" t="s">
        <v>2877</v>
      </c>
      <c r="E2968" t="s">
        <v>2878</v>
      </c>
      <c r="F2968" s="10" t="s">
        <v>29</v>
      </c>
      <c r="G2968" s="2">
        <v>286.03160000000003</v>
      </c>
      <c r="H2968" s="13">
        <v>1</v>
      </c>
      <c r="I2968" s="13">
        <v>0</v>
      </c>
      <c r="J2968" s="13">
        <v>0</v>
      </c>
      <c r="K2968" s="10">
        <v>1</v>
      </c>
      <c r="L2968" s="2">
        <v>286.03160000000003</v>
      </c>
      <c r="M2968" s="1">
        <v>46126.711805555555</v>
      </c>
      <c r="N2968" t="s">
        <v>178</v>
      </c>
    </row>
    <row r="2969" spans="1:14" x14ac:dyDescent="0.25">
      <c r="A2969" s="9" t="s">
        <v>5211</v>
      </c>
      <c r="B2969" s="10">
        <v>714</v>
      </c>
      <c r="C2969" s="10" t="s">
        <v>323</v>
      </c>
      <c r="D2969" t="s">
        <v>3107</v>
      </c>
      <c r="E2969" t="s">
        <v>3108</v>
      </c>
      <c r="F2969" s="10" t="s">
        <v>19</v>
      </c>
      <c r="G2969" s="2">
        <v>578.14890000000003</v>
      </c>
      <c r="H2969" s="13">
        <v>1</v>
      </c>
      <c r="I2969" s="13">
        <v>0</v>
      </c>
      <c r="J2969" s="13">
        <v>0</v>
      </c>
      <c r="K2969" s="10">
        <v>1</v>
      </c>
      <c r="L2969" s="2">
        <v>578.14890000000003</v>
      </c>
      <c r="M2969" s="1">
        <v>46126.711805555555</v>
      </c>
      <c r="N2969" t="s">
        <v>178</v>
      </c>
    </row>
    <row r="2970" spans="1:14" x14ac:dyDescent="0.25">
      <c r="A2970" s="9" t="s">
        <v>5211</v>
      </c>
      <c r="B2970" s="10">
        <v>714</v>
      </c>
      <c r="C2970" s="10" t="s">
        <v>323</v>
      </c>
      <c r="D2970" t="s">
        <v>1652</v>
      </c>
      <c r="E2970" t="s">
        <v>1653</v>
      </c>
      <c r="F2970" s="10" t="s">
        <v>29</v>
      </c>
      <c r="G2970" s="2">
        <v>456.43329999999997</v>
      </c>
      <c r="H2970" s="13">
        <v>1</v>
      </c>
      <c r="I2970" s="13">
        <v>0</v>
      </c>
      <c r="J2970" s="13">
        <v>0</v>
      </c>
      <c r="K2970" s="10">
        <v>1</v>
      </c>
      <c r="L2970" s="2">
        <v>456.43329999999997</v>
      </c>
      <c r="M2970" s="1">
        <v>46126.711805555555</v>
      </c>
      <c r="N2970" t="s">
        <v>178</v>
      </c>
    </row>
    <row r="2971" spans="1:14" x14ac:dyDescent="0.25">
      <c r="A2971" s="9" t="s">
        <v>5211</v>
      </c>
      <c r="B2971" s="10">
        <v>636</v>
      </c>
      <c r="C2971" s="10" t="s">
        <v>143</v>
      </c>
      <c r="D2971" t="s">
        <v>1186</v>
      </c>
      <c r="E2971" t="s">
        <v>1187</v>
      </c>
      <c r="F2971" s="10" t="s">
        <v>112</v>
      </c>
      <c r="G2971" s="2">
        <v>26.533100000000001</v>
      </c>
      <c r="H2971" s="13">
        <v>1</v>
      </c>
      <c r="I2971" s="13">
        <v>0</v>
      </c>
      <c r="J2971" s="13">
        <v>0</v>
      </c>
      <c r="K2971" s="10">
        <v>1</v>
      </c>
      <c r="L2971" s="2">
        <v>26.533100000000001</v>
      </c>
      <c r="M2971" s="1">
        <v>46127.302777777775</v>
      </c>
      <c r="N2971" t="s">
        <v>162</v>
      </c>
    </row>
    <row r="2972" spans="1:14" x14ac:dyDescent="0.25">
      <c r="A2972" s="9" t="s">
        <v>5211</v>
      </c>
      <c r="B2972" s="10">
        <v>636</v>
      </c>
      <c r="C2972" s="10" t="s">
        <v>323</v>
      </c>
      <c r="D2972" t="s">
        <v>430</v>
      </c>
      <c r="E2972" t="s">
        <v>431</v>
      </c>
      <c r="F2972" s="10" t="s">
        <v>158</v>
      </c>
      <c r="G2972" s="2">
        <v>180.8424</v>
      </c>
      <c r="H2972" s="13">
        <v>1</v>
      </c>
      <c r="I2972" s="13">
        <v>0</v>
      </c>
      <c r="J2972" s="13">
        <v>0</v>
      </c>
      <c r="K2972" s="10">
        <v>1</v>
      </c>
      <c r="L2972" s="2">
        <v>180.8424</v>
      </c>
      <c r="M2972" s="1">
        <v>46127.309027777781</v>
      </c>
      <c r="N2972" t="s">
        <v>1224</v>
      </c>
    </row>
    <row r="2973" spans="1:14" x14ac:dyDescent="0.25">
      <c r="A2973" s="9" t="s">
        <v>5211</v>
      </c>
      <c r="B2973" s="10">
        <v>718</v>
      </c>
      <c r="C2973" s="10" t="s">
        <v>126</v>
      </c>
      <c r="D2973" t="s">
        <v>3703</v>
      </c>
      <c r="E2973" t="s">
        <v>3704</v>
      </c>
      <c r="F2973" s="10" t="s">
        <v>29</v>
      </c>
      <c r="G2973" s="2">
        <v>15.4468</v>
      </c>
      <c r="H2973" s="13">
        <v>1</v>
      </c>
      <c r="I2973" s="13">
        <v>0</v>
      </c>
      <c r="J2973" s="13">
        <v>0</v>
      </c>
      <c r="K2973" s="10">
        <v>1</v>
      </c>
      <c r="L2973" s="2">
        <v>15.4468</v>
      </c>
      <c r="M2973" s="1">
        <v>46127.664583333331</v>
      </c>
      <c r="N2973" t="s">
        <v>140</v>
      </c>
    </row>
    <row r="2974" spans="1:14" x14ac:dyDescent="0.25">
      <c r="A2974" s="9" t="s">
        <v>5211</v>
      </c>
      <c r="B2974" s="10">
        <v>718</v>
      </c>
      <c r="C2974" s="10" t="s">
        <v>126</v>
      </c>
      <c r="D2974" t="s">
        <v>4465</v>
      </c>
      <c r="E2974" t="s">
        <v>4466</v>
      </c>
      <c r="F2974" s="10" t="s">
        <v>29</v>
      </c>
      <c r="G2974" s="2">
        <v>28.319199999999999</v>
      </c>
      <c r="H2974" s="13">
        <v>1</v>
      </c>
      <c r="I2974" s="13">
        <v>2</v>
      </c>
      <c r="J2974" s="13">
        <v>-2</v>
      </c>
      <c r="K2974" s="10">
        <v>1</v>
      </c>
      <c r="L2974" s="2">
        <v>28.319199999999999</v>
      </c>
      <c r="M2974" s="1">
        <v>46127.664583333331</v>
      </c>
      <c r="N2974" t="s">
        <v>140</v>
      </c>
    </row>
    <row r="2975" spans="1:14" x14ac:dyDescent="0.25">
      <c r="A2975" s="9" t="s">
        <v>5211</v>
      </c>
      <c r="B2975" s="10">
        <v>718</v>
      </c>
      <c r="C2975" s="10" t="s">
        <v>323</v>
      </c>
      <c r="D2975" t="s">
        <v>4595</v>
      </c>
      <c r="E2975" t="s">
        <v>4596</v>
      </c>
      <c r="F2975" s="10" t="s">
        <v>112</v>
      </c>
      <c r="G2975" s="2">
        <v>117.1435</v>
      </c>
      <c r="H2975" s="13">
        <v>1</v>
      </c>
      <c r="I2975" s="13">
        <v>4</v>
      </c>
      <c r="J2975" s="13">
        <v>-4</v>
      </c>
      <c r="K2975" s="10">
        <v>1</v>
      </c>
      <c r="L2975" s="2">
        <v>117.1435</v>
      </c>
      <c r="M2975" s="1">
        <v>46127.683333333334</v>
      </c>
      <c r="N2975" t="s">
        <v>345</v>
      </c>
    </row>
    <row r="2976" spans="1:14" x14ac:dyDescent="0.25">
      <c r="A2976" s="9" t="s">
        <v>5211</v>
      </c>
      <c r="B2976" s="10">
        <v>636</v>
      </c>
      <c r="C2976" s="10" t="s">
        <v>323</v>
      </c>
      <c r="D2976" t="s">
        <v>1382</v>
      </c>
      <c r="E2976" t="s">
        <v>1383</v>
      </c>
      <c r="F2976" s="10" t="s">
        <v>29</v>
      </c>
      <c r="G2976" s="2">
        <v>636.71479999999997</v>
      </c>
      <c r="H2976" s="13">
        <v>1</v>
      </c>
      <c r="I2976" s="13">
        <v>0</v>
      </c>
      <c r="J2976" s="13">
        <v>0</v>
      </c>
      <c r="K2976" s="10">
        <v>1</v>
      </c>
      <c r="L2976" s="2">
        <v>636.71479999999997</v>
      </c>
      <c r="M2976" s="1">
        <v>46128.310416666667</v>
      </c>
      <c r="N2976" t="s">
        <v>178</v>
      </c>
    </row>
    <row r="2977" spans="1:14" x14ac:dyDescent="0.25">
      <c r="A2977" s="9" t="s">
        <v>5211</v>
      </c>
      <c r="B2977" s="10">
        <v>636</v>
      </c>
      <c r="C2977" s="10" t="s">
        <v>323</v>
      </c>
      <c r="D2977" t="s">
        <v>4669</v>
      </c>
      <c r="E2977" t="s">
        <v>4670</v>
      </c>
      <c r="F2977" s="10" t="s">
        <v>43</v>
      </c>
      <c r="G2977" s="2">
        <v>236.0626</v>
      </c>
      <c r="H2977" s="13">
        <v>1</v>
      </c>
      <c r="I2977" s="13">
        <v>36</v>
      </c>
      <c r="J2977" s="13">
        <v>-36</v>
      </c>
      <c r="K2977" s="10">
        <v>1</v>
      </c>
      <c r="L2977" s="2">
        <v>236.0626</v>
      </c>
      <c r="M2977" s="1">
        <v>46128.45208333333</v>
      </c>
      <c r="N2977" t="s">
        <v>402</v>
      </c>
    </row>
    <row r="2978" spans="1:14" x14ac:dyDescent="0.25">
      <c r="A2978" s="9" t="s">
        <v>5211</v>
      </c>
      <c r="B2978" s="10">
        <v>714</v>
      </c>
      <c r="C2978" s="10" t="s">
        <v>126</v>
      </c>
      <c r="D2978" t="s">
        <v>4465</v>
      </c>
      <c r="E2978" t="s">
        <v>4466</v>
      </c>
      <c r="F2978" s="10" t="s">
        <v>39</v>
      </c>
      <c r="G2978" s="2">
        <v>27.753499999999999</v>
      </c>
      <c r="H2978" s="13">
        <v>1</v>
      </c>
      <c r="I2978" s="13">
        <v>2</v>
      </c>
      <c r="J2978" s="13">
        <v>-2</v>
      </c>
      <c r="K2978" s="10">
        <v>1</v>
      </c>
      <c r="L2978" s="2">
        <v>27.753499999999999</v>
      </c>
      <c r="M2978" s="1">
        <v>46128.664583333331</v>
      </c>
      <c r="N2978" t="s">
        <v>140</v>
      </c>
    </row>
    <row r="2979" spans="1:14" x14ac:dyDescent="0.25">
      <c r="A2979" s="9" t="s">
        <v>5211</v>
      </c>
      <c r="B2979" s="10">
        <v>718</v>
      </c>
      <c r="C2979" s="10" t="s">
        <v>143</v>
      </c>
      <c r="D2979" t="s">
        <v>4551</v>
      </c>
      <c r="E2979" t="s">
        <v>4552</v>
      </c>
      <c r="F2979" s="10" t="s">
        <v>23</v>
      </c>
      <c r="G2979" s="2">
        <v>279.36410000000001</v>
      </c>
      <c r="H2979" s="13">
        <v>1</v>
      </c>
      <c r="I2979" s="13">
        <v>0</v>
      </c>
      <c r="J2979" s="13">
        <v>0</v>
      </c>
      <c r="K2979" s="10">
        <v>1</v>
      </c>
      <c r="L2979" s="2">
        <v>279.36410000000001</v>
      </c>
      <c r="M2979" s="1">
        <v>46128.680555555555</v>
      </c>
      <c r="N2979" t="s">
        <v>178</v>
      </c>
    </row>
    <row r="2980" spans="1:14" x14ac:dyDescent="0.25">
      <c r="A2980" s="9" t="s">
        <v>5211</v>
      </c>
      <c r="B2980" s="10">
        <v>718</v>
      </c>
      <c r="C2980" s="10" t="s">
        <v>143</v>
      </c>
      <c r="D2980" t="s">
        <v>3796</v>
      </c>
      <c r="E2980" t="s">
        <v>3797</v>
      </c>
      <c r="F2980" s="10" t="s">
        <v>19</v>
      </c>
      <c r="G2980" s="2">
        <v>291.25200000000001</v>
      </c>
      <c r="H2980" s="13">
        <v>1</v>
      </c>
      <c r="I2980" s="13">
        <v>0</v>
      </c>
      <c r="J2980" s="13">
        <v>0</v>
      </c>
      <c r="K2980" s="10">
        <v>1</v>
      </c>
      <c r="L2980" s="2">
        <v>291.25200000000001</v>
      </c>
      <c r="M2980" s="1">
        <v>46128.680555555555</v>
      </c>
      <c r="N2980" t="s">
        <v>178</v>
      </c>
    </row>
    <row r="2981" spans="1:14" x14ac:dyDescent="0.25">
      <c r="A2981" s="9" t="s">
        <v>5211</v>
      </c>
      <c r="B2981" s="10">
        <v>718</v>
      </c>
      <c r="C2981" s="10" t="s">
        <v>143</v>
      </c>
      <c r="D2981" t="s">
        <v>2483</v>
      </c>
      <c r="E2981" t="s">
        <v>2484</v>
      </c>
      <c r="F2981" s="10" t="s">
        <v>29</v>
      </c>
      <c r="G2981" s="2">
        <v>350.4538</v>
      </c>
      <c r="H2981" s="13">
        <v>1</v>
      </c>
      <c r="I2981" s="13">
        <v>0</v>
      </c>
      <c r="J2981" s="13">
        <v>0</v>
      </c>
      <c r="K2981" s="10">
        <v>1</v>
      </c>
      <c r="L2981" s="2">
        <v>350.4538</v>
      </c>
      <c r="M2981" s="1">
        <v>46128.680555555555</v>
      </c>
      <c r="N2981" t="s">
        <v>178</v>
      </c>
    </row>
    <row r="2982" spans="1:14" x14ac:dyDescent="0.25">
      <c r="A2982" s="9" t="s">
        <v>5211</v>
      </c>
      <c r="B2982" s="10">
        <v>636</v>
      </c>
      <c r="C2982" s="10" t="s">
        <v>323</v>
      </c>
      <c r="D2982" t="s">
        <v>4288</v>
      </c>
      <c r="E2982" t="s">
        <v>4289</v>
      </c>
      <c r="F2982" s="10" t="s">
        <v>158</v>
      </c>
      <c r="G2982" s="2">
        <v>255</v>
      </c>
      <c r="H2982" s="13">
        <v>1</v>
      </c>
      <c r="I2982" s="13">
        <v>3</v>
      </c>
      <c r="J2982" s="13">
        <v>-3</v>
      </c>
      <c r="K2982" s="10">
        <v>1</v>
      </c>
      <c r="L2982" s="2">
        <v>255</v>
      </c>
      <c r="M2982" s="1">
        <v>46129.463194444441</v>
      </c>
      <c r="N2982" t="s">
        <v>159</v>
      </c>
    </row>
    <row r="2983" spans="1:14" x14ac:dyDescent="0.25">
      <c r="A2983" s="9" t="s">
        <v>5211</v>
      </c>
      <c r="B2983" s="10">
        <v>718</v>
      </c>
      <c r="C2983" s="10" t="s">
        <v>12</v>
      </c>
      <c r="D2983" t="s">
        <v>4687</v>
      </c>
      <c r="E2983" t="s">
        <v>4688</v>
      </c>
      <c r="F2983" s="10" t="s">
        <v>39</v>
      </c>
      <c r="G2983" s="2">
        <v>37.575899999999997</v>
      </c>
      <c r="H2983" s="13">
        <v>1</v>
      </c>
      <c r="I2983" s="13">
        <v>3</v>
      </c>
      <c r="J2983" s="13">
        <v>-3</v>
      </c>
      <c r="K2983" s="10">
        <v>1</v>
      </c>
      <c r="L2983" s="2">
        <v>37.575899999999997</v>
      </c>
      <c r="M2983" s="1">
        <v>46130.615277777775</v>
      </c>
      <c r="N2983" t="s">
        <v>30</v>
      </c>
    </row>
    <row r="2984" spans="1:14" x14ac:dyDescent="0.25">
      <c r="A2984" s="9" t="s">
        <v>5211</v>
      </c>
      <c r="B2984" s="10">
        <v>718</v>
      </c>
      <c r="C2984" s="10" t="s">
        <v>323</v>
      </c>
      <c r="D2984" t="s">
        <v>3059</v>
      </c>
      <c r="E2984" t="s">
        <v>3060</v>
      </c>
      <c r="F2984" s="10" t="s">
        <v>23</v>
      </c>
      <c r="G2984" s="2">
        <v>86.099599999999995</v>
      </c>
      <c r="H2984" s="13">
        <v>1</v>
      </c>
      <c r="I2984" s="13">
        <v>0</v>
      </c>
      <c r="J2984" s="13">
        <v>0</v>
      </c>
      <c r="K2984" s="10">
        <v>1</v>
      </c>
      <c r="L2984" s="2">
        <v>86.099599999999995</v>
      </c>
      <c r="M2984" s="1">
        <v>46130.615277777775</v>
      </c>
      <c r="N2984" t="s">
        <v>30</v>
      </c>
    </row>
    <row r="2985" spans="1:14" x14ac:dyDescent="0.25">
      <c r="A2985" s="9" t="s">
        <v>5211</v>
      </c>
      <c r="B2985" s="10">
        <v>636</v>
      </c>
      <c r="C2985" s="10" t="s">
        <v>143</v>
      </c>
      <c r="D2985" t="s">
        <v>968</v>
      </c>
      <c r="E2985" t="s">
        <v>969</v>
      </c>
      <c r="F2985" s="10" t="s">
        <v>19</v>
      </c>
      <c r="G2985" s="2">
        <v>209.66380000000001</v>
      </c>
      <c r="H2985" s="13">
        <v>1</v>
      </c>
      <c r="I2985" s="13">
        <v>0</v>
      </c>
      <c r="J2985" s="13">
        <v>0</v>
      </c>
      <c r="K2985" s="10">
        <v>1</v>
      </c>
      <c r="L2985" s="2">
        <v>209.66380000000001</v>
      </c>
      <c r="M2985" s="1">
        <v>46132.304166666669</v>
      </c>
      <c r="N2985" t="s">
        <v>178</v>
      </c>
    </row>
    <row r="2986" spans="1:14" x14ac:dyDescent="0.25">
      <c r="A2986" s="9" t="s">
        <v>5211</v>
      </c>
      <c r="B2986" s="10">
        <v>636</v>
      </c>
      <c r="C2986" s="10" t="s">
        <v>143</v>
      </c>
      <c r="D2986" t="s">
        <v>4551</v>
      </c>
      <c r="E2986" t="s">
        <v>4552</v>
      </c>
      <c r="F2986" s="10" t="s">
        <v>19</v>
      </c>
      <c r="G2986" s="2">
        <v>273.7278</v>
      </c>
      <c r="H2986" s="13">
        <v>1</v>
      </c>
      <c r="I2986" s="13">
        <v>0</v>
      </c>
      <c r="J2986" s="13">
        <v>0</v>
      </c>
      <c r="K2986" s="10">
        <v>1</v>
      </c>
      <c r="L2986" s="2">
        <v>273.7278</v>
      </c>
      <c r="M2986" s="1">
        <v>46132.304166666669</v>
      </c>
      <c r="N2986" t="s">
        <v>178</v>
      </c>
    </row>
    <row r="2987" spans="1:14" x14ac:dyDescent="0.25">
      <c r="A2987" s="9" t="s">
        <v>5211</v>
      </c>
      <c r="B2987" s="10">
        <v>636</v>
      </c>
      <c r="C2987" s="10" t="s">
        <v>323</v>
      </c>
      <c r="D2987" t="s">
        <v>4591</v>
      </c>
      <c r="E2987" t="s">
        <v>4592</v>
      </c>
      <c r="F2987" s="10" t="s">
        <v>29</v>
      </c>
      <c r="G2987" s="2">
        <v>320.31970000000001</v>
      </c>
      <c r="H2987" s="13">
        <v>1</v>
      </c>
      <c r="I2987" s="13">
        <v>1</v>
      </c>
      <c r="J2987" s="13">
        <v>-1</v>
      </c>
      <c r="K2987" s="10">
        <v>1</v>
      </c>
      <c r="L2987" s="2">
        <v>320.31970000000001</v>
      </c>
      <c r="M2987" s="1">
        <v>46132.304166666669</v>
      </c>
      <c r="N2987" t="s">
        <v>178</v>
      </c>
    </row>
    <row r="2988" spans="1:14" x14ac:dyDescent="0.25">
      <c r="A2988" s="9" t="s">
        <v>5211</v>
      </c>
      <c r="B2988" s="10">
        <v>636</v>
      </c>
      <c r="C2988" s="10" t="s">
        <v>143</v>
      </c>
      <c r="D2988" t="s">
        <v>1027</v>
      </c>
      <c r="E2988" t="s">
        <v>1028</v>
      </c>
      <c r="F2988" s="10" t="s">
        <v>23</v>
      </c>
      <c r="G2988" s="2">
        <v>273.7278</v>
      </c>
      <c r="H2988" s="13">
        <v>1</v>
      </c>
      <c r="I2988" s="13">
        <v>-3</v>
      </c>
      <c r="J2988" s="13">
        <v>3</v>
      </c>
      <c r="K2988" s="10">
        <v>1</v>
      </c>
      <c r="L2988" s="2">
        <v>273.7278</v>
      </c>
      <c r="M2988" s="1">
        <v>46132.304166666669</v>
      </c>
      <c r="N2988" t="s">
        <v>178</v>
      </c>
    </row>
    <row r="2989" spans="1:14" x14ac:dyDescent="0.25">
      <c r="A2989" s="9" t="s">
        <v>5211</v>
      </c>
      <c r="B2989" s="10">
        <v>714</v>
      </c>
      <c r="C2989" s="10" t="s">
        <v>323</v>
      </c>
      <c r="D2989" t="s">
        <v>5013</v>
      </c>
      <c r="E2989" t="s">
        <v>5014</v>
      </c>
      <c r="F2989" s="10" t="s">
        <v>19</v>
      </c>
      <c r="G2989" s="2">
        <v>395.13690000000003</v>
      </c>
      <c r="H2989" s="13">
        <v>1</v>
      </c>
      <c r="I2989" s="13">
        <v>2</v>
      </c>
      <c r="J2989" s="13">
        <v>-2</v>
      </c>
      <c r="K2989" s="10">
        <v>1</v>
      </c>
      <c r="L2989" s="2">
        <v>395.13690000000003</v>
      </c>
      <c r="M2989" s="1">
        <v>46132.326388888891</v>
      </c>
      <c r="N2989" t="s">
        <v>2423</v>
      </c>
    </row>
    <row r="2990" spans="1:14" x14ac:dyDescent="0.25">
      <c r="A2990" s="9" t="s">
        <v>5211</v>
      </c>
      <c r="B2990" s="10">
        <v>714</v>
      </c>
      <c r="C2990" s="10" t="s">
        <v>70</v>
      </c>
      <c r="D2990" t="s">
        <v>2062</v>
      </c>
      <c r="E2990" t="s">
        <v>2063</v>
      </c>
      <c r="F2990" s="10" t="s">
        <v>39</v>
      </c>
      <c r="G2990" s="2">
        <v>7.6154000000000002</v>
      </c>
      <c r="H2990" s="13">
        <v>1</v>
      </c>
      <c r="I2990" s="13">
        <v>0</v>
      </c>
      <c r="J2990" s="13">
        <v>0</v>
      </c>
      <c r="K2990" s="10">
        <v>1</v>
      </c>
      <c r="L2990" s="2">
        <v>7.6154000000000002</v>
      </c>
      <c r="M2990" s="1">
        <v>46132.597222222219</v>
      </c>
      <c r="N2990" t="s">
        <v>40</v>
      </c>
    </row>
    <row r="2991" spans="1:14" x14ac:dyDescent="0.25">
      <c r="A2991" s="9" t="s">
        <v>5211</v>
      </c>
      <c r="B2991" s="10">
        <v>714</v>
      </c>
      <c r="C2991" s="10" t="s">
        <v>143</v>
      </c>
      <c r="D2991" t="s">
        <v>2620</v>
      </c>
      <c r="E2991" t="s">
        <v>2621</v>
      </c>
      <c r="F2991" s="10" t="s">
        <v>35</v>
      </c>
      <c r="G2991" s="2">
        <v>21.609200000000001</v>
      </c>
      <c r="H2991" s="13">
        <v>1</v>
      </c>
      <c r="I2991" s="13">
        <v>0</v>
      </c>
      <c r="J2991" s="13">
        <v>0</v>
      </c>
      <c r="K2991" s="10">
        <v>1</v>
      </c>
      <c r="L2991" s="2">
        <v>21.609200000000001</v>
      </c>
      <c r="M2991" s="1">
        <v>46132.597222222219</v>
      </c>
      <c r="N2991" t="s">
        <v>40</v>
      </c>
    </row>
    <row r="2992" spans="1:14" x14ac:dyDescent="0.25">
      <c r="A2992" s="9" t="s">
        <v>5211</v>
      </c>
      <c r="B2992" s="10">
        <v>714</v>
      </c>
      <c r="C2992" s="10" t="s">
        <v>323</v>
      </c>
      <c r="D2992" t="s">
        <v>3259</v>
      </c>
      <c r="E2992" t="s">
        <v>3260</v>
      </c>
      <c r="F2992" s="10" t="s">
        <v>19</v>
      </c>
      <c r="G2992" s="2">
        <v>249.39869999999999</v>
      </c>
      <c r="H2992" s="13">
        <v>1</v>
      </c>
      <c r="I2992" s="13">
        <v>0</v>
      </c>
      <c r="J2992" s="13">
        <v>0</v>
      </c>
      <c r="K2992" s="10">
        <v>1</v>
      </c>
      <c r="L2992" s="2">
        <v>249.39869999999999</v>
      </c>
      <c r="M2992" s="1">
        <v>46132.695138888892</v>
      </c>
      <c r="N2992" t="s">
        <v>3024</v>
      </c>
    </row>
    <row r="2993" spans="1:14" x14ac:dyDescent="0.25">
      <c r="A2993" s="9" t="s">
        <v>5211</v>
      </c>
      <c r="B2993" s="10">
        <v>714</v>
      </c>
      <c r="C2993" s="10" t="s">
        <v>323</v>
      </c>
      <c r="D2993" t="s">
        <v>3022</v>
      </c>
      <c r="E2993" t="s">
        <v>3023</v>
      </c>
      <c r="F2993" s="10" t="s">
        <v>19</v>
      </c>
      <c r="G2993" s="2">
        <v>155.0316</v>
      </c>
      <c r="H2993" s="13">
        <v>1</v>
      </c>
      <c r="I2993" s="13">
        <v>0</v>
      </c>
      <c r="J2993" s="13">
        <v>0</v>
      </c>
      <c r="K2993" s="10">
        <v>1</v>
      </c>
      <c r="L2993" s="2">
        <v>155.0316</v>
      </c>
      <c r="M2993" s="1">
        <v>46132.695138888892</v>
      </c>
      <c r="N2993" t="s">
        <v>3024</v>
      </c>
    </row>
    <row r="2994" spans="1:14" x14ac:dyDescent="0.25">
      <c r="A2994" s="9" t="s">
        <v>5211</v>
      </c>
      <c r="B2994" s="10">
        <v>714</v>
      </c>
      <c r="C2994" s="10" t="s">
        <v>143</v>
      </c>
      <c r="D2994" t="s">
        <v>4859</v>
      </c>
      <c r="E2994" t="s">
        <v>4860</v>
      </c>
      <c r="F2994" s="10" t="s">
        <v>29</v>
      </c>
      <c r="G2994" s="2">
        <v>40.0366</v>
      </c>
      <c r="H2994" s="13">
        <v>1</v>
      </c>
      <c r="I2994" s="13">
        <v>0</v>
      </c>
      <c r="J2994" s="13">
        <v>0</v>
      </c>
      <c r="K2994" s="10">
        <v>1</v>
      </c>
      <c r="L2994" s="2">
        <v>40.0366</v>
      </c>
      <c r="M2994" s="1">
        <v>46133.435416666667</v>
      </c>
      <c r="N2994" t="s">
        <v>195</v>
      </c>
    </row>
    <row r="2995" spans="1:14" x14ac:dyDescent="0.25">
      <c r="A2995" s="9" t="s">
        <v>5211</v>
      </c>
      <c r="B2995" s="10">
        <v>636</v>
      </c>
      <c r="C2995" s="10" t="s">
        <v>143</v>
      </c>
      <c r="D2995" t="s">
        <v>1011</v>
      </c>
      <c r="E2995" t="s">
        <v>1012</v>
      </c>
      <c r="F2995" s="10" t="s">
        <v>158</v>
      </c>
      <c r="G2995" s="2">
        <v>155.34209999999999</v>
      </c>
      <c r="H2995" s="13">
        <v>1</v>
      </c>
      <c r="I2995" s="13">
        <v>0</v>
      </c>
      <c r="J2995" s="13">
        <v>0</v>
      </c>
      <c r="K2995" s="10">
        <v>1</v>
      </c>
      <c r="L2995" s="2">
        <v>155.34209999999999</v>
      </c>
      <c r="M2995" s="1">
        <v>46133.45</v>
      </c>
      <c r="N2995" t="s">
        <v>137</v>
      </c>
    </row>
    <row r="2996" spans="1:14" x14ac:dyDescent="0.25">
      <c r="A2996" s="9" t="s">
        <v>5211</v>
      </c>
      <c r="B2996" s="10">
        <v>634</v>
      </c>
      <c r="C2996" s="10" t="s">
        <v>323</v>
      </c>
      <c r="D2996" t="s">
        <v>449</v>
      </c>
      <c r="E2996" t="s">
        <v>450</v>
      </c>
      <c r="F2996" s="10" t="s">
        <v>23</v>
      </c>
      <c r="G2996" s="2">
        <v>115.2109</v>
      </c>
      <c r="H2996" s="13">
        <v>1</v>
      </c>
      <c r="I2996" s="13">
        <v>0</v>
      </c>
      <c r="J2996" s="13">
        <v>0</v>
      </c>
      <c r="K2996" s="10">
        <v>1</v>
      </c>
      <c r="L2996" s="2">
        <v>115.2109</v>
      </c>
      <c r="M2996" s="1">
        <v>46134.371527777781</v>
      </c>
      <c r="N2996" t="s">
        <v>330</v>
      </c>
    </row>
    <row r="2997" spans="1:14" x14ac:dyDescent="0.25">
      <c r="A2997" s="9" t="s">
        <v>5211</v>
      </c>
      <c r="B2997" s="10">
        <v>718</v>
      </c>
      <c r="C2997" s="10" t="s">
        <v>323</v>
      </c>
      <c r="D2997" t="s">
        <v>3889</v>
      </c>
      <c r="E2997" t="s">
        <v>3890</v>
      </c>
      <c r="F2997" s="10" t="s">
        <v>29</v>
      </c>
      <c r="G2997" s="2">
        <v>249.04409999999999</v>
      </c>
      <c r="H2997" s="13">
        <v>1</v>
      </c>
      <c r="I2997" s="13">
        <v>0</v>
      </c>
      <c r="J2997" s="13">
        <v>0</v>
      </c>
      <c r="K2997" s="10">
        <v>1</v>
      </c>
      <c r="L2997" s="2">
        <v>249.04409999999999</v>
      </c>
      <c r="M2997" s="1">
        <v>46134.417361111111</v>
      </c>
      <c r="N2997" t="s">
        <v>3024</v>
      </c>
    </row>
    <row r="2998" spans="1:14" x14ac:dyDescent="0.25">
      <c r="A2998" s="9" t="s">
        <v>5211</v>
      </c>
      <c r="B2998" s="10">
        <v>718</v>
      </c>
      <c r="C2998" s="10" t="s">
        <v>323</v>
      </c>
      <c r="D2998" t="s">
        <v>3834</v>
      </c>
      <c r="E2998" t="s">
        <v>3835</v>
      </c>
      <c r="F2998" s="10" t="s">
        <v>19</v>
      </c>
      <c r="G2998" s="2">
        <v>168.273</v>
      </c>
      <c r="H2998" s="13">
        <v>1</v>
      </c>
      <c r="I2998" s="13">
        <v>0</v>
      </c>
      <c r="J2998" s="13">
        <v>0</v>
      </c>
      <c r="K2998" s="10">
        <v>1</v>
      </c>
      <c r="L2998" s="2">
        <v>168.273</v>
      </c>
      <c r="M2998" s="1">
        <v>46134.417361111111</v>
      </c>
      <c r="N2998" t="s">
        <v>3024</v>
      </c>
    </row>
    <row r="2999" spans="1:14" x14ac:dyDescent="0.25">
      <c r="A2999" s="9" t="s">
        <v>5211</v>
      </c>
      <c r="B2999" s="10">
        <v>718</v>
      </c>
      <c r="C2999" s="10" t="s">
        <v>323</v>
      </c>
      <c r="D2999" t="s">
        <v>3382</v>
      </c>
      <c r="E2999" t="s">
        <v>3383</v>
      </c>
      <c r="F2999" s="10" t="s">
        <v>29</v>
      </c>
      <c r="G2999" s="2">
        <v>154.81120000000001</v>
      </c>
      <c r="H2999" s="13">
        <v>1</v>
      </c>
      <c r="I2999" s="13">
        <v>0</v>
      </c>
      <c r="J2999" s="13">
        <v>0</v>
      </c>
      <c r="K2999" s="10">
        <v>1</v>
      </c>
      <c r="L2999" s="2">
        <v>154.81120000000001</v>
      </c>
      <c r="M2999" s="1">
        <v>46134.417361111111</v>
      </c>
      <c r="N2999" t="s">
        <v>3024</v>
      </c>
    </row>
    <row r="3000" spans="1:14" x14ac:dyDescent="0.25">
      <c r="A3000" s="9" t="s">
        <v>5211</v>
      </c>
      <c r="B3000" s="10">
        <v>718</v>
      </c>
      <c r="C3000" s="10" t="s">
        <v>323</v>
      </c>
      <c r="D3000" t="s">
        <v>3520</v>
      </c>
      <c r="E3000" t="s">
        <v>3521</v>
      </c>
      <c r="F3000" s="10" t="s">
        <v>23</v>
      </c>
      <c r="G3000" s="2">
        <v>117.7594</v>
      </c>
      <c r="H3000" s="13">
        <v>1</v>
      </c>
      <c r="I3000" s="13">
        <v>1</v>
      </c>
      <c r="J3000" s="13">
        <v>-1</v>
      </c>
      <c r="K3000" s="10">
        <v>1</v>
      </c>
      <c r="L3000" s="2">
        <v>117.7594</v>
      </c>
      <c r="M3000" s="1">
        <v>46134.417361111111</v>
      </c>
      <c r="N3000" t="s">
        <v>3024</v>
      </c>
    </row>
    <row r="3001" spans="1:14" x14ac:dyDescent="0.25">
      <c r="A3001" s="9" t="s">
        <v>5211</v>
      </c>
      <c r="B3001" s="10">
        <v>718</v>
      </c>
      <c r="C3001" s="10" t="s">
        <v>323</v>
      </c>
      <c r="D3001" t="s">
        <v>3296</v>
      </c>
      <c r="E3001" t="s">
        <v>3297</v>
      </c>
      <c r="F3001" s="10" t="s">
        <v>19</v>
      </c>
      <c r="G3001" s="2">
        <v>321.87830000000002</v>
      </c>
      <c r="H3001" s="13">
        <v>1</v>
      </c>
      <c r="I3001" s="13">
        <v>0</v>
      </c>
      <c r="J3001" s="13">
        <v>0</v>
      </c>
      <c r="K3001" s="10">
        <v>1</v>
      </c>
      <c r="L3001" s="2">
        <v>321.87830000000002</v>
      </c>
      <c r="M3001" s="1">
        <v>46134.54791666667</v>
      </c>
      <c r="N3001" t="s">
        <v>2423</v>
      </c>
    </row>
    <row r="3002" spans="1:14" x14ac:dyDescent="0.25">
      <c r="A3002" s="9" t="s">
        <v>5211</v>
      </c>
      <c r="B3002" s="10">
        <v>718</v>
      </c>
      <c r="C3002" s="10" t="s">
        <v>323</v>
      </c>
      <c r="D3002" t="s">
        <v>1330</v>
      </c>
      <c r="E3002" t="s">
        <v>1331</v>
      </c>
      <c r="F3002" s="10" t="s">
        <v>23</v>
      </c>
      <c r="G3002" s="2">
        <v>161.27799999999999</v>
      </c>
      <c r="H3002" s="13">
        <v>1</v>
      </c>
      <c r="I3002" s="13">
        <v>0</v>
      </c>
      <c r="J3002" s="13">
        <v>0</v>
      </c>
      <c r="K3002" s="10">
        <v>1</v>
      </c>
      <c r="L3002" s="2">
        <v>161.27799999999999</v>
      </c>
      <c r="M3002" s="1">
        <v>46134.54791666667</v>
      </c>
      <c r="N3002" t="s">
        <v>2423</v>
      </c>
    </row>
    <row r="3003" spans="1:14" x14ac:dyDescent="0.25">
      <c r="A3003" s="9" t="s">
        <v>5211</v>
      </c>
      <c r="B3003" s="10">
        <v>718</v>
      </c>
      <c r="C3003" s="10" t="s">
        <v>143</v>
      </c>
      <c r="D3003" t="s">
        <v>3743</v>
      </c>
      <c r="E3003" t="s">
        <v>3744</v>
      </c>
      <c r="F3003" s="10" t="s">
        <v>23</v>
      </c>
      <c r="G3003" s="2">
        <v>212.10079999999999</v>
      </c>
      <c r="H3003" s="13">
        <v>1</v>
      </c>
      <c r="I3003" s="13">
        <v>0</v>
      </c>
      <c r="J3003" s="13">
        <v>0</v>
      </c>
      <c r="K3003" s="10">
        <v>1</v>
      </c>
      <c r="L3003" s="2">
        <v>212.10079999999999</v>
      </c>
      <c r="M3003" s="1">
        <v>46134.54791666667</v>
      </c>
      <c r="N3003" t="s">
        <v>2423</v>
      </c>
    </row>
    <row r="3004" spans="1:14" x14ac:dyDescent="0.25">
      <c r="A3004" s="9" t="s">
        <v>5211</v>
      </c>
      <c r="B3004" s="10">
        <v>636</v>
      </c>
      <c r="C3004" s="10" t="s">
        <v>12</v>
      </c>
      <c r="D3004" t="s">
        <v>532</v>
      </c>
      <c r="E3004" t="s">
        <v>533</v>
      </c>
      <c r="F3004" s="10" t="s">
        <v>39</v>
      </c>
      <c r="G3004" s="2">
        <v>6.9603999999999999</v>
      </c>
      <c r="H3004" s="13">
        <v>1</v>
      </c>
      <c r="I3004" s="13">
        <v>0</v>
      </c>
      <c r="J3004" s="13">
        <v>0</v>
      </c>
      <c r="K3004" s="10">
        <v>1</v>
      </c>
      <c r="L3004" s="2">
        <v>6.9603999999999999</v>
      </c>
      <c r="M3004" s="1">
        <v>46135.39166666667</v>
      </c>
      <c r="N3004" t="s">
        <v>522</v>
      </c>
    </row>
    <row r="3005" spans="1:14" x14ac:dyDescent="0.25">
      <c r="A3005" s="9" t="s">
        <v>5211</v>
      </c>
      <c r="B3005" s="10">
        <v>636</v>
      </c>
      <c r="C3005" s="10" t="s">
        <v>143</v>
      </c>
      <c r="D3005" t="s">
        <v>1092</v>
      </c>
      <c r="E3005" t="s">
        <v>1093</v>
      </c>
      <c r="F3005" s="10" t="s">
        <v>23</v>
      </c>
      <c r="G3005" s="2">
        <v>69.425200000000004</v>
      </c>
      <c r="H3005" s="13">
        <v>1</v>
      </c>
      <c r="I3005" s="13">
        <v>0</v>
      </c>
      <c r="J3005" s="13">
        <v>0</v>
      </c>
      <c r="K3005" s="10">
        <v>1</v>
      </c>
      <c r="L3005" s="2">
        <v>69.425200000000004</v>
      </c>
      <c r="M3005" s="1">
        <v>46135.450694444444</v>
      </c>
      <c r="N3005" t="s">
        <v>371</v>
      </c>
    </row>
    <row r="3006" spans="1:14" x14ac:dyDescent="0.25">
      <c r="A3006" s="9" t="s">
        <v>5211</v>
      </c>
      <c r="B3006" s="10">
        <v>718</v>
      </c>
      <c r="C3006" s="10" t="s">
        <v>323</v>
      </c>
      <c r="D3006" t="s">
        <v>3832</v>
      </c>
      <c r="E3006" t="s">
        <v>3833</v>
      </c>
      <c r="F3006" s="10" t="s">
        <v>23</v>
      </c>
      <c r="G3006" s="2">
        <v>116.59690000000001</v>
      </c>
      <c r="H3006" s="13">
        <v>1</v>
      </c>
      <c r="I3006" s="13">
        <v>0</v>
      </c>
      <c r="J3006" s="13">
        <v>0</v>
      </c>
      <c r="K3006" s="10">
        <v>1</v>
      </c>
      <c r="L3006" s="2">
        <v>116.59690000000001</v>
      </c>
      <c r="M3006" s="1">
        <v>46135.509027777778</v>
      </c>
      <c r="N3006" t="s">
        <v>2423</v>
      </c>
    </row>
    <row r="3007" spans="1:14" x14ac:dyDescent="0.25">
      <c r="A3007" s="9" t="s">
        <v>5211</v>
      </c>
      <c r="B3007" s="10">
        <v>718</v>
      </c>
      <c r="C3007" s="10" t="s">
        <v>323</v>
      </c>
      <c r="D3007" t="s">
        <v>3883</v>
      </c>
      <c r="E3007" t="s">
        <v>3884</v>
      </c>
      <c r="F3007" s="10" t="s">
        <v>23</v>
      </c>
      <c r="G3007" s="2">
        <v>185.1833</v>
      </c>
      <c r="H3007" s="13">
        <v>1</v>
      </c>
      <c r="I3007" s="13">
        <v>0</v>
      </c>
      <c r="J3007" s="13">
        <v>0</v>
      </c>
      <c r="K3007" s="10">
        <v>1</v>
      </c>
      <c r="L3007" s="2">
        <v>185.1833</v>
      </c>
      <c r="M3007" s="1">
        <v>46135.509027777778</v>
      </c>
      <c r="N3007" t="s">
        <v>2423</v>
      </c>
    </row>
    <row r="3008" spans="1:14" x14ac:dyDescent="0.25">
      <c r="A3008" s="9" t="s">
        <v>5211</v>
      </c>
      <c r="B3008" s="10">
        <v>636</v>
      </c>
      <c r="C3008" s="10" t="s">
        <v>143</v>
      </c>
      <c r="D3008" t="s">
        <v>1177</v>
      </c>
      <c r="E3008" t="s">
        <v>1178</v>
      </c>
      <c r="F3008" s="10" t="s">
        <v>43</v>
      </c>
      <c r="G3008" s="2">
        <v>96.258099999999999</v>
      </c>
      <c r="H3008" s="13">
        <v>1</v>
      </c>
      <c r="I3008" s="13">
        <v>0</v>
      </c>
      <c r="J3008" s="13">
        <v>0</v>
      </c>
      <c r="K3008" s="10">
        <v>1</v>
      </c>
      <c r="L3008" s="2">
        <v>96.258099999999999</v>
      </c>
      <c r="M3008" s="1">
        <v>46135.534722222219</v>
      </c>
      <c r="N3008" t="s">
        <v>1179</v>
      </c>
    </row>
    <row r="3009" spans="1:14" x14ac:dyDescent="0.25">
      <c r="A3009" s="9" t="s">
        <v>5211</v>
      </c>
      <c r="B3009" s="10">
        <v>636</v>
      </c>
      <c r="C3009" s="10" t="s">
        <v>323</v>
      </c>
      <c r="D3009" t="s">
        <v>3863</v>
      </c>
      <c r="E3009" t="s">
        <v>3864</v>
      </c>
      <c r="F3009" s="10" t="s">
        <v>23</v>
      </c>
      <c r="G3009" s="2">
        <v>24.224699999999999</v>
      </c>
      <c r="H3009" s="13">
        <v>1</v>
      </c>
      <c r="I3009" s="13">
        <v>-12</v>
      </c>
      <c r="J3009" s="13">
        <v>12</v>
      </c>
      <c r="K3009" s="10">
        <v>1</v>
      </c>
      <c r="L3009" s="2">
        <v>24.224699999999999</v>
      </c>
      <c r="M3009" s="1">
        <v>46135.595833333333</v>
      </c>
      <c r="N3009" t="s">
        <v>599</v>
      </c>
    </row>
    <row r="3010" spans="1:14" x14ac:dyDescent="0.25">
      <c r="A3010" s="9" t="s">
        <v>5211</v>
      </c>
      <c r="B3010" s="10">
        <v>636</v>
      </c>
      <c r="C3010" s="10" t="s">
        <v>70</v>
      </c>
      <c r="D3010" t="s">
        <v>723</v>
      </c>
      <c r="E3010" t="s">
        <v>724</v>
      </c>
      <c r="F3010" s="10" t="s">
        <v>112</v>
      </c>
      <c r="G3010" s="2">
        <v>32.500799999999998</v>
      </c>
      <c r="H3010" s="13">
        <v>1</v>
      </c>
      <c r="I3010" s="13">
        <v>-1</v>
      </c>
      <c r="J3010" s="13">
        <v>1</v>
      </c>
      <c r="K3010" s="10">
        <v>1</v>
      </c>
      <c r="L3010" s="2">
        <v>32.500799999999998</v>
      </c>
      <c r="M3010" s="1">
        <v>46135.595833333333</v>
      </c>
      <c r="N3010" t="s">
        <v>599</v>
      </c>
    </row>
    <row r="3011" spans="1:14" x14ac:dyDescent="0.25">
      <c r="A3011" s="9" t="s">
        <v>5211</v>
      </c>
      <c r="B3011" s="10">
        <v>718</v>
      </c>
      <c r="C3011" s="10" t="s">
        <v>323</v>
      </c>
      <c r="D3011" t="s">
        <v>3974</v>
      </c>
      <c r="E3011" t="s">
        <v>3975</v>
      </c>
      <c r="F3011" s="10" t="s">
        <v>23</v>
      </c>
      <c r="G3011" s="2">
        <v>260.8</v>
      </c>
      <c r="H3011" s="13">
        <v>1</v>
      </c>
      <c r="I3011" s="13">
        <v>-1</v>
      </c>
      <c r="J3011" s="13">
        <v>1</v>
      </c>
      <c r="K3011" s="10">
        <v>1</v>
      </c>
      <c r="L3011" s="2">
        <v>260.8</v>
      </c>
      <c r="M3011" s="1">
        <v>46136.458333333336</v>
      </c>
      <c r="N3011" t="s">
        <v>1234</v>
      </c>
    </row>
    <row r="3012" spans="1:14" x14ac:dyDescent="0.25">
      <c r="A3012" s="9" t="s">
        <v>5211</v>
      </c>
      <c r="B3012" s="10">
        <v>636</v>
      </c>
      <c r="C3012" s="10" t="s">
        <v>323</v>
      </c>
      <c r="D3012" t="s">
        <v>4609</v>
      </c>
      <c r="E3012" t="s">
        <v>4610</v>
      </c>
      <c r="F3012" s="10" t="s">
        <v>23</v>
      </c>
      <c r="G3012" s="2">
        <v>166.63900000000001</v>
      </c>
      <c r="H3012" s="13">
        <v>1</v>
      </c>
      <c r="I3012" s="13">
        <v>3</v>
      </c>
      <c r="J3012" s="13">
        <v>-3</v>
      </c>
      <c r="K3012" s="10">
        <v>1</v>
      </c>
      <c r="L3012" s="2">
        <v>166.63900000000001</v>
      </c>
      <c r="M3012" s="1">
        <v>46136.538194444445</v>
      </c>
      <c r="N3012" t="s">
        <v>1500</v>
      </c>
    </row>
    <row r="3013" spans="1:14" x14ac:dyDescent="0.25">
      <c r="A3013" s="9" t="s">
        <v>5211</v>
      </c>
      <c r="B3013" s="10">
        <v>636</v>
      </c>
      <c r="C3013" s="10" t="s">
        <v>70</v>
      </c>
      <c r="D3013" t="s">
        <v>773</v>
      </c>
      <c r="E3013" t="s">
        <v>774</v>
      </c>
      <c r="F3013" s="10" t="s">
        <v>39</v>
      </c>
      <c r="G3013" s="2">
        <v>5.6195000000000004</v>
      </c>
      <c r="H3013" s="13">
        <v>1</v>
      </c>
      <c r="I3013" s="13">
        <v>-23</v>
      </c>
      <c r="J3013" s="13">
        <v>23</v>
      </c>
      <c r="K3013" s="10">
        <v>1</v>
      </c>
      <c r="L3013" s="2">
        <v>5.6195000000000004</v>
      </c>
      <c r="M3013" s="1">
        <v>46136.597916666666</v>
      </c>
      <c r="N3013" t="s">
        <v>40</v>
      </c>
    </row>
    <row r="3014" spans="1:14" x14ac:dyDescent="0.25">
      <c r="A3014" s="9" t="s">
        <v>5211</v>
      </c>
      <c r="B3014" s="10">
        <v>636</v>
      </c>
      <c r="C3014" s="10" t="s">
        <v>323</v>
      </c>
      <c r="D3014" t="s">
        <v>4639</v>
      </c>
      <c r="E3014" t="s">
        <v>4640</v>
      </c>
      <c r="F3014" s="10" t="s">
        <v>19</v>
      </c>
      <c r="G3014" s="2">
        <v>285.2047</v>
      </c>
      <c r="H3014" s="13">
        <v>1</v>
      </c>
      <c r="I3014" s="13">
        <v>1</v>
      </c>
      <c r="J3014" s="13">
        <v>-1</v>
      </c>
      <c r="K3014" s="10">
        <v>1</v>
      </c>
      <c r="L3014" s="2">
        <v>285.2047</v>
      </c>
      <c r="M3014" s="1">
        <v>46136.612500000003</v>
      </c>
      <c r="N3014" t="s">
        <v>1234</v>
      </c>
    </row>
    <row r="3015" spans="1:14" x14ac:dyDescent="0.25">
      <c r="A3015" s="9" t="s">
        <v>5211</v>
      </c>
      <c r="B3015" s="10">
        <v>714</v>
      </c>
      <c r="C3015" s="10" t="s">
        <v>143</v>
      </c>
      <c r="D3015" t="s">
        <v>2393</v>
      </c>
      <c r="E3015" t="s">
        <v>2394</v>
      </c>
      <c r="F3015" s="10" t="s">
        <v>15</v>
      </c>
      <c r="G3015" s="2">
        <v>14.5754</v>
      </c>
      <c r="H3015" s="13">
        <v>1</v>
      </c>
      <c r="I3015" s="13">
        <v>0</v>
      </c>
      <c r="J3015" s="13">
        <v>0</v>
      </c>
      <c r="K3015" s="10">
        <v>1</v>
      </c>
      <c r="L3015" s="2">
        <v>14.5754</v>
      </c>
      <c r="M3015" s="1">
        <v>46136.695833333331</v>
      </c>
      <c r="N3015" t="s">
        <v>216</v>
      </c>
    </row>
    <row r="3016" spans="1:14" x14ac:dyDescent="0.25">
      <c r="A3016" s="9" t="s">
        <v>5211</v>
      </c>
      <c r="B3016" s="10">
        <v>714</v>
      </c>
      <c r="C3016" s="10" t="s">
        <v>323</v>
      </c>
      <c r="D3016" t="s">
        <v>3272</v>
      </c>
      <c r="E3016" t="s">
        <v>3273</v>
      </c>
      <c r="F3016" s="10" t="s">
        <v>158</v>
      </c>
      <c r="G3016" s="2">
        <v>190.2542</v>
      </c>
      <c r="H3016" s="13">
        <v>1</v>
      </c>
      <c r="I3016" s="13">
        <v>0</v>
      </c>
      <c r="J3016" s="13">
        <v>0</v>
      </c>
      <c r="K3016" s="10">
        <v>1</v>
      </c>
      <c r="L3016" s="2">
        <v>190.2542</v>
      </c>
      <c r="M3016" s="1">
        <v>46137.60833333333</v>
      </c>
      <c r="N3016" t="s">
        <v>2379</v>
      </c>
    </row>
    <row r="3017" spans="1:14" x14ac:dyDescent="0.25">
      <c r="A3017" s="9" t="s">
        <v>5211</v>
      </c>
      <c r="B3017" s="10">
        <v>718</v>
      </c>
      <c r="C3017" s="10" t="s">
        <v>323</v>
      </c>
      <c r="D3017" t="s">
        <v>3101</v>
      </c>
      <c r="E3017" t="s">
        <v>3102</v>
      </c>
      <c r="F3017" s="10" t="s">
        <v>23</v>
      </c>
      <c r="G3017" s="2">
        <v>116.1601</v>
      </c>
      <c r="H3017" s="13">
        <v>1</v>
      </c>
      <c r="I3017" s="13">
        <v>0</v>
      </c>
      <c r="J3017" s="13">
        <v>0</v>
      </c>
      <c r="K3017" s="10">
        <v>1</v>
      </c>
      <c r="L3017" s="2">
        <v>116.1601</v>
      </c>
      <c r="M3017" s="1">
        <v>46139.576388888891</v>
      </c>
      <c r="N3017" t="s">
        <v>885</v>
      </c>
    </row>
    <row r="3018" spans="1:14" x14ac:dyDescent="0.25">
      <c r="A3018" s="9" t="s">
        <v>5211</v>
      </c>
      <c r="B3018" s="10">
        <v>714</v>
      </c>
      <c r="C3018" s="10" t="s">
        <v>143</v>
      </c>
      <c r="D3018" t="s">
        <v>2411</v>
      </c>
      <c r="E3018" t="s">
        <v>2412</v>
      </c>
      <c r="F3018" s="10" t="s">
        <v>19</v>
      </c>
      <c r="G3018" s="2">
        <v>39.6</v>
      </c>
      <c r="H3018" s="13">
        <v>1</v>
      </c>
      <c r="I3018" s="13">
        <v>0</v>
      </c>
      <c r="J3018" s="13">
        <v>0</v>
      </c>
      <c r="K3018" s="10">
        <v>1</v>
      </c>
      <c r="L3018" s="2">
        <v>39.6</v>
      </c>
      <c r="M3018" s="1">
        <v>46139.672222222223</v>
      </c>
      <c r="N3018" t="s">
        <v>1535</v>
      </c>
    </row>
    <row r="3019" spans="1:14" x14ac:dyDescent="0.25">
      <c r="A3019" s="9" t="s">
        <v>5211</v>
      </c>
      <c r="B3019" s="10">
        <v>714</v>
      </c>
      <c r="C3019" s="10" t="s">
        <v>323</v>
      </c>
      <c r="D3019" t="s">
        <v>3454</v>
      </c>
      <c r="E3019" t="s">
        <v>3455</v>
      </c>
      <c r="F3019" s="10" t="s">
        <v>29</v>
      </c>
      <c r="G3019" s="2">
        <v>196</v>
      </c>
      <c r="H3019" s="13">
        <v>1</v>
      </c>
      <c r="I3019" s="13">
        <v>0</v>
      </c>
      <c r="J3019" s="13">
        <v>0</v>
      </c>
      <c r="K3019" s="10">
        <v>1</v>
      </c>
      <c r="L3019" s="2">
        <v>196</v>
      </c>
      <c r="M3019" s="1">
        <v>46139.672222222223</v>
      </c>
      <c r="N3019" t="s">
        <v>1535</v>
      </c>
    </row>
    <row r="3020" spans="1:14" x14ac:dyDescent="0.25">
      <c r="A3020" s="9" t="s">
        <v>5211</v>
      </c>
      <c r="B3020" s="10">
        <v>636</v>
      </c>
      <c r="C3020" s="10" t="s">
        <v>12</v>
      </c>
      <c r="D3020" t="s">
        <v>499</v>
      </c>
      <c r="E3020" t="s">
        <v>500</v>
      </c>
      <c r="F3020" s="10" t="s">
        <v>29</v>
      </c>
      <c r="G3020" s="2">
        <v>100.2752</v>
      </c>
      <c r="H3020" s="13">
        <v>1</v>
      </c>
      <c r="I3020" s="13">
        <v>0</v>
      </c>
      <c r="J3020" s="13">
        <v>0</v>
      </c>
      <c r="K3020" s="10">
        <v>1</v>
      </c>
      <c r="L3020" s="2">
        <v>100.2752</v>
      </c>
      <c r="M3020" s="1">
        <v>46140.29583333333</v>
      </c>
      <c r="N3020" t="s">
        <v>501</v>
      </c>
    </row>
    <row r="3021" spans="1:14" x14ac:dyDescent="0.25">
      <c r="A3021" s="9" t="s">
        <v>5211</v>
      </c>
      <c r="B3021" s="10">
        <v>636</v>
      </c>
      <c r="C3021" s="10" t="s">
        <v>323</v>
      </c>
      <c r="D3021" t="s">
        <v>1566</v>
      </c>
      <c r="E3021" t="s">
        <v>1567</v>
      </c>
      <c r="F3021" s="10" t="s">
        <v>19</v>
      </c>
      <c r="G3021" s="2">
        <v>241.18469999999999</v>
      </c>
      <c r="H3021" s="13">
        <v>1</v>
      </c>
      <c r="I3021" s="13">
        <v>0</v>
      </c>
      <c r="J3021" s="13">
        <v>0</v>
      </c>
      <c r="K3021" s="10">
        <v>1</v>
      </c>
      <c r="L3021" s="2">
        <v>241.18469999999999</v>
      </c>
      <c r="M3021" s="1">
        <v>46140.29583333333</v>
      </c>
      <c r="N3021" t="s">
        <v>501</v>
      </c>
    </row>
    <row r="3022" spans="1:14" x14ac:dyDescent="0.25">
      <c r="A3022" s="9" t="s">
        <v>5211</v>
      </c>
      <c r="B3022" s="10">
        <v>636</v>
      </c>
      <c r="C3022" s="10" t="s">
        <v>323</v>
      </c>
      <c r="D3022" t="s">
        <v>1466</v>
      </c>
      <c r="E3022" t="s">
        <v>1467</v>
      </c>
      <c r="F3022" s="10" t="s">
        <v>29</v>
      </c>
      <c r="G3022" s="2">
        <v>268.71129999999999</v>
      </c>
      <c r="H3022" s="13">
        <v>1</v>
      </c>
      <c r="I3022" s="13">
        <v>0</v>
      </c>
      <c r="J3022" s="13">
        <v>0</v>
      </c>
      <c r="K3022" s="10">
        <v>1</v>
      </c>
      <c r="L3022" s="2">
        <v>268.71129999999999</v>
      </c>
      <c r="M3022" s="1">
        <v>46140.29583333333</v>
      </c>
      <c r="N3022" t="s">
        <v>501</v>
      </c>
    </row>
    <row r="3023" spans="1:14" x14ac:dyDescent="0.25">
      <c r="A3023" s="9" t="s">
        <v>5211</v>
      </c>
      <c r="B3023" s="10">
        <v>636</v>
      </c>
      <c r="C3023" s="10" t="s">
        <v>70</v>
      </c>
      <c r="D3023" t="s">
        <v>716</v>
      </c>
      <c r="E3023" t="s">
        <v>717</v>
      </c>
      <c r="F3023" s="10" t="s">
        <v>29</v>
      </c>
      <c r="G3023" s="2">
        <v>8.1361000000000008</v>
      </c>
      <c r="H3023" s="13">
        <v>1</v>
      </c>
      <c r="I3023" s="13">
        <v>0</v>
      </c>
      <c r="J3023" s="13">
        <v>0</v>
      </c>
      <c r="K3023" s="10">
        <v>1</v>
      </c>
      <c r="L3023" s="2">
        <v>8.1361000000000008</v>
      </c>
      <c r="M3023" s="1">
        <v>46140.380555555559</v>
      </c>
      <c r="N3023" t="s">
        <v>16</v>
      </c>
    </row>
    <row r="3024" spans="1:14" x14ac:dyDescent="0.25">
      <c r="A3024" s="9" t="s">
        <v>5211</v>
      </c>
      <c r="B3024" s="10">
        <v>714</v>
      </c>
      <c r="C3024" s="10" t="s">
        <v>1749</v>
      </c>
      <c r="D3024" t="s">
        <v>3546</v>
      </c>
      <c r="E3024" t="s">
        <v>3547</v>
      </c>
      <c r="F3024" s="10" t="s">
        <v>39</v>
      </c>
      <c r="G3024" s="2">
        <v>23.8432</v>
      </c>
      <c r="H3024" s="13">
        <v>1</v>
      </c>
      <c r="I3024" s="13">
        <v>0</v>
      </c>
      <c r="J3024" s="13">
        <v>0</v>
      </c>
      <c r="K3024" s="10">
        <v>1</v>
      </c>
      <c r="L3024" s="2">
        <v>23.8432</v>
      </c>
      <c r="M3024" s="1">
        <v>46140.479166666664</v>
      </c>
      <c r="N3024" t="s">
        <v>1841</v>
      </c>
    </row>
    <row r="3025" spans="1:14" x14ac:dyDescent="0.25">
      <c r="A3025" s="9" t="s">
        <v>5211</v>
      </c>
      <c r="B3025" s="10">
        <v>636</v>
      </c>
      <c r="C3025" s="10" t="s">
        <v>70</v>
      </c>
      <c r="D3025" t="s">
        <v>849</v>
      </c>
      <c r="E3025" t="s">
        <v>850</v>
      </c>
      <c r="F3025" s="10" t="s">
        <v>39</v>
      </c>
      <c r="G3025" s="2">
        <v>14.5558</v>
      </c>
      <c r="H3025" s="13">
        <v>1</v>
      </c>
      <c r="I3025" s="13">
        <v>0</v>
      </c>
      <c r="J3025" s="13">
        <v>0</v>
      </c>
      <c r="K3025" s="10">
        <v>1</v>
      </c>
      <c r="L3025" s="2">
        <v>14.5558</v>
      </c>
      <c r="M3025" s="1">
        <v>46140.529861111114</v>
      </c>
      <c r="N3025" t="s">
        <v>40</v>
      </c>
    </row>
    <row r="3026" spans="1:14" x14ac:dyDescent="0.25">
      <c r="A3026" s="9" t="s">
        <v>5211</v>
      </c>
      <c r="B3026" s="10">
        <v>636</v>
      </c>
      <c r="C3026" s="10" t="s">
        <v>323</v>
      </c>
      <c r="D3026" t="s">
        <v>1274</v>
      </c>
      <c r="E3026" t="s">
        <v>1275</v>
      </c>
      <c r="F3026" s="10" t="s">
        <v>29</v>
      </c>
      <c r="G3026" s="2">
        <v>320.81560000000002</v>
      </c>
      <c r="H3026" s="13">
        <v>1</v>
      </c>
      <c r="I3026" s="13">
        <v>0</v>
      </c>
      <c r="J3026" s="13">
        <v>0</v>
      </c>
      <c r="K3026" s="10">
        <v>1</v>
      </c>
      <c r="L3026" s="2">
        <v>320.81560000000002</v>
      </c>
      <c r="M3026" s="1">
        <v>46140.540972222225</v>
      </c>
      <c r="N3026" t="s">
        <v>885</v>
      </c>
    </row>
    <row r="3027" spans="1:14" x14ac:dyDescent="0.25">
      <c r="A3027" s="9" t="s">
        <v>5211</v>
      </c>
      <c r="B3027" s="10">
        <v>636</v>
      </c>
      <c r="C3027" s="10" t="s">
        <v>323</v>
      </c>
      <c r="D3027" t="s">
        <v>1357</v>
      </c>
      <c r="E3027" t="s">
        <v>1358</v>
      </c>
      <c r="F3027" s="10" t="s">
        <v>19</v>
      </c>
      <c r="G3027" s="2">
        <v>230.0932</v>
      </c>
      <c r="H3027" s="13">
        <v>1</v>
      </c>
      <c r="I3027" s="13">
        <v>0</v>
      </c>
      <c r="J3027" s="13">
        <v>0</v>
      </c>
      <c r="K3027" s="10">
        <v>1</v>
      </c>
      <c r="L3027" s="2">
        <v>230.0932</v>
      </c>
      <c r="M3027" s="1">
        <v>46140.540972222225</v>
      </c>
      <c r="N3027" t="s">
        <v>885</v>
      </c>
    </row>
    <row r="3028" spans="1:14" x14ac:dyDescent="0.25">
      <c r="A3028" s="9" t="s">
        <v>5211</v>
      </c>
      <c r="B3028" s="10">
        <v>718</v>
      </c>
      <c r="C3028" s="10" t="s">
        <v>12</v>
      </c>
      <c r="D3028" t="s">
        <v>3627</v>
      </c>
      <c r="E3028" t="s">
        <v>3628</v>
      </c>
      <c r="F3028" s="10" t="s">
        <v>39</v>
      </c>
      <c r="G3028" s="2">
        <v>46.738300000000002</v>
      </c>
      <c r="H3028" s="13">
        <v>1</v>
      </c>
      <c r="I3028" s="13">
        <v>0</v>
      </c>
      <c r="J3028" s="13">
        <v>0</v>
      </c>
      <c r="K3028" s="10">
        <v>1</v>
      </c>
      <c r="L3028" s="2">
        <v>46.738300000000002</v>
      </c>
      <c r="M3028" s="1">
        <v>46140.671527777777</v>
      </c>
      <c r="N3028" t="s">
        <v>36</v>
      </c>
    </row>
    <row r="3029" spans="1:14" x14ac:dyDescent="0.25">
      <c r="A3029" s="9" t="s">
        <v>5211</v>
      </c>
      <c r="B3029" s="10">
        <v>718</v>
      </c>
      <c r="C3029" s="10" t="s">
        <v>12</v>
      </c>
      <c r="D3029" t="s">
        <v>1930</v>
      </c>
      <c r="E3029" t="s">
        <v>1931</v>
      </c>
      <c r="F3029" s="10" t="s">
        <v>29</v>
      </c>
      <c r="G3029" s="2">
        <v>46.738300000000002</v>
      </c>
      <c r="H3029" s="13">
        <v>1</v>
      </c>
      <c r="I3029" s="13">
        <v>0</v>
      </c>
      <c r="J3029" s="13">
        <v>0</v>
      </c>
      <c r="K3029" s="10">
        <v>1</v>
      </c>
      <c r="L3029" s="2">
        <v>46.738300000000002</v>
      </c>
      <c r="M3029" s="1">
        <v>46140.671527777777</v>
      </c>
      <c r="N3029" t="s">
        <v>36</v>
      </c>
    </row>
    <row r="3030" spans="1:14" x14ac:dyDescent="0.25">
      <c r="A3030" s="9" t="s">
        <v>5211</v>
      </c>
      <c r="B3030" s="10">
        <v>718</v>
      </c>
      <c r="C3030" s="10" t="s">
        <v>323</v>
      </c>
      <c r="D3030" t="s">
        <v>2908</v>
      </c>
      <c r="E3030" t="s">
        <v>2909</v>
      </c>
      <c r="F3030" s="10" t="s">
        <v>112</v>
      </c>
      <c r="G3030" s="2">
        <v>81.718599999999995</v>
      </c>
      <c r="H3030" s="13">
        <v>1</v>
      </c>
      <c r="I3030" s="13">
        <v>0</v>
      </c>
      <c r="J3030" s="13">
        <v>0</v>
      </c>
      <c r="K3030" s="10">
        <v>1</v>
      </c>
      <c r="L3030" s="2">
        <v>81.718599999999995</v>
      </c>
      <c r="M3030" s="1">
        <v>46140.700694444444</v>
      </c>
      <c r="N3030" t="s">
        <v>195</v>
      </c>
    </row>
    <row r="3031" spans="1:14" x14ac:dyDescent="0.25">
      <c r="A3031" s="9" t="s">
        <v>5211</v>
      </c>
      <c r="B3031" s="10">
        <v>636</v>
      </c>
      <c r="C3031" s="10" t="s">
        <v>143</v>
      </c>
      <c r="D3031" t="s">
        <v>4483</v>
      </c>
      <c r="E3031" t="s">
        <v>4484</v>
      </c>
      <c r="F3031" s="10" t="s">
        <v>158</v>
      </c>
      <c r="G3031" s="2">
        <v>132</v>
      </c>
      <c r="H3031" s="13">
        <v>1</v>
      </c>
      <c r="I3031" s="13">
        <v>4</v>
      </c>
      <c r="J3031" s="13">
        <v>-4</v>
      </c>
      <c r="K3031" s="10">
        <v>1</v>
      </c>
      <c r="L3031" s="2">
        <v>132</v>
      </c>
      <c r="M3031" s="1">
        <v>46142.313194444447</v>
      </c>
      <c r="N3031" t="s">
        <v>61</v>
      </c>
    </row>
    <row r="3032" spans="1:14" x14ac:dyDescent="0.25">
      <c r="A3032" s="9" t="s">
        <v>5211</v>
      </c>
      <c r="B3032" s="10">
        <v>636</v>
      </c>
      <c r="C3032" s="10" t="s">
        <v>143</v>
      </c>
      <c r="D3032" t="s">
        <v>1080</v>
      </c>
      <c r="E3032" t="s">
        <v>1081</v>
      </c>
      <c r="F3032" s="10" t="s">
        <v>158</v>
      </c>
      <c r="G3032" s="2">
        <v>41.717500000000001</v>
      </c>
      <c r="H3032" s="13">
        <v>1</v>
      </c>
      <c r="I3032" s="13">
        <v>0</v>
      </c>
      <c r="J3032" s="13">
        <v>0</v>
      </c>
      <c r="K3032" s="10">
        <v>1</v>
      </c>
      <c r="L3032" s="2">
        <v>41.717500000000001</v>
      </c>
      <c r="M3032" s="1">
        <v>46142.44027777778</v>
      </c>
      <c r="N3032" t="s">
        <v>40</v>
      </c>
    </row>
    <row r="3033" spans="1:14" x14ac:dyDescent="0.25">
      <c r="A3033" s="9" t="s">
        <v>5211</v>
      </c>
      <c r="B3033" s="10">
        <v>714</v>
      </c>
      <c r="C3033" s="10" t="s">
        <v>143</v>
      </c>
      <c r="D3033" t="s">
        <v>208</v>
      </c>
      <c r="E3033" t="s">
        <v>209</v>
      </c>
      <c r="F3033" s="10" t="s">
        <v>39</v>
      </c>
      <c r="G3033" s="2">
        <v>20.136600000000001</v>
      </c>
      <c r="H3033" s="13">
        <v>1</v>
      </c>
      <c r="I3033" s="13">
        <v>13</v>
      </c>
      <c r="J3033" s="13">
        <v>-13</v>
      </c>
      <c r="K3033" s="10">
        <v>1</v>
      </c>
      <c r="L3033" s="2">
        <v>20.136600000000001</v>
      </c>
      <c r="M3033" s="1">
        <v>46142.508333333331</v>
      </c>
      <c r="N3033" t="s">
        <v>26</v>
      </c>
    </row>
    <row r="3034" spans="1:14" x14ac:dyDescent="0.25">
      <c r="A3034" s="9" t="s">
        <v>5211</v>
      </c>
      <c r="B3034" s="10">
        <v>718</v>
      </c>
      <c r="C3034" s="10" t="s">
        <v>126</v>
      </c>
      <c r="D3034" t="s">
        <v>879</v>
      </c>
      <c r="E3034" t="s">
        <v>880</v>
      </c>
      <c r="F3034" s="10" t="s">
        <v>29</v>
      </c>
      <c r="G3034" s="2">
        <v>47.043900000000001</v>
      </c>
      <c r="H3034" s="13">
        <v>1</v>
      </c>
      <c r="I3034" s="13">
        <v>0</v>
      </c>
      <c r="J3034" s="13">
        <v>0</v>
      </c>
      <c r="K3034" s="10">
        <v>1</v>
      </c>
      <c r="L3034" s="2">
        <v>47.043900000000001</v>
      </c>
      <c r="M3034" s="1">
        <v>46142.573611111111</v>
      </c>
      <c r="N3034" t="s">
        <v>140</v>
      </c>
    </row>
    <row r="3035" spans="1:14" x14ac:dyDescent="0.25">
      <c r="A3035" s="9" t="s">
        <v>5211</v>
      </c>
      <c r="B3035" s="10">
        <v>636</v>
      </c>
      <c r="C3035" s="10" t="s">
        <v>323</v>
      </c>
      <c r="D3035" t="s">
        <v>1745</v>
      </c>
      <c r="E3035" t="s">
        <v>1746</v>
      </c>
      <c r="F3035" s="10" t="s">
        <v>29</v>
      </c>
      <c r="G3035" s="2">
        <v>295.88830000000002</v>
      </c>
      <c r="H3035" s="13">
        <v>1</v>
      </c>
      <c r="I3035" s="13">
        <v>0</v>
      </c>
      <c r="J3035" s="13">
        <v>0</v>
      </c>
      <c r="K3035" s="10">
        <v>1</v>
      </c>
      <c r="L3035" s="2">
        <v>295.88830000000002</v>
      </c>
      <c r="M3035" s="1">
        <v>46142.609027777777</v>
      </c>
      <c r="N3035" t="s">
        <v>137</v>
      </c>
    </row>
    <row r="3036" spans="1:14" x14ac:dyDescent="0.25">
      <c r="A3036" s="9" t="s">
        <v>5211</v>
      </c>
      <c r="B3036" s="10">
        <v>636</v>
      </c>
      <c r="C3036" s="10" t="s">
        <v>143</v>
      </c>
      <c r="D3036" t="s">
        <v>4579</v>
      </c>
      <c r="E3036" t="s">
        <v>4580</v>
      </c>
      <c r="F3036" s="10" t="s">
        <v>29</v>
      </c>
      <c r="G3036" s="2">
        <v>24.3079</v>
      </c>
      <c r="H3036" s="13">
        <v>1</v>
      </c>
      <c r="I3036" s="13">
        <v>11</v>
      </c>
      <c r="J3036" s="13">
        <v>-11</v>
      </c>
      <c r="K3036" s="10">
        <v>1</v>
      </c>
      <c r="L3036" s="2">
        <v>24.3079</v>
      </c>
      <c r="M3036" s="1">
        <v>46143.293055555558</v>
      </c>
      <c r="N3036" t="s">
        <v>26</v>
      </c>
    </row>
    <row r="3037" spans="1:14" x14ac:dyDescent="0.25">
      <c r="A3037" s="9" t="s">
        <v>5211</v>
      </c>
      <c r="B3037" s="10">
        <v>714</v>
      </c>
      <c r="C3037" s="10" t="s">
        <v>12</v>
      </c>
      <c r="D3037" t="s">
        <v>1896</v>
      </c>
      <c r="E3037" t="s">
        <v>1897</v>
      </c>
      <c r="F3037" s="10" t="s">
        <v>29</v>
      </c>
      <c r="G3037" s="2">
        <v>44.6417</v>
      </c>
      <c r="H3037" s="13">
        <v>1</v>
      </c>
      <c r="I3037" s="13">
        <v>0</v>
      </c>
      <c r="J3037" s="13">
        <v>0</v>
      </c>
      <c r="K3037" s="10">
        <v>1</v>
      </c>
      <c r="L3037" s="2">
        <v>44.6417</v>
      </c>
      <c r="M3037" s="1">
        <v>46143.318749999999</v>
      </c>
      <c r="N3037" t="s">
        <v>36</v>
      </c>
    </row>
    <row r="3038" spans="1:14" x14ac:dyDescent="0.25">
      <c r="A3038" s="9" t="s">
        <v>5211</v>
      </c>
      <c r="B3038" s="10">
        <v>714</v>
      </c>
      <c r="C3038" s="10" t="s">
        <v>12</v>
      </c>
      <c r="D3038" t="s">
        <v>1904</v>
      </c>
      <c r="E3038" t="s">
        <v>1905</v>
      </c>
      <c r="F3038" s="10" t="s">
        <v>455</v>
      </c>
      <c r="G3038" s="2">
        <v>156.20650000000001</v>
      </c>
      <c r="H3038" s="13">
        <v>1</v>
      </c>
      <c r="I3038" s="13">
        <v>0</v>
      </c>
      <c r="J3038" s="13">
        <v>0</v>
      </c>
      <c r="K3038" s="10">
        <v>1</v>
      </c>
      <c r="L3038" s="2">
        <v>156.20650000000001</v>
      </c>
      <c r="M3038" s="1">
        <v>46143.319444444445</v>
      </c>
      <c r="N3038" t="s">
        <v>67</v>
      </c>
    </row>
    <row r="3039" spans="1:14" x14ac:dyDescent="0.25">
      <c r="A3039" s="9" t="s">
        <v>5211</v>
      </c>
      <c r="B3039" s="10">
        <v>714</v>
      </c>
      <c r="C3039" s="10" t="s">
        <v>143</v>
      </c>
      <c r="D3039" t="s">
        <v>2717</v>
      </c>
      <c r="E3039" t="s">
        <v>2718</v>
      </c>
      <c r="F3039" s="10" t="s">
        <v>29</v>
      </c>
      <c r="G3039" s="2">
        <v>70</v>
      </c>
      <c r="H3039" s="13">
        <v>1</v>
      </c>
      <c r="I3039" s="13">
        <v>0</v>
      </c>
      <c r="J3039" s="13">
        <v>0</v>
      </c>
      <c r="K3039" s="10">
        <v>1</v>
      </c>
      <c r="L3039" s="2">
        <v>70</v>
      </c>
      <c r="M3039" s="1">
        <v>46143.36041666667</v>
      </c>
      <c r="N3039" t="s">
        <v>2719</v>
      </c>
    </row>
    <row r="3040" spans="1:14" x14ac:dyDescent="0.25">
      <c r="A3040" s="9" t="s">
        <v>5211</v>
      </c>
      <c r="B3040" s="10">
        <v>714</v>
      </c>
      <c r="C3040" s="10" t="s">
        <v>143</v>
      </c>
      <c r="D3040" t="s">
        <v>2276</v>
      </c>
      <c r="E3040" t="s">
        <v>2277</v>
      </c>
      <c r="F3040" s="10" t="s">
        <v>455</v>
      </c>
      <c r="G3040" s="2">
        <v>33.675699999999999</v>
      </c>
      <c r="H3040" s="13">
        <v>1</v>
      </c>
      <c r="I3040" s="13">
        <v>0</v>
      </c>
      <c r="J3040" s="13">
        <v>0</v>
      </c>
      <c r="K3040" s="10">
        <v>1</v>
      </c>
      <c r="L3040" s="2">
        <v>33.675699999999999</v>
      </c>
      <c r="M3040" s="1">
        <v>46143.37222222222</v>
      </c>
      <c r="N3040" t="s">
        <v>878</v>
      </c>
    </row>
    <row r="3041" spans="1:14" x14ac:dyDescent="0.25">
      <c r="A3041" s="9" t="s">
        <v>5211</v>
      </c>
      <c r="B3041" s="10">
        <v>636</v>
      </c>
      <c r="C3041" s="10" t="s">
        <v>126</v>
      </c>
      <c r="D3041" t="s">
        <v>861</v>
      </c>
      <c r="E3041" t="s">
        <v>862</v>
      </c>
      <c r="F3041" s="10" t="s">
        <v>29</v>
      </c>
      <c r="G3041" s="2">
        <v>22.924099999999999</v>
      </c>
      <c r="H3041" s="13">
        <v>1</v>
      </c>
      <c r="I3041" s="13">
        <v>-1</v>
      </c>
      <c r="J3041" s="13">
        <v>1</v>
      </c>
      <c r="K3041" s="10">
        <v>1</v>
      </c>
      <c r="L3041" s="2">
        <v>22.924099999999999</v>
      </c>
      <c r="M3041" s="1">
        <v>46143.447916666664</v>
      </c>
      <c r="N3041" t="s">
        <v>140</v>
      </c>
    </row>
    <row r="3042" spans="1:14" x14ac:dyDescent="0.25">
      <c r="A3042" s="9" t="s">
        <v>5211</v>
      </c>
      <c r="B3042" s="10">
        <v>636</v>
      </c>
      <c r="C3042" s="10" t="s">
        <v>323</v>
      </c>
      <c r="D3042" t="s">
        <v>1721</v>
      </c>
      <c r="E3042" t="s">
        <v>1722</v>
      </c>
      <c r="F3042" s="10" t="s">
        <v>29</v>
      </c>
      <c r="G3042" s="2">
        <v>227.21860000000001</v>
      </c>
      <c r="H3042" s="13">
        <v>1</v>
      </c>
      <c r="I3042" s="13">
        <v>0</v>
      </c>
      <c r="J3042" s="13">
        <v>0</v>
      </c>
      <c r="K3042" s="10">
        <v>1</v>
      </c>
      <c r="L3042" s="2">
        <v>227.21860000000001</v>
      </c>
      <c r="M3042" s="1">
        <v>46143.609722222223</v>
      </c>
      <c r="N3042" t="s">
        <v>151</v>
      </c>
    </row>
    <row r="3043" spans="1:14" x14ac:dyDescent="0.25">
      <c r="A3043" s="9" t="s">
        <v>5211</v>
      </c>
      <c r="B3043" s="10">
        <v>636</v>
      </c>
      <c r="C3043" s="10" t="s">
        <v>323</v>
      </c>
      <c r="D3043" t="s">
        <v>367</v>
      </c>
      <c r="E3043" t="s">
        <v>368</v>
      </c>
      <c r="F3043" s="10" t="s">
        <v>19</v>
      </c>
      <c r="G3043" s="2">
        <v>202.9588</v>
      </c>
      <c r="H3043" s="13">
        <v>1</v>
      </c>
      <c r="I3043" s="13">
        <v>3</v>
      </c>
      <c r="J3043" s="13">
        <v>-3</v>
      </c>
      <c r="K3043" s="10">
        <v>1</v>
      </c>
      <c r="L3043" s="2">
        <v>202.9588</v>
      </c>
      <c r="M3043" s="1">
        <v>46143.609722222223</v>
      </c>
      <c r="N3043" t="s">
        <v>151</v>
      </c>
    </row>
    <row r="3044" spans="1:14" x14ac:dyDescent="0.25">
      <c r="A3044" s="9" t="s">
        <v>5211</v>
      </c>
      <c r="B3044" s="10">
        <v>636</v>
      </c>
      <c r="C3044" s="10" t="s">
        <v>323</v>
      </c>
      <c r="D3044" t="s">
        <v>1316</v>
      </c>
      <c r="E3044" t="s">
        <v>1317</v>
      </c>
      <c r="F3044" s="10" t="s">
        <v>43</v>
      </c>
      <c r="G3044" s="2">
        <v>143.40809999999999</v>
      </c>
      <c r="H3044" s="13">
        <v>1</v>
      </c>
      <c r="I3044" s="13">
        <v>0</v>
      </c>
      <c r="J3044" s="13">
        <v>0</v>
      </c>
      <c r="K3044" s="10">
        <v>1</v>
      </c>
      <c r="L3044" s="2">
        <v>143.40809999999999</v>
      </c>
      <c r="M3044" s="1">
        <v>46143.668055555558</v>
      </c>
      <c r="N3044" t="s">
        <v>942</v>
      </c>
    </row>
    <row r="3045" spans="1:14" x14ac:dyDescent="0.25">
      <c r="A3045" s="9" t="s">
        <v>5211</v>
      </c>
      <c r="B3045" s="10">
        <v>636</v>
      </c>
      <c r="C3045" s="10" t="s">
        <v>143</v>
      </c>
      <c r="D3045" t="s">
        <v>940</v>
      </c>
      <c r="E3045" t="s">
        <v>941</v>
      </c>
      <c r="F3045" s="10" t="s">
        <v>23</v>
      </c>
      <c r="G3045" s="2">
        <v>34.417900000000003</v>
      </c>
      <c r="H3045" s="13">
        <v>1</v>
      </c>
      <c r="I3045" s="13">
        <v>0</v>
      </c>
      <c r="J3045" s="13">
        <v>0</v>
      </c>
      <c r="K3045" s="10">
        <v>1</v>
      </c>
      <c r="L3045" s="2">
        <v>34.417900000000003</v>
      </c>
      <c r="M3045" s="1">
        <v>46143.668055555558</v>
      </c>
      <c r="N3045" t="s">
        <v>942</v>
      </c>
    </row>
    <row r="3046" spans="1:14" x14ac:dyDescent="0.25">
      <c r="A3046" s="9" t="s">
        <v>5211</v>
      </c>
      <c r="B3046" s="10">
        <v>714</v>
      </c>
      <c r="C3046" s="10" t="s">
        <v>143</v>
      </c>
      <c r="D3046" t="s">
        <v>4757</v>
      </c>
      <c r="E3046" t="s">
        <v>4758</v>
      </c>
      <c r="F3046" s="10" t="s">
        <v>29</v>
      </c>
      <c r="G3046" s="2">
        <v>13.5151</v>
      </c>
      <c r="H3046" s="13">
        <v>1</v>
      </c>
      <c r="I3046" s="13">
        <v>0</v>
      </c>
      <c r="J3046" s="13">
        <v>0</v>
      </c>
      <c r="K3046" s="10">
        <v>1</v>
      </c>
      <c r="L3046" s="2">
        <v>13.5151</v>
      </c>
      <c r="M3046" s="1">
        <v>46144.32916666667</v>
      </c>
      <c r="N3046" t="s">
        <v>140</v>
      </c>
    </row>
    <row r="3047" spans="1:14" x14ac:dyDescent="0.25">
      <c r="A3047" s="9" t="s">
        <v>5211</v>
      </c>
      <c r="B3047" s="10">
        <v>636</v>
      </c>
      <c r="C3047" s="10" t="s">
        <v>1749</v>
      </c>
      <c r="D3047" t="s">
        <v>1772</v>
      </c>
      <c r="E3047" t="s">
        <v>1773</v>
      </c>
      <c r="F3047" s="10" t="s">
        <v>19</v>
      </c>
      <c r="G3047" s="2">
        <v>376.48770000000002</v>
      </c>
      <c r="H3047" s="13">
        <v>1</v>
      </c>
      <c r="I3047" s="13">
        <v>0</v>
      </c>
      <c r="J3047" s="13">
        <v>0</v>
      </c>
      <c r="K3047" s="10">
        <v>1</v>
      </c>
      <c r="L3047" s="2">
        <v>376.48770000000002</v>
      </c>
      <c r="M3047" s="1">
        <v>46146.344444444447</v>
      </c>
      <c r="N3047" t="s">
        <v>797</v>
      </c>
    </row>
    <row r="3048" spans="1:14" x14ac:dyDescent="0.25">
      <c r="A3048" s="9" t="s">
        <v>5211</v>
      </c>
      <c r="B3048" s="10">
        <v>636</v>
      </c>
      <c r="C3048" s="10" t="s">
        <v>323</v>
      </c>
      <c r="D3048" t="s">
        <v>4661</v>
      </c>
      <c r="E3048" t="s">
        <v>4662</v>
      </c>
      <c r="F3048" s="10" t="s">
        <v>23</v>
      </c>
      <c r="G3048" s="2">
        <v>40.1556</v>
      </c>
      <c r="H3048" s="13">
        <v>1</v>
      </c>
      <c r="I3048" s="13">
        <v>-5</v>
      </c>
      <c r="J3048" s="13">
        <v>5</v>
      </c>
      <c r="K3048" s="10">
        <v>1</v>
      </c>
      <c r="L3048" s="2">
        <v>40.1556</v>
      </c>
      <c r="M3048" s="1">
        <v>46146.344444444447</v>
      </c>
      <c r="N3048" t="s">
        <v>797</v>
      </c>
    </row>
    <row r="3049" spans="1:14" x14ac:dyDescent="0.25">
      <c r="A3049" s="9" t="s">
        <v>5211</v>
      </c>
      <c r="B3049" s="10">
        <v>636</v>
      </c>
      <c r="C3049" s="10" t="s">
        <v>12</v>
      </c>
      <c r="D3049" t="s">
        <v>525</v>
      </c>
      <c r="E3049" t="s">
        <v>526</v>
      </c>
      <c r="F3049" s="10" t="s">
        <v>23</v>
      </c>
      <c r="G3049" s="2">
        <v>25.1313</v>
      </c>
      <c r="H3049" s="13">
        <v>1</v>
      </c>
      <c r="I3049" s="13">
        <v>0</v>
      </c>
      <c r="J3049" s="13">
        <v>0</v>
      </c>
      <c r="K3049" s="10">
        <v>1</v>
      </c>
      <c r="L3049" s="2">
        <v>25.1313</v>
      </c>
      <c r="M3049" s="1">
        <v>46146.459722222222</v>
      </c>
      <c r="N3049" t="s">
        <v>67</v>
      </c>
    </row>
    <row r="3050" spans="1:14" x14ac:dyDescent="0.25">
      <c r="A3050" s="9" t="s">
        <v>5211</v>
      </c>
      <c r="B3050" s="10">
        <v>636</v>
      </c>
      <c r="C3050" s="10" t="s">
        <v>143</v>
      </c>
      <c r="D3050" t="s">
        <v>922</v>
      </c>
      <c r="E3050" t="s">
        <v>923</v>
      </c>
      <c r="F3050" s="10" t="s">
        <v>39</v>
      </c>
      <c r="G3050" s="2">
        <v>12.1243</v>
      </c>
      <c r="H3050" s="13">
        <v>1</v>
      </c>
      <c r="I3050" s="13">
        <v>-17</v>
      </c>
      <c r="J3050" s="13">
        <v>17</v>
      </c>
      <c r="K3050" s="10">
        <v>1</v>
      </c>
      <c r="L3050" s="2">
        <v>12.1243</v>
      </c>
      <c r="M3050" s="1">
        <v>46146.459722222222</v>
      </c>
      <c r="N3050" t="s">
        <v>67</v>
      </c>
    </row>
    <row r="3051" spans="1:14" x14ac:dyDescent="0.25">
      <c r="A3051" s="9" t="s">
        <v>5211</v>
      </c>
      <c r="B3051" s="10">
        <v>636</v>
      </c>
      <c r="C3051" s="10" t="s">
        <v>323</v>
      </c>
      <c r="D3051" t="s">
        <v>1727</v>
      </c>
      <c r="E3051" t="s">
        <v>1728</v>
      </c>
      <c r="F3051" s="10" t="s">
        <v>158</v>
      </c>
      <c r="G3051" s="2">
        <v>491.25</v>
      </c>
      <c r="H3051" s="13">
        <v>1</v>
      </c>
      <c r="I3051" s="13">
        <v>-2</v>
      </c>
      <c r="J3051" s="13">
        <v>2</v>
      </c>
      <c r="K3051" s="10">
        <v>1</v>
      </c>
      <c r="L3051" s="2">
        <v>491.25</v>
      </c>
      <c r="M3051" s="1">
        <v>46147.363888888889</v>
      </c>
      <c r="N3051" t="s">
        <v>1379</v>
      </c>
    </row>
    <row r="3052" spans="1:14" x14ac:dyDescent="0.25">
      <c r="A3052" s="9" t="s">
        <v>5211</v>
      </c>
      <c r="B3052" s="10">
        <v>714</v>
      </c>
      <c r="C3052" s="10" t="s">
        <v>143</v>
      </c>
      <c r="D3052" t="s">
        <v>2219</v>
      </c>
      <c r="E3052" t="s">
        <v>2220</v>
      </c>
      <c r="F3052" s="10" t="s">
        <v>29</v>
      </c>
      <c r="G3052" s="2">
        <v>322.10230000000001</v>
      </c>
      <c r="H3052" s="13">
        <v>1</v>
      </c>
      <c r="I3052" s="13">
        <v>0</v>
      </c>
      <c r="J3052" s="13">
        <v>0</v>
      </c>
      <c r="K3052" s="10">
        <v>1</v>
      </c>
      <c r="L3052" s="2">
        <v>322.10230000000001</v>
      </c>
      <c r="M3052" s="1">
        <v>46147.435416666667</v>
      </c>
      <c r="N3052" t="s">
        <v>501</v>
      </c>
    </row>
    <row r="3053" spans="1:14" x14ac:dyDescent="0.25">
      <c r="A3053" s="9" t="s">
        <v>5211</v>
      </c>
      <c r="B3053" s="10">
        <v>714</v>
      </c>
      <c r="C3053" s="10" t="s">
        <v>323</v>
      </c>
      <c r="D3053" t="s">
        <v>3207</v>
      </c>
      <c r="E3053" t="s">
        <v>3208</v>
      </c>
      <c r="F3053" s="10" t="s">
        <v>19</v>
      </c>
      <c r="G3053" s="2">
        <v>338.43490000000003</v>
      </c>
      <c r="H3053" s="13">
        <v>1</v>
      </c>
      <c r="I3053" s="13">
        <v>0</v>
      </c>
      <c r="J3053" s="13">
        <v>0</v>
      </c>
      <c r="K3053" s="10">
        <v>1</v>
      </c>
      <c r="L3053" s="2">
        <v>338.43490000000003</v>
      </c>
      <c r="M3053" s="1">
        <v>46147.435416666667</v>
      </c>
      <c r="N3053" t="s">
        <v>137</v>
      </c>
    </row>
    <row r="3054" spans="1:14" x14ac:dyDescent="0.25">
      <c r="A3054" s="9" t="s">
        <v>5211</v>
      </c>
      <c r="B3054" s="10">
        <v>714</v>
      </c>
      <c r="C3054" s="10" t="s">
        <v>323</v>
      </c>
      <c r="D3054" t="s">
        <v>3141</v>
      </c>
      <c r="E3054" t="s">
        <v>3142</v>
      </c>
      <c r="F3054" s="10" t="s">
        <v>23</v>
      </c>
      <c r="G3054" s="2">
        <v>326.99599999999998</v>
      </c>
      <c r="H3054" s="13">
        <v>1</v>
      </c>
      <c r="I3054" s="13">
        <v>0</v>
      </c>
      <c r="J3054" s="13">
        <v>0</v>
      </c>
      <c r="K3054" s="10">
        <v>1</v>
      </c>
      <c r="L3054" s="2">
        <v>326.99599999999998</v>
      </c>
      <c r="M3054" s="1">
        <v>46147.525694444441</v>
      </c>
      <c r="N3054" t="s">
        <v>1535</v>
      </c>
    </row>
    <row r="3055" spans="1:14" x14ac:dyDescent="0.25">
      <c r="A3055" s="9" t="s">
        <v>5211</v>
      </c>
      <c r="B3055" s="10">
        <v>718</v>
      </c>
      <c r="C3055" s="10" t="s">
        <v>323</v>
      </c>
      <c r="D3055" t="s">
        <v>3217</v>
      </c>
      <c r="E3055" t="s">
        <v>3218</v>
      </c>
      <c r="F3055" s="10" t="s">
        <v>29</v>
      </c>
      <c r="G3055" s="2">
        <v>99.501099999999994</v>
      </c>
      <c r="H3055" s="13">
        <v>1</v>
      </c>
      <c r="I3055" s="13">
        <v>0</v>
      </c>
      <c r="J3055" s="13">
        <v>0</v>
      </c>
      <c r="K3055" s="10">
        <v>1</v>
      </c>
      <c r="L3055" s="2">
        <v>99.501099999999994</v>
      </c>
      <c r="M3055" s="1">
        <v>46147.668749999997</v>
      </c>
      <c r="N3055" t="s">
        <v>1062</v>
      </c>
    </row>
    <row r="3056" spans="1:14" x14ac:dyDescent="0.25">
      <c r="A3056" s="9" t="s">
        <v>5211</v>
      </c>
      <c r="B3056" s="10">
        <v>718</v>
      </c>
      <c r="C3056" s="10" t="s">
        <v>323</v>
      </c>
      <c r="D3056" t="s">
        <v>3370</v>
      </c>
      <c r="E3056" t="s">
        <v>3371</v>
      </c>
      <c r="F3056" s="10" t="s">
        <v>29</v>
      </c>
      <c r="G3056" s="2">
        <v>162.4863</v>
      </c>
      <c r="H3056" s="13">
        <v>1</v>
      </c>
      <c r="I3056" s="13">
        <v>0</v>
      </c>
      <c r="J3056" s="13">
        <v>0</v>
      </c>
      <c r="K3056" s="10">
        <v>1</v>
      </c>
      <c r="L3056" s="2">
        <v>162.4863</v>
      </c>
      <c r="M3056" s="1">
        <v>46147.668749999997</v>
      </c>
      <c r="N3056" t="s">
        <v>1062</v>
      </c>
    </row>
    <row r="3057" spans="1:14" x14ac:dyDescent="0.25">
      <c r="A3057" s="9" t="s">
        <v>5211</v>
      </c>
      <c r="B3057" s="10">
        <v>718</v>
      </c>
      <c r="C3057" s="10" t="s">
        <v>143</v>
      </c>
      <c r="D3057" t="s">
        <v>1060</v>
      </c>
      <c r="E3057" t="s">
        <v>1061</v>
      </c>
      <c r="F3057" s="10" t="s">
        <v>39</v>
      </c>
      <c r="G3057" s="2">
        <v>23.8809</v>
      </c>
      <c r="H3057" s="13">
        <v>1</v>
      </c>
      <c r="I3057" s="13">
        <v>0</v>
      </c>
      <c r="J3057" s="13">
        <v>0</v>
      </c>
      <c r="K3057" s="10">
        <v>1</v>
      </c>
      <c r="L3057" s="2">
        <v>23.8809</v>
      </c>
      <c r="M3057" s="1">
        <v>46147.668749999997</v>
      </c>
      <c r="N3057" t="s">
        <v>1062</v>
      </c>
    </row>
    <row r="3058" spans="1:14" x14ac:dyDescent="0.25">
      <c r="A3058" s="9" t="s">
        <v>5211</v>
      </c>
      <c r="B3058" s="10">
        <v>718</v>
      </c>
      <c r="C3058" s="10" t="s">
        <v>143</v>
      </c>
      <c r="D3058" t="s">
        <v>5166</v>
      </c>
      <c r="E3058" t="s">
        <v>5167</v>
      </c>
      <c r="F3058" s="10" t="s">
        <v>23</v>
      </c>
      <c r="G3058" s="2">
        <v>64.890600000000006</v>
      </c>
      <c r="H3058" s="13">
        <v>1</v>
      </c>
      <c r="I3058" s="13">
        <v>0</v>
      </c>
      <c r="J3058" s="13">
        <v>0</v>
      </c>
      <c r="K3058" s="10">
        <v>1</v>
      </c>
      <c r="L3058" s="2">
        <v>64.890600000000006</v>
      </c>
      <c r="M3058" s="1">
        <v>46147.675694444442</v>
      </c>
      <c r="N3058" t="s">
        <v>1535</v>
      </c>
    </row>
    <row r="3059" spans="1:14" x14ac:dyDescent="0.25">
      <c r="A3059" s="9" t="s">
        <v>5211</v>
      </c>
      <c r="B3059" s="10">
        <v>718</v>
      </c>
      <c r="C3059" s="10" t="s">
        <v>143</v>
      </c>
      <c r="D3059" t="s">
        <v>3790</v>
      </c>
      <c r="E3059" t="s">
        <v>3791</v>
      </c>
      <c r="F3059" s="10" t="s">
        <v>29</v>
      </c>
      <c r="G3059" s="2">
        <v>197.4091</v>
      </c>
      <c r="H3059" s="13">
        <v>1</v>
      </c>
      <c r="I3059" s="13">
        <v>0</v>
      </c>
      <c r="J3059" s="13">
        <v>0</v>
      </c>
      <c r="K3059" s="10">
        <v>1</v>
      </c>
      <c r="L3059" s="2">
        <v>197.4091</v>
      </c>
      <c r="M3059" s="1">
        <v>46147.675694444442</v>
      </c>
      <c r="N3059" t="s">
        <v>1535</v>
      </c>
    </row>
    <row r="3060" spans="1:14" x14ac:dyDescent="0.25">
      <c r="A3060" s="9" t="s">
        <v>5211</v>
      </c>
      <c r="B3060" s="10">
        <v>714</v>
      </c>
      <c r="C3060" s="10" t="s">
        <v>12</v>
      </c>
      <c r="D3060" t="s">
        <v>1947</v>
      </c>
      <c r="E3060" t="s">
        <v>1948</v>
      </c>
      <c r="F3060" s="10" t="s">
        <v>23</v>
      </c>
      <c r="G3060" s="2">
        <v>41.749099999999999</v>
      </c>
      <c r="H3060" s="13">
        <v>1</v>
      </c>
      <c r="I3060" s="13">
        <v>0</v>
      </c>
      <c r="J3060" s="13">
        <v>0</v>
      </c>
      <c r="K3060" s="10">
        <v>1</v>
      </c>
      <c r="L3060" s="2">
        <v>41.749099999999999</v>
      </c>
      <c r="M3060" s="1">
        <v>46147.684027777781</v>
      </c>
      <c r="N3060" t="s">
        <v>1814</v>
      </c>
    </row>
    <row r="3061" spans="1:14" x14ac:dyDescent="0.25">
      <c r="A3061" s="9" t="s">
        <v>5211</v>
      </c>
      <c r="B3061" s="10">
        <v>718</v>
      </c>
      <c r="C3061" s="10" t="s">
        <v>323</v>
      </c>
      <c r="D3061" t="s">
        <v>3956</v>
      </c>
      <c r="E3061" t="s">
        <v>3957</v>
      </c>
      <c r="F3061" s="10" t="s">
        <v>29</v>
      </c>
      <c r="G3061" s="2">
        <v>377.87029999999999</v>
      </c>
      <c r="H3061" s="13">
        <v>1</v>
      </c>
      <c r="I3061" s="13">
        <v>0</v>
      </c>
      <c r="J3061" s="13">
        <v>0</v>
      </c>
      <c r="K3061" s="10">
        <v>1</v>
      </c>
      <c r="L3061" s="2">
        <v>377.87029999999999</v>
      </c>
      <c r="M3061" s="1">
        <v>46147.688194444447</v>
      </c>
      <c r="N3061" t="s">
        <v>2066</v>
      </c>
    </row>
    <row r="3062" spans="1:14" x14ac:dyDescent="0.25">
      <c r="A3062" s="9" t="s">
        <v>5211</v>
      </c>
      <c r="B3062" s="10">
        <v>718</v>
      </c>
      <c r="C3062" s="10" t="s">
        <v>323</v>
      </c>
      <c r="D3062" t="s">
        <v>3847</v>
      </c>
      <c r="E3062" t="s">
        <v>3848</v>
      </c>
      <c r="F3062" s="10" t="s">
        <v>29</v>
      </c>
      <c r="G3062" s="2">
        <v>111.3368</v>
      </c>
      <c r="H3062" s="13">
        <v>1</v>
      </c>
      <c r="I3062" s="13">
        <v>0</v>
      </c>
      <c r="J3062" s="13">
        <v>0</v>
      </c>
      <c r="K3062" s="10">
        <v>1</v>
      </c>
      <c r="L3062" s="2">
        <v>111.3368</v>
      </c>
      <c r="M3062" s="1">
        <v>46147.688194444447</v>
      </c>
      <c r="N3062" t="s">
        <v>2066</v>
      </c>
    </row>
    <row r="3063" spans="1:14" x14ac:dyDescent="0.25">
      <c r="A3063" s="9" t="s">
        <v>5211</v>
      </c>
      <c r="B3063" s="10">
        <v>718</v>
      </c>
      <c r="C3063" s="10" t="s">
        <v>143</v>
      </c>
      <c r="D3063" t="s">
        <v>5146</v>
      </c>
      <c r="E3063" t="s">
        <v>5147</v>
      </c>
      <c r="F3063" s="10" t="s">
        <v>19</v>
      </c>
      <c r="G3063" s="2">
        <v>188.93520000000001</v>
      </c>
      <c r="H3063" s="13">
        <v>1</v>
      </c>
      <c r="I3063" s="13">
        <v>0</v>
      </c>
      <c r="J3063" s="13">
        <v>0</v>
      </c>
      <c r="K3063" s="10">
        <v>1</v>
      </c>
      <c r="L3063" s="2">
        <v>188.93520000000001</v>
      </c>
      <c r="M3063" s="1">
        <v>46147.688194444447</v>
      </c>
      <c r="N3063" t="s">
        <v>2066</v>
      </c>
    </row>
    <row r="3064" spans="1:14" x14ac:dyDescent="0.25">
      <c r="A3064" s="9" t="s">
        <v>5211</v>
      </c>
      <c r="B3064" s="10">
        <v>718</v>
      </c>
      <c r="C3064" s="10" t="s">
        <v>143</v>
      </c>
      <c r="D3064" t="s">
        <v>3730</v>
      </c>
      <c r="E3064" t="s">
        <v>3731</v>
      </c>
      <c r="F3064" s="10" t="s">
        <v>23</v>
      </c>
      <c r="G3064" s="2">
        <v>26.923300000000001</v>
      </c>
      <c r="H3064" s="13">
        <v>1</v>
      </c>
      <c r="I3064" s="13">
        <v>0</v>
      </c>
      <c r="J3064" s="13">
        <v>0</v>
      </c>
      <c r="K3064" s="10">
        <v>1</v>
      </c>
      <c r="L3064" s="2">
        <v>26.923300000000001</v>
      </c>
      <c r="M3064" s="1">
        <v>46147.688194444447</v>
      </c>
      <c r="N3064" t="s">
        <v>2066</v>
      </c>
    </row>
    <row r="3065" spans="1:14" x14ac:dyDescent="0.25">
      <c r="A3065" s="9" t="s">
        <v>5211</v>
      </c>
      <c r="B3065" s="10">
        <v>718</v>
      </c>
      <c r="C3065" s="10" t="s">
        <v>323</v>
      </c>
      <c r="D3065" t="s">
        <v>3958</v>
      </c>
      <c r="E3065" t="s">
        <v>3959</v>
      </c>
      <c r="F3065" s="10" t="s">
        <v>29</v>
      </c>
      <c r="G3065" s="2">
        <v>111.3368</v>
      </c>
      <c r="H3065" s="13">
        <v>1</v>
      </c>
      <c r="I3065" s="13">
        <v>0</v>
      </c>
      <c r="J3065" s="13">
        <v>0</v>
      </c>
      <c r="K3065" s="10">
        <v>1</v>
      </c>
      <c r="L3065" s="2">
        <v>111.3368</v>
      </c>
      <c r="M3065" s="1">
        <v>46147.688194444447</v>
      </c>
      <c r="N3065" t="s">
        <v>2066</v>
      </c>
    </row>
    <row r="3066" spans="1:14" x14ac:dyDescent="0.25">
      <c r="A3066" s="9" t="s">
        <v>5211</v>
      </c>
      <c r="B3066" s="10">
        <v>718</v>
      </c>
      <c r="C3066" s="10" t="s">
        <v>323</v>
      </c>
      <c r="D3066" t="s">
        <v>3841</v>
      </c>
      <c r="E3066" t="s">
        <v>3842</v>
      </c>
      <c r="F3066" s="10" t="s">
        <v>29</v>
      </c>
      <c r="G3066" s="2">
        <v>1158.9147</v>
      </c>
      <c r="H3066" s="13">
        <v>1</v>
      </c>
      <c r="I3066" s="13">
        <v>0</v>
      </c>
      <c r="J3066" s="13">
        <v>0</v>
      </c>
      <c r="K3066" s="10">
        <v>1</v>
      </c>
      <c r="L3066" s="2">
        <v>1158.9147</v>
      </c>
      <c r="M3066" s="1">
        <v>46147.688194444447</v>
      </c>
      <c r="N3066" t="s">
        <v>2066</v>
      </c>
    </row>
    <row r="3067" spans="1:14" x14ac:dyDescent="0.25">
      <c r="A3067" s="9" t="s">
        <v>5211</v>
      </c>
      <c r="B3067" s="10">
        <v>636</v>
      </c>
      <c r="C3067" s="10" t="s">
        <v>70</v>
      </c>
      <c r="D3067" t="s">
        <v>600</v>
      </c>
      <c r="E3067" t="s">
        <v>601</v>
      </c>
      <c r="F3067" s="10" t="s">
        <v>39</v>
      </c>
      <c r="G3067" s="2">
        <v>14.895099999999999</v>
      </c>
      <c r="H3067" s="13">
        <v>1</v>
      </c>
      <c r="I3067" s="13">
        <v>0</v>
      </c>
      <c r="J3067" s="13">
        <v>0</v>
      </c>
      <c r="K3067" s="10">
        <v>1</v>
      </c>
      <c r="L3067" s="2">
        <v>14.895099999999999</v>
      </c>
      <c r="M3067" s="1">
        <v>46148.397916666669</v>
      </c>
      <c r="N3067" t="s">
        <v>16</v>
      </c>
    </row>
    <row r="3068" spans="1:14" x14ac:dyDescent="0.25">
      <c r="A3068" s="9" t="s">
        <v>5211</v>
      </c>
      <c r="B3068" s="10">
        <v>714</v>
      </c>
      <c r="C3068" s="10" t="s">
        <v>143</v>
      </c>
      <c r="D3068" t="s">
        <v>4226</v>
      </c>
      <c r="E3068" t="s">
        <v>4227</v>
      </c>
      <c r="F3068" s="10" t="s">
        <v>158</v>
      </c>
      <c r="G3068" s="2">
        <v>139.63659999999999</v>
      </c>
      <c r="H3068" s="13">
        <v>1</v>
      </c>
      <c r="I3068" s="13">
        <v>7</v>
      </c>
      <c r="J3068" s="13">
        <v>-7</v>
      </c>
      <c r="K3068" s="10">
        <v>1</v>
      </c>
      <c r="L3068" s="2">
        <v>139.63659999999999</v>
      </c>
      <c r="M3068" s="1">
        <v>46148.463888888888</v>
      </c>
      <c r="N3068" t="s">
        <v>137</v>
      </c>
    </row>
    <row r="3069" spans="1:14" x14ac:dyDescent="0.25">
      <c r="A3069" s="9" t="s">
        <v>5211</v>
      </c>
      <c r="B3069" s="10">
        <v>714</v>
      </c>
      <c r="C3069" s="10" t="s">
        <v>143</v>
      </c>
      <c r="D3069" t="s">
        <v>2415</v>
      </c>
      <c r="E3069" t="s">
        <v>2416</v>
      </c>
      <c r="F3069" s="10" t="s">
        <v>19</v>
      </c>
      <c r="G3069" s="2">
        <v>120.4692</v>
      </c>
      <c r="H3069" s="13">
        <v>1</v>
      </c>
      <c r="I3069" s="13">
        <v>0</v>
      </c>
      <c r="J3069" s="13">
        <v>0</v>
      </c>
      <c r="K3069" s="10">
        <v>1</v>
      </c>
      <c r="L3069" s="2">
        <v>120.4692</v>
      </c>
      <c r="M3069" s="1">
        <v>46149.3125</v>
      </c>
      <c r="N3069" t="s">
        <v>137</v>
      </c>
    </row>
    <row r="3070" spans="1:14" x14ac:dyDescent="0.25">
      <c r="A3070" s="9" t="s">
        <v>5211</v>
      </c>
      <c r="B3070" s="10">
        <v>714</v>
      </c>
      <c r="C3070" s="10" t="s">
        <v>143</v>
      </c>
      <c r="D3070" t="s">
        <v>4853</v>
      </c>
      <c r="E3070" t="s">
        <v>4854</v>
      </c>
      <c r="F3070" s="10" t="s">
        <v>29</v>
      </c>
      <c r="G3070" s="2">
        <v>23.826899999999998</v>
      </c>
      <c r="H3070" s="13">
        <v>1</v>
      </c>
      <c r="I3070" s="13">
        <v>0</v>
      </c>
      <c r="J3070" s="13">
        <v>0</v>
      </c>
      <c r="K3070" s="10">
        <v>1</v>
      </c>
      <c r="L3070" s="2">
        <v>23.826899999999998</v>
      </c>
      <c r="M3070" s="1">
        <v>46149.429861111108</v>
      </c>
      <c r="N3070" t="s">
        <v>1062</v>
      </c>
    </row>
    <row r="3071" spans="1:14" x14ac:dyDescent="0.25">
      <c r="A3071" s="9" t="s">
        <v>5211</v>
      </c>
      <c r="B3071" s="10">
        <v>636</v>
      </c>
      <c r="C3071" s="10" t="s">
        <v>70</v>
      </c>
      <c r="D3071" t="s">
        <v>4417</v>
      </c>
      <c r="E3071" t="s">
        <v>4418</v>
      </c>
      <c r="F3071" s="10" t="s">
        <v>23</v>
      </c>
      <c r="G3071" s="2">
        <v>7.4302999999999999</v>
      </c>
      <c r="H3071" s="13">
        <v>1</v>
      </c>
      <c r="I3071" s="13">
        <v>80</v>
      </c>
      <c r="J3071" s="13">
        <v>-80</v>
      </c>
      <c r="K3071" s="10">
        <v>1</v>
      </c>
      <c r="L3071" s="2">
        <v>7.4302999999999999</v>
      </c>
      <c r="M3071" s="1">
        <v>46149.510416666664</v>
      </c>
      <c r="N3071" t="s">
        <v>26</v>
      </c>
    </row>
    <row r="3072" spans="1:14" x14ac:dyDescent="0.25">
      <c r="A3072" s="9" t="s">
        <v>5211</v>
      </c>
      <c r="B3072" s="10">
        <v>718</v>
      </c>
      <c r="C3072" s="10" t="s">
        <v>12</v>
      </c>
      <c r="D3072" t="s">
        <v>3582</v>
      </c>
      <c r="E3072" t="s">
        <v>3583</v>
      </c>
      <c r="F3072" s="10" t="s">
        <v>29</v>
      </c>
      <c r="G3072" s="2">
        <v>45.866700000000002</v>
      </c>
      <c r="H3072" s="13">
        <v>1</v>
      </c>
      <c r="I3072" s="13">
        <v>0</v>
      </c>
      <c r="J3072" s="13">
        <v>0</v>
      </c>
      <c r="K3072" s="10">
        <v>1</v>
      </c>
      <c r="L3072" s="2">
        <v>45.866700000000002</v>
      </c>
      <c r="M3072" s="1">
        <v>46149.54791666667</v>
      </c>
      <c r="N3072" t="s">
        <v>1062</v>
      </c>
    </row>
    <row r="3073" spans="1:14" x14ac:dyDescent="0.25">
      <c r="A3073" s="9" t="s">
        <v>5211</v>
      </c>
      <c r="B3073" s="10">
        <v>636</v>
      </c>
      <c r="C3073" s="10" t="s">
        <v>70</v>
      </c>
      <c r="D3073" t="s">
        <v>668</v>
      </c>
      <c r="E3073" t="s">
        <v>669</v>
      </c>
      <c r="F3073" s="10" t="s">
        <v>29</v>
      </c>
      <c r="G3073" s="2">
        <v>47.527200000000001</v>
      </c>
      <c r="H3073" s="13">
        <v>1</v>
      </c>
      <c r="I3073" s="13">
        <v>0</v>
      </c>
      <c r="J3073" s="13">
        <v>0</v>
      </c>
      <c r="K3073" s="10">
        <v>1</v>
      </c>
      <c r="L3073" s="2">
        <v>47.527200000000001</v>
      </c>
      <c r="M3073" s="1">
        <v>46150.597222222219</v>
      </c>
      <c r="N3073" t="s">
        <v>40</v>
      </c>
    </row>
    <row r="3074" spans="1:14" x14ac:dyDescent="0.25">
      <c r="A3074" s="9" t="s">
        <v>5211</v>
      </c>
      <c r="B3074" s="10">
        <v>714</v>
      </c>
      <c r="C3074" s="10" t="s">
        <v>1749</v>
      </c>
      <c r="D3074" t="s">
        <v>3566</v>
      </c>
      <c r="E3074" t="s">
        <v>3567</v>
      </c>
      <c r="F3074" s="10" t="s">
        <v>29</v>
      </c>
      <c r="G3074" s="2">
        <v>44.4358</v>
      </c>
      <c r="H3074" s="13">
        <v>1</v>
      </c>
      <c r="I3074" s="13">
        <v>0</v>
      </c>
      <c r="J3074" s="13">
        <v>0</v>
      </c>
      <c r="K3074" s="10">
        <v>1</v>
      </c>
      <c r="L3074" s="2">
        <v>44.4358</v>
      </c>
      <c r="M3074" s="1">
        <v>46151.379166666666</v>
      </c>
      <c r="N3074" t="s">
        <v>1062</v>
      </c>
    </row>
    <row r="3075" spans="1:14" x14ac:dyDescent="0.25">
      <c r="A3075" s="9" t="s">
        <v>5211</v>
      </c>
      <c r="B3075" s="10">
        <v>714</v>
      </c>
      <c r="C3075" s="10" t="s">
        <v>143</v>
      </c>
      <c r="D3075" t="s">
        <v>2784</v>
      </c>
      <c r="E3075" t="s">
        <v>2785</v>
      </c>
      <c r="F3075" s="10" t="s">
        <v>29</v>
      </c>
      <c r="G3075" s="2">
        <v>56.714199999999998</v>
      </c>
      <c r="H3075" s="13">
        <v>1</v>
      </c>
      <c r="I3075" s="13">
        <v>0</v>
      </c>
      <c r="J3075" s="13">
        <v>0</v>
      </c>
      <c r="K3075" s="10">
        <v>1</v>
      </c>
      <c r="L3075" s="2">
        <v>56.714199999999998</v>
      </c>
      <c r="M3075" s="1">
        <v>46151.379166666666</v>
      </c>
      <c r="N3075" t="s">
        <v>1062</v>
      </c>
    </row>
    <row r="3076" spans="1:14" x14ac:dyDescent="0.25">
      <c r="A3076" s="9" t="s">
        <v>5211</v>
      </c>
      <c r="B3076" s="10">
        <v>714</v>
      </c>
      <c r="C3076" s="10" t="s">
        <v>12</v>
      </c>
      <c r="D3076" t="s">
        <v>1846</v>
      </c>
      <c r="E3076" t="s">
        <v>1847</v>
      </c>
      <c r="F3076" s="10" t="s">
        <v>39</v>
      </c>
      <c r="G3076" s="2">
        <v>26.636199999999999</v>
      </c>
      <c r="H3076" s="13">
        <v>1</v>
      </c>
      <c r="I3076" s="13">
        <v>0</v>
      </c>
      <c r="J3076" s="13">
        <v>0</v>
      </c>
      <c r="K3076" s="10">
        <v>1</v>
      </c>
      <c r="L3076" s="2">
        <v>26.636199999999999</v>
      </c>
      <c r="M3076" s="1">
        <v>46151.379166666666</v>
      </c>
      <c r="N3076" t="s">
        <v>1062</v>
      </c>
    </row>
    <row r="3077" spans="1:14" x14ac:dyDescent="0.25">
      <c r="A3077" s="9" t="s">
        <v>5211</v>
      </c>
      <c r="B3077" s="10">
        <v>714</v>
      </c>
      <c r="C3077" s="10" t="s">
        <v>126</v>
      </c>
      <c r="D3077" t="s">
        <v>2190</v>
      </c>
      <c r="E3077" t="s">
        <v>2191</v>
      </c>
      <c r="F3077" s="10" t="s">
        <v>29</v>
      </c>
      <c r="G3077" s="2">
        <v>23.721900000000002</v>
      </c>
      <c r="H3077" s="13">
        <v>1</v>
      </c>
      <c r="I3077" s="13">
        <v>-1</v>
      </c>
      <c r="J3077" s="13">
        <v>1</v>
      </c>
      <c r="K3077" s="10">
        <v>1</v>
      </c>
      <c r="L3077" s="2">
        <v>23.721900000000002</v>
      </c>
      <c r="M3077" s="1">
        <v>46151.40347222222</v>
      </c>
      <c r="N3077" t="s">
        <v>140</v>
      </c>
    </row>
    <row r="3078" spans="1:14" x14ac:dyDescent="0.25">
      <c r="A3078" s="9" t="s">
        <v>5211</v>
      </c>
      <c r="B3078" s="10">
        <v>714</v>
      </c>
      <c r="C3078" s="10" t="s">
        <v>323</v>
      </c>
      <c r="D3078" t="s">
        <v>1729</v>
      </c>
      <c r="E3078" t="s">
        <v>1730</v>
      </c>
      <c r="F3078" s="10" t="s">
        <v>158</v>
      </c>
      <c r="G3078" s="2">
        <v>311.54629999999997</v>
      </c>
      <c r="H3078" s="13">
        <v>1</v>
      </c>
      <c r="I3078" s="13">
        <v>4</v>
      </c>
      <c r="J3078" s="13">
        <v>-4</v>
      </c>
      <c r="K3078" s="10">
        <v>1</v>
      </c>
      <c r="L3078" s="2">
        <v>311.54629999999997</v>
      </c>
      <c r="M3078" s="1">
        <v>46153.667361111111</v>
      </c>
      <c r="N3078" t="s">
        <v>137</v>
      </c>
    </row>
    <row r="3079" spans="1:14" x14ac:dyDescent="0.25">
      <c r="A3079" s="9" t="s">
        <v>5211</v>
      </c>
      <c r="B3079" s="10">
        <v>714</v>
      </c>
      <c r="C3079" s="10" t="s">
        <v>323</v>
      </c>
      <c r="D3079" t="s">
        <v>2822</v>
      </c>
      <c r="E3079" t="s">
        <v>2823</v>
      </c>
      <c r="F3079" s="10" t="s">
        <v>29</v>
      </c>
      <c r="G3079" s="2">
        <v>320.79160000000002</v>
      </c>
      <c r="H3079" s="13">
        <v>1</v>
      </c>
      <c r="I3079" s="13">
        <v>0</v>
      </c>
      <c r="J3079" s="13">
        <v>0</v>
      </c>
      <c r="K3079" s="10">
        <v>1</v>
      </c>
      <c r="L3079" s="2">
        <v>320.79160000000002</v>
      </c>
      <c r="M3079" s="1">
        <v>46153.668749999997</v>
      </c>
      <c r="N3079" t="s">
        <v>2271</v>
      </c>
    </row>
    <row r="3080" spans="1:14" x14ac:dyDescent="0.25">
      <c r="A3080" s="9" t="s">
        <v>5211</v>
      </c>
      <c r="B3080" s="10">
        <v>714</v>
      </c>
      <c r="C3080" s="10" t="s">
        <v>323</v>
      </c>
      <c r="D3080" t="s">
        <v>3093</v>
      </c>
      <c r="E3080" t="s">
        <v>3094</v>
      </c>
      <c r="F3080" s="10" t="s">
        <v>29</v>
      </c>
      <c r="G3080" s="2">
        <v>156.0984</v>
      </c>
      <c r="H3080" s="13">
        <v>1</v>
      </c>
      <c r="I3080" s="13">
        <v>0</v>
      </c>
      <c r="J3080" s="13">
        <v>0</v>
      </c>
      <c r="K3080" s="10">
        <v>1</v>
      </c>
      <c r="L3080" s="2">
        <v>156.0984</v>
      </c>
      <c r="M3080" s="1">
        <v>46153.668749999997</v>
      </c>
      <c r="N3080" t="s">
        <v>2271</v>
      </c>
    </row>
    <row r="3081" spans="1:14" x14ac:dyDescent="0.25">
      <c r="A3081" s="9" t="s">
        <v>5211</v>
      </c>
      <c r="B3081" s="10">
        <v>714</v>
      </c>
      <c r="C3081" s="10" t="s">
        <v>143</v>
      </c>
      <c r="D3081" t="s">
        <v>2776</v>
      </c>
      <c r="E3081" t="s">
        <v>2777</v>
      </c>
      <c r="F3081" s="10" t="s">
        <v>15</v>
      </c>
      <c r="G3081" s="2">
        <v>24.340900000000001</v>
      </c>
      <c r="H3081" s="13">
        <v>1</v>
      </c>
      <c r="I3081" s="13">
        <v>0</v>
      </c>
      <c r="J3081" s="13">
        <v>0</v>
      </c>
      <c r="K3081" s="10">
        <v>1</v>
      </c>
      <c r="L3081" s="2">
        <v>24.340900000000001</v>
      </c>
      <c r="M3081" s="1">
        <v>46154.45416666667</v>
      </c>
      <c r="N3081" t="s">
        <v>2066</v>
      </c>
    </row>
    <row r="3082" spans="1:14" x14ac:dyDescent="0.25">
      <c r="A3082" s="9" t="s">
        <v>5211</v>
      </c>
      <c r="B3082" s="10">
        <v>634</v>
      </c>
      <c r="C3082" s="10" t="s">
        <v>323</v>
      </c>
      <c r="D3082" t="s">
        <v>472</v>
      </c>
      <c r="E3082" t="s">
        <v>473</v>
      </c>
      <c r="F3082" s="10" t="s">
        <v>23</v>
      </c>
      <c r="G3082" s="2">
        <v>184.28899999999999</v>
      </c>
      <c r="H3082" s="13">
        <v>1</v>
      </c>
      <c r="I3082" s="13">
        <v>0</v>
      </c>
      <c r="J3082" s="13">
        <v>0</v>
      </c>
      <c r="K3082" s="10">
        <v>1</v>
      </c>
      <c r="L3082" s="2">
        <v>184.28899999999999</v>
      </c>
      <c r="M3082" s="1">
        <v>46154.556944444441</v>
      </c>
      <c r="N3082" t="s">
        <v>137</v>
      </c>
    </row>
    <row r="3083" spans="1:14" x14ac:dyDescent="0.25">
      <c r="A3083" s="9" t="s">
        <v>5211</v>
      </c>
      <c r="B3083" s="10">
        <v>634</v>
      </c>
      <c r="C3083" s="10" t="s">
        <v>143</v>
      </c>
      <c r="D3083" t="s">
        <v>253</v>
      </c>
      <c r="E3083" t="s">
        <v>254</v>
      </c>
      <c r="F3083" s="10" t="s">
        <v>29</v>
      </c>
      <c r="G3083" s="2">
        <v>150.78100000000001</v>
      </c>
      <c r="H3083" s="13">
        <v>1</v>
      </c>
      <c r="I3083" s="13">
        <v>0</v>
      </c>
      <c r="J3083" s="13">
        <v>0</v>
      </c>
      <c r="K3083" s="10">
        <v>1</v>
      </c>
      <c r="L3083" s="2">
        <v>150.78100000000001</v>
      </c>
      <c r="M3083" s="1">
        <v>46154.572222222225</v>
      </c>
      <c r="N3083" t="s">
        <v>137</v>
      </c>
    </row>
    <row r="3084" spans="1:14" x14ac:dyDescent="0.25">
      <c r="A3084" s="9" t="s">
        <v>5211</v>
      </c>
      <c r="B3084" s="10">
        <v>718</v>
      </c>
      <c r="C3084" s="10" t="s">
        <v>143</v>
      </c>
      <c r="D3084" t="s">
        <v>2569</v>
      </c>
      <c r="E3084" t="s">
        <v>2570</v>
      </c>
      <c r="F3084" s="10" t="s">
        <v>23</v>
      </c>
      <c r="G3084" s="2">
        <v>56.870199999999997</v>
      </c>
      <c r="H3084" s="13">
        <v>1</v>
      </c>
      <c r="I3084" s="13">
        <v>0</v>
      </c>
      <c r="J3084" s="13">
        <v>0</v>
      </c>
      <c r="K3084" s="10">
        <v>1</v>
      </c>
      <c r="L3084" s="2">
        <v>56.870199999999997</v>
      </c>
      <c r="M3084" s="1">
        <v>46154.724999999999</v>
      </c>
      <c r="N3084" t="s">
        <v>310</v>
      </c>
    </row>
    <row r="3085" spans="1:14" x14ac:dyDescent="0.25">
      <c r="A3085" s="9" t="s">
        <v>5211</v>
      </c>
      <c r="B3085" s="10">
        <v>636</v>
      </c>
      <c r="C3085" s="10" t="s">
        <v>70</v>
      </c>
      <c r="D3085" t="s">
        <v>741</v>
      </c>
      <c r="E3085" t="s">
        <v>742</v>
      </c>
      <c r="F3085" s="10" t="s">
        <v>29</v>
      </c>
      <c r="G3085" s="2">
        <v>8.0046999999999997</v>
      </c>
      <c r="H3085" s="13">
        <v>1</v>
      </c>
      <c r="I3085" s="13">
        <v>-18</v>
      </c>
      <c r="J3085" s="13">
        <v>18</v>
      </c>
      <c r="K3085" s="10">
        <v>1</v>
      </c>
      <c r="L3085" s="2">
        <v>8.0046999999999997</v>
      </c>
      <c r="M3085" s="1">
        <v>46155.623611111114</v>
      </c>
      <c r="N3085" t="s">
        <v>522</v>
      </c>
    </row>
    <row r="3086" spans="1:14" x14ac:dyDescent="0.25">
      <c r="A3086" s="9" t="s">
        <v>5211</v>
      </c>
      <c r="B3086" s="10">
        <v>718</v>
      </c>
      <c r="C3086" s="10" t="s">
        <v>143</v>
      </c>
      <c r="D3086" t="s">
        <v>2651</v>
      </c>
      <c r="E3086" t="s">
        <v>2652</v>
      </c>
      <c r="F3086" s="10" t="s">
        <v>23</v>
      </c>
      <c r="G3086" s="2">
        <v>116.66540000000001</v>
      </c>
      <c r="H3086" s="13">
        <v>1</v>
      </c>
      <c r="I3086" s="13">
        <v>0</v>
      </c>
      <c r="J3086" s="13">
        <v>0</v>
      </c>
      <c r="K3086" s="10">
        <v>1</v>
      </c>
      <c r="L3086" s="2">
        <v>116.66540000000001</v>
      </c>
      <c r="M3086" s="1">
        <v>46156.663194444445</v>
      </c>
      <c r="N3086" t="s">
        <v>67</v>
      </c>
    </row>
    <row r="3087" spans="1:14" x14ac:dyDescent="0.25">
      <c r="A3087" s="9" t="s">
        <v>5211</v>
      </c>
      <c r="B3087" s="10">
        <v>718</v>
      </c>
      <c r="C3087" s="10" t="s">
        <v>143</v>
      </c>
      <c r="D3087" t="s">
        <v>3741</v>
      </c>
      <c r="E3087" t="s">
        <v>3742</v>
      </c>
      <c r="F3087" s="10" t="s">
        <v>158</v>
      </c>
      <c r="G3087" s="2">
        <v>200.1456</v>
      </c>
      <c r="H3087" s="13">
        <v>1</v>
      </c>
      <c r="I3087" s="13">
        <v>0</v>
      </c>
      <c r="J3087" s="13">
        <v>0</v>
      </c>
      <c r="K3087" s="10">
        <v>1</v>
      </c>
      <c r="L3087" s="2">
        <v>200.1456</v>
      </c>
      <c r="M3087" s="1">
        <v>46157.322916666664</v>
      </c>
      <c r="N3087" t="s">
        <v>402</v>
      </c>
    </row>
    <row r="3088" spans="1:14" x14ac:dyDescent="0.25">
      <c r="A3088" s="9" t="s">
        <v>5211</v>
      </c>
      <c r="B3088" s="10">
        <v>636</v>
      </c>
      <c r="C3088" s="10" t="s">
        <v>143</v>
      </c>
      <c r="D3088" t="s">
        <v>4537</v>
      </c>
      <c r="E3088" t="s">
        <v>4538</v>
      </c>
      <c r="F3088" s="10" t="s">
        <v>29</v>
      </c>
      <c r="G3088" s="2">
        <v>23.790400000000002</v>
      </c>
      <c r="H3088" s="13">
        <v>1</v>
      </c>
      <c r="I3088" s="13">
        <v>0</v>
      </c>
      <c r="J3088" s="13">
        <v>0</v>
      </c>
      <c r="K3088" s="10">
        <v>1</v>
      </c>
      <c r="L3088" s="2">
        <v>23.790400000000002</v>
      </c>
      <c r="M3088" s="1">
        <v>46157.430555555555</v>
      </c>
      <c r="N3088" t="s">
        <v>40</v>
      </c>
    </row>
    <row r="3089" spans="1:14" x14ac:dyDescent="0.25">
      <c r="A3089" s="9" t="s">
        <v>5211</v>
      </c>
      <c r="B3089" s="10">
        <v>636</v>
      </c>
      <c r="C3089" s="10" t="s">
        <v>323</v>
      </c>
      <c r="D3089" t="s">
        <v>4605</v>
      </c>
      <c r="E3089" t="s">
        <v>4606</v>
      </c>
      <c r="F3089" s="10" t="s">
        <v>29</v>
      </c>
      <c r="G3089" s="2">
        <v>340.3082</v>
      </c>
      <c r="H3089" s="13">
        <v>1</v>
      </c>
      <c r="I3089" s="13">
        <v>1</v>
      </c>
      <c r="J3089" s="13">
        <v>-1</v>
      </c>
      <c r="K3089" s="10">
        <v>1</v>
      </c>
      <c r="L3089" s="2">
        <v>340.3082</v>
      </c>
      <c r="M3089" s="1">
        <v>46157.602083333331</v>
      </c>
      <c r="N3089" t="s">
        <v>1224</v>
      </c>
    </row>
    <row r="3090" spans="1:14" x14ac:dyDescent="0.25">
      <c r="A3090" s="9" t="s">
        <v>5211</v>
      </c>
      <c r="B3090" s="10">
        <v>718</v>
      </c>
      <c r="C3090" s="10" t="s">
        <v>70</v>
      </c>
      <c r="D3090" t="s">
        <v>3631</v>
      </c>
      <c r="E3090" t="s">
        <v>3632</v>
      </c>
      <c r="F3090" s="10" t="s">
        <v>29</v>
      </c>
      <c r="G3090" s="2">
        <v>4.6500000000000004</v>
      </c>
      <c r="H3090" s="13">
        <v>1</v>
      </c>
      <c r="I3090" s="13">
        <v>0</v>
      </c>
      <c r="J3090" s="13">
        <v>0</v>
      </c>
      <c r="K3090" s="10">
        <v>1</v>
      </c>
      <c r="L3090" s="2">
        <v>4.6500000000000004</v>
      </c>
      <c r="M3090" s="1">
        <v>46159.397916666669</v>
      </c>
      <c r="N3090" t="s">
        <v>1970</v>
      </c>
    </row>
    <row r="3091" spans="1:14" x14ac:dyDescent="0.25">
      <c r="A3091" s="9" t="s">
        <v>5211</v>
      </c>
      <c r="B3091" s="10">
        <v>636</v>
      </c>
      <c r="C3091" s="10" t="s">
        <v>1749</v>
      </c>
      <c r="D3091" t="s">
        <v>1764</v>
      </c>
      <c r="E3091" t="s">
        <v>1765</v>
      </c>
      <c r="F3091" s="10" t="s">
        <v>39</v>
      </c>
      <c r="G3091" s="2">
        <v>6.2419000000000002</v>
      </c>
      <c r="H3091" s="13">
        <v>1</v>
      </c>
      <c r="I3091" s="13">
        <v>0</v>
      </c>
      <c r="J3091" s="13">
        <v>0</v>
      </c>
      <c r="K3091" s="10">
        <v>1</v>
      </c>
      <c r="L3091" s="2">
        <v>6.2419000000000002</v>
      </c>
      <c r="M3091" s="1">
        <v>46160.318749999999</v>
      </c>
      <c r="N3091" t="s">
        <v>652</v>
      </c>
    </row>
    <row r="3092" spans="1:14" x14ac:dyDescent="0.25">
      <c r="A3092" s="9" t="s">
        <v>5211</v>
      </c>
      <c r="B3092" s="10">
        <v>636</v>
      </c>
      <c r="C3092" s="10" t="s">
        <v>323</v>
      </c>
      <c r="D3092" t="s">
        <v>3397</v>
      </c>
      <c r="E3092" t="s">
        <v>3398</v>
      </c>
      <c r="F3092" s="10" t="s">
        <v>158</v>
      </c>
      <c r="G3092" s="2">
        <v>1020.1862</v>
      </c>
      <c r="H3092" s="13">
        <v>1</v>
      </c>
      <c r="I3092" s="13">
        <v>-2</v>
      </c>
      <c r="J3092" s="13">
        <v>2</v>
      </c>
      <c r="K3092" s="10">
        <v>1</v>
      </c>
      <c r="L3092" s="2">
        <v>1020.1862</v>
      </c>
      <c r="M3092" s="1">
        <v>46160.319444444445</v>
      </c>
      <c r="N3092" t="s">
        <v>1379</v>
      </c>
    </row>
    <row r="3093" spans="1:14" x14ac:dyDescent="0.25">
      <c r="A3093" s="9" t="s">
        <v>5211</v>
      </c>
      <c r="B3093" s="10">
        <v>718</v>
      </c>
      <c r="C3093" s="10" t="s">
        <v>126</v>
      </c>
      <c r="D3093" t="s">
        <v>2188</v>
      </c>
      <c r="E3093" t="s">
        <v>2189</v>
      </c>
      <c r="F3093" s="10" t="s">
        <v>23</v>
      </c>
      <c r="G3093" s="2">
        <v>17.686</v>
      </c>
      <c r="H3093" s="13">
        <v>1</v>
      </c>
      <c r="I3093" s="13">
        <v>0</v>
      </c>
      <c r="J3093" s="13">
        <v>0</v>
      </c>
      <c r="K3093" s="10">
        <v>1</v>
      </c>
      <c r="L3093" s="2">
        <v>17.686</v>
      </c>
      <c r="M3093" s="1">
        <v>46160.443749999999</v>
      </c>
      <c r="N3093" t="s">
        <v>140</v>
      </c>
    </row>
    <row r="3094" spans="1:14" x14ac:dyDescent="0.25">
      <c r="A3094" s="9" t="s">
        <v>5211</v>
      </c>
      <c r="B3094" s="10">
        <v>714</v>
      </c>
      <c r="C3094" s="10" t="s">
        <v>323</v>
      </c>
      <c r="D3094" t="s">
        <v>1237</v>
      </c>
      <c r="E3094" t="s">
        <v>1238</v>
      </c>
      <c r="F3094" s="10" t="s">
        <v>29</v>
      </c>
      <c r="G3094" s="2">
        <v>220.21289999999999</v>
      </c>
      <c r="H3094" s="13">
        <v>1</v>
      </c>
      <c r="I3094" s="13">
        <v>0</v>
      </c>
      <c r="J3094" s="13">
        <v>0</v>
      </c>
      <c r="K3094" s="10">
        <v>1</v>
      </c>
      <c r="L3094" s="2">
        <v>220.21289999999999</v>
      </c>
      <c r="M3094" s="1">
        <v>46161.380555555559</v>
      </c>
      <c r="N3094" t="s">
        <v>151</v>
      </c>
    </row>
    <row r="3095" spans="1:14" x14ac:dyDescent="0.25">
      <c r="A3095" s="9" t="s">
        <v>5211</v>
      </c>
      <c r="B3095" s="10">
        <v>714</v>
      </c>
      <c r="C3095" s="10" t="s">
        <v>323</v>
      </c>
      <c r="D3095" t="s">
        <v>407</v>
      </c>
      <c r="E3095" t="s">
        <v>408</v>
      </c>
      <c r="F3095" s="10" t="s">
        <v>23</v>
      </c>
      <c r="G3095" s="2">
        <v>127.88200000000001</v>
      </c>
      <c r="H3095" s="13">
        <v>1</v>
      </c>
      <c r="I3095" s="13">
        <v>-5</v>
      </c>
      <c r="J3095" s="13">
        <v>5</v>
      </c>
      <c r="K3095" s="10">
        <v>1</v>
      </c>
      <c r="L3095" s="2">
        <v>127.88200000000001</v>
      </c>
      <c r="M3095" s="1">
        <v>46161.380555555559</v>
      </c>
      <c r="N3095" t="s">
        <v>151</v>
      </c>
    </row>
    <row r="3096" spans="1:14" x14ac:dyDescent="0.25">
      <c r="A3096" s="9" t="s">
        <v>5211</v>
      </c>
      <c r="B3096" s="10">
        <v>714</v>
      </c>
      <c r="C3096" s="10" t="s">
        <v>323</v>
      </c>
      <c r="D3096" t="s">
        <v>4278</v>
      </c>
      <c r="E3096" t="s">
        <v>4279</v>
      </c>
      <c r="F3096" s="10" t="s">
        <v>158</v>
      </c>
      <c r="G3096" s="2">
        <v>172.636</v>
      </c>
      <c r="H3096" s="13">
        <v>1</v>
      </c>
      <c r="I3096" s="13">
        <v>0</v>
      </c>
      <c r="J3096" s="13">
        <v>0</v>
      </c>
      <c r="K3096" s="10">
        <v>1</v>
      </c>
      <c r="L3096" s="2">
        <v>172.636</v>
      </c>
      <c r="M3096" s="1">
        <v>46161.380555555559</v>
      </c>
      <c r="N3096" t="s">
        <v>151</v>
      </c>
    </row>
    <row r="3097" spans="1:14" x14ac:dyDescent="0.25">
      <c r="A3097" s="9" t="s">
        <v>5211</v>
      </c>
      <c r="B3097" s="10">
        <v>714</v>
      </c>
      <c r="C3097" s="10" t="s">
        <v>323</v>
      </c>
      <c r="D3097" t="s">
        <v>3349</v>
      </c>
      <c r="E3097" t="s">
        <v>3350</v>
      </c>
      <c r="F3097" s="10" t="s">
        <v>158</v>
      </c>
      <c r="G3097" s="2">
        <v>279.44839999999999</v>
      </c>
      <c r="H3097" s="13">
        <v>1</v>
      </c>
      <c r="I3097" s="13">
        <v>0</v>
      </c>
      <c r="J3097" s="13">
        <v>0</v>
      </c>
      <c r="K3097" s="10">
        <v>1</v>
      </c>
      <c r="L3097" s="2">
        <v>279.44839999999999</v>
      </c>
      <c r="M3097" s="1">
        <v>46161.380555555559</v>
      </c>
      <c r="N3097" t="s">
        <v>151</v>
      </c>
    </row>
    <row r="3098" spans="1:14" x14ac:dyDescent="0.25">
      <c r="A3098" s="9" t="s">
        <v>5211</v>
      </c>
      <c r="B3098" s="10">
        <v>634</v>
      </c>
      <c r="C3098" s="10" t="s">
        <v>70</v>
      </c>
      <c r="D3098" t="s">
        <v>2034</v>
      </c>
      <c r="E3098" t="s">
        <v>2035</v>
      </c>
      <c r="F3098" s="10" t="s">
        <v>39</v>
      </c>
      <c r="G3098" s="2">
        <v>11.570399999999999</v>
      </c>
      <c r="H3098" s="13">
        <v>1</v>
      </c>
      <c r="I3098" s="13">
        <v>14</v>
      </c>
      <c r="J3098" s="13">
        <v>-14</v>
      </c>
      <c r="K3098" s="10">
        <v>1</v>
      </c>
      <c r="L3098" s="2">
        <v>11.570399999999999</v>
      </c>
      <c r="M3098" s="1">
        <v>46161.400694444441</v>
      </c>
      <c r="N3098" t="s">
        <v>16</v>
      </c>
    </row>
    <row r="3099" spans="1:14" x14ac:dyDescent="0.25">
      <c r="A3099" s="9" t="s">
        <v>5211</v>
      </c>
      <c r="B3099" s="10">
        <v>636</v>
      </c>
      <c r="C3099" s="10" t="s">
        <v>323</v>
      </c>
      <c r="D3099" t="s">
        <v>1596</v>
      </c>
      <c r="E3099" t="s">
        <v>1597</v>
      </c>
      <c r="F3099" s="10" t="s">
        <v>29</v>
      </c>
      <c r="G3099" s="2">
        <v>305.69319999999999</v>
      </c>
      <c r="H3099" s="13">
        <v>1</v>
      </c>
      <c r="I3099" s="13">
        <v>0</v>
      </c>
      <c r="J3099" s="13">
        <v>0</v>
      </c>
      <c r="K3099" s="10">
        <v>1</v>
      </c>
      <c r="L3099" s="2">
        <v>305.69319999999999</v>
      </c>
      <c r="M3099" s="1">
        <v>46161.474999999999</v>
      </c>
      <c r="N3099" t="s">
        <v>216</v>
      </c>
    </row>
    <row r="3100" spans="1:14" x14ac:dyDescent="0.25">
      <c r="A3100" s="9" t="s">
        <v>5211</v>
      </c>
      <c r="B3100" s="10">
        <v>636</v>
      </c>
      <c r="C3100" s="10" t="s">
        <v>143</v>
      </c>
      <c r="D3100" t="s">
        <v>949</v>
      </c>
      <c r="E3100" t="s">
        <v>950</v>
      </c>
      <c r="F3100" s="10" t="s">
        <v>29</v>
      </c>
      <c r="G3100" s="2">
        <v>16.569099999999999</v>
      </c>
      <c r="H3100" s="13">
        <v>1</v>
      </c>
      <c r="I3100" s="13">
        <v>0</v>
      </c>
      <c r="J3100" s="13">
        <v>0</v>
      </c>
      <c r="K3100" s="10">
        <v>1</v>
      </c>
      <c r="L3100" s="2">
        <v>16.569099999999999</v>
      </c>
      <c r="M3100" s="1">
        <v>46161.479861111111</v>
      </c>
      <c r="N3100" t="s">
        <v>40</v>
      </c>
    </row>
    <row r="3101" spans="1:14" x14ac:dyDescent="0.25">
      <c r="A3101" s="9" t="s">
        <v>5211</v>
      </c>
      <c r="B3101" s="10">
        <v>714</v>
      </c>
      <c r="C3101" s="10" t="s">
        <v>323</v>
      </c>
      <c r="D3101" t="s">
        <v>3047</v>
      </c>
      <c r="E3101" t="s">
        <v>3048</v>
      </c>
      <c r="F3101" s="10" t="s">
        <v>455</v>
      </c>
      <c r="G3101" s="2">
        <v>327.2774</v>
      </c>
      <c r="H3101" s="13">
        <v>1</v>
      </c>
      <c r="I3101" s="13">
        <v>0</v>
      </c>
      <c r="J3101" s="13">
        <v>0</v>
      </c>
      <c r="K3101" s="10">
        <v>1</v>
      </c>
      <c r="L3101" s="2">
        <v>327.2774</v>
      </c>
      <c r="M3101" s="1">
        <v>46162.505555555559</v>
      </c>
      <c r="N3101" t="s">
        <v>1234</v>
      </c>
    </row>
    <row r="3102" spans="1:14" x14ac:dyDescent="0.25">
      <c r="A3102" s="9" t="s">
        <v>5211</v>
      </c>
      <c r="B3102" s="10">
        <v>634</v>
      </c>
      <c r="C3102" s="10" t="s">
        <v>143</v>
      </c>
      <c r="D3102" t="s">
        <v>4158</v>
      </c>
      <c r="E3102" t="s">
        <v>4159</v>
      </c>
      <c r="F3102" s="10" t="s">
        <v>112</v>
      </c>
      <c r="G3102" s="2">
        <v>15.632400000000001</v>
      </c>
      <c r="H3102" s="13">
        <v>1</v>
      </c>
      <c r="I3102" s="13">
        <v>11</v>
      </c>
      <c r="J3102" s="13">
        <v>-11</v>
      </c>
      <c r="K3102" s="10">
        <v>1</v>
      </c>
      <c r="L3102" s="2">
        <v>15.632400000000001</v>
      </c>
      <c r="M3102" s="1">
        <v>46162.544444444444</v>
      </c>
      <c r="N3102" t="s">
        <v>162</v>
      </c>
    </row>
    <row r="3103" spans="1:14" x14ac:dyDescent="0.25">
      <c r="A3103" s="9" t="s">
        <v>5211</v>
      </c>
      <c r="B3103" s="10">
        <v>636</v>
      </c>
      <c r="C3103" s="10" t="s">
        <v>143</v>
      </c>
      <c r="D3103" t="s">
        <v>2462</v>
      </c>
      <c r="E3103" t="s">
        <v>2463</v>
      </c>
      <c r="F3103" s="10" t="s">
        <v>23</v>
      </c>
      <c r="G3103" s="2">
        <v>41.3142</v>
      </c>
      <c r="H3103" s="13">
        <v>1</v>
      </c>
      <c r="I3103" s="13">
        <v>3</v>
      </c>
      <c r="J3103" s="13">
        <v>-3</v>
      </c>
      <c r="K3103" s="10">
        <v>1</v>
      </c>
      <c r="L3103" s="2">
        <v>41.3142</v>
      </c>
      <c r="M3103" s="1">
        <v>46163.305555555555</v>
      </c>
      <c r="N3103" t="s">
        <v>830</v>
      </c>
    </row>
    <row r="3104" spans="1:14" x14ac:dyDescent="0.25">
      <c r="A3104" s="9" t="s">
        <v>5211</v>
      </c>
      <c r="B3104" s="10">
        <v>718</v>
      </c>
      <c r="C3104" s="10" t="s">
        <v>143</v>
      </c>
      <c r="D3104" t="s">
        <v>5140</v>
      </c>
      <c r="E3104" t="s">
        <v>5141</v>
      </c>
      <c r="F3104" s="10" t="s">
        <v>158</v>
      </c>
      <c r="G3104" s="2">
        <v>72.653499999999994</v>
      </c>
      <c r="H3104" s="13">
        <v>1</v>
      </c>
      <c r="I3104" s="13">
        <v>1</v>
      </c>
      <c r="J3104" s="13">
        <v>-1</v>
      </c>
      <c r="K3104" s="10">
        <v>1</v>
      </c>
      <c r="L3104" s="2">
        <v>72.653499999999994</v>
      </c>
      <c r="M3104" s="1">
        <v>46163.543055555558</v>
      </c>
      <c r="N3104" t="s">
        <v>1062</v>
      </c>
    </row>
    <row r="3105" spans="1:14" x14ac:dyDescent="0.25">
      <c r="A3105" s="9" t="s">
        <v>5211</v>
      </c>
      <c r="B3105" s="10">
        <v>718</v>
      </c>
      <c r="C3105" s="10" t="s">
        <v>12</v>
      </c>
      <c r="D3105" t="s">
        <v>1922</v>
      </c>
      <c r="E3105" t="s">
        <v>1923</v>
      </c>
      <c r="F3105" s="10" t="s">
        <v>29</v>
      </c>
      <c r="G3105" s="2">
        <v>25.040299999999998</v>
      </c>
      <c r="H3105" s="13">
        <v>1</v>
      </c>
      <c r="I3105" s="13">
        <v>0</v>
      </c>
      <c r="J3105" s="13">
        <v>0</v>
      </c>
      <c r="K3105" s="10">
        <v>1</v>
      </c>
      <c r="L3105" s="2">
        <v>25.040299999999998</v>
      </c>
      <c r="M3105" s="1">
        <v>46163.543055555558</v>
      </c>
      <c r="N3105" t="s">
        <v>1062</v>
      </c>
    </row>
    <row r="3106" spans="1:14" x14ac:dyDescent="0.25">
      <c r="A3106" s="9" t="s">
        <v>5211</v>
      </c>
      <c r="B3106" s="10">
        <v>718</v>
      </c>
      <c r="C3106" s="10" t="s">
        <v>12</v>
      </c>
      <c r="D3106" t="s">
        <v>1868</v>
      </c>
      <c r="E3106" t="s">
        <v>1869</v>
      </c>
      <c r="F3106" s="10" t="s">
        <v>23</v>
      </c>
      <c r="G3106" s="2">
        <v>22.9861</v>
      </c>
      <c r="H3106" s="13">
        <v>1</v>
      </c>
      <c r="I3106" s="13">
        <v>0</v>
      </c>
      <c r="J3106" s="13">
        <v>0</v>
      </c>
      <c r="K3106" s="10">
        <v>1</v>
      </c>
      <c r="L3106" s="2">
        <v>22.9861</v>
      </c>
      <c r="M3106" s="1">
        <v>46163.547222222223</v>
      </c>
      <c r="N3106" t="s">
        <v>1870</v>
      </c>
    </row>
    <row r="3107" spans="1:14" x14ac:dyDescent="0.25">
      <c r="A3107" s="9" t="s">
        <v>5211</v>
      </c>
      <c r="B3107" s="10">
        <v>718</v>
      </c>
      <c r="C3107" s="10" t="s">
        <v>12</v>
      </c>
      <c r="D3107" t="s">
        <v>5123</v>
      </c>
      <c r="E3107" t="s">
        <v>5124</v>
      </c>
      <c r="F3107" s="10" t="s">
        <v>39</v>
      </c>
      <c r="G3107" s="2">
        <v>22.9861</v>
      </c>
      <c r="H3107" s="13">
        <v>1</v>
      </c>
      <c r="I3107" s="13">
        <v>0</v>
      </c>
      <c r="J3107" s="13">
        <v>0</v>
      </c>
      <c r="K3107" s="10">
        <v>1</v>
      </c>
      <c r="L3107" s="2">
        <v>22.9861</v>
      </c>
      <c r="M3107" s="1">
        <v>46163.547222222223</v>
      </c>
      <c r="N3107" t="s">
        <v>1870</v>
      </c>
    </row>
    <row r="3108" spans="1:14" x14ac:dyDescent="0.25">
      <c r="A3108" s="9" t="s">
        <v>5211</v>
      </c>
      <c r="B3108" s="10">
        <v>636</v>
      </c>
      <c r="C3108" s="10" t="s">
        <v>143</v>
      </c>
      <c r="D3108" t="s">
        <v>961</v>
      </c>
      <c r="E3108" t="s">
        <v>962</v>
      </c>
      <c r="F3108" s="10" t="s">
        <v>455</v>
      </c>
      <c r="G3108" s="2">
        <v>999.19449999999995</v>
      </c>
      <c r="H3108" s="13">
        <v>1</v>
      </c>
      <c r="I3108" s="13">
        <v>0</v>
      </c>
      <c r="J3108" s="13">
        <v>0</v>
      </c>
      <c r="K3108" s="10">
        <v>1</v>
      </c>
      <c r="L3108" s="2">
        <v>999.19449999999995</v>
      </c>
      <c r="M3108" s="1">
        <v>46164.324305555558</v>
      </c>
      <c r="N3108" t="s">
        <v>963</v>
      </c>
    </row>
    <row r="3109" spans="1:14" x14ac:dyDescent="0.25">
      <c r="A3109" s="9" t="s">
        <v>5211</v>
      </c>
      <c r="B3109" s="10">
        <v>636</v>
      </c>
      <c r="C3109" s="10" t="s">
        <v>323</v>
      </c>
      <c r="D3109" t="s">
        <v>4643</v>
      </c>
      <c r="E3109" t="s">
        <v>4644</v>
      </c>
      <c r="F3109" s="10" t="s">
        <v>158</v>
      </c>
      <c r="G3109" s="2">
        <v>172.2353</v>
      </c>
      <c r="H3109" s="13">
        <v>1</v>
      </c>
      <c r="I3109" s="13">
        <v>7</v>
      </c>
      <c r="J3109" s="13">
        <v>-7</v>
      </c>
      <c r="K3109" s="10">
        <v>1</v>
      </c>
      <c r="L3109" s="2">
        <v>172.2353</v>
      </c>
      <c r="M3109" s="1">
        <v>46164.390972222223</v>
      </c>
      <c r="N3109" t="s">
        <v>151</v>
      </c>
    </row>
    <row r="3110" spans="1:14" x14ac:dyDescent="0.25">
      <c r="A3110" s="9" t="s">
        <v>5211</v>
      </c>
      <c r="B3110" s="10">
        <v>718</v>
      </c>
      <c r="C3110" s="10" t="s">
        <v>323</v>
      </c>
      <c r="D3110" t="s">
        <v>3435</v>
      </c>
      <c r="E3110" t="s">
        <v>3436</v>
      </c>
      <c r="F3110" s="10" t="s">
        <v>23</v>
      </c>
      <c r="G3110" s="2">
        <v>174.87880000000001</v>
      </c>
      <c r="H3110" s="13">
        <v>1</v>
      </c>
      <c r="I3110" s="13">
        <v>0</v>
      </c>
      <c r="J3110" s="13">
        <v>0</v>
      </c>
      <c r="K3110" s="10">
        <v>1</v>
      </c>
      <c r="L3110" s="2">
        <v>174.87880000000001</v>
      </c>
      <c r="M3110" s="1">
        <v>46169.374305555553</v>
      </c>
      <c r="N3110" t="s">
        <v>137</v>
      </c>
    </row>
    <row r="3111" spans="1:14" x14ac:dyDescent="0.25">
      <c r="A3111" s="9" t="s">
        <v>5211</v>
      </c>
      <c r="B3111" s="10">
        <v>718</v>
      </c>
      <c r="C3111" s="10" t="s">
        <v>323</v>
      </c>
      <c r="D3111" t="s">
        <v>3843</v>
      </c>
      <c r="E3111" t="s">
        <v>3844</v>
      </c>
      <c r="F3111" s="10" t="s">
        <v>29</v>
      </c>
      <c r="G3111" s="2">
        <v>171.6611</v>
      </c>
      <c r="H3111" s="13">
        <v>1</v>
      </c>
      <c r="I3111" s="13">
        <v>0</v>
      </c>
      <c r="J3111" s="13">
        <v>0</v>
      </c>
      <c r="K3111" s="10">
        <v>1</v>
      </c>
      <c r="L3111" s="2">
        <v>171.6611</v>
      </c>
      <c r="M3111" s="1">
        <v>46169.374305555553</v>
      </c>
      <c r="N3111" t="s">
        <v>137</v>
      </c>
    </row>
    <row r="3112" spans="1:14" x14ac:dyDescent="0.25">
      <c r="A3112" s="9" t="s">
        <v>5211</v>
      </c>
      <c r="B3112" s="10">
        <v>636</v>
      </c>
      <c r="C3112" s="10" t="s">
        <v>143</v>
      </c>
      <c r="D3112" t="s">
        <v>300</v>
      </c>
      <c r="E3112" t="s">
        <v>301</v>
      </c>
      <c r="F3112" s="10" t="s">
        <v>29</v>
      </c>
      <c r="G3112" s="2">
        <v>60.9041</v>
      </c>
      <c r="H3112" s="13">
        <v>1</v>
      </c>
      <c r="I3112" s="13">
        <v>5</v>
      </c>
      <c r="J3112" s="13">
        <v>-5</v>
      </c>
      <c r="K3112" s="10">
        <v>1</v>
      </c>
      <c r="L3112" s="2">
        <v>60.9041</v>
      </c>
      <c r="M3112" s="1">
        <v>46169.390972222223</v>
      </c>
      <c r="N3112" t="s">
        <v>261</v>
      </c>
    </row>
    <row r="3113" spans="1:14" x14ac:dyDescent="0.25">
      <c r="A3113" s="9" t="s">
        <v>5211</v>
      </c>
      <c r="B3113" s="10">
        <v>636</v>
      </c>
      <c r="C3113" s="10" t="s">
        <v>143</v>
      </c>
      <c r="D3113" t="s">
        <v>1058</v>
      </c>
      <c r="E3113" t="s">
        <v>1059</v>
      </c>
      <c r="F3113" s="10" t="s">
        <v>29</v>
      </c>
      <c r="G3113" s="2">
        <v>658.03009999999995</v>
      </c>
      <c r="H3113" s="13">
        <v>1</v>
      </c>
      <c r="I3113" s="13">
        <v>0</v>
      </c>
      <c r="J3113" s="13">
        <v>0</v>
      </c>
      <c r="K3113" s="10">
        <v>1</v>
      </c>
      <c r="L3113" s="2">
        <v>658.03009999999995</v>
      </c>
      <c r="M3113" s="1">
        <v>46169.423611111109</v>
      </c>
      <c r="N3113" t="s">
        <v>890</v>
      </c>
    </row>
    <row r="3114" spans="1:14" x14ac:dyDescent="0.25">
      <c r="A3114" s="9" t="s">
        <v>5211</v>
      </c>
      <c r="B3114" s="10">
        <v>636</v>
      </c>
      <c r="C3114" s="10" t="s">
        <v>323</v>
      </c>
      <c r="D3114" t="s">
        <v>1488</v>
      </c>
      <c r="E3114" t="s">
        <v>1489</v>
      </c>
      <c r="F3114" s="10" t="s">
        <v>29</v>
      </c>
      <c r="G3114" s="2">
        <v>365.57229999999998</v>
      </c>
      <c r="H3114" s="13">
        <v>1</v>
      </c>
      <c r="I3114" s="13">
        <v>0</v>
      </c>
      <c r="J3114" s="13">
        <v>0</v>
      </c>
      <c r="K3114" s="10">
        <v>1</v>
      </c>
      <c r="L3114" s="2">
        <v>365.57229999999998</v>
      </c>
      <c r="M3114" s="1">
        <v>46169.423611111109</v>
      </c>
      <c r="N3114" t="s">
        <v>890</v>
      </c>
    </row>
    <row r="3115" spans="1:14" x14ac:dyDescent="0.25">
      <c r="A3115" s="9" t="s">
        <v>5211</v>
      </c>
      <c r="B3115" s="10">
        <v>718</v>
      </c>
      <c r="C3115" s="10" t="s">
        <v>70</v>
      </c>
      <c r="D3115" t="s">
        <v>680</v>
      </c>
      <c r="E3115" t="s">
        <v>681</v>
      </c>
      <c r="F3115" s="10" t="s">
        <v>81</v>
      </c>
      <c r="G3115" s="2">
        <v>6.1829999999999998</v>
      </c>
      <c r="H3115" s="13">
        <v>1</v>
      </c>
      <c r="I3115" s="13">
        <v>-17</v>
      </c>
      <c r="J3115" s="13">
        <v>17</v>
      </c>
      <c r="K3115" s="10">
        <v>1</v>
      </c>
      <c r="L3115" s="2">
        <v>6.1829999999999998</v>
      </c>
      <c r="M3115" s="1">
        <v>46169.443055555559</v>
      </c>
      <c r="N3115" t="s">
        <v>94</v>
      </c>
    </row>
    <row r="3116" spans="1:14" x14ac:dyDescent="0.25">
      <c r="A3116" s="9" t="s">
        <v>5211</v>
      </c>
      <c r="B3116" s="10">
        <v>714</v>
      </c>
      <c r="C3116" s="10" t="s">
        <v>12</v>
      </c>
      <c r="D3116" t="s">
        <v>510</v>
      </c>
      <c r="E3116" t="s">
        <v>511</v>
      </c>
      <c r="F3116" s="10" t="s">
        <v>29</v>
      </c>
      <c r="G3116" s="2">
        <v>8.8194999999999997</v>
      </c>
      <c r="H3116" s="13">
        <v>1</v>
      </c>
      <c r="I3116" s="13">
        <v>0</v>
      </c>
      <c r="J3116" s="13">
        <v>0</v>
      </c>
      <c r="K3116" s="10">
        <v>1</v>
      </c>
      <c r="L3116" s="2">
        <v>8.8194999999999997</v>
      </c>
      <c r="M3116" s="1">
        <v>46169.488194444442</v>
      </c>
      <c r="N3116" t="s">
        <v>16</v>
      </c>
    </row>
    <row r="3117" spans="1:14" x14ac:dyDescent="0.25">
      <c r="A3117" s="9" t="s">
        <v>5211</v>
      </c>
      <c r="B3117" s="10">
        <v>634</v>
      </c>
      <c r="C3117" s="10" t="s">
        <v>143</v>
      </c>
      <c r="D3117" t="s">
        <v>223</v>
      </c>
      <c r="E3117" t="s">
        <v>224</v>
      </c>
      <c r="F3117" s="10" t="s">
        <v>158</v>
      </c>
      <c r="G3117" s="2">
        <v>187.82130000000001</v>
      </c>
      <c r="H3117" s="13">
        <v>1</v>
      </c>
      <c r="I3117" s="13">
        <v>0</v>
      </c>
      <c r="J3117" s="13">
        <v>0</v>
      </c>
      <c r="K3117" s="10">
        <v>1</v>
      </c>
      <c r="L3117" s="2">
        <v>187.82130000000001</v>
      </c>
      <c r="M3117" s="1">
        <v>46170.463194444441</v>
      </c>
      <c r="N3117" t="s">
        <v>61</v>
      </c>
    </row>
    <row r="3118" spans="1:14" x14ac:dyDescent="0.25">
      <c r="A3118" s="9" t="s">
        <v>5211</v>
      </c>
      <c r="B3118" s="10">
        <v>636</v>
      </c>
      <c r="C3118" s="10" t="s">
        <v>323</v>
      </c>
      <c r="D3118" t="s">
        <v>472</v>
      </c>
      <c r="E3118" t="s">
        <v>473</v>
      </c>
      <c r="F3118" s="10" t="s">
        <v>19</v>
      </c>
      <c r="G3118" s="2">
        <v>199.51320000000001</v>
      </c>
      <c r="H3118" s="13">
        <v>1</v>
      </c>
      <c r="I3118" s="13">
        <v>0</v>
      </c>
      <c r="J3118" s="13">
        <v>0</v>
      </c>
      <c r="K3118" s="10">
        <v>1</v>
      </c>
      <c r="L3118" s="2">
        <v>199.51320000000001</v>
      </c>
      <c r="M3118" s="1">
        <v>46170.59097222222</v>
      </c>
      <c r="N3118" t="s">
        <v>137</v>
      </c>
    </row>
    <row r="3119" spans="1:14" x14ac:dyDescent="0.25">
      <c r="A3119" s="9" t="s">
        <v>5211</v>
      </c>
      <c r="B3119" s="10">
        <v>636</v>
      </c>
      <c r="C3119" s="10" t="s">
        <v>323</v>
      </c>
      <c r="D3119" t="s">
        <v>1680</v>
      </c>
      <c r="E3119" t="s">
        <v>1681</v>
      </c>
      <c r="F3119" s="10" t="s">
        <v>29</v>
      </c>
      <c r="G3119" s="2">
        <v>322.13209999999998</v>
      </c>
      <c r="H3119" s="13">
        <v>1</v>
      </c>
      <c r="I3119" s="13">
        <v>0</v>
      </c>
      <c r="J3119" s="13">
        <v>0</v>
      </c>
      <c r="K3119" s="10">
        <v>1</v>
      </c>
      <c r="L3119" s="2">
        <v>322.13209999999998</v>
      </c>
      <c r="M3119" s="1">
        <v>46170.59097222222</v>
      </c>
      <c r="N3119" t="s">
        <v>137</v>
      </c>
    </row>
    <row r="3120" spans="1:14" x14ac:dyDescent="0.25">
      <c r="A3120" s="9" t="s">
        <v>5211</v>
      </c>
      <c r="B3120" s="10">
        <v>714</v>
      </c>
      <c r="C3120" s="10" t="s">
        <v>323</v>
      </c>
      <c r="D3120" t="s">
        <v>3492</v>
      </c>
      <c r="E3120" t="s">
        <v>3493</v>
      </c>
      <c r="F3120" s="10" t="s">
        <v>23</v>
      </c>
      <c r="G3120" s="2">
        <v>145.9272</v>
      </c>
      <c r="H3120" s="13">
        <v>1</v>
      </c>
      <c r="I3120" s="13">
        <v>0</v>
      </c>
      <c r="J3120" s="13">
        <v>0</v>
      </c>
      <c r="K3120" s="10">
        <v>1</v>
      </c>
      <c r="L3120" s="2">
        <v>145.9272</v>
      </c>
      <c r="M3120" s="1">
        <v>46171.327777777777</v>
      </c>
      <c r="N3120" t="s">
        <v>1841</v>
      </c>
    </row>
    <row r="3121" spans="1:14" x14ac:dyDescent="0.25">
      <c r="A3121" s="9" t="s">
        <v>5211</v>
      </c>
      <c r="B3121" s="10">
        <v>636</v>
      </c>
      <c r="C3121" s="10" t="s">
        <v>70</v>
      </c>
      <c r="D3121" t="s">
        <v>698</v>
      </c>
      <c r="E3121" t="s">
        <v>699</v>
      </c>
      <c r="F3121" s="10" t="s">
        <v>39</v>
      </c>
      <c r="G3121" s="2">
        <v>5.2571000000000003</v>
      </c>
      <c r="H3121" s="13">
        <v>1</v>
      </c>
      <c r="I3121" s="13">
        <v>0</v>
      </c>
      <c r="J3121" s="13">
        <v>0</v>
      </c>
      <c r="K3121" s="10">
        <v>1</v>
      </c>
      <c r="L3121" s="2">
        <v>5.2571000000000003</v>
      </c>
      <c r="M3121" s="1">
        <v>46171.48541666667</v>
      </c>
      <c r="N3121" t="s">
        <v>16</v>
      </c>
    </row>
    <row r="3122" spans="1:14" x14ac:dyDescent="0.25">
      <c r="A3122" s="9" t="s">
        <v>5211</v>
      </c>
      <c r="B3122" s="10">
        <v>636</v>
      </c>
      <c r="C3122" s="10" t="s">
        <v>70</v>
      </c>
      <c r="D3122" t="s">
        <v>688</v>
      </c>
      <c r="E3122" t="s">
        <v>689</v>
      </c>
      <c r="F3122" s="10" t="s">
        <v>39</v>
      </c>
      <c r="G3122" s="2">
        <v>5.9282000000000004</v>
      </c>
      <c r="H3122" s="13">
        <v>1</v>
      </c>
      <c r="I3122" s="13">
        <v>0</v>
      </c>
      <c r="J3122" s="13">
        <v>0</v>
      </c>
      <c r="K3122" s="10">
        <v>1</v>
      </c>
      <c r="L3122" s="2">
        <v>5.9282000000000004</v>
      </c>
      <c r="M3122" s="1">
        <v>46171.48541666667</v>
      </c>
      <c r="N3122" t="s">
        <v>16</v>
      </c>
    </row>
    <row r="3123" spans="1:14" x14ac:dyDescent="0.25">
      <c r="A3123" s="9" t="s">
        <v>5211</v>
      </c>
      <c r="B3123" s="10">
        <v>714</v>
      </c>
      <c r="C3123" s="10" t="s">
        <v>143</v>
      </c>
      <c r="D3123" t="s">
        <v>2792</v>
      </c>
      <c r="E3123" t="s">
        <v>2793</v>
      </c>
      <c r="F3123" s="10" t="s">
        <v>23</v>
      </c>
      <c r="G3123" s="2">
        <v>89.167100000000005</v>
      </c>
      <c r="H3123" s="13">
        <v>1</v>
      </c>
      <c r="I3123" s="13">
        <v>0</v>
      </c>
      <c r="J3123" s="13">
        <v>0</v>
      </c>
      <c r="K3123" s="10">
        <v>1</v>
      </c>
      <c r="L3123" s="2">
        <v>89.167100000000005</v>
      </c>
      <c r="M3123" s="1">
        <v>46171.532638888886</v>
      </c>
      <c r="N3123" t="s">
        <v>137</v>
      </c>
    </row>
    <row r="3124" spans="1:14" x14ac:dyDescent="0.25">
      <c r="A3124" s="9" t="s">
        <v>5211</v>
      </c>
      <c r="B3124" s="10">
        <v>634</v>
      </c>
      <c r="C3124" s="10" t="s">
        <v>143</v>
      </c>
      <c r="D3124" t="s">
        <v>4104</v>
      </c>
      <c r="E3124" t="s">
        <v>4105</v>
      </c>
      <c r="F3124" s="10" t="s">
        <v>39</v>
      </c>
      <c r="G3124" s="2">
        <v>12.8377</v>
      </c>
      <c r="H3124" s="13">
        <v>1</v>
      </c>
      <c r="I3124" s="13">
        <v>18</v>
      </c>
      <c r="J3124" s="13">
        <v>-18</v>
      </c>
      <c r="K3124" s="10">
        <v>1</v>
      </c>
      <c r="L3124" s="2">
        <v>12.8377</v>
      </c>
      <c r="M3124" s="1">
        <v>46171.646527777775</v>
      </c>
      <c r="N3124" t="s">
        <v>40</v>
      </c>
    </row>
    <row r="3125" spans="1:14" x14ac:dyDescent="0.25">
      <c r="A3125" s="9" t="s">
        <v>5211</v>
      </c>
      <c r="B3125" s="10">
        <v>634</v>
      </c>
      <c r="C3125" s="10" t="s">
        <v>12</v>
      </c>
      <c r="D3125" t="s">
        <v>3983</v>
      </c>
      <c r="E3125" t="s">
        <v>3984</v>
      </c>
      <c r="F3125" s="10" t="s">
        <v>29</v>
      </c>
      <c r="G3125" s="2">
        <v>7.3482000000000003</v>
      </c>
      <c r="H3125" s="13">
        <v>1</v>
      </c>
      <c r="I3125" s="13">
        <v>1854</v>
      </c>
      <c r="J3125" s="13">
        <v>-1854</v>
      </c>
      <c r="K3125" s="10">
        <v>1</v>
      </c>
      <c r="L3125" s="2">
        <v>7.3482000000000003</v>
      </c>
      <c r="M3125" s="1">
        <v>46171.646527777775</v>
      </c>
      <c r="N3125" t="s">
        <v>40</v>
      </c>
    </row>
    <row r="3126" spans="1:14" x14ac:dyDescent="0.25">
      <c r="A3126" s="9" t="s">
        <v>5211</v>
      </c>
      <c r="B3126" s="10">
        <v>714</v>
      </c>
      <c r="C3126" s="10" t="s">
        <v>143</v>
      </c>
      <c r="D3126" t="s">
        <v>4841</v>
      </c>
      <c r="E3126" t="s">
        <v>4842</v>
      </c>
      <c r="F3126" s="10" t="s">
        <v>23</v>
      </c>
      <c r="G3126" s="2">
        <v>56.654200000000003</v>
      </c>
      <c r="H3126" s="13">
        <v>1</v>
      </c>
      <c r="I3126" s="13">
        <v>1</v>
      </c>
      <c r="J3126" s="13">
        <v>-1</v>
      </c>
      <c r="K3126" s="10">
        <v>1</v>
      </c>
      <c r="L3126" s="2">
        <v>56.654200000000003</v>
      </c>
      <c r="M3126" s="1">
        <v>46172.327777777777</v>
      </c>
      <c r="N3126" t="s">
        <v>30</v>
      </c>
    </row>
    <row r="3127" spans="1:14" x14ac:dyDescent="0.25">
      <c r="A3127" s="9" t="s">
        <v>5211</v>
      </c>
      <c r="B3127" s="10">
        <v>718</v>
      </c>
      <c r="C3127" s="10" t="s">
        <v>143</v>
      </c>
      <c r="D3127" t="s">
        <v>4811</v>
      </c>
      <c r="E3127" t="s">
        <v>4812</v>
      </c>
      <c r="F3127" s="10" t="s">
        <v>23</v>
      </c>
      <c r="G3127" s="2">
        <v>185.98519999999999</v>
      </c>
      <c r="H3127" s="13">
        <v>1</v>
      </c>
      <c r="I3127" s="13">
        <v>3</v>
      </c>
      <c r="J3127" s="13">
        <v>-3</v>
      </c>
      <c r="K3127" s="10">
        <v>1</v>
      </c>
      <c r="L3127" s="2">
        <v>185.98519999999999</v>
      </c>
      <c r="M3127" s="1">
        <v>46172.410416666666</v>
      </c>
      <c r="N3127" t="s">
        <v>2358</v>
      </c>
    </row>
    <row r="3128" spans="1:14" x14ac:dyDescent="0.25">
      <c r="A3128" s="9" t="s">
        <v>5211</v>
      </c>
      <c r="B3128" s="10">
        <v>714</v>
      </c>
      <c r="C3128" s="10" t="s">
        <v>323</v>
      </c>
      <c r="D3128" t="s">
        <v>4945</v>
      </c>
      <c r="E3128" t="s">
        <v>4946</v>
      </c>
      <c r="F3128" s="10" t="s">
        <v>158</v>
      </c>
      <c r="G3128" s="2">
        <v>115</v>
      </c>
      <c r="H3128" s="13">
        <v>1</v>
      </c>
      <c r="I3128" s="13">
        <v>8</v>
      </c>
      <c r="J3128" s="13">
        <v>-8</v>
      </c>
      <c r="K3128" s="10">
        <v>1</v>
      </c>
      <c r="L3128" s="2">
        <v>115</v>
      </c>
      <c r="M3128" s="1">
        <v>46174.386805555558</v>
      </c>
      <c r="N3128" t="s">
        <v>2444</v>
      </c>
    </row>
    <row r="3129" spans="1:14" x14ac:dyDescent="0.25">
      <c r="A3129" s="9" t="s">
        <v>5211</v>
      </c>
      <c r="B3129" s="10">
        <v>718</v>
      </c>
      <c r="C3129" s="10" t="s">
        <v>143</v>
      </c>
      <c r="D3129" t="s">
        <v>4897</v>
      </c>
      <c r="E3129" t="s">
        <v>4898</v>
      </c>
      <c r="F3129" s="10" t="s">
        <v>23</v>
      </c>
      <c r="G3129" s="2">
        <v>77.806899999999999</v>
      </c>
      <c r="H3129" s="13">
        <v>1</v>
      </c>
      <c r="I3129" s="13">
        <v>5</v>
      </c>
      <c r="J3129" s="13">
        <v>-5</v>
      </c>
      <c r="K3129" s="10">
        <v>1</v>
      </c>
      <c r="L3129" s="2">
        <v>77.806899999999999</v>
      </c>
      <c r="M3129" s="1">
        <v>46175.657638888886</v>
      </c>
      <c r="N3129" t="s">
        <v>137</v>
      </c>
    </row>
    <row r="3130" spans="1:14" x14ac:dyDescent="0.25">
      <c r="A3130" s="9" t="s">
        <v>5211</v>
      </c>
      <c r="B3130" s="10">
        <v>718</v>
      </c>
      <c r="C3130" s="10" t="s">
        <v>323</v>
      </c>
      <c r="D3130" t="s">
        <v>3251</v>
      </c>
      <c r="E3130" t="s">
        <v>3252</v>
      </c>
      <c r="F3130" s="10" t="s">
        <v>23</v>
      </c>
      <c r="G3130" s="2">
        <v>102.9426</v>
      </c>
      <c r="H3130" s="13">
        <v>1</v>
      </c>
      <c r="I3130" s="13">
        <v>-1</v>
      </c>
      <c r="J3130" s="13">
        <v>1</v>
      </c>
      <c r="K3130" s="10">
        <v>1</v>
      </c>
      <c r="L3130" s="2">
        <v>102.9426</v>
      </c>
      <c r="M3130" s="1">
        <v>46175.657638888886</v>
      </c>
      <c r="N3130" t="s">
        <v>137</v>
      </c>
    </row>
    <row r="3131" spans="1:14" x14ac:dyDescent="0.25">
      <c r="A3131" s="9" t="s">
        <v>5211</v>
      </c>
      <c r="B3131" s="10">
        <v>714</v>
      </c>
      <c r="C3131" s="10" t="s">
        <v>143</v>
      </c>
      <c r="D3131" t="s">
        <v>2241</v>
      </c>
      <c r="E3131" t="s">
        <v>2242</v>
      </c>
      <c r="F3131" s="10" t="s">
        <v>158</v>
      </c>
      <c r="G3131" s="2">
        <v>72.335800000000006</v>
      </c>
      <c r="H3131" s="13">
        <v>1</v>
      </c>
      <c r="I3131" s="13">
        <v>0</v>
      </c>
      <c r="J3131" s="13">
        <v>0</v>
      </c>
      <c r="K3131" s="10">
        <v>1</v>
      </c>
      <c r="L3131" s="2">
        <v>72.335800000000006</v>
      </c>
      <c r="M3131" s="1">
        <v>46176.343055555553</v>
      </c>
      <c r="N3131" t="s">
        <v>2066</v>
      </c>
    </row>
    <row r="3132" spans="1:14" x14ac:dyDescent="0.25">
      <c r="A3132" s="9" t="s">
        <v>5211</v>
      </c>
      <c r="B3132" s="10">
        <v>636</v>
      </c>
      <c r="C3132" s="10" t="s">
        <v>323</v>
      </c>
      <c r="D3132" t="s">
        <v>1548</v>
      </c>
      <c r="E3132" t="s">
        <v>1549</v>
      </c>
      <c r="F3132" s="10" t="s">
        <v>29</v>
      </c>
      <c r="G3132" s="2">
        <v>187.55179999999999</v>
      </c>
      <c r="H3132" s="13">
        <v>1</v>
      </c>
      <c r="I3132" s="13">
        <v>0</v>
      </c>
      <c r="J3132" s="13">
        <v>0</v>
      </c>
      <c r="K3132" s="10">
        <v>1</v>
      </c>
      <c r="L3132" s="2">
        <v>187.55179999999999</v>
      </c>
      <c r="M3132" s="1">
        <v>46176.42083333333</v>
      </c>
      <c r="N3132" t="s">
        <v>151</v>
      </c>
    </row>
    <row r="3133" spans="1:14" x14ac:dyDescent="0.25">
      <c r="A3133" s="9" t="s">
        <v>5211</v>
      </c>
      <c r="B3133" s="10">
        <v>636</v>
      </c>
      <c r="C3133" s="10" t="s">
        <v>70</v>
      </c>
      <c r="D3133" t="s">
        <v>602</v>
      </c>
      <c r="E3133" t="s">
        <v>603</v>
      </c>
      <c r="F3133" s="10" t="s">
        <v>39</v>
      </c>
      <c r="G3133" s="2">
        <v>6.7</v>
      </c>
      <c r="H3133" s="13">
        <v>1</v>
      </c>
      <c r="I3133" s="13">
        <v>0</v>
      </c>
      <c r="J3133" s="13">
        <v>0</v>
      </c>
      <c r="K3133" s="10">
        <v>1</v>
      </c>
      <c r="L3133" s="2">
        <v>6.7</v>
      </c>
      <c r="M3133" s="1">
        <v>46177.399305555555</v>
      </c>
      <c r="N3133" t="s">
        <v>16</v>
      </c>
    </row>
    <row r="3134" spans="1:14" x14ac:dyDescent="0.25">
      <c r="A3134" s="9" t="s">
        <v>5211</v>
      </c>
      <c r="B3134" s="10">
        <v>636</v>
      </c>
      <c r="C3134" s="10" t="s">
        <v>323</v>
      </c>
      <c r="D3134" t="s">
        <v>1425</v>
      </c>
      <c r="E3134" t="s">
        <v>1426</v>
      </c>
      <c r="F3134" s="10" t="s">
        <v>23</v>
      </c>
      <c r="G3134" s="2">
        <v>174.29949999999999</v>
      </c>
      <c r="H3134" s="13">
        <v>1</v>
      </c>
      <c r="I3134" s="13">
        <v>0</v>
      </c>
      <c r="J3134" s="13">
        <v>0</v>
      </c>
      <c r="K3134" s="10">
        <v>1</v>
      </c>
      <c r="L3134" s="2">
        <v>174.29949999999999</v>
      </c>
      <c r="M3134" s="1">
        <v>46177.558333333334</v>
      </c>
      <c r="N3134" t="s">
        <v>357</v>
      </c>
    </row>
    <row r="3135" spans="1:14" x14ac:dyDescent="0.25">
      <c r="A3135" s="9" t="s">
        <v>5211</v>
      </c>
      <c r="B3135" s="10">
        <v>636</v>
      </c>
      <c r="C3135" s="10" t="s">
        <v>70</v>
      </c>
      <c r="D3135" t="s">
        <v>753</v>
      </c>
      <c r="E3135" t="s">
        <v>754</v>
      </c>
      <c r="F3135" s="10" t="s">
        <v>39</v>
      </c>
      <c r="G3135" s="2">
        <v>7.5812999999999997</v>
      </c>
      <c r="H3135" s="13">
        <v>1</v>
      </c>
      <c r="I3135" s="13">
        <v>0</v>
      </c>
      <c r="J3135" s="13">
        <v>0</v>
      </c>
      <c r="K3135" s="10">
        <v>1</v>
      </c>
      <c r="L3135" s="2">
        <v>7.5812999999999997</v>
      </c>
      <c r="M3135" s="1">
        <v>46177.611805555556</v>
      </c>
      <c r="N3135" t="s">
        <v>26</v>
      </c>
    </row>
    <row r="3136" spans="1:14" x14ac:dyDescent="0.25">
      <c r="A3136" s="9" t="s">
        <v>5211</v>
      </c>
      <c r="B3136" s="10">
        <v>636</v>
      </c>
      <c r="C3136" s="10" t="s">
        <v>70</v>
      </c>
      <c r="D3136" t="s">
        <v>761</v>
      </c>
      <c r="E3136" t="s">
        <v>762</v>
      </c>
      <c r="F3136" s="10" t="s">
        <v>29</v>
      </c>
      <c r="G3136" s="2">
        <v>6.4770000000000003</v>
      </c>
      <c r="H3136" s="13">
        <v>1</v>
      </c>
      <c r="I3136" s="13">
        <v>0</v>
      </c>
      <c r="J3136" s="13">
        <v>0</v>
      </c>
      <c r="K3136" s="10">
        <v>1</v>
      </c>
      <c r="L3136" s="2">
        <v>6.4770000000000003</v>
      </c>
      <c r="M3136" s="1">
        <v>46178.285416666666</v>
      </c>
      <c r="N3136" t="s">
        <v>522</v>
      </c>
    </row>
    <row r="3137" spans="1:14" x14ac:dyDescent="0.25">
      <c r="A3137" s="9" t="s">
        <v>5211</v>
      </c>
      <c r="B3137" s="10">
        <v>636</v>
      </c>
      <c r="C3137" s="10" t="s">
        <v>70</v>
      </c>
      <c r="D3137" t="s">
        <v>800</v>
      </c>
      <c r="E3137" t="s">
        <v>801</v>
      </c>
      <c r="F3137" s="10" t="s">
        <v>39</v>
      </c>
      <c r="G3137" s="2">
        <v>8.7299000000000007</v>
      </c>
      <c r="H3137" s="13">
        <v>1</v>
      </c>
      <c r="I3137" s="13">
        <v>0</v>
      </c>
      <c r="J3137" s="13">
        <v>0</v>
      </c>
      <c r="K3137" s="10">
        <v>1</v>
      </c>
      <c r="L3137" s="2">
        <v>8.7299000000000007</v>
      </c>
      <c r="M3137" s="1">
        <v>46178.285416666666</v>
      </c>
      <c r="N3137" t="s">
        <v>522</v>
      </c>
    </row>
    <row r="3138" spans="1:14" x14ac:dyDescent="0.25">
      <c r="A3138" s="9" t="s">
        <v>5211</v>
      </c>
      <c r="B3138" s="10">
        <v>636</v>
      </c>
      <c r="C3138" s="10" t="s">
        <v>70</v>
      </c>
      <c r="D3138" t="s">
        <v>706</v>
      </c>
      <c r="E3138" t="s">
        <v>707</v>
      </c>
      <c r="F3138" s="10" t="s">
        <v>29</v>
      </c>
      <c r="G3138" s="2">
        <v>9.7272999999999996</v>
      </c>
      <c r="H3138" s="13">
        <v>1</v>
      </c>
      <c r="I3138" s="13">
        <v>0</v>
      </c>
      <c r="J3138" s="13">
        <v>0</v>
      </c>
      <c r="K3138" s="10">
        <v>1</v>
      </c>
      <c r="L3138" s="2">
        <v>9.7272999999999996</v>
      </c>
      <c r="M3138" s="1">
        <v>46178.285416666666</v>
      </c>
      <c r="N3138" t="s">
        <v>522</v>
      </c>
    </row>
    <row r="3139" spans="1:14" x14ac:dyDescent="0.25">
      <c r="A3139" s="9" t="s">
        <v>5211</v>
      </c>
      <c r="B3139" s="10">
        <v>714</v>
      </c>
      <c r="C3139" s="10" t="s">
        <v>323</v>
      </c>
      <c r="D3139" t="s">
        <v>3155</v>
      </c>
      <c r="E3139" t="s">
        <v>3156</v>
      </c>
      <c r="F3139" s="10" t="s">
        <v>29</v>
      </c>
      <c r="G3139" s="2">
        <v>261.91419999999999</v>
      </c>
      <c r="H3139" s="13">
        <v>1</v>
      </c>
      <c r="I3139" s="13">
        <v>0</v>
      </c>
      <c r="J3139" s="13">
        <v>0</v>
      </c>
      <c r="K3139" s="10">
        <v>1</v>
      </c>
      <c r="L3139" s="2">
        <v>261.91419999999999</v>
      </c>
      <c r="M3139" s="1">
        <v>46178.441666666666</v>
      </c>
      <c r="N3139" t="s">
        <v>216</v>
      </c>
    </row>
    <row r="3140" spans="1:14" x14ac:dyDescent="0.25">
      <c r="A3140" s="9" t="s">
        <v>5211</v>
      </c>
      <c r="B3140" s="10">
        <v>718</v>
      </c>
      <c r="C3140" s="10" t="s">
        <v>323</v>
      </c>
      <c r="D3140" t="s">
        <v>5194</v>
      </c>
      <c r="E3140" t="s">
        <v>5195</v>
      </c>
      <c r="F3140" s="10" t="s">
        <v>19</v>
      </c>
      <c r="G3140" s="2">
        <v>212.625</v>
      </c>
      <c r="H3140" s="13">
        <v>1</v>
      </c>
      <c r="I3140" s="13">
        <v>1</v>
      </c>
      <c r="J3140" s="13">
        <v>-1</v>
      </c>
      <c r="K3140" s="10">
        <v>1</v>
      </c>
      <c r="L3140" s="2">
        <v>212.625</v>
      </c>
      <c r="M3140" s="1">
        <v>46178.593055555553</v>
      </c>
      <c r="N3140" t="s">
        <v>3384</v>
      </c>
    </row>
    <row r="3141" spans="1:14" x14ac:dyDescent="0.25">
      <c r="A3141" s="9" t="s">
        <v>5211</v>
      </c>
      <c r="B3141" s="10">
        <v>718</v>
      </c>
      <c r="C3141" s="10" t="s">
        <v>143</v>
      </c>
      <c r="D3141" t="s">
        <v>2800</v>
      </c>
      <c r="E3141" t="s">
        <v>2801</v>
      </c>
      <c r="F3141" s="10" t="s">
        <v>29</v>
      </c>
      <c r="G3141" s="2">
        <v>86.721900000000005</v>
      </c>
      <c r="H3141" s="13">
        <v>1</v>
      </c>
      <c r="I3141" s="13">
        <v>0</v>
      </c>
      <c r="J3141" s="13">
        <v>0</v>
      </c>
      <c r="K3141" s="10">
        <v>1</v>
      </c>
      <c r="L3141" s="2">
        <v>86.721900000000005</v>
      </c>
      <c r="M3141" s="1">
        <v>46178.599305555559</v>
      </c>
      <c r="N3141" t="s">
        <v>216</v>
      </c>
    </row>
    <row r="3142" spans="1:14" x14ac:dyDescent="0.25">
      <c r="A3142" s="9" t="s">
        <v>5211</v>
      </c>
      <c r="B3142" s="10">
        <v>718</v>
      </c>
      <c r="C3142" s="10" t="s">
        <v>323</v>
      </c>
      <c r="D3142" t="s">
        <v>4976</v>
      </c>
      <c r="E3142" t="s">
        <v>4977</v>
      </c>
      <c r="F3142" s="10" t="s">
        <v>158</v>
      </c>
      <c r="G3142" s="2">
        <v>162.41290000000001</v>
      </c>
      <c r="H3142" s="13">
        <v>1</v>
      </c>
      <c r="I3142" s="13">
        <v>0</v>
      </c>
      <c r="J3142" s="13">
        <v>0</v>
      </c>
      <c r="K3142" s="10">
        <v>1</v>
      </c>
      <c r="L3142" s="2">
        <v>162.41290000000001</v>
      </c>
      <c r="M3142" s="1">
        <v>46178.599305555559</v>
      </c>
      <c r="N3142" t="s">
        <v>216</v>
      </c>
    </row>
    <row r="3143" spans="1:14" x14ac:dyDescent="0.25">
      <c r="A3143" s="9" t="s">
        <v>5211</v>
      </c>
      <c r="B3143" s="10">
        <v>714</v>
      </c>
      <c r="C3143" s="10" t="s">
        <v>143</v>
      </c>
      <c r="D3143" t="s">
        <v>2796</v>
      </c>
      <c r="E3143" t="s">
        <v>2797</v>
      </c>
      <c r="F3143" s="10" t="s">
        <v>39</v>
      </c>
      <c r="G3143" s="2">
        <v>18.558900000000001</v>
      </c>
      <c r="H3143" s="13">
        <v>1</v>
      </c>
      <c r="I3143" s="13">
        <v>0</v>
      </c>
      <c r="J3143" s="13">
        <v>0</v>
      </c>
      <c r="K3143" s="10">
        <v>1</v>
      </c>
      <c r="L3143" s="2">
        <v>18.558900000000001</v>
      </c>
      <c r="M3143" s="1">
        <v>46181.388888888891</v>
      </c>
      <c r="N3143" t="s">
        <v>26</v>
      </c>
    </row>
    <row r="3144" spans="1:14" x14ac:dyDescent="0.25">
      <c r="A3144" s="9" t="s">
        <v>5211</v>
      </c>
      <c r="B3144" s="10">
        <v>718</v>
      </c>
      <c r="C3144" s="10" t="s">
        <v>143</v>
      </c>
      <c r="D3144" t="s">
        <v>2280</v>
      </c>
      <c r="E3144" t="s">
        <v>2281</v>
      </c>
      <c r="F3144" s="10" t="s">
        <v>23</v>
      </c>
      <c r="G3144" s="2">
        <v>76.954899999999995</v>
      </c>
      <c r="H3144" s="13">
        <v>1</v>
      </c>
      <c r="I3144" s="13">
        <v>0</v>
      </c>
      <c r="J3144" s="13">
        <v>0</v>
      </c>
      <c r="K3144" s="10">
        <v>1</v>
      </c>
      <c r="L3144" s="2">
        <v>76.954899999999995</v>
      </c>
      <c r="M3144" s="1">
        <v>46181.580555555556</v>
      </c>
      <c r="N3144" t="s">
        <v>67</v>
      </c>
    </row>
    <row r="3145" spans="1:14" x14ac:dyDescent="0.25">
      <c r="A3145" s="9" t="s">
        <v>5211</v>
      </c>
      <c r="B3145" s="10">
        <v>718</v>
      </c>
      <c r="C3145" s="10" t="s">
        <v>12</v>
      </c>
      <c r="D3145" t="s">
        <v>1859</v>
      </c>
      <c r="E3145" t="s">
        <v>1860</v>
      </c>
      <c r="F3145" s="10" t="s">
        <v>29</v>
      </c>
      <c r="G3145" s="2">
        <v>13.3651</v>
      </c>
      <c r="H3145" s="13">
        <v>1</v>
      </c>
      <c r="I3145" s="13">
        <v>0</v>
      </c>
      <c r="J3145" s="13">
        <v>0</v>
      </c>
      <c r="K3145" s="10">
        <v>1</v>
      </c>
      <c r="L3145" s="2">
        <v>13.3651</v>
      </c>
      <c r="M3145" s="1">
        <v>46181.580555555556</v>
      </c>
      <c r="N3145" t="s">
        <v>67</v>
      </c>
    </row>
    <row r="3146" spans="1:14" x14ac:dyDescent="0.25">
      <c r="A3146" s="9" t="s">
        <v>5211</v>
      </c>
      <c r="B3146" s="10">
        <v>718</v>
      </c>
      <c r="C3146" s="10" t="s">
        <v>12</v>
      </c>
      <c r="D3146" t="s">
        <v>1871</v>
      </c>
      <c r="E3146" t="s">
        <v>1872</v>
      </c>
      <c r="F3146" s="10" t="s">
        <v>39</v>
      </c>
      <c r="G3146" s="2">
        <v>46.143900000000002</v>
      </c>
      <c r="H3146" s="13">
        <v>1</v>
      </c>
      <c r="I3146" s="13">
        <v>0</v>
      </c>
      <c r="J3146" s="13">
        <v>0</v>
      </c>
      <c r="K3146" s="10">
        <v>1</v>
      </c>
      <c r="L3146" s="2">
        <v>46.143900000000002</v>
      </c>
      <c r="M3146" s="1">
        <v>46181.580555555556</v>
      </c>
      <c r="N3146" t="s">
        <v>67</v>
      </c>
    </row>
    <row r="3147" spans="1:14" x14ac:dyDescent="0.25">
      <c r="A3147" s="9" t="s">
        <v>5211</v>
      </c>
      <c r="B3147" s="10">
        <v>718</v>
      </c>
      <c r="C3147" s="10" t="s">
        <v>323</v>
      </c>
      <c r="D3147" t="s">
        <v>5196</v>
      </c>
      <c r="E3147" s="6" t="s">
        <v>5197</v>
      </c>
      <c r="F3147" s="11" t="s">
        <v>58</v>
      </c>
      <c r="G3147" s="2">
        <v>114.3853</v>
      </c>
      <c r="H3147" s="13">
        <v>1</v>
      </c>
      <c r="I3147" s="13">
        <v>0</v>
      </c>
      <c r="J3147" s="13">
        <v>0</v>
      </c>
      <c r="K3147" s="10">
        <v>1</v>
      </c>
      <c r="L3147" s="2">
        <v>114.3853</v>
      </c>
      <c r="M3147" s="1">
        <v>46181.580555555556</v>
      </c>
      <c r="N3147" t="s">
        <v>67</v>
      </c>
    </row>
    <row r="3148" spans="1:14" x14ac:dyDescent="0.25">
      <c r="A3148" s="9" t="s">
        <v>5211</v>
      </c>
      <c r="B3148" s="10">
        <v>718</v>
      </c>
      <c r="C3148" s="10" t="s">
        <v>323</v>
      </c>
      <c r="D3148" t="s">
        <v>3859</v>
      </c>
      <c r="E3148" t="s">
        <v>3860</v>
      </c>
      <c r="F3148" s="10" t="s">
        <v>29</v>
      </c>
      <c r="G3148" s="2">
        <v>123.0064</v>
      </c>
      <c r="H3148" s="13">
        <v>1</v>
      </c>
      <c r="I3148" s="13">
        <v>0</v>
      </c>
      <c r="J3148" s="13">
        <v>0</v>
      </c>
      <c r="K3148" s="10">
        <v>1</v>
      </c>
      <c r="L3148" s="2">
        <v>123.0064</v>
      </c>
      <c r="M3148" s="1">
        <v>46181.580555555556</v>
      </c>
      <c r="N3148" t="s">
        <v>67</v>
      </c>
    </row>
    <row r="3149" spans="1:14" x14ac:dyDescent="0.25">
      <c r="A3149" s="9" t="s">
        <v>5211</v>
      </c>
      <c r="B3149" s="10">
        <v>714</v>
      </c>
      <c r="C3149" s="10" t="s">
        <v>70</v>
      </c>
      <c r="D3149" t="s">
        <v>2005</v>
      </c>
      <c r="E3149" t="s">
        <v>2006</v>
      </c>
      <c r="F3149" s="10" t="s">
        <v>43</v>
      </c>
      <c r="G3149" s="2">
        <v>17.936599999999999</v>
      </c>
      <c r="H3149" s="13">
        <v>1</v>
      </c>
      <c r="I3149" s="13">
        <v>0</v>
      </c>
      <c r="J3149" s="13">
        <v>0</v>
      </c>
      <c r="K3149" s="10">
        <v>1</v>
      </c>
      <c r="L3149" s="2">
        <v>17.936599999999999</v>
      </c>
      <c r="M3149" s="1">
        <v>46181.625694444447</v>
      </c>
      <c r="N3149" t="s">
        <v>2007</v>
      </c>
    </row>
    <row r="3150" spans="1:14" x14ac:dyDescent="0.25">
      <c r="A3150" s="9" t="s">
        <v>5211</v>
      </c>
      <c r="B3150" s="10">
        <v>636</v>
      </c>
      <c r="C3150" s="10" t="s">
        <v>70</v>
      </c>
      <c r="D3150" t="s">
        <v>593</v>
      </c>
      <c r="E3150" t="s">
        <v>594</v>
      </c>
      <c r="F3150" s="10" t="s">
        <v>39</v>
      </c>
      <c r="G3150" s="2">
        <v>11.0754</v>
      </c>
      <c r="H3150" s="13">
        <v>1</v>
      </c>
      <c r="I3150" s="13">
        <v>0</v>
      </c>
      <c r="J3150" s="13">
        <v>0</v>
      </c>
      <c r="K3150" s="10">
        <v>1</v>
      </c>
      <c r="L3150" s="2">
        <v>11.0754</v>
      </c>
      <c r="M3150" s="1">
        <v>46183.40625</v>
      </c>
      <c r="N3150" t="s">
        <v>40</v>
      </c>
    </row>
    <row r="3151" spans="1:14" x14ac:dyDescent="0.25">
      <c r="A3151" s="9" t="s">
        <v>5211</v>
      </c>
      <c r="B3151" s="10">
        <v>636</v>
      </c>
      <c r="C3151" s="10" t="s">
        <v>70</v>
      </c>
      <c r="D3151" t="s">
        <v>4044</v>
      </c>
      <c r="E3151" t="s">
        <v>4045</v>
      </c>
      <c r="F3151" s="10" t="s">
        <v>112</v>
      </c>
      <c r="G3151" s="2">
        <v>6.3992000000000004</v>
      </c>
      <c r="H3151" s="13">
        <v>1</v>
      </c>
      <c r="I3151" s="13">
        <v>30</v>
      </c>
      <c r="J3151" s="13">
        <v>-30</v>
      </c>
      <c r="K3151" s="10">
        <v>1</v>
      </c>
      <c r="L3151" s="2">
        <v>6.3992000000000004</v>
      </c>
      <c r="M3151" s="1">
        <v>46183.40625</v>
      </c>
      <c r="N3151" t="s">
        <v>40</v>
      </c>
    </row>
    <row r="3152" spans="1:14" x14ac:dyDescent="0.25">
      <c r="A3152" s="9" t="s">
        <v>5211</v>
      </c>
      <c r="B3152" s="10">
        <v>718</v>
      </c>
      <c r="C3152" s="10" t="s">
        <v>143</v>
      </c>
      <c r="D3152" t="s">
        <v>3808</v>
      </c>
      <c r="E3152" t="s">
        <v>3809</v>
      </c>
      <c r="F3152" s="10" t="s">
        <v>39</v>
      </c>
      <c r="G3152" s="2">
        <v>14.297700000000001</v>
      </c>
      <c r="H3152" s="13">
        <v>1</v>
      </c>
      <c r="I3152" s="13">
        <v>0</v>
      </c>
      <c r="J3152" s="13">
        <v>0</v>
      </c>
      <c r="K3152" s="10">
        <v>1</v>
      </c>
      <c r="L3152" s="2">
        <v>14.297700000000001</v>
      </c>
      <c r="M3152" s="1">
        <v>46185.38958333333</v>
      </c>
      <c r="N3152" t="s">
        <v>140</v>
      </c>
    </row>
    <row r="3153" spans="1:14" x14ac:dyDescent="0.25">
      <c r="A3153" s="9" t="s">
        <v>5211</v>
      </c>
      <c r="B3153" s="10">
        <v>714</v>
      </c>
      <c r="C3153" s="10" t="s">
        <v>143</v>
      </c>
      <c r="D3153" t="s">
        <v>3804</v>
      </c>
      <c r="E3153" t="s">
        <v>3805</v>
      </c>
      <c r="F3153" s="10" t="s">
        <v>23</v>
      </c>
      <c r="G3153" s="2">
        <v>14.042299999999999</v>
      </c>
      <c r="H3153" s="13">
        <v>1</v>
      </c>
      <c r="I3153" s="13">
        <v>12</v>
      </c>
      <c r="J3153" s="13">
        <v>-12</v>
      </c>
      <c r="K3153" s="10">
        <v>1</v>
      </c>
      <c r="L3153" s="2">
        <v>14.042299999999999</v>
      </c>
      <c r="M3153" s="1">
        <v>46185.573611111111</v>
      </c>
      <c r="N3153" t="s">
        <v>140</v>
      </c>
    </row>
    <row r="3154" spans="1:14" x14ac:dyDescent="0.25">
      <c r="A3154" s="9" t="s">
        <v>5211</v>
      </c>
      <c r="B3154" s="10">
        <v>714</v>
      </c>
      <c r="C3154" s="10" t="s">
        <v>143</v>
      </c>
      <c r="D3154" t="s">
        <v>2312</v>
      </c>
      <c r="E3154" t="s">
        <v>2313</v>
      </c>
      <c r="F3154" s="10" t="s">
        <v>19</v>
      </c>
      <c r="G3154" s="2">
        <v>44.299199999999999</v>
      </c>
      <c r="H3154" s="13">
        <v>1</v>
      </c>
      <c r="I3154" s="13">
        <v>0</v>
      </c>
      <c r="J3154" s="13">
        <v>0</v>
      </c>
      <c r="K3154" s="10">
        <v>1</v>
      </c>
      <c r="L3154" s="2">
        <v>44.299199999999999</v>
      </c>
      <c r="M3154" s="1">
        <v>46188.35</v>
      </c>
      <c r="N3154" t="s">
        <v>26</v>
      </c>
    </row>
    <row r="3155" spans="1:14" x14ac:dyDescent="0.25">
      <c r="A3155" s="9" t="s">
        <v>5211</v>
      </c>
      <c r="B3155" s="10">
        <v>714</v>
      </c>
      <c r="C3155" s="10" t="s">
        <v>143</v>
      </c>
      <c r="D3155" t="s">
        <v>938</v>
      </c>
      <c r="E3155" t="s">
        <v>939</v>
      </c>
      <c r="F3155" s="10" t="s">
        <v>29</v>
      </c>
      <c r="G3155" s="2">
        <v>15.4185</v>
      </c>
      <c r="H3155" s="13">
        <v>1</v>
      </c>
      <c r="I3155" s="13">
        <v>0</v>
      </c>
      <c r="J3155" s="13">
        <v>0</v>
      </c>
      <c r="K3155" s="10">
        <v>1</v>
      </c>
      <c r="L3155" s="2">
        <v>15.4185</v>
      </c>
      <c r="M3155" s="1">
        <v>46188.35</v>
      </c>
      <c r="N3155" t="s">
        <v>26</v>
      </c>
    </row>
    <row r="3156" spans="1:14" x14ac:dyDescent="0.25">
      <c r="A3156" s="9" t="s">
        <v>5211</v>
      </c>
      <c r="B3156" s="10">
        <v>718</v>
      </c>
      <c r="C3156" s="10" t="s">
        <v>323</v>
      </c>
      <c r="D3156" t="s">
        <v>3446</v>
      </c>
      <c r="E3156" t="s">
        <v>3447</v>
      </c>
      <c r="F3156" s="10" t="s">
        <v>112</v>
      </c>
      <c r="G3156" s="2">
        <v>102.57129999999999</v>
      </c>
      <c r="H3156" s="13">
        <v>1</v>
      </c>
      <c r="I3156" s="13">
        <v>0</v>
      </c>
      <c r="J3156" s="13">
        <v>0</v>
      </c>
      <c r="K3156" s="10">
        <v>1</v>
      </c>
      <c r="L3156" s="2">
        <v>102.57129999999999</v>
      </c>
      <c r="M3156" s="1">
        <v>46188.697222222225</v>
      </c>
      <c r="N3156" t="s">
        <v>1062</v>
      </c>
    </row>
    <row r="3157" spans="1:14" x14ac:dyDescent="0.25">
      <c r="A3157" s="9" t="s">
        <v>5211</v>
      </c>
      <c r="B3157" s="10">
        <v>636</v>
      </c>
      <c r="C3157" s="10" t="s">
        <v>70</v>
      </c>
      <c r="D3157" t="s">
        <v>781</v>
      </c>
      <c r="E3157" t="s">
        <v>782</v>
      </c>
      <c r="F3157" s="10" t="s">
        <v>39</v>
      </c>
      <c r="G3157" s="2">
        <v>5.4555999999999996</v>
      </c>
      <c r="H3157" s="13">
        <v>1</v>
      </c>
      <c r="I3157" s="13">
        <v>0</v>
      </c>
      <c r="J3157" s="13">
        <v>0</v>
      </c>
      <c r="K3157" s="10">
        <v>1</v>
      </c>
      <c r="L3157" s="2">
        <v>5.4555999999999996</v>
      </c>
      <c r="M3157" s="1">
        <v>46189.418749999997</v>
      </c>
      <c r="N3157" t="s">
        <v>16</v>
      </c>
    </row>
    <row r="3158" spans="1:14" x14ac:dyDescent="0.25">
      <c r="A3158" s="9" t="s">
        <v>5211</v>
      </c>
      <c r="B3158" s="10">
        <v>636</v>
      </c>
      <c r="C3158" s="10" t="s">
        <v>70</v>
      </c>
      <c r="D3158" t="s">
        <v>725</v>
      </c>
      <c r="E3158" t="s">
        <v>726</v>
      </c>
      <c r="F3158" s="10" t="s">
        <v>39</v>
      </c>
      <c r="G3158" s="2">
        <v>6.0396999999999998</v>
      </c>
      <c r="H3158" s="13">
        <v>1</v>
      </c>
      <c r="I3158" s="13">
        <v>-4</v>
      </c>
      <c r="J3158" s="13">
        <v>4</v>
      </c>
      <c r="K3158" s="10">
        <v>1</v>
      </c>
      <c r="L3158" s="2">
        <v>6.0396999999999998</v>
      </c>
      <c r="M3158" s="1">
        <v>46189.418749999997</v>
      </c>
      <c r="N3158" t="s">
        <v>16</v>
      </c>
    </row>
    <row r="3159" spans="1:14" x14ac:dyDescent="0.25">
      <c r="A3159" s="9" t="s">
        <v>5211</v>
      </c>
      <c r="B3159" s="10">
        <v>636</v>
      </c>
      <c r="C3159" s="10" t="s">
        <v>12</v>
      </c>
      <c r="D3159" t="s">
        <v>502</v>
      </c>
      <c r="E3159" t="s">
        <v>503</v>
      </c>
      <c r="F3159" s="10" t="s">
        <v>29</v>
      </c>
      <c r="G3159" s="2">
        <v>17.3809</v>
      </c>
      <c r="H3159" s="13">
        <v>1</v>
      </c>
      <c r="I3159" s="13">
        <v>0</v>
      </c>
      <c r="J3159" s="13">
        <v>0</v>
      </c>
      <c r="K3159" s="10">
        <v>1</v>
      </c>
      <c r="L3159" s="2">
        <v>17.3809</v>
      </c>
      <c r="M3159" s="1">
        <v>46189.425000000003</v>
      </c>
      <c r="N3159" t="s">
        <v>94</v>
      </c>
    </row>
    <row r="3160" spans="1:14" x14ac:dyDescent="0.25">
      <c r="A3160" s="9" t="s">
        <v>5211</v>
      </c>
      <c r="B3160" s="10">
        <v>718</v>
      </c>
      <c r="C3160" s="10" t="s">
        <v>323</v>
      </c>
      <c r="D3160" t="s">
        <v>5188</v>
      </c>
      <c r="E3160" t="s">
        <v>5189</v>
      </c>
      <c r="F3160" s="10" t="s">
        <v>43</v>
      </c>
      <c r="G3160" s="2">
        <v>127.75230000000001</v>
      </c>
      <c r="H3160" s="13">
        <v>1</v>
      </c>
      <c r="I3160" s="13">
        <v>0</v>
      </c>
      <c r="J3160" s="13">
        <v>0</v>
      </c>
      <c r="K3160" s="10">
        <v>1</v>
      </c>
      <c r="L3160" s="2">
        <v>127.75230000000001</v>
      </c>
      <c r="M3160" s="1">
        <v>46189.494444444441</v>
      </c>
      <c r="N3160" t="s">
        <v>2271</v>
      </c>
    </row>
    <row r="3161" spans="1:14" x14ac:dyDescent="0.25">
      <c r="A3161" s="9" t="s">
        <v>5211</v>
      </c>
      <c r="B3161" s="10">
        <v>714</v>
      </c>
      <c r="C3161" s="10" t="s">
        <v>143</v>
      </c>
      <c r="D3161" t="s">
        <v>4771</v>
      </c>
      <c r="E3161" t="s">
        <v>4772</v>
      </c>
      <c r="F3161" s="10" t="s">
        <v>29</v>
      </c>
      <c r="G3161" s="2">
        <v>16.545999999999999</v>
      </c>
      <c r="H3161" s="13">
        <v>1</v>
      </c>
      <c r="I3161" s="13">
        <v>11</v>
      </c>
      <c r="J3161" s="13">
        <v>-11</v>
      </c>
      <c r="K3161" s="10">
        <v>1</v>
      </c>
      <c r="L3161" s="2">
        <v>16.545999999999999</v>
      </c>
      <c r="M3161" s="1">
        <v>46190.568055555559</v>
      </c>
      <c r="N3161" t="s">
        <v>40</v>
      </c>
    </row>
    <row r="3162" spans="1:14" x14ac:dyDescent="0.25">
      <c r="A3162" s="9" t="s">
        <v>5211</v>
      </c>
      <c r="B3162" s="10">
        <v>718</v>
      </c>
      <c r="C3162" s="10" t="s">
        <v>143</v>
      </c>
      <c r="D3162" t="s">
        <v>3734</v>
      </c>
      <c r="E3162" t="s">
        <v>3735</v>
      </c>
      <c r="F3162" s="10" t="s">
        <v>43</v>
      </c>
      <c r="G3162" s="2">
        <v>76.930800000000005</v>
      </c>
      <c r="H3162" s="13">
        <v>1</v>
      </c>
      <c r="I3162" s="13">
        <v>0</v>
      </c>
      <c r="J3162" s="13">
        <v>0</v>
      </c>
      <c r="K3162" s="10">
        <v>1</v>
      </c>
      <c r="L3162" s="2">
        <v>76.930800000000005</v>
      </c>
      <c r="M3162" s="1">
        <v>46190.654166666667</v>
      </c>
      <c r="N3162" t="s">
        <v>47</v>
      </c>
    </row>
    <row r="3163" spans="1:14" x14ac:dyDescent="0.25">
      <c r="A3163" s="9" t="s">
        <v>5211</v>
      </c>
      <c r="B3163" s="10">
        <v>636</v>
      </c>
      <c r="C3163" s="10" t="s">
        <v>70</v>
      </c>
      <c r="D3163" t="s">
        <v>727</v>
      </c>
      <c r="E3163" t="s">
        <v>728</v>
      </c>
      <c r="F3163" s="10" t="s">
        <v>29</v>
      </c>
      <c r="G3163" s="2">
        <v>7.2775999999999996</v>
      </c>
      <c r="H3163" s="13">
        <v>1</v>
      </c>
      <c r="I3163" s="13">
        <v>0</v>
      </c>
      <c r="J3163" s="13">
        <v>0</v>
      </c>
      <c r="K3163" s="10">
        <v>1</v>
      </c>
      <c r="L3163" s="2">
        <v>7.2775999999999996</v>
      </c>
      <c r="M3163" s="1">
        <v>46191.495833333334</v>
      </c>
      <c r="N3163" t="s">
        <v>522</v>
      </c>
    </row>
    <row r="3164" spans="1:14" x14ac:dyDescent="0.25">
      <c r="A3164" s="9" t="s">
        <v>5211</v>
      </c>
      <c r="B3164" s="10">
        <v>714</v>
      </c>
      <c r="C3164" s="10" t="s">
        <v>143</v>
      </c>
      <c r="D3164" t="s">
        <v>4869</v>
      </c>
      <c r="E3164" t="s">
        <v>4870</v>
      </c>
      <c r="F3164" s="10" t="s">
        <v>39</v>
      </c>
      <c r="G3164" s="2">
        <v>13.048400000000001</v>
      </c>
      <c r="H3164" s="13">
        <v>1</v>
      </c>
      <c r="I3164" s="13">
        <v>6</v>
      </c>
      <c r="J3164" s="13">
        <v>-6</v>
      </c>
      <c r="K3164" s="10">
        <v>1</v>
      </c>
      <c r="L3164" s="2">
        <v>13.048400000000001</v>
      </c>
      <c r="M3164" s="1">
        <v>46195.50277777778</v>
      </c>
      <c r="N3164" t="s">
        <v>665</v>
      </c>
    </row>
    <row r="3165" spans="1:14" x14ac:dyDescent="0.25">
      <c r="A3165" s="9" t="s">
        <v>5211</v>
      </c>
      <c r="B3165" s="10">
        <v>714</v>
      </c>
      <c r="C3165" s="10" t="s">
        <v>143</v>
      </c>
      <c r="D3165" t="s">
        <v>4915</v>
      </c>
      <c r="E3165" t="s">
        <v>4916</v>
      </c>
      <c r="F3165" s="10" t="s">
        <v>23</v>
      </c>
      <c r="G3165" s="2">
        <v>27.921900000000001</v>
      </c>
      <c r="H3165" s="13">
        <v>1</v>
      </c>
      <c r="I3165" s="13">
        <v>2</v>
      </c>
      <c r="J3165" s="13">
        <v>-2</v>
      </c>
      <c r="K3165" s="10">
        <v>1</v>
      </c>
      <c r="L3165" s="2">
        <v>27.921900000000001</v>
      </c>
      <c r="M3165" s="1">
        <v>46196.347916666666</v>
      </c>
      <c r="N3165" t="s">
        <v>36</v>
      </c>
    </row>
    <row r="3166" spans="1:14" x14ac:dyDescent="0.25">
      <c r="A3166" s="9" t="s">
        <v>5211</v>
      </c>
      <c r="B3166" s="10">
        <v>636</v>
      </c>
      <c r="C3166" s="10" t="s">
        <v>70</v>
      </c>
      <c r="D3166" t="s">
        <v>646</v>
      </c>
      <c r="E3166" t="s">
        <v>647</v>
      </c>
      <c r="F3166" s="10" t="s">
        <v>29</v>
      </c>
      <c r="G3166" s="2">
        <v>6.7998000000000003</v>
      </c>
      <c r="H3166" s="13">
        <v>1</v>
      </c>
      <c r="I3166" s="13">
        <v>0</v>
      </c>
      <c r="J3166" s="13">
        <v>0</v>
      </c>
      <c r="K3166" s="10">
        <v>1</v>
      </c>
      <c r="L3166" s="2">
        <v>6.7998000000000003</v>
      </c>
      <c r="M3166" s="1">
        <v>46196.405555555553</v>
      </c>
      <c r="N3166" t="s">
        <v>16</v>
      </c>
    </row>
    <row r="3167" spans="1:14" x14ac:dyDescent="0.25">
      <c r="A3167" s="9" t="s">
        <v>5211</v>
      </c>
      <c r="B3167" s="10">
        <v>636</v>
      </c>
      <c r="C3167" s="10" t="s">
        <v>70</v>
      </c>
      <c r="D3167" t="s">
        <v>810</v>
      </c>
      <c r="E3167" t="s">
        <v>811</v>
      </c>
      <c r="F3167" s="10" t="s">
        <v>39</v>
      </c>
      <c r="G3167" s="2">
        <v>11.1942</v>
      </c>
      <c r="H3167" s="13">
        <v>1</v>
      </c>
      <c r="I3167" s="13">
        <v>0</v>
      </c>
      <c r="J3167" s="13">
        <v>0</v>
      </c>
      <c r="K3167" s="10">
        <v>1</v>
      </c>
      <c r="L3167" s="2">
        <v>11.1942</v>
      </c>
      <c r="M3167" s="1">
        <v>46196.405555555553</v>
      </c>
      <c r="N3167" t="s">
        <v>16</v>
      </c>
    </row>
    <row r="3168" spans="1:14" x14ac:dyDescent="0.25">
      <c r="A3168" s="9" t="s">
        <v>5211</v>
      </c>
      <c r="B3168" s="10">
        <v>714</v>
      </c>
      <c r="C3168" s="10" t="s">
        <v>143</v>
      </c>
      <c r="D3168" t="s">
        <v>3794</v>
      </c>
      <c r="E3168" t="s">
        <v>3795</v>
      </c>
      <c r="F3168" s="10" t="s">
        <v>158</v>
      </c>
      <c r="G3168" s="2">
        <v>33.216200000000001</v>
      </c>
      <c r="H3168" s="13">
        <v>1</v>
      </c>
      <c r="I3168" s="13">
        <v>1</v>
      </c>
      <c r="J3168" s="13">
        <v>-1</v>
      </c>
      <c r="K3168" s="10">
        <v>1</v>
      </c>
      <c r="L3168" s="2">
        <v>33.216200000000001</v>
      </c>
      <c r="M3168" s="1">
        <v>46198.373611111114</v>
      </c>
      <c r="N3168" t="s">
        <v>67</v>
      </c>
    </row>
    <row r="3169" spans="1:14" x14ac:dyDescent="0.25">
      <c r="A3169" s="9" t="s">
        <v>5211</v>
      </c>
      <c r="B3169" s="10">
        <v>714</v>
      </c>
      <c r="C3169" s="10" t="s">
        <v>12</v>
      </c>
      <c r="D3169" t="s">
        <v>4689</v>
      </c>
      <c r="E3169" t="s">
        <v>4690</v>
      </c>
      <c r="F3169" s="10" t="s">
        <v>23</v>
      </c>
      <c r="G3169" s="2">
        <v>21.417300000000001</v>
      </c>
      <c r="H3169" s="13">
        <v>1</v>
      </c>
      <c r="I3169" s="13">
        <v>5</v>
      </c>
      <c r="J3169" s="13">
        <v>-5</v>
      </c>
      <c r="K3169" s="10">
        <v>1</v>
      </c>
      <c r="L3169" s="2">
        <v>21.417300000000001</v>
      </c>
      <c r="M3169" s="1">
        <v>46198.373611111114</v>
      </c>
      <c r="N3169" t="s">
        <v>67</v>
      </c>
    </row>
    <row r="3170" spans="1:14" x14ac:dyDescent="0.25">
      <c r="A3170" s="9" t="s">
        <v>5211</v>
      </c>
      <c r="B3170" s="10">
        <v>714</v>
      </c>
      <c r="C3170" s="10" t="s">
        <v>143</v>
      </c>
      <c r="D3170" t="s">
        <v>2655</v>
      </c>
      <c r="E3170" t="s">
        <v>2656</v>
      </c>
      <c r="F3170" s="10" t="s">
        <v>29</v>
      </c>
      <c r="G3170" s="2">
        <v>42.0871</v>
      </c>
      <c r="H3170" s="13">
        <v>1</v>
      </c>
      <c r="I3170" s="13">
        <v>0</v>
      </c>
      <c r="J3170" s="13">
        <v>0</v>
      </c>
      <c r="K3170" s="10">
        <v>1</v>
      </c>
      <c r="L3170" s="2">
        <v>42.0871</v>
      </c>
      <c r="M3170" s="1">
        <v>46199.347916666666</v>
      </c>
      <c r="N3170" t="s">
        <v>216</v>
      </c>
    </row>
    <row r="3171" spans="1:14" x14ac:dyDescent="0.25">
      <c r="A3171" s="9" t="s">
        <v>5211</v>
      </c>
      <c r="B3171" s="10">
        <v>634</v>
      </c>
      <c r="C3171" s="10" t="s">
        <v>143</v>
      </c>
      <c r="D3171" t="s">
        <v>4126</v>
      </c>
      <c r="E3171" t="s">
        <v>4127</v>
      </c>
      <c r="F3171" s="10" t="s">
        <v>23</v>
      </c>
      <c r="G3171" s="2">
        <v>18.3263</v>
      </c>
      <c r="H3171" s="13">
        <v>1</v>
      </c>
      <c r="I3171" s="13">
        <v>2</v>
      </c>
      <c r="J3171" s="13">
        <v>-2</v>
      </c>
      <c r="K3171" s="10">
        <v>1</v>
      </c>
      <c r="L3171" s="2">
        <v>18.3263</v>
      </c>
      <c r="M3171" s="1">
        <v>46199.404861111114</v>
      </c>
      <c r="N3171" t="s">
        <v>40</v>
      </c>
    </row>
    <row r="3172" spans="1:14" x14ac:dyDescent="0.25">
      <c r="A3172" s="9" t="s">
        <v>5211</v>
      </c>
      <c r="B3172" s="10">
        <v>714</v>
      </c>
      <c r="C3172" s="10" t="s">
        <v>323</v>
      </c>
      <c r="D3172" t="s">
        <v>5009</v>
      </c>
      <c r="E3172" t="s">
        <v>5010</v>
      </c>
      <c r="F3172" s="10" t="s">
        <v>43</v>
      </c>
      <c r="G3172" s="2">
        <v>70.766000000000005</v>
      </c>
      <c r="H3172" s="13">
        <v>1</v>
      </c>
      <c r="I3172" s="13">
        <v>1</v>
      </c>
      <c r="J3172" s="13">
        <v>-1</v>
      </c>
      <c r="K3172" s="10">
        <v>1</v>
      </c>
      <c r="L3172" s="2">
        <v>70.766000000000005</v>
      </c>
      <c r="M3172" s="1">
        <v>46203.401388888888</v>
      </c>
      <c r="N3172" t="s">
        <v>366</v>
      </c>
    </row>
    <row r="3173" spans="1:14" x14ac:dyDescent="0.25">
      <c r="A3173" s="9" t="s">
        <v>5211</v>
      </c>
      <c r="B3173" s="10">
        <v>714</v>
      </c>
      <c r="C3173" s="10" t="s">
        <v>70</v>
      </c>
      <c r="D3173" t="s">
        <v>2010</v>
      </c>
      <c r="E3173" t="s">
        <v>2011</v>
      </c>
      <c r="F3173" s="10" t="s">
        <v>29</v>
      </c>
      <c r="G3173" s="2">
        <v>9.9573</v>
      </c>
      <c r="H3173" s="13">
        <v>1</v>
      </c>
      <c r="I3173" s="13">
        <v>0</v>
      </c>
      <c r="J3173" s="13">
        <v>0</v>
      </c>
      <c r="K3173" s="10">
        <v>1</v>
      </c>
      <c r="L3173" s="2">
        <v>9.9573</v>
      </c>
      <c r="M3173" s="1">
        <v>46203.503472222219</v>
      </c>
      <c r="N3173" t="s">
        <v>261</v>
      </c>
    </row>
    <row r="3174" spans="1:14" x14ac:dyDescent="0.25">
      <c r="A3174" s="9" t="s">
        <v>5211</v>
      </c>
      <c r="B3174" s="10">
        <v>718</v>
      </c>
      <c r="C3174" s="10" t="s">
        <v>143</v>
      </c>
      <c r="D3174" t="s">
        <v>1182</v>
      </c>
      <c r="E3174" t="s">
        <v>1183</v>
      </c>
      <c r="F3174" s="10" t="s">
        <v>39</v>
      </c>
      <c r="G3174" s="2">
        <v>24.429300000000001</v>
      </c>
      <c r="H3174" s="13">
        <v>1</v>
      </c>
      <c r="I3174" s="13">
        <v>0</v>
      </c>
      <c r="J3174" s="13">
        <v>0</v>
      </c>
      <c r="K3174" s="10">
        <v>1</v>
      </c>
      <c r="L3174" s="2">
        <v>24.429300000000001</v>
      </c>
      <c r="M3174" s="1">
        <v>46204.359722222223</v>
      </c>
      <c r="N3174" t="s">
        <v>40</v>
      </c>
    </row>
    <row r="3175" spans="1:14" x14ac:dyDescent="0.25">
      <c r="A3175" s="9" t="s">
        <v>5211</v>
      </c>
      <c r="B3175" s="10">
        <v>636</v>
      </c>
      <c r="C3175" s="10" t="s">
        <v>70</v>
      </c>
      <c r="D3175" t="s">
        <v>798</v>
      </c>
      <c r="E3175" t="s">
        <v>799</v>
      </c>
      <c r="F3175" s="10" t="s">
        <v>29</v>
      </c>
      <c r="G3175" s="2">
        <v>6.5702999999999996</v>
      </c>
      <c r="H3175" s="13">
        <v>1</v>
      </c>
      <c r="I3175" s="13">
        <v>0</v>
      </c>
      <c r="J3175" s="13">
        <v>0</v>
      </c>
      <c r="K3175" s="10">
        <v>1</v>
      </c>
      <c r="L3175" s="2">
        <v>6.5702999999999996</v>
      </c>
      <c r="M3175" s="1">
        <v>46210.588888888888</v>
      </c>
      <c r="N3175" t="s">
        <v>522</v>
      </c>
    </row>
    <row r="3176" spans="1:14" x14ac:dyDescent="0.25">
      <c r="A3176" s="9" t="s">
        <v>5211</v>
      </c>
      <c r="B3176" s="10">
        <v>634</v>
      </c>
      <c r="C3176" s="10" t="s">
        <v>143</v>
      </c>
      <c r="D3176" t="s">
        <v>4154</v>
      </c>
      <c r="E3176" t="s">
        <v>4155</v>
      </c>
      <c r="F3176" s="10" t="s">
        <v>29</v>
      </c>
      <c r="G3176" s="2">
        <v>22.4939</v>
      </c>
      <c r="H3176" s="13">
        <v>1</v>
      </c>
      <c r="I3176" s="13">
        <v>0</v>
      </c>
      <c r="J3176" s="13">
        <v>0</v>
      </c>
      <c r="K3176" s="10">
        <v>1</v>
      </c>
      <c r="L3176" s="2">
        <v>22.4939</v>
      </c>
      <c r="M3176" s="1">
        <v>46212.320833333331</v>
      </c>
      <c r="N3176" t="s">
        <v>195</v>
      </c>
    </row>
    <row r="3177" spans="1:14" x14ac:dyDescent="0.25">
      <c r="A3177" s="9" t="s">
        <v>5211</v>
      </c>
      <c r="B3177" s="10">
        <v>636</v>
      </c>
      <c r="C3177" s="10" t="s">
        <v>12</v>
      </c>
      <c r="D3177" t="s">
        <v>518</v>
      </c>
      <c r="E3177" t="s">
        <v>519</v>
      </c>
      <c r="F3177" s="10" t="s">
        <v>29</v>
      </c>
      <c r="G3177" s="2">
        <v>7.1231999999999998</v>
      </c>
      <c r="H3177" s="13">
        <v>1</v>
      </c>
      <c r="I3177" s="13">
        <v>0</v>
      </c>
      <c r="J3177" s="13">
        <v>0</v>
      </c>
      <c r="K3177" s="10">
        <v>1</v>
      </c>
      <c r="L3177" s="2">
        <v>7.1231999999999998</v>
      </c>
      <c r="M3177" s="1">
        <v>46212.4375</v>
      </c>
      <c r="N3177" t="s">
        <v>16</v>
      </c>
    </row>
    <row r="3178" spans="1:14" x14ac:dyDescent="0.25">
      <c r="A3178" s="9" t="s">
        <v>5211</v>
      </c>
      <c r="B3178" s="10">
        <v>714</v>
      </c>
      <c r="C3178" s="10" t="s">
        <v>70</v>
      </c>
      <c r="D3178" t="s">
        <v>1985</v>
      </c>
      <c r="E3178" t="s">
        <v>1986</v>
      </c>
      <c r="F3178" s="10" t="s">
        <v>29</v>
      </c>
      <c r="G3178" s="2">
        <v>8.3800000000000008</v>
      </c>
      <c r="H3178" s="13">
        <v>1</v>
      </c>
      <c r="I3178" s="13">
        <v>0</v>
      </c>
      <c r="J3178" s="13">
        <v>0</v>
      </c>
      <c r="K3178" s="10">
        <v>1</v>
      </c>
      <c r="L3178" s="2">
        <v>8.3800000000000008</v>
      </c>
      <c r="M3178" s="1">
        <v>46213.455555555556</v>
      </c>
      <c r="N3178" t="s">
        <v>573</v>
      </c>
    </row>
    <row r="3179" spans="1:14" x14ac:dyDescent="0.25">
      <c r="A3179" s="9" t="s">
        <v>5211</v>
      </c>
      <c r="B3179" s="10">
        <v>714</v>
      </c>
      <c r="C3179" s="10" t="s">
        <v>143</v>
      </c>
      <c r="D3179" t="s">
        <v>2665</v>
      </c>
      <c r="E3179" t="s">
        <v>2666</v>
      </c>
      <c r="F3179" s="10" t="s">
        <v>158</v>
      </c>
      <c r="G3179" s="2">
        <v>142.9924</v>
      </c>
      <c r="H3179" s="13">
        <v>1</v>
      </c>
      <c r="I3179" s="13">
        <v>0</v>
      </c>
      <c r="J3179" s="13">
        <v>0</v>
      </c>
      <c r="K3179" s="10">
        <v>1</v>
      </c>
      <c r="L3179" s="2">
        <v>142.9924</v>
      </c>
      <c r="M3179" s="1">
        <v>46213.497916666667</v>
      </c>
      <c r="N3179" t="s">
        <v>175</v>
      </c>
    </row>
    <row r="3180" spans="1:14" x14ac:dyDescent="0.25">
      <c r="A3180" s="9" t="s">
        <v>5211</v>
      </c>
      <c r="B3180" s="10">
        <v>714</v>
      </c>
      <c r="C3180" s="10" t="s">
        <v>143</v>
      </c>
      <c r="D3180" t="s">
        <v>4801</v>
      </c>
      <c r="E3180" t="s">
        <v>4802</v>
      </c>
      <c r="F3180" s="10" t="s">
        <v>23</v>
      </c>
      <c r="G3180" s="2">
        <v>21.825600000000001</v>
      </c>
      <c r="H3180" s="13">
        <v>1</v>
      </c>
      <c r="I3180" s="13">
        <v>0</v>
      </c>
      <c r="J3180" s="13">
        <v>0</v>
      </c>
      <c r="K3180" s="10">
        <v>1</v>
      </c>
      <c r="L3180" s="2">
        <v>21.825600000000001</v>
      </c>
      <c r="M3180" s="1">
        <v>46214.343055555553</v>
      </c>
      <c r="N3180" t="s">
        <v>40</v>
      </c>
    </row>
    <row r="3181" spans="1:14" x14ac:dyDescent="0.25">
      <c r="A3181" s="9" t="s">
        <v>5211</v>
      </c>
      <c r="B3181" s="10">
        <v>636</v>
      </c>
      <c r="C3181" s="10" t="s">
        <v>70</v>
      </c>
      <c r="D3181" t="s">
        <v>708</v>
      </c>
      <c r="E3181" t="s">
        <v>709</v>
      </c>
      <c r="F3181" s="10" t="s">
        <v>29</v>
      </c>
      <c r="G3181" s="2">
        <v>7.0396999999999998</v>
      </c>
      <c r="H3181" s="13">
        <v>1</v>
      </c>
      <c r="I3181" s="13">
        <v>0</v>
      </c>
      <c r="J3181" s="13">
        <v>0</v>
      </c>
      <c r="K3181" s="10">
        <v>1</v>
      </c>
      <c r="L3181" s="2">
        <v>7.0396999999999998</v>
      </c>
      <c r="M3181" s="1">
        <v>46216.52847222222</v>
      </c>
      <c r="N3181" t="s">
        <v>40</v>
      </c>
    </row>
    <row r="3182" spans="1:14" x14ac:dyDescent="0.25">
      <c r="A3182" s="9" t="s">
        <v>5211</v>
      </c>
      <c r="B3182" s="10">
        <v>636</v>
      </c>
      <c r="C3182" s="10" t="s">
        <v>143</v>
      </c>
      <c r="D3182" t="s">
        <v>982</v>
      </c>
      <c r="E3182" t="s">
        <v>983</v>
      </c>
      <c r="F3182" s="10" t="s">
        <v>29</v>
      </c>
      <c r="G3182" s="2">
        <v>97.818700000000007</v>
      </c>
      <c r="H3182" s="13">
        <v>1</v>
      </c>
      <c r="I3182" s="13">
        <v>0</v>
      </c>
      <c r="J3182" s="13">
        <v>0</v>
      </c>
      <c r="K3182" s="10">
        <v>1</v>
      </c>
      <c r="L3182" s="2">
        <v>97.818700000000007</v>
      </c>
      <c r="M3182" s="1">
        <v>46216.52847222222</v>
      </c>
      <c r="N3182" t="s">
        <v>40</v>
      </c>
    </row>
    <row r="3183" spans="1:14" x14ac:dyDescent="0.25">
      <c r="A3183" s="9" t="s">
        <v>5211</v>
      </c>
      <c r="B3183" s="10">
        <v>718</v>
      </c>
      <c r="C3183" s="10" t="s">
        <v>323</v>
      </c>
      <c r="D3183" t="s">
        <v>3895</v>
      </c>
      <c r="E3183" t="s">
        <v>3896</v>
      </c>
      <c r="F3183" s="10" t="s">
        <v>29</v>
      </c>
      <c r="G3183" s="2">
        <v>168.85669999999999</v>
      </c>
      <c r="H3183" s="13">
        <v>1</v>
      </c>
      <c r="I3183" s="13">
        <v>0</v>
      </c>
      <c r="J3183" s="13">
        <v>0</v>
      </c>
      <c r="K3183" s="10">
        <v>1</v>
      </c>
      <c r="L3183" s="2">
        <v>168.85669999999999</v>
      </c>
      <c r="M3183" s="1">
        <v>46224.686805555553</v>
      </c>
      <c r="N3183" t="s">
        <v>2225</v>
      </c>
    </row>
    <row r="3184" spans="1:14" x14ac:dyDescent="0.25">
      <c r="A3184" s="9" t="s">
        <v>5211</v>
      </c>
      <c r="B3184" s="10">
        <v>636</v>
      </c>
      <c r="C3184" s="10" t="s">
        <v>323</v>
      </c>
      <c r="D3184" t="s">
        <v>1304</v>
      </c>
      <c r="E3184" t="s">
        <v>1305</v>
      </c>
      <c r="F3184" s="10" t="s">
        <v>29</v>
      </c>
      <c r="G3184" s="2">
        <v>237.89089999999999</v>
      </c>
      <c r="H3184" s="13">
        <v>1</v>
      </c>
      <c r="I3184" s="13">
        <v>0</v>
      </c>
      <c r="J3184" s="13">
        <v>0</v>
      </c>
      <c r="K3184" s="10">
        <v>1</v>
      </c>
      <c r="L3184" s="2">
        <v>237.89089999999999</v>
      </c>
      <c r="M3184" s="1">
        <v>46225.359722222223</v>
      </c>
      <c r="N3184" t="s">
        <v>151</v>
      </c>
    </row>
    <row r="3185" spans="1:14" x14ac:dyDescent="0.25">
      <c r="A3185" s="9" t="s">
        <v>5211</v>
      </c>
      <c r="B3185" s="10">
        <v>636</v>
      </c>
      <c r="C3185" s="10" t="s">
        <v>323</v>
      </c>
      <c r="D3185" t="s">
        <v>1247</v>
      </c>
      <c r="E3185" t="s">
        <v>1248</v>
      </c>
      <c r="F3185" s="10" t="s">
        <v>23</v>
      </c>
      <c r="G3185" s="2">
        <v>168.40799999999999</v>
      </c>
      <c r="H3185" s="13">
        <v>1</v>
      </c>
      <c r="I3185" s="13">
        <v>0</v>
      </c>
      <c r="J3185" s="13">
        <v>0</v>
      </c>
      <c r="K3185" s="10">
        <v>1</v>
      </c>
      <c r="L3185" s="2">
        <v>168.40799999999999</v>
      </c>
      <c r="M3185" s="1">
        <v>46225.477083333331</v>
      </c>
      <c r="N3185" t="s">
        <v>402</v>
      </c>
    </row>
    <row r="3186" spans="1:14" x14ac:dyDescent="0.25">
      <c r="A3186" s="9" t="s">
        <v>5211</v>
      </c>
      <c r="B3186" s="10">
        <v>636</v>
      </c>
      <c r="C3186" s="10" t="s">
        <v>323</v>
      </c>
      <c r="D3186" t="s">
        <v>1405</v>
      </c>
      <c r="E3186" t="s">
        <v>1406</v>
      </c>
      <c r="F3186" s="10" t="s">
        <v>19</v>
      </c>
      <c r="G3186" s="2">
        <v>174.21520000000001</v>
      </c>
      <c r="H3186" s="13">
        <v>1</v>
      </c>
      <c r="I3186" s="13">
        <v>0</v>
      </c>
      <c r="J3186" s="13">
        <v>0</v>
      </c>
      <c r="K3186" s="10">
        <v>1</v>
      </c>
      <c r="L3186" s="2">
        <v>174.21520000000001</v>
      </c>
      <c r="M3186" s="1">
        <v>46225.477083333331</v>
      </c>
      <c r="N3186" t="s">
        <v>402</v>
      </c>
    </row>
    <row r="3187" spans="1:14" x14ac:dyDescent="0.25">
      <c r="A3187" s="9" t="s">
        <v>5211</v>
      </c>
      <c r="B3187" s="10">
        <v>636</v>
      </c>
      <c r="C3187" s="10" t="s">
        <v>70</v>
      </c>
      <c r="D3187" t="s">
        <v>124</v>
      </c>
      <c r="E3187" t="s">
        <v>125</v>
      </c>
      <c r="F3187" s="10" t="s">
        <v>29</v>
      </c>
      <c r="G3187" s="2">
        <v>6.5282999999999998</v>
      </c>
      <c r="H3187" s="13">
        <v>1</v>
      </c>
      <c r="I3187" s="13">
        <v>-1</v>
      </c>
      <c r="J3187" s="13">
        <v>1</v>
      </c>
      <c r="K3187" s="10">
        <v>1</v>
      </c>
      <c r="L3187" s="2">
        <v>6.5282999999999998</v>
      </c>
      <c r="M3187" s="1">
        <v>46232.470833333333</v>
      </c>
      <c r="N3187" t="s">
        <v>522</v>
      </c>
    </row>
    <row r="3188" spans="1:14" x14ac:dyDescent="0.25">
      <c r="A3188" s="9" t="s">
        <v>5211</v>
      </c>
      <c r="B3188" s="10">
        <v>718</v>
      </c>
      <c r="C3188" s="10" t="s">
        <v>70</v>
      </c>
      <c r="D3188" t="s">
        <v>5134</v>
      </c>
      <c r="E3188" t="s">
        <v>5135</v>
      </c>
      <c r="F3188" s="10" t="s">
        <v>39</v>
      </c>
      <c r="G3188" s="2">
        <v>9.5739000000000001</v>
      </c>
      <c r="H3188" s="13">
        <v>1</v>
      </c>
      <c r="I3188" s="13">
        <v>0</v>
      </c>
      <c r="J3188" s="13">
        <v>0</v>
      </c>
      <c r="K3188" s="10">
        <v>1</v>
      </c>
      <c r="L3188" s="2">
        <v>9.5739000000000001</v>
      </c>
      <c r="M3188" s="1">
        <v>46232.6</v>
      </c>
      <c r="N3188" t="s">
        <v>573</v>
      </c>
    </row>
    <row r="3189" spans="1:14" x14ac:dyDescent="0.25">
      <c r="A3189" s="9" t="s">
        <v>5211</v>
      </c>
      <c r="B3189" s="10">
        <v>718</v>
      </c>
      <c r="C3189" s="10" t="s">
        <v>12</v>
      </c>
      <c r="D3189" t="s">
        <v>3611</v>
      </c>
      <c r="E3189" t="s">
        <v>3612</v>
      </c>
      <c r="F3189" s="10" t="s">
        <v>29</v>
      </c>
      <c r="G3189" s="2">
        <v>16.734000000000002</v>
      </c>
      <c r="H3189" s="13">
        <v>1</v>
      </c>
      <c r="I3189" s="13">
        <v>0</v>
      </c>
      <c r="J3189" s="13">
        <v>0</v>
      </c>
      <c r="K3189" s="10">
        <v>1</v>
      </c>
      <c r="L3189" s="2">
        <v>16.734000000000002</v>
      </c>
      <c r="M3189" s="1">
        <v>46232.6</v>
      </c>
      <c r="N3189" t="s">
        <v>573</v>
      </c>
    </row>
    <row r="3190" spans="1:14" x14ac:dyDescent="0.25">
      <c r="A3190" s="9" t="s">
        <v>5211</v>
      </c>
      <c r="B3190" s="10">
        <v>718</v>
      </c>
      <c r="C3190" s="10" t="s">
        <v>70</v>
      </c>
      <c r="D3190" t="s">
        <v>1983</v>
      </c>
      <c r="E3190" t="s">
        <v>1984</v>
      </c>
      <c r="F3190" s="10" t="s">
        <v>39</v>
      </c>
      <c r="G3190" s="2">
        <v>13.375500000000001</v>
      </c>
      <c r="H3190" s="13">
        <v>1</v>
      </c>
      <c r="I3190" s="13">
        <v>0</v>
      </c>
      <c r="J3190" s="13">
        <v>0</v>
      </c>
      <c r="K3190" s="10">
        <v>1</v>
      </c>
      <c r="L3190" s="2">
        <v>13.375500000000001</v>
      </c>
      <c r="M3190" s="1">
        <v>46232.6</v>
      </c>
      <c r="N3190" t="s">
        <v>573</v>
      </c>
    </row>
    <row r="3191" spans="1:14" x14ac:dyDescent="0.25">
      <c r="A3191" s="9" t="s">
        <v>5211</v>
      </c>
      <c r="B3191" s="10">
        <v>718</v>
      </c>
      <c r="C3191" s="10" t="s">
        <v>70</v>
      </c>
      <c r="D3191" t="s">
        <v>3643</v>
      </c>
      <c r="E3191" t="s">
        <v>3644</v>
      </c>
      <c r="F3191" s="10" t="s">
        <v>39</v>
      </c>
      <c r="G3191" s="2">
        <v>7.7781000000000002</v>
      </c>
      <c r="H3191" s="13">
        <v>1</v>
      </c>
      <c r="I3191" s="13">
        <v>0</v>
      </c>
      <c r="J3191" s="13">
        <v>0</v>
      </c>
      <c r="K3191" s="10">
        <v>1</v>
      </c>
      <c r="L3191" s="2">
        <v>7.7781000000000002</v>
      </c>
      <c r="M3191" s="1">
        <v>46232.6</v>
      </c>
      <c r="N3191" t="s">
        <v>573</v>
      </c>
    </row>
    <row r="3192" spans="1:14" x14ac:dyDescent="0.25">
      <c r="A3192" s="9" t="s">
        <v>5211</v>
      </c>
      <c r="B3192" s="10">
        <v>718</v>
      </c>
      <c r="C3192" s="10" t="s">
        <v>70</v>
      </c>
      <c r="D3192" t="s">
        <v>3665</v>
      </c>
      <c r="E3192" t="s">
        <v>3666</v>
      </c>
      <c r="F3192" s="10" t="s">
        <v>39</v>
      </c>
      <c r="G3192" s="2">
        <v>11.4747</v>
      </c>
      <c r="H3192" s="13">
        <v>1</v>
      </c>
      <c r="I3192" s="13">
        <v>0</v>
      </c>
      <c r="J3192" s="13">
        <v>0</v>
      </c>
      <c r="K3192" s="10">
        <v>1</v>
      </c>
      <c r="L3192" s="2">
        <v>11.4747</v>
      </c>
      <c r="M3192" s="1">
        <v>46232.6</v>
      </c>
      <c r="N3192" t="s">
        <v>573</v>
      </c>
    </row>
    <row r="3193" spans="1:14" x14ac:dyDescent="0.25">
      <c r="A3193" s="9" t="s">
        <v>5211</v>
      </c>
      <c r="B3193" s="10">
        <v>718</v>
      </c>
      <c r="C3193" s="10" t="s">
        <v>70</v>
      </c>
      <c r="D3193" t="s">
        <v>3697</v>
      </c>
      <c r="E3193" t="s">
        <v>3698</v>
      </c>
      <c r="F3193" s="10" t="s">
        <v>23</v>
      </c>
      <c r="G3193" s="2">
        <v>11.1366</v>
      </c>
      <c r="H3193" s="13">
        <v>1</v>
      </c>
      <c r="I3193" s="13">
        <v>0</v>
      </c>
      <c r="J3193" s="13">
        <v>0</v>
      </c>
      <c r="K3193" s="10">
        <v>1</v>
      </c>
      <c r="L3193" s="2">
        <v>11.1366</v>
      </c>
      <c r="M3193" s="1">
        <v>46232.6</v>
      </c>
      <c r="N3193" t="s">
        <v>573</v>
      </c>
    </row>
    <row r="3194" spans="1:14" x14ac:dyDescent="0.25">
      <c r="A3194" s="9" t="s">
        <v>5211</v>
      </c>
      <c r="B3194" s="10">
        <v>718</v>
      </c>
      <c r="C3194" s="10" t="s">
        <v>12</v>
      </c>
      <c r="D3194" t="s">
        <v>4395</v>
      </c>
      <c r="E3194" t="s">
        <v>4396</v>
      </c>
      <c r="F3194" s="10" t="s">
        <v>39</v>
      </c>
      <c r="G3194" s="2">
        <v>7.0597000000000003</v>
      </c>
      <c r="H3194" s="13">
        <v>1</v>
      </c>
      <c r="I3194" s="13">
        <v>0</v>
      </c>
      <c r="J3194" s="13">
        <v>0</v>
      </c>
      <c r="K3194" s="10">
        <v>1</v>
      </c>
      <c r="L3194" s="2">
        <v>7.0597000000000003</v>
      </c>
      <c r="M3194" s="1">
        <v>46234.345138888886</v>
      </c>
      <c r="N3194" t="s">
        <v>16</v>
      </c>
    </row>
    <row r="3195" spans="1:14" x14ac:dyDescent="0.25">
      <c r="A3195" s="9" t="s">
        <v>5211</v>
      </c>
      <c r="B3195" s="10">
        <v>714</v>
      </c>
      <c r="C3195" s="10" t="s">
        <v>126</v>
      </c>
      <c r="D3195" t="s">
        <v>131</v>
      </c>
      <c r="E3195" t="s">
        <v>132</v>
      </c>
      <c r="F3195" s="10" t="s">
        <v>112</v>
      </c>
      <c r="G3195" s="2">
        <v>8.2611000000000008</v>
      </c>
      <c r="H3195" s="13">
        <v>1</v>
      </c>
      <c r="I3195" s="13">
        <v>0</v>
      </c>
      <c r="J3195" s="13">
        <v>0</v>
      </c>
      <c r="K3195" s="10">
        <v>1</v>
      </c>
      <c r="L3195" s="2">
        <v>8.2611000000000008</v>
      </c>
      <c r="M3195" s="1">
        <v>46234.623611111114</v>
      </c>
      <c r="N3195" t="s">
        <v>16</v>
      </c>
    </row>
    <row r="3196" spans="1:14" x14ac:dyDescent="0.25">
      <c r="A3196" s="9" t="s">
        <v>5211</v>
      </c>
      <c r="B3196" s="10">
        <v>634</v>
      </c>
      <c r="C3196" s="10" t="s">
        <v>12</v>
      </c>
      <c r="D3196" t="s">
        <v>1943</v>
      </c>
      <c r="E3196" t="s">
        <v>1944</v>
      </c>
      <c r="F3196" s="10" t="s">
        <v>39</v>
      </c>
      <c r="G3196" s="2">
        <v>10.625299999999999</v>
      </c>
      <c r="H3196" s="13">
        <v>1</v>
      </c>
      <c r="I3196" s="13">
        <v>-29</v>
      </c>
      <c r="J3196" s="13">
        <v>29</v>
      </c>
      <c r="K3196" s="10">
        <v>1</v>
      </c>
      <c r="L3196" s="2">
        <v>10.625299999999999</v>
      </c>
      <c r="M3196" s="1">
        <v>46237.726388888892</v>
      </c>
      <c r="N3196" t="s">
        <v>26</v>
      </c>
    </row>
    <row r="3197" spans="1:14" x14ac:dyDescent="0.25">
      <c r="A3197" s="9" t="s">
        <v>5211</v>
      </c>
      <c r="B3197" s="10">
        <v>714</v>
      </c>
      <c r="C3197" s="10" t="s">
        <v>12</v>
      </c>
      <c r="D3197" t="s">
        <v>1954</v>
      </c>
      <c r="E3197" t="s">
        <v>1955</v>
      </c>
      <c r="F3197" s="10" t="s">
        <v>29</v>
      </c>
      <c r="G3197" s="2">
        <v>12.9</v>
      </c>
      <c r="H3197" s="13">
        <v>1</v>
      </c>
      <c r="I3197" s="13">
        <v>0</v>
      </c>
      <c r="J3197" s="13">
        <v>0</v>
      </c>
      <c r="K3197" s="10">
        <v>1</v>
      </c>
      <c r="L3197" s="2">
        <v>12.9</v>
      </c>
      <c r="M3197" s="1">
        <v>46238.671527777777</v>
      </c>
      <c r="N3197" t="s">
        <v>26</v>
      </c>
    </row>
    <row r="3198" spans="1:14" x14ac:dyDescent="0.25">
      <c r="A3198" s="9" t="s">
        <v>5211</v>
      </c>
      <c r="B3198" s="10">
        <v>714</v>
      </c>
      <c r="C3198" s="10" t="s">
        <v>143</v>
      </c>
      <c r="D3198" t="s">
        <v>2644</v>
      </c>
      <c r="E3198" t="s">
        <v>2645</v>
      </c>
      <c r="F3198" s="10" t="s">
        <v>29</v>
      </c>
      <c r="G3198" s="2">
        <v>51.6053</v>
      </c>
      <c r="H3198" s="13">
        <v>1</v>
      </c>
      <c r="I3198" s="13">
        <v>0</v>
      </c>
      <c r="J3198" s="13">
        <v>0</v>
      </c>
      <c r="K3198" s="10">
        <v>1</v>
      </c>
      <c r="L3198" s="2">
        <v>51.6053</v>
      </c>
      <c r="M3198" s="1">
        <v>46239.595833333333</v>
      </c>
      <c r="N3198" t="s">
        <v>40</v>
      </c>
    </row>
    <row r="3199" spans="1:14" x14ac:dyDescent="0.25">
      <c r="A3199" s="9" t="s">
        <v>5211</v>
      </c>
      <c r="B3199" s="10">
        <v>636</v>
      </c>
      <c r="C3199" s="10" t="s">
        <v>12</v>
      </c>
      <c r="D3199" t="s">
        <v>512</v>
      </c>
      <c r="E3199" t="s">
        <v>513</v>
      </c>
      <c r="F3199" s="10" t="s">
        <v>39</v>
      </c>
      <c r="G3199" s="2">
        <v>16.75</v>
      </c>
      <c r="H3199" s="13">
        <v>1</v>
      </c>
      <c r="I3199" s="13">
        <v>0</v>
      </c>
      <c r="J3199" s="13">
        <v>0</v>
      </c>
      <c r="K3199" s="10">
        <v>1</v>
      </c>
      <c r="L3199" s="2">
        <v>16.75</v>
      </c>
      <c r="M3199" s="1">
        <v>46241.476388888892</v>
      </c>
      <c r="N3199" t="s">
        <v>26</v>
      </c>
    </row>
    <row r="3200" spans="1:14" x14ac:dyDescent="0.25">
      <c r="A3200" s="9" t="s">
        <v>5211</v>
      </c>
      <c r="B3200" s="10">
        <v>636</v>
      </c>
      <c r="C3200" s="10" t="s">
        <v>12</v>
      </c>
      <c r="D3200" t="s">
        <v>527</v>
      </c>
      <c r="E3200" t="s">
        <v>528</v>
      </c>
      <c r="F3200" s="10" t="s">
        <v>29</v>
      </c>
      <c r="G3200" s="2">
        <v>2.7911000000000001</v>
      </c>
      <c r="H3200" s="13">
        <v>1</v>
      </c>
      <c r="I3200" s="13">
        <v>0</v>
      </c>
      <c r="J3200" s="13">
        <v>0</v>
      </c>
      <c r="K3200" s="10">
        <v>1</v>
      </c>
      <c r="L3200" s="2">
        <v>2.7911000000000001</v>
      </c>
      <c r="M3200" s="1">
        <v>46247.30972222222</v>
      </c>
      <c r="N3200" t="s">
        <v>40</v>
      </c>
    </row>
    <row r="3201" spans="1:14" x14ac:dyDescent="0.25">
      <c r="A3201" s="9" t="s">
        <v>5211</v>
      </c>
      <c r="B3201" s="10">
        <v>636</v>
      </c>
      <c r="C3201" s="10" t="s">
        <v>143</v>
      </c>
      <c r="D3201" t="s">
        <v>1155</v>
      </c>
      <c r="E3201" t="s">
        <v>1156</v>
      </c>
      <c r="F3201" s="10" t="s">
        <v>29</v>
      </c>
      <c r="G3201" s="2">
        <v>19.010100000000001</v>
      </c>
      <c r="H3201" s="13">
        <v>1</v>
      </c>
      <c r="I3201" s="13">
        <v>0</v>
      </c>
      <c r="J3201" s="13">
        <v>0</v>
      </c>
      <c r="K3201" s="10">
        <v>1</v>
      </c>
      <c r="L3201" s="2">
        <v>19.010100000000001</v>
      </c>
      <c r="M3201" s="1">
        <v>46247.30972222222</v>
      </c>
      <c r="N3201" t="s">
        <v>40</v>
      </c>
    </row>
    <row r="3202" spans="1:14" x14ac:dyDescent="0.25">
      <c r="A3202" s="9" t="s">
        <v>5211</v>
      </c>
      <c r="B3202" s="10">
        <v>636</v>
      </c>
      <c r="C3202" s="10" t="s">
        <v>70</v>
      </c>
      <c r="D3202" t="s">
        <v>670</v>
      </c>
      <c r="E3202" t="s">
        <v>671</v>
      </c>
      <c r="F3202" s="10" t="s">
        <v>39</v>
      </c>
      <c r="G3202" s="2">
        <v>7.3623000000000003</v>
      </c>
      <c r="H3202" s="13">
        <v>1</v>
      </c>
      <c r="I3202" s="13">
        <v>0</v>
      </c>
      <c r="J3202" s="13">
        <v>0</v>
      </c>
      <c r="K3202" s="10">
        <v>1</v>
      </c>
      <c r="L3202" s="2">
        <v>7.3623000000000003</v>
      </c>
      <c r="M3202" s="1">
        <v>46247.30972222222</v>
      </c>
      <c r="N3202" t="s">
        <v>40</v>
      </c>
    </row>
    <row r="3203" spans="1:14" x14ac:dyDescent="0.25">
      <c r="A3203" s="9" t="s">
        <v>5211</v>
      </c>
      <c r="B3203" s="10">
        <v>636</v>
      </c>
      <c r="C3203" s="10" t="s">
        <v>12</v>
      </c>
      <c r="D3203" t="s">
        <v>538</v>
      </c>
      <c r="E3203" t="s">
        <v>539</v>
      </c>
      <c r="F3203" s="10" t="s">
        <v>39</v>
      </c>
      <c r="G3203" s="2">
        <v>6.2127999999999997</v>
      </c>
      <c r="H3203" s="13">
        <v>1</v>
      </c>
      <c r="I3203" s="13">
        <v>-6</v>
      </c>
      <c r="J3203" s="13">
        <v>6</v>
      </c>
      <c r="K3203" s="10">
        <v>1</v>
      </c>
      <c r="L3203" s="2">
        <v>6.2127999999999997</v>
      </c>
      <c r="M3203" s="1">
        <v>46248.390277777777</v>
      </c>
      <c r="N3203" t="s">
        <v>16</v>
      </c>
    </row>
    <row r="3204" spans="1:14" x14ac:dyDescent="0.25">
      <c r="A3204" s="9" t="s">
        <v>5211</v>
      </c>
      <c r="B3204" s="10">
        <v>636</v>
      </c>
      <c r="C3204" s="10" t="s">
        <v>70</v>
      </c>
      <c r="D3204" t="s">
        <v>684</v>
      </c>
      <c r="E3204" t="s">
        <v>685</v>
      </c>
      <c r="F3204" s="10" t="s">
        <v>23</v>
      </c>
      <c r="G3204" s="2">
        <v>6.4641999999999999</v>
      </c>
      <c r="H3204" s="13">
        <v>1</v>
      </c>
      <c r="I3204" s="13">
        <v>0</v>
      </c>
      <c r="J3204" s="13">
        <v>0</v>
      </c>
      <c r="K3204" s="10">
        <v>1</v>
      </c>
      <c r="L3204" s="2">
        <v>6.4641999999999999</v>
      </c>
      <c r="M3204" s="1">
        <v>46248.390277777777</v>
      </c>
      <c r="N3204" t="s">
        <v>16</v>
      </c>
    </row>
    <row r="3205" spans="1:14" x14ac:dyDescent="0.25">
      <c r="A3205" s="9" t="s">
        <v>5211</v>
      </c>
      <c r="B3205" s="10">
        <v>636</v>
      </c>
      <c r="C3205" s="10" t="s">
        <v>143</v>
      </c>
      <c r="D3205" t="s">
        <v>4114</v>
      </c>
      <c r="E3205" t="s">
        <v>4115</v>
      </c>
      <c r="F3205" s="10" t="s">
        <v>43</v>
      </c>
      <c r="G3205" s="2">
        <v>23.983000000000001</v>
      </c>
      <c r="H3205" s="13">
        <v>1</v>
      </c>
      <c r="I3205" s="13">
        <v>24</v>
      </c>
      <c r="J3205" s="13">
        <v>-24</v>
      </c>
      <c r="K3205" s="10">
        <v>1</v>
      </c>
      <c r="L3205" s="2">
        <v>23.983000000000001</v>
      </c>
      <c r="M3205" s="1">
        <v>46248.436111111114</v>
      </c>
      <c r="N3205" t="s">
        <v>146</v>
      </c>
    </row>
    <row r="3207" spans="1:14" x14ac:dyDescent="0.25">
      <c r="A3207" s="10"/>
      <c r="G3207"/>
      <c r="H3207" s="14"/>
      <c r="I3207" s="14"/>
      <c r="J3207" s="14"/>
      <c r="L3207"/>
    </row>
    <row r="3208" spans="1:14" x14ac:dyDescent="0.25">
      <c r="A3208" s="10"/>
      <c r="G3208"/>
      <c r="H3208" s="14"/>
      <c r="I3208" s="14"/>
      <c r="J3208" s="14"/>
      <c r="L3208"/>
    </row>
    <row r="3209" spans="1:14" x14ac:dyDescent="0.25">
      <c r="A3209" s="10"/>
      <c r="G3209"/>
      <c r="H3209" s="14"/>
      <c r="I3209" s="14"/>
      <c r="J3209" s="14"/>
      <c r="L3209"/>
    </row>
    <row r="3210" spans="1:14" x14ac:dyDescent="0.25">
      <c r="A3210" s="10"/>
      <c r="G3210"/>
      <c r="H3210" s="14"/>
      <c r="I3210" s="14"/>
      <c r="J3210" s="14"/>
      <c r="L3210"/>
    </row>
    <row r="3211" spans="1:14" x14ac:dyDescent="0.25">
      <c r="A3211" s="10"/>
      <c r="G3211"/>
      <c r="H3211" s="14"/>
      <c r="I3211" s="14"/>
      <c r="J3211" s="14"/>
      <c r="L3211"/>
    </row>
    <row r="3212" spans="1:14" x14ac:dyDescent="0.25">
      <c r="A3212" s="10"/>
      <c r="G3212"/>
      <c r="H3212" s="14"/>
      <c r="I3212" s="14"/>
      <c r="J3212" s="14"/>
      <c r="L3212"/>
    </row>
    <row r="3213" spans="1:14" x14ac:dyDescent="0.25">
      <c r="A3213" s="10"/>
      <c r="G3213"/>
      <c r="H3213" s="14"/>
      <c r="I3213" s="14"/>
      <c r="J3213" s="14"/>
      <c r="L3213"/>
    </row>
    <row r="3214" spans="1:14" x14ac:dyDescent="0.25">
      <c r="A3214" s="10"/>
      <c r="G3214"/>
      <c r="H3214" s="14"/>
      <c r="I3214" s="14"/>
      <c r="J3214" s="14"/>
      <c r="L3214"/>
    </row>
    <row r="3215" spans="1:14" x14ac:dyDescent="0.25">
      <c r="A3215" s="10"/>
      <c r="G3215"/>
      <c r="H3215" s="14"/>
      <c r="I3215" s="14"/>
      <c r="J3215" s="14"/>
      <c r="L3215"/>
    </row>
    <row r="3216" spans="1:14" x14ac:dyDescent="0.25">
      <c r="A3216" s="10"/>
      <c r="G3216"/>
      <c r="H3216" s="14"/>
      <c r="I3216" s="14"/>
      <c r="J3216" s="14"/>
      <c r="L3216"/>
    </row>
    <row r="3217" spans="1:12" x14ac:dyDescent="0.25">
      <c r="A3217" s="10"/>
      <c r="G3217"/>
      <c r="H3217" s="14"/>
      <c r="I3217" s="14"/>
      <c r="J3217" s="14"/>
      <c r="L3217"/>
    </row>
    <row r="3218" spans="1:12" x14ac:dyDescent="0.25">
      <c r="A3218" s="10"/>
      <c r="G3218"/>
      <c r="H3218" s="14"/>
      <c r="I3218" s="14"/>
      <c r="J3218" s="14"/>
      <c r="L3218"/>
    </row>
    <row r="3219" spans="1:12" x14ac:dyDescent="0.25">
      <c r="A3219" s="10"/>
      <c r="G3219"/>
      <c r="H3219" s="14"/>
      <c r="I3219" s="14"/>
      <c r="J3219" s="14"/>
      <c r="L3219"/>
    </row>
    <row r="3220" spans="1:12" x14ac:dyDescent="0.25">
      <c r="A3220" s="10"/>
      <c r="G3220"/>
      <c r="H3220" s="14"/>
      <c r="I3220" s="14"/>
      <c r="J3220" s="14"/>
      <c r="L3220"/>
    </row>
    <row r="3221" spans="1:12" x14ac:dyDescent="0.25">
      <c r="A3221" s="10"/>
      <c r="G3221"/>
      <c r="H3221" s="14"/>
      <c r="I3221" s="14"/>
      <c r="J3221" s="14"/>
      <c r="L3221"/>
    </row>
    <row r="3222" spans="1:12" x14ac:dyDescent="0.25">
      <c r="A3222" s="10"/>
      <c r="G3222"/>
      <c r="H3222" s="14"/>
      <c r="I3222" s="14"/>
      <c r="J3222" s="14"/>
      <c r="L3222"/>
    </row>
    <row r="3223" spans="1:12" x14ac:dyDescent="0.25">
      <c r="A3223" s="10"/>
      <c r="G3223"/>
      <c r="H3223" s="14"/>
      <c r="I3223" s="14"/>
      <c r="J3223" s="14"/>
      <c r="L3223"/>
    </row>
    <row r="3224" spans="1:12" x14ac:dyDescent="0.25">
      <c r="A3224" s="10"/>
      <c r="G3224"/>
      <c r="H3224" s="14"/>
      <c r="I3224" s="14"/>
      <c r="J3224" s="14"/>
      <c r="L3224"/>
    </row>
    <row r="3225" spans="1:12" x14ac:dyDescent="0.25">
      <c r="A3225" s="10"/>
      <c r="G3225"/>
      <c r="H3225" s="14"/>
      <c r="I3225" s="14"/>
      <c r="J3225" s="14"/>
      <c r="L3225"/>
    </row>
    <row r="3226" spans="1:12" x14ac:dyDescent="0.25">
      <c r="A3226" s="10"/>
      <c r="G3226"/>
      <c r="H3226" s="14"/>
      <c r="I3226" s="14"/>
      <c r="J3226" s="14"/>
      <c r="L3226"/>
    </row>
    <row r="3227" spans="1:12" x14ac:dyDescent="0.25">
      <c r="A3227" s="10"/>
      <c r="G3227"/>
      <c r="H3227" s="14"/>
      <c r="I3227" s="14"/>
      <c r="J3227" s="14"/>
      <c r="L3227"/>
    </row>
    <row r="3228" spans="1:12" x14ac:dyDescent="0.25">
      <c r="A3228" s="10"/>
      <c r="G3228"/>
      <c r="H3228" s="14"/>
      <c r="I3228" s="14"/>
      <c r="J3228" s="14"/>
      <c r="L3228"/>
    </row>
    <row r="3229" spans="1:12" x14ac:dyDescent="0.25">
      <c r="A3229" s="10"/>
      <c r="G3229"/>
      <c r="H3229" s="14"/>
      <c r="I3229" s="14"/>
      <c r="J3229" s="14"/>
      <c r="L3229"/>
    </row>
    <row r="3230" spans="1:12" x14ac:dyDescent="0.25">
      <c r="A3230" s="10"/>
      <c r="G3230"/>
      <c r="H3230" s="14"/>
      <c r="I3230" s="14"/>
      <c r="J3230" s="14"/>
      <c r="L3230"/>
    </row>
    <row r="3231" spans="1:12" x14ac:dyDescent="0.25">
      <c r="A3231" s="10"/>
      <c r="G3231"/>
      <c r="H3231" s="14"/>
      <c r="I3231" s="14"/>
      <c r="J3231" s="14"/>
      <c r="L3231"/>
    </row>
    <row r="3232" spans="1:12" x14ac:dyDescent="0.25">
      <c r="A3232" s="10"/>
      <c r="G3232"/>
      <c r="H3232" s="14"/>
      <c r="I3232" s="14"/>
      <c r="J3232" s="14"/>
      <c r="L3232"/>
    </row>
    <row r="3233" spans="1:12" x14ac:dyDescent="0.25">
      <c r="A3233" s="10"/>
      <c r="G3233"/>
      <c r="H3233" s="14"/>
      <c r="I3233" s="14"/>
      <c r="J3233" s="14"/>
      <c r="L3233"/>
    </row>
    <row r="3234" spans="1:12" x14ac:dyDescent="0.25">
      <c r="A3234" s="10"/>
      <c r="G3234"/>
      <c r="H3234" s="14"/>
      <c r="I3234" s="14"/>
      <c r="J3234" s="14"/>
      <c r="L3234"/>
    </row>
    <row r="3235" spans="1:12" x14ac:dyDescent="0.25">
      <c r="A3235" s="10"/>
      <c r="G3235"/>
      <c r="H3235" s="14"/>
      <c r="I3235" s="14"/>
      <c r="J3235" s="14"/>
      <c r="L3235"/>
    </row>
    <row r="3236" spans="1:12" x14ac:dyDescent="0.25">
      <c r="A3236" s="10"/>
      <c r="G3236"/>
      <c r="H3236" s="14"/>
      <c r="I3236" s="14"/>
      <c r="J3236" s="14"/>
      <c r="L3236"/>
    </row>
    <row r="3237" spans="1:12" x14ac:dyDescent="0.25">
      <c r="A3237" s="10"/>
      <c r="G3237"/>
      <c r="H3237" s="14"/>
      <c r="I3237" s="14"/>
      <c r="J3237" s="14"/>
      <c r="L3237"/>
    </row>
    <row r="3238" spans="1:12" x14ac:dyDescent="0.25">
      <c r="A3238" s="10"/>
      <c r="G3238"/>
      <c r="H3238" s="14"/>
      <c r="I3238" s="14"/>
      <c r="J3238" s="14"/>
      <c r="L3238"/>
    </row>
    <row r="3239" spans="1:12" x14ac:dyDescent="0.25">
      <c r="A3239" s="10"/>
      <c r="G3239"/>
      <c r="H3239" s="14"/>
      <c r="I3239" s="14"/>
      <c r="J3239" s="14"/>
      <c r="L3239"/>
    </row>
    <row r="3240" spans="1:12" x14ac:dyDescent="0.25">
      <c r="A3240" s="10"/>
      <c r="G3240"/>
      <c r="H3240" s="14"/>
      <c r="I3240" s="14"/>
      <c r="J3240" s="14"/>
      <c r="L3240"/>
    </row>
    <row r="3241" spans="1:12" x14ac:dyDescent="0.25">
      <c r="A3241" s="10"/>
      <c r="G3241"/>
      <c r="H3241" s="14"/>
      <c r="I3241" s="14"/>
      <c r="J3241" s="14"/>
      <c r="L3241"/>
    </row>
    <row r="3242" spans="1:12" x14ac:dyDescent="0.25">
      <c r="A3242" s="10"/>
      <c r="G3242"/>
      <c r="H3242" s="14"/>
      <c r="I3242" s="14"/>
      <c r="J3242" s="14"/>
      <c r="L3242"/>
    </row>
    <row r="3243" spans="1:12" x14ac:dyDescent="0.25">
      <c r="A3243" s="10"/>
      <c r="G3243"/>
      <c r="H3243" s="14"/>
      <c r="I3243" s="14"/>
      <c r="J3243" s="14"/>
      <c r="L3243"/>
    </row>
    <row r="3244" spans="1:12" x14ac:dyDescent="0.25">
      <c r="A3244" s="10"/>
      <c r="G3244"/>
      <c r="H3244" s="14"/>
      <c r="I3244" s="14"/>
      <c r="J3244" s="14"/>
      <c r="L3244"/>
    </row>
    <row r="3245" spans="1:12" x14ac:dyDescent="0.25">
      <c r="A3245" s="10"/>
      <c r="G3245"/>
      <c r="H3245" s="14"/>
      <c r="I3245" s="14"/>
      <c r="J3245" s="14"/>
      <c r="L3245"/>
    </row>
    <row r="3246" spans="1:12" x14ac:dyDescent="0.25">
      <c r="A3246" s="10"/>
      <c r="G3246"/>
      <c r="H3246" s="14"/>
      <c r="I3246" s="14"/>
      <c r="J3246" s="14"/>
      <c r="L3246"/>
    </row>
    <row r="3247" spans="1:12" x14ac:dyDescent="0.25">
      <c r="A3247" s="10"/>
      <c r="G3247"/>
      <c r="H3247" s="14"/>
      <c r="I3247" s="14"/>
      <c r="J3247" s="14"/>
      <c r="L3247"/>
    </row>
    <row r="3248" spans="1:12" x14ac:dyDescent="0.25">
      <c r="A3248" s="10"/>
      <c r="G3248"/>
      <c r="H3248" s="14"/>
      <c r="I3248" s="14"/>
      <c r="J3248" s="14"/>
      <c r="L3248"/>
    </row>
    <row r="3249" spans="1:12" x14ac:dyDescent="0.25">
      <c r="A3249" s="10"/>
      <c r="G3249"/>
      <c r="H3249" s="14"/>
      <c r="I3249" s="14"/>
      <c r="J3249" s="14"/>
      <c r="L3249"/>
    </row>
    <row r="3250" spans="1:12" x14ac:dyDescent="0.25">
      <c r="A3250" s="10"/>
      <c r="G3250"/>
      <c r="H3250" s="14"/>
      <c r="I3250" s="14"/>
      <c r="J3250" s="14"/>
      <c r="L3250"/>
    </row>
    <row r="3251" spans="1:12" x14ac:dyDescent="0.25">
      <c r="A3251" s="10"/>
      <c r="G3251"/>
      <c r="H3251" s="14"/>
      <c r="I3251" s="14"/>
      <c r="J3251" s="14"/>
      <c r="L3251"/>
    </row>
    <row r="3252" spans="1:12" x14ac:dyDescent="0.25">
      <c r="A3252" s="10"/>
      <c r="G3252"/>
      <c r="H3252" s="14"/>
      <c r="I3252" s="14"/>
      <c r="J3252" s="14"/>
      <c r="L3252"/>
    </row>
    <row r="3253" spans="1:12" x14ac:dyDescent="0.25">
      <c r="A3253" s="10"/>
      <c r="G3253"/>
      <c r="H3253" s="14"/>
      <c r="I3253" s="14"/>
      <c r="J3253" s="14"/>
      <c r="L3253"/>
    </row>
    <row r="3254" spans="1:12" x14ac:dyDescent="0.25">
      <c r="A3254" s="10"/>
      <c r="G3254"/>
      <c r="H3254" s="14"/>
      <c r="I3254" s="14"/>
      <c r="J3254" s="14"/>
      <c r="L3254"/>
    </row>
    <row r="3255" spans="1:12" x14ac:dyDescent="0.25">
      <c r="A3255" s="10"/>
      <c r="G3255"/>
      <c r="H3255" s="14"/>
      <c r="I3255" s="14"/>
      <c r="J3255" s="14"/>
      <c r="L3255"/>
    </row>
    <row r="3256" spans="1:12" x14ac:dyDescent="0.25">
      <c r="A3256" s="10"/>
      <c r="G3256"/>
      <c r="H3256" s="14"/>
      <c r="I3256" s="14"/>
      <c r="J3256" s="14"/>
      <c r="L3256"/>
    </row>
    <row r="3257" spans="1:12" x14ac:dyDescent="0.25">
      <c r="A3257" s="10"/>
      <c r="G3257"/>
      <c r="H3257" s="14"/>
      <c r="I3257" s="14"/>
      <c r="J3257" s="14"/>
      <c r="L3257"/>
    </row>
    <row r="3258" spans="1:12" x14ac:dyDescent="0.25">
      <c r="A3258" s="10"/>
      <c r="G3258"/>
      <c r="H3258" s="14"/>
      <c r="I3258" s="14"/>
      <c r="J3258" s="14"/>
      <c r="L3258"/>
    </row>
    <row r="3259" spans="1:12" x14ac:dyDescent="0.25">
      <c r="A3259" s="10"/>
      <c r="G3259"/>
      <c r="H3259" s="14"/>
      <c r="I3259" s="14"/>
      <c r="J3259" s="14"/>
      <c r="L3259"/>
    </row>
    <row r="3260" spans="1:12" x14ac:dyDescent="0.25">
      <c r="A3260" s="10"/>
      <c r="G3260"/>
      <c r="H3260" s="14"/>
      <c r="I3260" s="14"/>
      <c r="J3260" s="14"/>
      <c r="L3260"/>
    </row>
    <row r="3261" spans="1:12" x14ac:dyDescent="0.25">
      <c r="A3261" s="10"/>
      <c r="G3261"/>
      <c r="H3261" s="14"/>
      <c r="I3261" s="14"/>
      <c r="J3261" s="14"/>
      <c r="L3261"/>
    </row>
    <row r="3262" spans="1:12" x14ac:dyDescent="0.25">
      <c r="A3262" s="10"/>
      <c r="G3262"/>
      <c r="H3262" s="14"/>
      <c r="I3262" s="14"/>
      <c r="J3262" s="14"/>
      <c r="L3262"/>
    </row>
    <row r="3263" spans="1:12" x14ac:dyDescent="0.25">
      <c r="A3263" s="10"/>
      <c r="G3263"/>
      <c r="H3263" s="14"/>
      <c r="I3263" s="14"/>
      <c r="J3263" s="14"/>
      <c r="L3263"/>
    </row>
    <row r="3264" spans="1:12" x14ac:dyDescent="0.25">
      <c r="A3264" s="10"/>
      <c r="G3264"/>
      <c r="H3264" s="14"/>
      <c r="I3264" s="14"/>
      <c r="J3264" s="14"/>
      <c r="L3264"/>
    </row>
    <row r="3265" spans="1:12" x14ac:dyDescent="0.25">
      <c r="A3265" s="10"/>
      <c r="G3265"/>
      <c r="H3265" s="14"/>
      <c r="I3265" s="14"/>
      <c r="J3265" s="14"/>
      <c r="L3265"/>
    </row>
    <row r="3266" spans="1:12" x14ac:dyDescent="0.25">
      <c r="A3266" s="10"/>
      <c r="G3266"/>
      <c r="H3266" s="14"/>
      <c r="I3266" s="14"/>
      <c r="J3266" s="14"/>
      <c r="L3266"/>
    </row>
    <row r="3267" spans="1:12" x14ac:dyDescent="0.25">
      <c r="A3267" s="10"/>
      <c r="G3267"/>
      <c r="H3267" s="14"/>
      <c r="I3267" s="14"/>
      <c r="J3267" s="14"/>
      <c r="L3267"/>
    </row>
    <row r="3268" spans="1:12" x14ac:dyDescent="0.25">
      <c r="A3268" s="10"/>
      <c r="G3268"/>
      <c r="H3268" s="14"/>
      <c r="I3268" s="14"/>
      <c r="J3268" s="14"/>
      <c r="L3268"/>
    </row>
    <row r="3269" spans="1:12" x14ac:dyDescent="0.25">
      <c r="A3269" s="10"/>
      <c r="G3269"/>
      <c r="H3269" s="14"/>
      <c r="I3269" s="14"/>
      <c r="J3269" s="14"/>
      <c r="L3269"/>
    </row>
    <row r="3270" spans="1:12" x14ac:dyDescent="0.25">
      <c r="A3270" s="10"/>
      <c r="G3270"/>
      <c r="H3270" s="14"/>
      <c r="I3270" s="14"/>
      <c r="J3270" s="14"/>
      <c r="L3270"/>
    </row>
    <row r="3271" spans="1:12" x14ac:dyDescent="0.25">
      <c r="A3271" s="10"/>
      <c r="G3271"/>
      <c r="H3271" s="14"/>
      <c r="I3271" s="14"/>
      <c r="J3271" s="14"/>
      <c r="L3271"/>
    </row>
    <row r="3272" spans="1:12" x14ac:dyDescent="0.25">
      <c r="A3272" s="10"/>
      <c r="G3272"/>
      <c r="H3272" s="14"/>
      <c r="I3272" s="14"/>
      <c r="J3272" s="14"/>
      <c r="L3272"/>
    </row>
    <row r="3273" spans="1:12" x14ac:dyDescent="0.25">
      <c r="A3273" s="10"/>
      <c r="G3273"/>
      <c r="H3273" s="14"/>
      <c r="I3273" s="14"/>
      <c r="J3273" s="14"/>
      <c r="L3273"/>
    </row>
    <row r="3274" spans="1:12" x14ac:dyDescent="0.25">
      <c r="A3274" s="10"/>
      <c r="G3274"/>
      <c r="H3274" s="14"/>
      <c r="I3274" s="14"/>
      <c r="J3274" s="14"/>
      <c r="L3274"/>
    </row>
    <row r="3275" spans="1:12" x14ac:dyDescent="0.25">
      <c r="A3275" s="10"/>
      <c r="G3275"/>
      <c r="H3275" s="14"/>
      <c r="I3275" s="14"/>
      <c r="J3275" s="14"/>
      <c r="L3275"/>
    </row>
    <row r="3276" spans="1:12" x14ac:dyDescent="0.25">
      <c r="A3276" s="10"/>
      <c r="G3276"/>
      <c r="H3276" s="14"/>
      <c r="I3276" s="14"/>
      <c r="J3276" s="14"/>
      <c r="L3276"/>
    </row>
    <row r="3277" spans="1:12" x14ac:dyDescent="0.25">
      <c r="A3277" s="10"/>
      <c r="G3277"/>
      <c r="H3277" s="14"/>
      <c r="I3277" s="14"/>
      <c r="J3277" s="14"/>
      <c r="L3277"/>
    </row>
    <row r="3278" spans="1:12" x14ac:dyDescent="0.25">
      <c r="A3278" s="10"/>
      <c r="G3278"/>
      <c r="H3278" s="14"/>
      <c r="I3278" s="14"/>
      <c r="J3278" s="14"/>
      <c r="L3278"/>
    </row>
    <row r="3279" spans="1:12" x14ac:dyDescent="0.25">
      <c r="A3279" s="10"/>
      <c r="G3279"/>
      <c r="H3279" s="14"/>
      <c r="I3279" s="14"/>
      <c r="J3279" s="14"/>
      <c r="L3279"/>
    </row>
    <row r="3280" spans="1:12" x14ac:dyDescent="0.25">
      <c r="A3280" s="10"/>
      <c r="G3280"/>
      <c r="H3280" s="14"/>
      <c r="I3280" s="14"/>
      <c r="J3280" s="14"/>
      <c r="L3280"/>
    </row>
    <row r="3281" spans="1:12" x14ac:dyDescent="0.25">
      <c r="A3281" s="10"/>
      <c r="G3281"/>
      <c r="H3281" s="14"/>
      <c r="I3281" s="14"/>
      <c r="J3281" s="14"/>
      <c r="L3281"/>
    </row>
    <row r="3282" spans="1:12" x14ac:dyDescent="0.25">
      <c r="A3282" s="10"/>
      <c r="G3282"/>
      <c r="H3282" s="14"/>
      <c r="I3282" s="14"/>
      <c r="J3282" s="14"/>
      <c r="L3282"/>
    </row>
    <row r="3283" spans="1:12" x14ac:dyDescent="0.25">
      <c r="A3283" s="10"/>
      <c r="G3283"/>
      <c r="H3283" s="14"/>
      <c r="I3283" s="14"/>
      <c r="J3283" s="14"/>
      <c r="L3283"/>
    </row>
    <row r="3284" spans="1:12" x14ac:dyDescent="0.25">
      <c r="A3284" s="10"/>
      <c r="G3284"/>
      <c r="H3284" s="14"/>
      <c r="I3284" s="14"/>
      <c r="J3284" s="14"/>
      <c r="L3284"/>
    </row>
    <row r="3285" spans="1:12" x14ac:dyDescent="0.25">
      <c r="A3285" s="10"/>
      <c r="G3285"/>
      <c r="H3285" s="14"/>
      <c r="I3285" s="14"/>
      <c r="J3285" s="14"/>
      <c r="L3285"/>
    </row>
    <row r="3286" spans="1:12" x14ac:dyDescent="0.25">
      <c r="A3286" s="10"/>
      <c r="G3286"/>
      <c r="H3286" s="14"/>
      <c r="I3286" s="14"/>
      <c r="J3286" s="14"/>
      <c r="L3286"/>
    </row>
    <row r="3287" spans="1:12" x14ac:dyDescent="0.25">
      <c r="A3287" s="10"/>
      <c r="G3287"/>
      <c r="H3287" s="14"/>
      <c r="I3287" s="14"/>
      <c r="J3287" s="14"/>
      <c r="L3287"/>
    </row>
    <row r="3288" spans="1:12" x14ac:dyDescent="0.25">
      <c r="A3288" s="10"/>
      <c r="G3288"/>
      <c r="H3288" s="14"/>
      <c r="I3288" s="14"/>
      <c r="J3288" s="14"/>
      <c r="L3288"/>
    </row>
    <row r="3289" spans="1:12" x14ac:dyDescent="0.25">
      <c r="A3289" s="10"/>
      <c r="G3289"/>
      <c r="H3289" s="14"/>
      <c r="I3289" s="14"/>
      <c r="J3289" s="14"/>
      <c r="L3289"/>
    </row>
    <row r="3290" spans="1:12" x14ac:dyDescent="0.25">
      <c r="A3290" s="10"/>
      <c r="G3290"/>
      <c r="H3290" s="14"/>
      <c r="I3290" s="14"/>
      <c r="J3290" s="14"/>
      <c r="L3290"/>
    </row>
    <row r="3291" spans="1:12" x14ac:dyDescent="0.25">
      <c r="A3291" s="10"/>
      <c r="G3291"/>
      <c r="H3291" s="14"/>
      <c r="I3291" s="14"/>
      <c r="J3291" s="14"/>
      <c r="L3291"/>
    </row>
    <row r="3292" spans="1:12" x14ac:dyDescent="0.25">
      <c r="A3292" s="10"/>
      <c r="G3292"/>
      <c r="H3292" s="14"/>
      <c r="I3292" s="14"/>
      <c r="J3292" s="14"/>
      <c r="L3292"/>
    </row>
    <row r="3293" spans="1:12" x14ac:dyDescent="0.25">
      <c r="A3293" s="10"/>
      <c r="G3293"/>
      <c r="H3293" s="14"/>
      <c r="I3293" s="14"/>
      <c r="J3293" s="14"/>
      <c r="L3293"/>
    </row>
    <row r="3294" spans="1:12" x14ac:dyDescent="0.25">
      <c r="A3294" s="10"/>
      <c r="G3294"/>
      <c r="H3294" s="14"/>
      <c r="I3294" s="14"/>
      <c r="J3294" s="14"/>
      <c r="L3294"/>
    </row>
    <row r="3295" spans="1:12" x14ac:dyDescent="0.25">
      <c r="A3295" s="10"/>
      <c r="G3295"/>
      <c r="H3295" s="14"/>
      <c r="I3295" s="14"/>
      <c r="J3295" s="14"/>
      <c r="L3295"/>
    </row>
    <row r="3296" spans="1:12" x14ac:dyDescent="0.25">
      <c r="A3296" s="10"/>
      <c r="G3296"/>
      <c r="H3296" s="14"/>
      <c r="I3296" s="14"/>
      <c r="J3296" s="14"/>
      <c r="L3296"/>
    </row>
    <row r="3297" spans="1:12" x14ac:dyDescent="0.25">
      <c r="A3297" s="10"/>
      <c r="G3297"/>
      <c r="H3297" s="14"/>
      <c r="I3297" s="14"/>
      <c r="J3297" s="14"/>
      <c r="L3297"/>
    </row>
    <row r="3298" spans="1:12" x14ac:dyDescent="0.25">
      <c r="A3298" s="10"/>
      <c r="G3298"/>
      <c r="H3298" s="14"/>
      <c r="I3298" s="14"/>
      <c r="J3298" s="14"/>
      <c r="L3298"/>
    </row>
    <row r="3299" spans="1:12" x14ac:dyDescent="0.25">
      <c r="A3299" s="10"/>
      <c r="G3299"/>
      <c r="H3299" s="14"/>
      <c r="I3299" s="14"/>
      <c r="J3299" s="14"/>
      <c r="L3299"/>
    </row>
    <row r="3300" spans="1:12" x14ac:dyDescent="0.25">
      <c r="A3300" s="10"/>
      <c r="G3300"/>
      <c r="H3300" s="14"/>
      <c r="I3300" s="14"/>
      <c r="J3300" s="14"/>
      <c r="L3300"/>
    </row>
    <row r="3301" spans="1:12" x14ac:dyDescent="0.25">
      <c r="A3301" s="10"/>
      <c r="G3301"/>
      <c r="H3301" s="14"/>
      <c r="I3301" s="14"/>
      <c r="J3301" s="14"/>
      <c r="L3301"/>
    </row>
    <row r="3302" spans="1:12" x14ac:dyDescent="0.25">
      <c r="A3302" s="10"/>
      <c r="G3302"/>
      <c r="H3302" s="14"/>
      <c r="I3302" s="14"/>
      <c r="J3302" s="14"/>
      <c r="L3302"/>
    </row>
    <row r="3303" spans="1:12" x14ac:dyDescent="0.25">
      <c r="A3303" s="10"/>
      <c r="G3303"/>
      <c r="H3303" s="14"/>
      <c r="I3303" s="14"/>
      <c r="J3303" s="14"/>
      <c r="L3303"/>
    </row>
    <row r="3304" spans="1:12" x14ac:dyDescent="0.25">
      <c r="A3304" s="10"/>
      <c r="G3304"/>
      <c r="H3304" s="14"/>
      <c r="I3304" s="14"/>
      <c r="J3304" s="14"/>
      <c r="L3304"/>
    </row>
    <row r="3305" spans="1:12" x14ac:dyDescent="0.25">
      <c r="A3305" s="10"/>
      <c r="G3305"/>
      <c r="H3305" s="14"/>
      <c r="I3305" s="14"/>
      <c r="J3305" s="14"/>
      <c r="L3305"/>
    </row>
    <row r="3306" spans="1:12" x14ac:dyDescent="0.25">
      <c r="A3306" s="10"/>
      <c r="G3306"/>
      <c r="H3306" s="14"/>
      <c r="I3306" s="14"/>
      <c r="J3306" s="14"/>
      <c r="L3306"/>
    </row>
    <row r="3307" spans="1:12" x14ac:dyDescent="0.25">
      <c r="A3307" s="10"/>
      <c r="G3307"/>
      <c r="H3307" s="14"/>
      <c r="I3307" s="14"/>
      <c r="J3307" s="14"/>
      <c r="L3307"/>
    </row>
    <row r="3308" spans="1:12" x14ac:dyDescent="0.25">
      <c r="A3308" s="10"/>
      <c r="G3308"/>
      <c r="H3308" s="14"/>
      <c r="I3308" s="14"/>
      <c r="J3308" s="14"/>
      <c r="L3308"/>
    </row>
    <row r="3309" spans="1:12" x14ac:dyDescent="0.25">
      <c r="A3309" s="10"/>
      <c r="G3309"/>
      <c r="H3309" s="14"/>
      <c r="I3309" s="14"/>
      <c r="J3309" s="14"/>
      <c r="L3309"/>
    </row>
    <row r="3310" spans="1:12" x14ac:dyDescent="0.25">
      <c r="A3310" s="10"/>
      <c r="G3310"/>
      <c r="H3310" s="14"/>
      <c r="I3310" s="14"/>
      <c r="J3310" s="14"/>
      <c r="L3310"/>
    </row>
    <row r="3311" spans="1:12" x14ac:dyDescent="0.25">
      <c r="A3311" s="10"/>
      <c r="G3311"/>
      <c r="H3311" s="14"/>
      <c r="I3311" s="14"/>
      <c r="J3311" s="14"/>
      <c r="L3311"/>
    </row>
    <row r="3312" spans="1:12" x14ac:dyDescent="0.25">
      <c r="A3312" s="10"/>
      <c r="G3312"/>
      <c r="H3312" s="14"/>
      <c r="I3312" s="14"/>
      <c r="J3312" s="14"/>
      <c r="L3312"/>
    </row>
    <row r="3313" spans="1:12" x14ac:dyDescent="0.25">
      <c r="A3313" s="10"/>
      <c r="G3313"/>
      <c r="H3313" s="14"/>
      <c r="I3313" s="14"/>
      <c r="J3313" s="14"/>
      <c r="L3313"/>
    </row>
    <row r="3314" spans="1:12" x14ac:dyDescent="0.25">
      <c r="A3314" s="10"/>
      <c r="G3314"/>
      <c r="H3314" s="14"/>
      <c r="I3314" s="14"/>
      <c r="J3314" s="14"/>
      <c r="L3314"/>
    </row>
    <row r="3315" spans="1:12" x14ac:dyDescent="0.25">
      <c r="A3315" s="10"/>
      <c r="G3315"/>
      <c r="H3315" s="14"/>
      <c r="I3315" s="14"/>
      <c r="J3315" s="14"/>
      <c r="L3315"/>
    </row>
    <row r="3316" spans="1:12" x14ac:dyDescent="0.25">
      <c r="A3316" s="10"/>
      <c r="G3316"/>
      <c r="H3316" s="14"/>
      <c r="I3316" s="14"/>
      <c r="J3316" s="14"/>
      <c r="L3316"/>
    </row>
    <row r="3317" spans="1:12" x14ac:dyDescent="0.25">
      <c r="A3317" s="10"/>
      <c r="G3317"/>
      <c r="H3317" s="14"/>
      <c r="I3317" s="14"/>
      <c r="J3317" s="14"/>
      <c r="L3317"/>
    </row>
    <row r="3318" spans="1:12" x14ac:dyDescent="0.25">
      <c r="A3318" s="10"/>
      <c r="G3318"/>
      <c r="H3318" s="14"/>
      <c r="I3318" s="14"/>
      <c r="J3318" s="14"/>
      <c r="L3318"/>
    </row>
    <row r="3319" spans="1:12" x14ac:dyDescent="0.25">
      <c r="A3319" s="10"/>
      <c r="G3319"/>
      <c r="H3319" s="14"/>
      <c r="I3319" s="14"/>
      <c r="J3319" s="14"/>
      <c r="L3319"/>
    </row>
    <row r="3320" spans="1:12" x14ac:dyDescent="0.25">
      <c r="A3320" s="10"/>
      <c r="G3320"/>
      <c r="H3320" s="14"/>
      <c r="I3320" s="14"/>
      <c r="J3320" s="14"/>
      <c r="L3320"/>
    </row>
    <row r="3321" spans="1:12" x14ac:dyDescent="0.25">
      <c r="A3321" s="10"/>
      <c r="G3321"/>
      <c r="H3321" s="14"/>
      <c r="I3321" s="14"/>
      <c r="J3321" s="14"/>
      <c r="L3321"/>
    </row>
    <row r="3322" spans="1:12" x14ac:dyDescent="0.25">
      <c r="A3322" s="10"/>
      <c r="G3322"/>
      <c r="H3322" s="14"/>
      <c r="I3322" s="14"/>
      <c r="J3322" s="14"/>
      <c r="L3322"/>
    </row>
    <row r="3323" spans="1:12" x14ac:dyDescent="0.25">
      <c r="A3323" s="10"/>
      <c r="G3323"/>
      <c r="H3323" s="14"/>
      <c r="I3323" s="14"/>
      <c r="J3323" s="14"/>
      <c r="L3323"/>
    </row>
    <row r="3324" spans="1:12" x14ac:dyDescent="0.25">
      <c r="A3324" s="10"/>
      <c r="G3324"/>
      <c r="H3324" s="14"/>
      <c r="I3324" s="14"/>
      <c r="J3324" s="14"/>
      <c r="L3324"/>
    </row>
    <row r="3325" spans="1:12" x14ac:dyDescent="0.25">
      <c r="A3325" s="10"/>
      <c r="G3325"/>
      <c r="H3325" s="14"/>
      <c r="I3325" s="14"/>
      <c r="J3325" s="14"/>
      <c r="L3325"/>
    </row>
    <row r="3326" spans="1:12" x14ac:dyDescent="0.25">
      <c r="A3326" s="10"/>
      <c r="G3326"/>
      <c r="H3326" s="14"/>
      <c r="I3326" s="14"/>
      <c r="J3326" s="14"/>
      <c r="L3326"/>
    </row>
    <row r="3327" spans="1:12" x14ac:dyDescent="0.25">
      <c r="A3327" s="10"/>
      <c r="G3327"/>
      <c r="H3327" s="14"/>
      <c r="I3327" s="14"/>
      <c r="J3327" s="14"/>
      <c r="L3327"/>
    </row>
    <row r="3328" spans="1:12" x14ac:dyDescent="0.25">
      <c r="A3328" s="10"/>
      <c r="G3328"/>
      <c r="H3328" s="14"/>
      <c r="I3328" s="14"/>
      <c r="J3328" s="14"/>
      <c r="L3328"/>
    </row>
    <row r="3329" spans="1:12" x14ac:dyDescent="0.25">
      <c r="A3329" s="10"/>
      <c r="G3329"/>
      <c r="H3329" s="14"/>
      <c r="I3329" s="14"/>
      <c r="J3329" s="14"/>
      <c r="L3329"/>
    </row>
    <row r="3330" spans="1:12" x14ac:dyDescent="0.25">
      <c r="A3330" s="10"/>
      <c r="G3330"/>
      <c r="H3330" s="14"/>
      <c r="I3330" s="14"/>
      <c r="J3330" s="14"/>
      <c r="L3330"/>
    </row>
    <row r="3331" spans="1:12" x14ac:dyDescent="0.25">
      <c r="A3331" s="10"/>
      <c r="G3331"/>
      <c r="H3331" s="14"/>
      <c r="I3331" s="14"/>
      <c r="J3331" s="14"/>
      <c r="L3331"/>
    </row>
    <row r="3332" spans="1:12" x14ac:dyDescent="0.25">
      <c r="A3332" s="10"/>
      <c r="G3332"/>
      <c r="H3332" s="14"/>
      <c r="I3332" s="14"/>
      <c r="J3332" s="14"/>
      <c r="L3332"/>
    </row>
    <row r="3333" spans="1:12" x14ac:dyDescent="0.25">
      <c r="A3333" s="10"/>
      <c r="G3333"/>
      <c r="H3333" s="14"/>
      <c r="I3333" s="14"/>
      <c r="J3333" s="14"/>
      <c r="L3333"/>
    </row>
    <row r="3334" spans="1:12" x14ac:dyDescent="0.25">
      <c r="A3334" s="10"/>
      <c r="G3334"/>
      <c r="H3334" s="14"/>
      <c r="I3334" s="14"/>
      <c r="J3334" s="14"/>
      <c r="L3334"/>
    </row>
    <row r="3335" spans="1:12" x14ac:dyDescent="0.25">
      <c r="A3335" s="10"/>
      <c r="G3335"/>
      <c r="H3335" s="14"/>
      <c r="I3335" s="14"/>
      <c r="J3335" s="14"/>
      <c r="L3335"/>
    </row>
    <row r="3336" spans="1:12" x14ac:dyDescent="0.25">
      <c r="A3336" s="10"/>
      <c r="G3336"/>
      <c r="H3336" s="14"/>
      <c r="I3336" s="14"/>
      <c r="J3336" s="14"/>
      <c r="L3336"/>
    </row>
    <row r="3337" spans="1:12" x14ac:dyDescent="0.25">
      <c r="A3337" s="10"/>
      <c r="G3337"/>
      <c r="H3337" s="14"/>
      <c r="I3337" s="14"/>
      <c r="J3337" s="14"/>
      <c r="L3337"/>
    </row>
    <row r="3338" spans="1:12" x14ac:dyDescent="0.25">
      <c r="A3338" s="10"/>
      <c r="G3338"/>
      <c r="H3338" s="14"/>
      <c r="I3338" s="14"/>
      <c r="J3338" s="14"/>
      <c r="L3338"/>
    </row>
    <row r="3339" spans="1:12" x14ac:dyDescent="0.25">
      <c r="A3339" s="10"/>
      <c r="G3339"/>
      <c r="H3339" s="14"/>
      <c r="I3339" s="14"/>
      <c r="J3339" s="14"/>
      <c r="L3339"/>
    </row>
    <row r="3340" spans="1:12" x14ac:dyDescent="0.25">
      <c r="A3340" s="10"/>
      <c r="G3340"/>
      <c r="H3340" s="14"/>
      <c r="I3340" s="14"/>
      <c r="J3340" s="14"/>
      <c r="L3340"/>
    </row>
    <row r="3341" spans="1:12" x14ac:dyDescent="0.25">
      <c r="A3341" s="10"/>
      <c r="G3341"/>
      <c r="H3341" s="14"/>
      <c r="I3341" s="14"/>
      <c r="J3341" s="14"/>
      <c r="L3341"/>
    </row>
    <row r="3342" spans="1:12" x14ac:dyDescent="0.25">
      <c r="A3342" s="10"/>
      <c r="G3342"/>
      <c r="H3342" s="14"/>
      <c r="I3342" s="14"/>
      <c r="J3342" s="14"/>
      <c r="L3342"/>
    </row>
    <row r="3343" spans="1:12" x14ac:dyDescent="0.25">
      <c r="A3343" s="10"/>
      <c r="G3343"/>
      <c r="H3343" s="14"/>
      <c r="I3343" s="14"/>
      <c r="J3343" s="14"/>
      <c r="L3343"/>
    </row>
    <row r="3344" spans="1:12" x14ac:dyDescent="0.25">
      <c r="A3344" s="10"/>
      <c r="G3344"/>
      <c r="H3344" s="14"/>
      <c r="I3344" s="14"/>
      <c r="J3344" s="14"/>
      <c r="L3344"/>
    </row>
    <row r="3345" spans="1:12" x14ac:dyDescent="0.25">
      <c r="A3345" s="10"/>
      <c r="G3345"/>
      <c r="H3345" s="14"/>
      <c r="I3345" s="14"/>
      <c r="J3345" s="14"/>
      <c r="L3345"/>
    </row>
    <row r="3346" spans="1:12" x14ac:dyDescent="0.25">
      <c r="A3346" s="10"/>
      <c r="G3346"/>
      <c r="H3346" s="14"/>
      <c r="I3346" s="14"/>
      <c r="J3346" s="14"/>
      <c r="L3346"/>
    </row>
    <row r="3347" spans="1:12" x14ac:dyDescent="0.25">
      <c r="A3347" s="10"/>
      <c r="G3347"/>
      <c r="H3347" s="14"/>
      <c r="I3347" s="14"/>
      <c r="J3347" s="14"/>
      <c r="L3347"/>
    </row>
    <row r="3348" spans="1:12" x14ac:dyDescent="0.25">
      <c r="A3348" s="10"/>
      <c r="G3348"/>
      <c r="H3348" s="14"/>
      <c r="I3348" s="14"/>
      <c r="J3348" s="14"/>
      <c r="L3348"/>
    </row>
    <row r="3349" spans="1:12" x14ac:dyDescent="0.25">
      <c r="A3349" s="10"/>
      <c r="G3349"/>
      <c r="H3349" s="14"/>
      <c r="I3349" s="14"/>
      <c r="J3349" s="14"/>
      <c r="L3349"/>
    </row>
    <row r="3350" spans="1:12" x14ac:dyDescent="0.25">
      <c r="A3350" s="10"/>
      <c r="G3350"/>
      <c r="H3350" s="14"/>
      <c r="I3350" s="14"/>
      <c r="J3350" s="14"/>
      <c r="L3350"/>
    </row>
    <row r="3351" spans="1:12" x14ac:dyDescent="0.25">
      <c r="A3351" s="10"/>
      <c r="G3351"/>
      <c r="H3351" s="14"/>
      <c r="I3351" s="14"/>
      <c r="J3351" s="14"/>
      <c r="L3351"/>
    </row>
    <row r="3352" spans="1:12" x14ac:dyDescent="0.25">
      <c r="A3352" s="10"/>
      <c r="G3352"/>
      <c r="H3352" s="14"/>
      <c r="I3352" s="14"/>
      <c r="J3352" s="14"/>
      <c r="L3352"/>
    </row>
    <row r="3353" spans="1:12" x14ac:dyDescent="0.25">
      <c r="A3353" s="10"/>
      <c r="G3353"/>
      <c r="H3353" s="14"/>
      <c r="I3353" s="14"/>
      <c r="J3353" s="14"/>
      <c r="L3353"/>
    </row>
    <row r="3354" spans="1:12" x14ac:dyDescent="0.25">
      <c r="A3354" s="10"/>
      <c r="G3354"/>
      <c r="H3354" s="14"/>
      <c r="I3354" s="14"/>
      <c r="J3354" s="14"/>
      <c r="L3354"/>
    </row>
    <row r="3355" spans="1:12" x14ac:dyDescent="0.25">
      <c r="A3355" s="10"/>
      <c r="G3355"/>
      <c r="H3355" s="14"/>
      <c r="I3355" s="14"/>
      <c r="J3355" s="14"/>
      <c r="L3355"/>
    </row>
    <row r="3356" spans="1:12" x14ac:dyDescent="0.25">
      <c r="A3356" s="10"/>
      <c r="G3356"/>
      <c r="H3356" s="14"/>
      <c r="I3356" s="14"/>
      <c r="J3356" s="14"/>
      <c r="L3356"/>
    </row>
    <row r="3357" spans="1:12" x14ac:dyDescent="0.25">
      <c r="A3357" s="10"/>
      <c r="G3357"/>
      <c r="H3357" s="14"/>
      <c r="I3357" s="14"/>
      <c r="J3357" s="14"/>
      <c r="L3357"/>
    </row>
    <row r="3358" spans="1:12" x14ac:dyDescent="0.25">
      <c r="A3358" s="10"/>
      <c r="G3358"/>
      <c r="H3358" s="14"/>
      <c r="I3358" s="14"/>
      <c r="J3358" s="14"/>
      <c r="L3358"/>
    </row>
    <row r="3359" spans="1:12" x14ac:dyDescent="0.25">
      <c r="A3359" s="10"/>
      <c r="G3359"/>
      <c r="H3359" s="14"/>
      <c r="I3359" s="14"/>
      <c r="J3359" s="14"/>
      <c r="L3359"/>
    </row>
    <row r="3360" spans="1:12" x14ac:dyDescent="0.25">
      <c r="A3360" s="10"/>
      <c r="G3360"/>
      <c r="H3360" s="14"/>
      <c r="I3360" s="14"/>
      <c r="J3360" s="14"/>
      <c r="L3360"/>
    </row>
    <row r="3361" spans="1:12" x14ac:dyDescent="0.25">
      <c r="A3361" s="10"/>
      <c r="G3361"/>
      <c r="H3361" s="14"/>
      <c r="I3361" s="14"/>
      <c r="J3361" s="14"/>
      <c r="L3361"/>
    </row>
    <row r="3362" spans="1:12" x14ac:dyDescent="0.25">
      <c r="A3362" s="10"/>
      <c r="G3362"/>
      <c r="H3362" s="14"/>
      <c r="I3362" s="14"/>
      <c r="J3362" s="14"/>
      <c r="L3362"/>
    </row>
    <row r="3363" spans="1:12" x14ac:dyDescent="0.25">
      <c r="A3363" s="10"/>
      <c r="G3363"/>
      <c r="H3363" s="14"/>
      <c r="I3363" s="14"/>
      <c r="J3363" s="14"/>
      <c r="L3363"/>
    </row>
    <row r="3364" spans="1:12" x14ac:dyDescent="0.25">
      <c r="A3364" s="10"/>
      <c r="G3364"/>
      <c r="H3364" s="14"/>
      <c r="I3364" s="14"/>
      <c r="J3364" s="14"/>
      <c r="L3364"/>
    </row>
    <row r="3365" spans="1:12" x14ac:dyDescent="0.25">
      <c r="A3365" s="10"/>
      <c r="G3365"/>
      <c r="H3365" s="14"/>
      <c r="I3365" s="14"/>
      <c r="J3365" s="14"/>
      <c r="L3365"/>
    </row>
    <row r="3366" spans="1:12" x14ac:dyDescent="0.25">
      <c r="A3366" s="10"/>
      <c r="G3366"/>
      <c r="H3366" s="14"/>
      <c r="I3366" s="14"/>
      <c r="J3366" s="14"/>
      <c r="L3366"/>
    </row>
    <row r="3367" spans="1:12" x14ac:dyDescent="0.25">
      <c r="A3367" s="10"/>
      <c r="G3367"/>
      <c r="H3367" s="14"/>
      <c r="I3367" s="14"/>
      <c r="J3367" s="14"/>
      <c r="L3367"/>
    </row>
    <row r="3368" spans="1:12" x14ac:dyDescent="0.25">
      <c r="A3368" s="10"/>
      <c r="G3368"/>
      <c r="H3368" s="14"/>
      <c r="I3368" s="14"/>
      <c r="J3368" s="14"/>
      <c r="L3368"/>
    </row>
    <row r="3369" spans="1:12" x14ac:dyDescent="0.25">
      <c r="A3369" s="10"/>
      <c r="G3369"/>
      <c r="H3369" s="14"/>
      <c r="I3369" s="14"/>
      <c r="J3369" s="14"/>
      <c r="L3369"/>
    </row>
    <row r="3370" spans="1:12" x14ac:dyDescent="0.25">
      <c r="A3370" s="10"/>
      <c r="G3370"/>
      <c r="H3370" s="14"/>
      <c r="I3370" s="14"/>
      <c r="J3370" s="14"/>
      <c r="L3370"/>
    </row>
    <row r="3371" spans="1:12" x14ac:dyDescent="0.25">
      <c r="A3371" s="10"/>
      <c r="G3371"/>
      <c r="H3371" s="14"/>
      <c r="I3371" s="14"/>
      <c r="J3371" s="14"/>
      <c r="L3371"/>
    </row>
    <row r="3372" spans="1:12" x14ac:dyDescent="0.25">
      <c r="A3372" s="10"/>
      <c r="G3372"/>
      <c r="H3372" s="14"/>
      <c r="I3372" s="14"/>
      <c r="J3372" s="14"/>
      <c r="L3372"/>
    </row>
    <row r="3373" spans="1:12" x14ac:dyDescent="0.25">
      <c r="A3373" s="10"/>
      <c r="G3373"/>
      <c r="H3373" s="14"/>
      <c r="I3373" s="14"/>
      <c r="J3373" s="14"/>
      <c r="L3373"/>
    </row>
    <row r="3374" spans="1:12" x14ac:dyDescent="0.25">
      <c r="A3374" s="10"/>
      <c r="G3374"/>
      <c r="H3374" s="14"/>
      <c r="I3374" s="14"/>
      <c r="J3374" s="14"/>
      <c r="L3374"/>
    </row>
    <row r="3375" spans="1:12" x14ac:dyDescent="0.25">
      <c r="A3375" s="10"/>
      <c r="G3375"/>
      <c r="H3375" s="14"/>
      <c r="I3375" s="14"/>
      <c r="J3375" s="14"/>
      <c r="L3375"/>
    </row>
    <row r="3376" spans="1:12" x14ac:dyDescent="0.25">
      <c r="A3376" s="10"/>
      <c r="G3376"/>
      <c r="H3376" s="14"/>
      <c r="I3376" s="14"/>
      <c r="J3376" s="14"/>
      <c r="L3376"/>
    </row>
    <row r="3377" spans="1:12" x14ac:dyDescent="0.25">
      <c r="A3377" s="10"/>
      <c r="G3377"/>
      <c r="H3377" s="14"/>
      <c r="I3377" s="14"/>
      <c r="J3377" s="14"/>
      <c r="L3377"/>
    </row>
    <row r="3378" spans="1:12" x14ac:dyDescent="0.25">
      <c r="A3378" s="10"/>
      <c r="G3378"/>
      <c r="H3378" s="14"/>
      <c r="I3378" s="14"/>
      <c r="J3378" s="14"/>
      <c r="L3378"/>
    </row>
    <row r="3379" spans="1:12" x14ac:dyDescent="0.25">
      <c r="A3379" s="10"/>
      <c r="G3379"/>
      <c r="H3379" s="14"/>
      <c r="I3379" s="14"/>
      <c r="J3379" s="14"/>
      <c r="L3379"/>
    </row>
    <row r="3380" spans="1:12" x14ac:dyDescent="0.25">
      <c r="A3380" s="10"/>
      <c r="G3380"/>
      <c r="H3380" s="14"/>
      <c r="I3380" s="14"/>
      <c r="J3380" s="14"/>
      <c r="L3380"/>
    </row>
    <row r="3381" spans="1:12" x14ac:dyDescent="0.25">
      <c r="A3381" s="10"/>
      <c r="G3381"/>
      <c r="H3381" s="14"/>
      <c r="I3381" s="14"/>
      <c r="J3381" s="14"/>
      <c r="L3381"/>
    </row>
    <row r="3382" spans="1:12" x14ac:dyDescent="0.25">
      <c r="A3382" s="10"/>
      <c r="G3382"/>
      <c r="H3382" s="14"/>
      <c r="I3382" s="14"/>
      <c r="J3382" s="14"/>
      <c r="L3382"/>
    </row>
    <row r="3383" spans="1:12" x14ac:dyDescent="0.25">
      <c r="A3383" s="10"/>
      <c r="G3383"/>
      <c r="H3383" s="14"/>
      <c r="I3383" s="14"/>
      <c r="J3383" s="14"/>
      <c r="L3383"/>
    </row>
    <row r="3384" spans="1:12" x14ac:dyDescent="0.25">
      <c r="A3384" s="10"/>
      <c r="G3384"/>
      <c r="H3384" s="14"/>
      <c r="I3384" s="14"/>
      <c r="J3384" s="14"/>
      <c r="L3384"/>
    </row>
    <row r="3385" spans="1:12" x14ac:dyDescent="0.25">
      <c r="A3385" s="10"/>
      <c r="G3385"/>
      <c r="H3385" s="14"/>
      <c r="I3385" s="14"/>
      <c r="J3385" s="14"/>
      <c r="L3385"/>
    </row>
    <row r="3386" spans="1:12" x14ac:dyDescent="0.25">
      <c r="A3386" s="10"/>
      <c r="G3386"/>
      <c r="H3386" s="14"/>
      <c r="I3386" s="14"/>
      <c r="J3386" s="14"/>
      <c r="L3386"/>
    </row>
    <row r="3387" spans="1:12" x14ac:dyDescent="0.25">
      <c r="A3387" s="10"/>
      <c r="G3387"/>
      <c r="H3387" s="14"/>
      <c r="I3387" s="14"/>
      <c r="J3387" s="14"/>
      <c r="L3387"/>
    </row>
    <row r="3388" spans="1:12" x14ac:dyDescent="0.25">
      <c r="A3388" s="10"/>
      <c r="G3388"/>
      <c r="H3388" s="14"/>
      <c r="I3388" s="14"/>
      <c r="J3388" s="14"/>
      <c r="L3388"/>
    </row>
    <row r="3389" spans="1:12" x14ac:dyDescent="0.25">
      <c r="A3389" s="10"/>
      <c r="G3389"/>
      <c r="H3389" s="14"/>
      <c r="I3389" s="14"/>
      <c r="J3389" s="14"/>
      <c r="L3389"/>
    </row>
    <row r="3390" spans="1:12" x14ac:dyDescent="0.25">
      <c r="A3390" s="10"/>
      <c r="G3390"/>
      <c r="H3390" s="14"/>
      <c r="I3390" s="14"/>
      <c r="J3390" s="14"/>
      <c r="L3390"/>
    </row>
    <row r="3391" spans="1:12" x14ac:dyDescent="0.25">
      <c r="A3391" s="10"/>
      <c r="G3391"/>
      <c r="H3391" s="14"/>
      <c r="I3391" s="14"/>
      <c r="J3391" s="14"/>
      <c r="L3391"/>
    </row>
    <row r="3392" spans="1:12" x14ac:dyDescent="0.25">
      <c r="A3392" s="10"/>
      <c r="G3392"/>
      <c r="H3392" s="14"/>
      <c r="I3392" s="14"/>
      <c r="J3392" s="14"/>
      <c r="L3392"/>
    </row>
    <row r="3393" spans="1:12" x14ac:dyDescent="0.25">
      <c r="A3393" s="10"/>
      <c r="G3393"/>
      <c r="H3393" s="14"/>
      <c r="I3393" s="14"/>
      <c r="J3393" s="14"/>
      <c r="L3393"/>
    </row>
    <row r="3394" spans="1:12" x14ac:dyDescent="0.25">
      <c r="A3394" s="10"/>
      <c r="G3394"/>
      <c r="H3394" s="14"/>
      <c r="I3394" s="14"/>
      <c r="J3394" s="14"/>
      <c r="L3394"/>
    </row>
    <row r="3395" spans="1:12" x14ac:dyDescent="0.25">
      <c r="A3395" s="10"/>
      <c r="G3395"/>
      <c r="H3395" s="14"/>
      <c r="I3395" s="14"/>
      <c r="J3395" s="14"/>
      <c r="L3395"/>
    </row>
    <row r="3396" spans="1:12" x14ac:dyDescent="0.25">
      <c r="A3396" s="10"/>
      <c r="G3396"/>
      <c r="H3396" s="14"/>
      <c r="I3396" s="14"/>
      <c r="J3396" s="14"/>
      <c r="L3396"/>
    </row>
    <row r="3397" spans="1:12" x14ac:dyDescent="0.25">
      <c r="A3397" s="10"/>
      <c r="G3397"/>
      <c r="H3397" s="14"/>
      <c r="I3397" s="14"/>
      <c r="J3397" s="14"/>
      <c r="L3397"/>
    </row>
    <row r="3398" spans="1:12" x14ac:dyDescent="0.25">
      <c r="A3398" s="10"/>
      <c r="G3398"/>
      <c r="H3398" s="14"/>
      <c r="I3398" s="14"/>
      <c r="J3398" s="14"/>
      <c r="L3398"/>
    </row>
    <row r="3399" spans="1:12" x14ac:dyDescent="0.25">
      <c r="A3399" s="10"/>
      <c r="G3399"/>
      <c r="H3399" s="14"/>
      <c r="I3399" s="14"/>
      <c r="J3399" s="14"/>
      <c r="L3399"/>
    </row>
    <row r="3400" spans="1:12" x14ac:dyDescent="0.25">
      <c r="A3400" s="10"/>
      <c r="G3400"/>
      <c r="H3400" s="14"/>
      <c r="I3400" s="14"/>
      <c r="J3400" s="14"/>
      <c r="L3400"/>
    </row>
    <row r="3401" spans="1:12" x14ac:dyDescent="0.25">
      <c r="A3401" s="10"/>
      <c r="G3401"/>
      <c r="H3401" s="14"/>
      <c r="I3401" s="14"/>
      <c r="J3401" s="14"/>
      <c r="L3401"/>
    </row>
    <row r="3402" spans="1:12" x14ac:dyDescent="0.25">
      <c r="A3402" s="10"/>
      <c r="G3402"/>
      <c r="H3402" s="14"/>
      <c r="I3402" s="14"/>
      <c r="J3402" s="14"/>
      <c r="L3402"/>
    </row>
    <row r="3403" spans="1:12" x14ac:dyDescent="0.25">
      <c r="A3403" s="10"/>
      <c r="G3403"/>
      <c r="H3403" s="14"/>
      <c r="I3403" s="14"/>
      <c r="J3403" s="14"/>
      <c r="L3403"/>
    </row>
    <row r="3404" spans="1:12" x14ac:dyDescent="0.25">
      <c r="A3404" s="10"/>
      <c r="G3404"/>
      <c r="H3404" s="14"/>
      <c r="I3404" s="14"/>
      <c r="J3404" s="14"/>
      <c r="L3404"/>
    </row>
    <row r="3405" spans="1:12" x14ac:dyDescent="0.25">
      <c r="A3405" s="10"/>
      <c r="G3405"/>
      <c r="H3405" s="14"/>
      <c r="I3405" s="14"/>
      <c r="J3405" s="14"/>
      <c r="L3405"/>
    </row>
    <row r="3406" spans="1:12" x14ac:dyDescent="0.25">
      <c r="A3406" s="10"/>
      <c r="G3406"/>
      <c r="H3406" s="14"/>
      <c r="I3406" s="14"/>
      <c r="J3406" s="14"/>
      <c r="L3406"/>
    </row>
    <row r="3407" spans="1:12" x14ac:dyDescent="0.25">
      <c r="A3407" s="10"/>
      <c r="G3407"/>
      <c r="H3407" s="14"/>
      <c r="I3407" s="14"/>
      <c r="J3407" s="14"/>
      <c r="L3407"/>
    </row>
    <row r="3408" spans="1:12" x14ac:dyDescent="0.25">
      <c r="A3408" s="10"/>
      <c r="G3408"/>
      <c r="H3408" s="14"/>
      <c r="I3408" s="14"/>
      <c r="J3408" s="14"/>
      <c r="L3408"/>
    </row>
    <row r="3409" spans="1:12" x14ac:dyDescent="0.25">
      <c r="A3409" s="10"/>
      <c r="G3409"/>
      <c r="H3409" s="14"/>
      <c r="I3409" s="14"/>
      <c r="J3409" s="14"/>
      <c r="L3409"/>
    </row>
    <row r="3410" spans="1:12" x14ac:dyDescent="0.25">
      <c r="A3410" s="10"/>
      <c r="G3410"/>
      <c r="H3410" s="14"/>
      <c r="I3410" s="14"/>
      <c r="J3410" s="14"/>
      <c r="L3410"/>
    </row>
    <row r="3411" spans="1:12" x14ac:dyDescent="0.25">
      <c r="A3411" s="10"/>
      <c r="G3411"/>
      <c r="H3411" s="14"/>
      <c r="I3411" s="14"/>
      <c r="J3411" s="14"/>
      <c r="L3411"/>
    </row>
    <row r="3412" spans="1:12" x14ac:dyDescent="0.25">
      <c r="A3412" s="10"/>
      <c r="G3412"/>
      <c r="H3412" s="14"/>
      <c r="I3412" s="14"/>
      <c r="J3412" s="14"/>
      <c r="L3412"/>
    </row>
    <row r="3413" spans="1:12" x14ac:dyDescent="0.25">
      <c r="A3413" s="10"/>
      <c r="G3413"/>
      <c r="H3413" s="14"/>
      <c r="I3413" s="14"/>
      <c r="J3413" s="14"/>
      <c r="L3413"/>
    </row>
    <row r="3414" spans="1:12" x14ac:dyDescent="0.25">
      <c r="A3414" s="10"/>
      <c r="G3414"/>
      <c r="H3414" s="14"/>
      <c r="I3414" s="14"/>
      <c r="J3414" s="14"/>
      <c r="L3414"/>
    </row>
    <row r="3415" spans="1:12" x14ac:dyDescent="0.25">
      <c r="A3415" s="10"/>
      <c r="G3415"/>
      <c r="H3415" s="14"/>
      <c r="I3415" s="14"/>
      <c r="J3415" s="14"/>
      <c r="L3415"/>
    </row>
    <row r="3416" spans="1:12" x14ac:dyDescent="0.25">
      <c r="A3416" s="10"/>
      <c r="G3416"/>
      <c r="H3416" s="14"/>
      <c r="I3416" s="14"/>
      <c r="J3416" s="14"/>
      <c r="L3416"/>
    </row>
    <row r="3417" spans="1:12" x14ac:dyDescent="0.25">
      <c r="A3417" s="10"/>
      <c r="G3417"/>
      <c r="H3417" s="14"/>
      <c r="I3417" s="14"/>
      <c r="J3417" s="14"/>
      <c r="L3417"/>
    </row>
    <row r="3418" spans="1:12" x14ac:dyDescent="0.25">
      <c r="A3418" s="10"/>
      <c r="G3418"/>
      <c r="H3418" s="14"/>
      <c r="I3418" s="14"/>
      <c r="J3418" s="14"/>
      <c r="L3418"/>
    </row>
    <row r="3419" spans="1:12" x14ac:dyDescent="0.25">
      <c r="A3419" s="10"/>
      <c r="G3419"/>
      <c r="H3419" s="14"/>
      <c r="I3419" s="14"/>
      <c r="J3419" s="14"/>
      <c r="L3419"/>
    </row>
    <row r="3420" spans="1:12" x14ac:dyDescent="0.25">
      <c r="A3420" s="10"/>
      <c r="G3420"/>
      <c r="H3420" s="14"/>
      <c r="I3420" s="14"/>
      <c r="J3420" s="14"/>
      <c r="L3420"/>
    </row>
    <row r="3421" spans="1:12" x14ac:dyDescent="0.25">
      <c r="A3421" s="10"/>
      <c r="G3421"/>
      <c r="H3421" s="14"/>
      <c r="I3421" s="14"/>
      <c r="J3421" s="14"/>
      <c r="L3421"/>
    </row>
    <row r="3422" spans="1:12" x14ac:dyDescent="0.25">
      <c r="A3422" s="10"/>
      <c r="G3422"/>
      <c r="H3422" s="14"/>
      <c r="I3422" s="14"/>
      <c r="J3422" s="14"/>
      <c r="L3422"/>
    </row>
    <row r="3423" spans="1:12" x14ac:dyDescent="0.25">
      <c r="A3423" s="10"/>
      <c r="G3423"/>
      <c r="H3423" s="14"/>
      <c r="I3423" s="14"/>
      <c r="J3423" s="14"/>
      <c r="L3423"/>
    </row>
    <row r="3424" spans="1:12" x14ac:dyDescent="0.25">
      <c r="A3424" s="10"/>
      <c r="G3424"/>
      <c r="H3424" s="14"/>
      <c r="I3424" s="14"/>
      <c r="J3424" s="14"/>
      <c r="L3424"/>
    </row>
    <row r="3425" spans="1:12" x14ac:dyDescent="0.25">
      <c r="A3425" s="10"/>
      <c r="G3425"/>
      <c r="H3425" s="14"/>
      <c r="I3425" s="14"/>
      <c r="J3425" s="14"/>
      <c r="L3425"/>
    </row>
    <row r="3426" spans="1:12" x14ac:dyDescent="0.25">
      <c r="A3426" s="10"/>
      <c r="G3426"/>
      <c r="H3426" s="14"/>
      <c r="I3426" s="14"/>
      <c r="J3426" s="14"/>
      <c r="L3426"/>
    </row>
    <row r="3427" spans="1:12" x14ac:dyDescent="0.25">
      <c r="A3427" s="10"/>
      <c r="G3427"/>
      <c r="H3427" s="14"/>
      <c r="I3427" s="14"/>
      <c r="J3427" s="14"/>
      <c r="L3427"/>
    </row>
    <row r="3428" spans="1:12" x14ac:dyDescent="0.25">
      <c r="A3428" s="10"/>
      <c r="G3428"/>
      <c r="H3428" s="14"/>
      <c r="I3428" s="14"/>
      <c r="J3428" s="14"/>
      <c r="L3428"/>
    </row>
    <row r="3429" spans="1:12" x14ac:dyDescent="0.25">
      <c r="A3429" s="10"/>
      <c r="G3429"/>
      <c r="H3429" s="14"/>
      <c r="I3429" s="14"/>
      <c r="J3429" s="14"/>
      <c r="L3429"/>
    </row>
    <row r="3430" spans="1:12" x14ac:dyDescent="0.25">
      <c r="A3430" s="10"/>
      <c r="G3430"/>
      <c r="H3430" s="14"/>
      <c r="I3430" s="14"/>
      <c r="J3430" s="14"/>
      <c r="L3430"/>
    </row>
    <row r="3431" spans="1:12" x14ac:dyDescent="0.25">
      <c r="A3431" s="10"/>
      <c r="G3431"/>
      <c r="H3431" s="14"/>
      <c r="I3431" s="14"/>
      <c r="J3431" s="14"/>
      <c r="L3431"/>
    </row>
    <row r="3432" spans="1:12" x14ac:dyDescent="0.25">
      <c r="A3432" s="10"/>
      <c r="G3432"/>
      <c r="H3432" s="14"/>
      <c r="I3432" s="14"/>
      <c r="J3432" s="14"/>
      <c r="L3432"/>
    </row>
    <row r="3433" spans="1:12" x14ac:dyDescent="0.25">
      <c r="A3433" s="10"/>
      <c r="G3433"/>
      <c r="H3433" s="14"/>
      <c r="I3433" s="14"/>
      <c r="J3433" s="14"/>
      <c r="L3433"/>
    </row>
    <row r="3434" spans="1:12" x14ac:dyDescent="0.25">
      <c r="A3434" s="10"/>
      <c r="G3434"/>
      <c r="H3434" s="14"/>
      <c r="I3434" s="14"/>
      <c r="J3434" s="14"/>
      <c r="L3434"/>
    </row>
    <row r="3435" spans="1:12" x14ac:dyDescent="0.25">
      <c r="A3435" s="10"/>
      <c r="G3435"/>
      <c r="H3435" s="14"/>
      <c r="I3435" s="14"/>
      <c r="J3435" s="14"/>
      <c r="L3435"/>
    </row>
    <row r="3436" spans="1:12" x14ac:dyDescent="0.25">
      <c r="A3436" s="10"/>
      <c r="G3436"/>
      <c r="H3436" s="14"/>
      <c r="I3436" s="14"/>
      <c r="J3436" s="14"/>
      <c r="L3436"/>
    </row>
    <row r="3437" spans="1:12" x14ac:dyDescent="0.25">
      <c r="A3437" s="10"/>
      <c r="G3437"/>
      <c r="H3437" s="14"/>
      <c r="I3437" s="14"/>
      <c r="J3437" s="14"/>
      <c r="L3437"/>
    </row>
    <row r="3438" spans="1:12" x14ac:dyDescent="0.25">
      <c r="A3438" s="10"/>
      <c r="G3438"/>
      <c r="H3438" s="14"/>
      <c r="I3438" s="14"/>
      <c r="J3438" s="14"/>
      <c r="L3438"/>
    </row>
    <row r="3439" spans="1:12" x14ac:dyDescent="0.25">
      <c r="A3439" s="10"/>
      <c r="G3439"/>
      <c r="H3439" s="14"/>
      <c r="I3439" s="14"/>
      <c r="J3439" s="14"/>
      <c r="L3439"/>
    </row>
    <row r="3440" spans="1:12" x14ac:dyDescent="0.25">
      <c r="A3440" s="10"/>
      <c r="G3440"/>
      <c r="H3440" s="14"/>
      <c r="I3440" s="14"/>
      <c r="J3440" s="14"/>
      <c r="L3440"/>
    </row>
    <row r="3441" spans="1:12" x14ac:dyDescent="0.25">
      <c r="A3441" s="10"/>
      <c r="G3441"/>
      <c r="H3441" s="14"/>
      <c r="I3441" s="14"/>
      <c r="J3441" s="14"/>
      <c r="L3441"/>
    </row>
    <row r="3442" spans="1:12" x14ac:dyDescent="0.25">
      <c r="A3442" s="10"/>
      <c r="G3442"/>
      <c r="H3442" s="14"/>
      <c r="I3442" s="14"/>
      <c r="J3442" s="14"/>
      <c r="L3442"/>
    </row>
    <row r="3443" spans="1:12" x14ac:dyDescent="0.25">
      <c r="A3443" s="10"/>
      <c r="G3443"/>
      <c r="H3443" s="14"/>
      <c r="I3443" s="14"/>
      <c r="J3443" s="14"/>
      <c r="L3443"/>
    </row>
    <row r="3444" spans="1:12" x14ac:dyDescent="0.25">
      <c r="A3444" s="10"/>
      <c r="G3444"/>
      <c r="H3444" s="14"/>
      <c r="I3444" s="14"/>
      <c r="J3444" s="14"/>
      <c r="L3444"/>
    </row>
    <row r="3445" spans="1:12" x14ac:dyDescent="0.25">
      <c r="A3445" s="10"/>
      <c r="G3445"/>
      <c r="H3445" s="14"/>
      <c r="I3445" s="14"/>
      <c r="J3445" s="14"/>
      <c r="L3445"/>
    </row>
    <row r="3446" spans="1:12" x14ac:dyDescent="0.25">
      <c r="A3446" s="10"/>
      <c r="G3446"/>
      <c r="H3446" s="14"/>
      <c r="I3446" s="14"/>
      <c r="J3446" s="14"/>
      <c r="L3446"/>
    </row>
    <row r="3447" spans="1:12" x14ac:dyDescent="0.25">
      <c r="A3447" s="10"/>
      <c r="G3447"/>
      <c r="H3447" s="14"/>
      <c r="I3447" s="14"/>
      <c r="J3447" s="14"/>
      <c r="L3447"/>
    </row>
    <row r="3448" spans="1:12" x14ac:dyDescent="0.25">
      <c r="A3448" s="10"/>
      <c r="G3448"/>
      <c r="H3448" s="14"/>
      <c r="I3448" s="14"/>
      <c r="J3448" s="14"/>
      <c r="L3448"/>
    </row>
    <row r="3449" spans="1:12" x14ac:dyDescent="0.25">
      <c r="A3449" s="10"/>
      <c r="G3449"/>
      <c r="H3449" s="14"/>
      <c r="I3449" s="14"/>
      <c r="J3449" s="14"/>
      <c r="L3449"/>
    </row>
    <row r="3450" spans="1:12" x14ac:dyDescent="0.25">
      <c r="A3450" s="10"/>
      <c r="G3450"/>
      <c r="H3450" s="14"/>
      <c r="I3450" s="14"/>
      <c r="J3450" s="14"/>
      <c r="L3450"/>
    </row>
    <row r="3451" spans="1:12" x14ac:dyDescent="0.25">
      <c r="A3451" s="10"/>
      <c r="G3451"/>
      <c r="H3451" s="14"/>
      <c r="I3451" s="14"/>
      <c r="J3451" s="14"/>
      <c r="L3451"/>
    </row>
    <row r="3452" spans="1:12" x14ac:dyDescent="0.25">
      <c r="A3452" s="10"/>
      <c r="G3452"/>
      <c r="H3452" s="14"/>
      <c r="I3452" s="14"/>
      <c r="J3452" s="14"/>
      <c r="L3452"/>
    </row>
    <row r="3453" spans="1:12" x14ac:dyDescent="0.25">
      <c r="A3453" s="10"/>
      <c r="G3453"/>
      <c r="H3453" s="14"/>
      <c r="I3453" s="14"/>
      <c r="J3453" s="14"/>
      <c r="L3453"/>
    </row>
    <row r="3454" spans="1:12" x14ac:dyDescent="0.25">
      <c r="A3454" s="10"/>
      <c r="G3454"/>
      <c r="H3454" s="14"/>
      <c r="I3454" s="14"/>
      <c r="J3454" s="14"/>
      <c r="L3454"/>
    </row>
    <row r="3455" spans="1:12" x14ac:dyDescent="0.25">
      <c r="A3455" s="10"/>
      <c r="G3455"/>
      <c r="H3455" s="14"/>
      <c r="I3455" s="14"/>
      <c r="J3455" s="14"/>
      <c r="L3455"/>
    </row>
    <row r="3456" spans="1:12" x14ac:dyDescent="0.25">
      <c r="A3456" s="10"/>
      <c r="G3456"/>
      <c r="H3456" s="14"/>
      <c r="I3456" s="14"/>
      <c r="J3456" s="14"/>
      <c r="L3456"/>
    </row>
    <row r="3457" spans="1:12" x14ac:dyDescent="0.25">
      <c r="A3457" s="10"/>
      <c r="G3457"/>
      <c r="H3457" s="14"/>
      <c r="I3457" s="14"/>
      <c r="J3457" s="14"/>
      <c r="L3457"/>
    </row>
    <row r="3458" spans="1:12" x14ac:dyDescent="0.25">
      <c r="A3458" s="10"/>
      <c r="G3458"/>
      <c r="H3458" s="14"/>
      <c r="I3458" s="14"/>
      <c r="J3458" s="14"/>
      <c r="L3458"/>
    </row>
    <row r="3459" spans="1:12" x14ac:dyDescent="0.25">
      <c r="A3459" s="10"/>
      <c r="G3459"/>
      <c r="H3459" s="14"/>
      <c r="I3459" s="14"/>
      <c r="J3459" s="14"/>
      <c r="L3459"/>
    </row>
    <row r="3460" spans="1:12" x14ac:dyDescent="0.25">
      <c r="A3460" s="10"/>
      <c r="G3460"/>
      <c r="H3460" s="14"/>
      <c r="I3460" s="14"/>
      <c r="J3460" s="14"/>
      <c r="L3460"/>
    </row>
    <row r="3461" spans="1:12" x14ac:dyDescent="0.25">
      <c r="A3461" s="10"/>
      <c r="G3461"/>
      <c r="H3461" s="14"/>
      <c r="I3461" s="14"/>
      <c r="J3461" s="14"/>
      <c r="L3461"/>
    </row>
    <row r="3462" spans="1:12" x14ac:dyDescent="0.25">
      <c r="A3462" s="10"/>
      <c r="G3462"/>
      <c r="H3462" s="14"/>
      <c r="I3462" s="14"/>
      <c r="J3462" s="14"/>
      <c r="L3462"/>
    </row>
    <row r="3463" spans="1:12" x14ac:dyDescent="0.25">
      <c r="A3463" s="10"/>
      <c r="G3463"/>
      <c r="H3463" s="14"/>
      <c r="I3463" s="14"/>
      <c r="J3463" s="14"/>
      <c r="L3463"/>
    </row>
    <row r="3464" spans="1:12" x14ac:dyDescent="0.25">
      <c r="A3464" s="10"/>
      <c r="G3464"/>
      <c r="H3464" s="14"/>
      <c r="I3464" s="14"/>
      <c r="J3464" s="14"/>
      <c r="L3464"/>
    </row>
    <row r="3465" spans="1:12" x14ac:dyDescent="0.25">
      <c r="A3465" s="10"/>
      <c r="G3465"/>
      <c r="H3465" s="14"/>
      <c r="I3465" s="14"/>
      <c r="J3465" s="14"/>
      <c r="L3465"/>
    </row>
    <row r="3466" spans="1:12" x14ac:dyDescent="0.25">
      <c r="A3466" s="10"/>
      <c r="G3466"/>
      <c r="H3466" s="14"/>
      <c r="I3466" s="14"/>
      <c r="J3466" s="14"/>
      <c r="L3466"/>
    </row>
    <row r="3467" spans="1:12" x14ac:dyDescent="0.25">
      <c r="A3467" s="10"/>
      <c r="G3467"/>
      <c r="H3467" s="14"/>
      <c r="I3467" s="14"/>
      <c r="J3467" s="14"/>
      <c r="L3467"/>
    </row>
    <row r="3468" spans="1:12" x14ac:dyDescent="0.25">
      <c r="A3468" s="10"/>
      <c r="G3468"/>
      <c r="H3468" s="14"/>
      <c r="I3468" s="14"/>
      <c r="J3468" s="14"/>
      <c r="L3468"/>
    </row>
    <row r="3469" spans="1:12" x14ac:dyDescent="0.25">
      <c r="A3469" s="10"/>
      <c r="G3469"/>
      <c r="H3469" s="14"/>
      <c r="I3469" s="14"/>
      <c r="J3469" s="14"/>
      <c r="L3469"/>
    </row>
    <row r="3470" spans="1:12" x14ac:dyDescent="0.25">
      <c r="A3470" s="10"/>
      <c r="G3470"/>
      <c r="H3470" s="14"/>
      <c r="I3470" s="14"/>
      <c r="J3470" s="14"/>
      <c r="L3470"/>
    </row>
    <row r="3471" spans="1:12" x14ac:dyDescent="0.25">
      <c r="A3471" s="10"/>
      <c r="G3471"/>
      <c r="H3471" s="14"/>
      <c r="I3471" s="14"/>
      <c r="J3471" s="14"/>
      <c r="L3471"/>
    </row>
    <row r="3472" spans="1:12" x14ac:dyDescent="0.25">
      <c r="A3472" s="10"/>
      <c r="G3472"/>
      <c r="H3472" s="14"/>
      <c r="I3472" s="14"/>
      <c r="J3472" s="14"/>
      <c r="L3472"/>
    </row>
    <row r="3473" spans="1:12" x14ac:dyDescent="0.25">
      <c r="A3473" s="10"/>
      <c r="G3473"/>
      <c r="H3473" s="14"/>
      <c r="I3473" s="14"/>
      <c r="J3473" s="14"/>
      <c r="L3473"/>
    </row>
    <row r="3474" spans="1:12" x14ac:dyDescent="0.25">
      <c r="A3474" s="10"/>
      <c r="G3474"/>
      <c r="H3474" s="14"/>
      <c r="I3474" s="14"/>
      <c r="J3474" s="14"/>
      <c r="L3474"/>
    </row>
    <row r="3475" spans="1:12" x14ac:dyDescent="0.25">
      <c r="A3475" s="10"/>
      <c r="G3475"/>
      <c r="H3475" s="14"/>
      <c r="I3475" s="14"/>
      <c r="J3475" s="14"/>
      <c r="L3475"/>
    </row>
    <row r="3476" spans="1:12" x14ac:dyDescent="0.25">
      <c r="A3476" s="10"/>
      <c r="G3476"/>
      <c r="H3476" s="14"/>
      <c r="I3476" s="14"/>
      <c r="J3476" s="14"/>
      <c r="L3476"/>
    </row>
    <row r="3477" spans="1:12" x14ac:dyDescent="0.25">
      <c r="A3477" s="10"/>
      <c r="G3477"/>
      <c r="H3477" s="14"/>
      <c r="I3477" s="14"/>
      <c r="J3477" s="14"/>
      <c r="L3477"/>
    </row>
    <row r="3478" spans="1:12" x14ac:dyDescent="0.25">
      <c r="A3478" s="10"/>
      <c r="G3478"/>
      <c r="H3478" s="14"/>
      <c r="I3478" s="14"/>
      <c r="J3478" s="14"/>
      <c r="L3478"/>
    </row>
    <row r="3479" spans="1:12" x14ac:dyDescent="0.25">
      <c r="A3479" s="10"/>
      <c r="G3479"/>
      <c r="H3479" s="14"/>
      <c r="I3479" s="14"/>
      <c r="J3479" s="14"/>
      <c r="L3479"/>
    </row>
    <row r="3480" spans="1:12" x14ac:dyDescent="0.25">
      <c r="A3480" s="10"/>
      <c r="G3480"/>
      <c r="H3480" s="14"/>
      <c r="I3480" s="14"/>
      <c r="J3480" s="14"/>
      <c r="L3480"/>
    </row>
    <row r="3481" spans="1:12" x14ac:dyDescent="0.25">
      <c r="A3481" s="10"/>
      <c r="G3481"/>
      <c r="H3481" s="14"/>
      <c r="I3481" s="14"/>
      <c r="J3481" s="14"/>
      <c r="L3481"/>
    </row>
    <row r="3482" spans="1:12" x14ac:dyDescent="0.25">
      <c r="A3482" s="10"/>
      <c r="G3482"/>
      <c r="H3482" s="14"/>
      <c r="I3482" s="14"/>
      <c r="J3482" s="14"/>
      <c r="L3482"/>
    </row>
    <row r="3483" spans="1:12" x14ac:dyDescent="0.25">
      <c r="A3483" s="10"/>
      <c r="G3483"/>
      <c r="H3483" s="14"/>
      <c r="I3483" s="14"/>
      <c r="J3483" s="14"/>
      <c r="L3483"/>
    </row>
    <row r="3484" spans="1:12" x14ac:dyDescent="0.25">
      <c r="A3484" s="10"/>
      <c r="G3484"/>
      <c r="H3484" s="14"/>
      <c r="I3484" s="14"/>
      <c r="J3484" s="14"/>
      <c r="L3484"/>
    </row>
    <row r="3485" spans="1:12" x14ac:dyDescent="0.25">
      <c r="A3485" s="10"/>
      <c r="G3485"/>
      <c r="H3485" s="14"/>
      <c r="I3485" s="14"/>
      <c r="J3485" s="14"/>
      <c r="L3485"/>
    </row>
    <row r="3486" spans="1:12" x14ac:dyDescent="0.25">
      <c r="A3486" s="10"/>
      <c r="G3486"/>
      <c r="H3486" s="14"/>
      <c r="I3486" s="14"/>
      <c r="J3486" s="14"/>
      <c r="L3486"/>
    </row>
    <row r="3487" spans="1:12" x14ac:dyDescent="0.25">
      <c r="A3487" s="10"/>
      <c r="G3487"/>
      <c r="H3487" s="14"/>
      <c r="I3487" s="14"/>
      <c r="J3487" s="14"/>
      <c r="L3487"/>
    </row>
    <row r="3488" spans="1:12" x14ac:dyDescent="0.25">
      <c r="A3488" s="10"/>
      <c r="G3488"/>
      <c r="H3488" s="14"/>
      <c r="I3488" s="14"/>
      <c r="J3488" s="14"/>
      <c r="L3488"/>
    </row>
    <row r="3489" spans="1:12" x14ac:dyDescent="0.25">
      <c r="A3489" s="10"/>
      <c r="G3489"/>
      <c r="H3489" s="14"/>
      <c r="I3489" s="14"/>
      <c r="J3489" s="14"/>
      <c r="L3489"/>
    </row>
    <row r="3490" spans="1:12" x14ac:dyDescent="0.25">
      <c r="A3490" s="10"/>
      <c r="G3490"/>
      <c r="H3490" s="14"/>
      <c r="I3490" s="14"/>
      <c r="J3490" s="14"/>
      <c r="L3490"/>
    </row>
    <row r="3491" spans="1:12" x14ac:dyDescent="0.25">
      <c r="A3491" s="10"/>
      <c r="G3491"/>
      <c r="H3491" s="14"/>
      <c r="I3491" s="14"/>
      <c r="J3491" s="14"/>
      <c r="L3491"/>
    </row>
    <row r="3492" spans="1:12" x14ac:dyDescent="0.25">
      <c r="A3492" s="10"/>
      <c r="G3492"/>
      <c r="H3492" s="14"/>
      <c r="I3492" s="14"/>
      <c r="J3492" s="14"/>
      <c r="L3492"/>
    </row>
    <row r="3493" spans="1:12" x14ac:dyDescent="0.25">
      <c r="A3493" s="10"/>
      <c r="G3493"/>
      <c r="H3493" s="14"/>
      <c r="I3493" s="14"/>
      <c r="J3493" s="14"/>
      <c r="L3493"/>
    </row>
    <row r="3494" spans="1:12" x14ac:dyDescent="0.25">
      <c r="A3494" s="10"/>
      <c r="G3494"/>
      <c r="H3494" s="14"/>
      <c r="I3494" s="14"/>
      <c r="J3494" s="14"/>
      <c r="L3494"/>
    </row>
    <row r="3495" spans="1:12" x14ac:dyDescent="0.25">
      <c r="A3495" s="10"/>
      <c r="G3495"/>
      <c r="H3495" s="14"/>
      <c r="I3495" s="14"/>
      <c r="J3495" s="14"/>
      <c r="L3495"/>
    </row>
    <row r="3496" spans="1:12" x14ac:dyDescent="0.25">
      <c r="A3496" s="10"/>
      <c r="G3496"/>
      <c r="H3496" s="14"/>
      <c r="I3496" s="14"/>
      <c r="J3496" s="14"/>
      <c r="L3496"/>
    </row>
    <row r="3497" spans="1:12" x14ac:dyDescent="0.25">
      <c r="A3497" s="10"/>
      <c r="G3497"/>
      <c r="H3497" s="14"/>
      <c r="I3497" s="14"/>
      <c r="J3497" s="14"/>
      <c r="L3497"/>
    </row>
    <row r="3498" spans="1:12" x14ac:dyDescent="0.25">
      <c r="A3498" s="10"/>
      <c r="G3498"/>
      <c r="H3498" s="14"/>
      <c r="I3498" s="14"/>
      <c r="J3498" s="14"/>
      <c r="L3498"/>
    </row>
    <row r="3499" spans="1:12" x14ac:dyDescent="0.25">
      <c r="A3499" s="10"/>
      <c r="G3499"/>
      <c r="H3499" s="14"/>
      <c r="I3499" s="14"/>
      <c r="J3499" s="14"/>
      <c r="L3499"/>
    </row>
    <row r="3500" spans="1:12" x14ac:dyDescent="0.25">
      <c r="A3500" s="10"/>
      <c r="G3500"/>
      <c r="H3500" s="14"/>
      <c r="I3500" s="14"/>
      <c r="J3500" s="14"/>
      <c r="L3500"/>
    </row>
    <row r="3501" spans="1:12" x14ac:dyDescent="0.25">
      <c r="A3501" s="10"/>
      <c r="G3501"/>
      <c r="H3501" s="14"/>
      <c r="I3501" s="14"/>
      <c r="J3501" s="14"/>
      <c r="L3501"/>
    </row>
    <row r="3502" spans="1:12" x14ac:dyDescent="0.25">
      <c r="A3502" s="10"/>
      <c r="G3502"/>
      <c r="H3502" s="14"/>
      <c r="I3502" s="14"/>
      <c r="J3502" s="14"/>
      <c r="L3502"/>
    </row>
    <row r="3503" spans="1:12" x14ac:dyDescent="0.25">
      <c r="A3503" s="10"/>
      <c r="G3503"/>
      <c r="H3503" s="14"/>
      <c r="I3503" s="14"/>
      <c r="J3503" s="14"/>
      <c r="L3503"/>
    </row>
    <row r="3504" spans="1:12" x14ac:dyDescent="0.25">
      <c r="A3504" s="10"/>
      <c r="G3504"/>
      <c r="H3504" s="14"/>
      <c r="I3504" s="14"/>
      <c r="J3504" s="14"/>
      <c r="L3504"/>
    </row>
    <row r="3505" spans="1:12" x14ac:dyDescent="0.25">
      <c r="A3505" s="10"/>
      <c r="G3505"/>
      <c r="H3505" s="14"/>
      <c r="I3505" s="14"/>
      <c r="J3505" s="14"/>
      <c r="L3505"/>
    </row>
    <row r="3506" spans="1:12" x14ac:dyDescent="0.25">
      <c r="A3506" s="10"/>
      <c r="G3506"/>
      <c r="H3506" s="14"/>
      <c r="I3506" s="14"/>
      <c r="J3506" s="14"/>
      <c r="L3506"/>
    </row>
    <row r="3507" spans="1:12" x14ac:dyDescent="0.25">
      <c r="A3507" s="10"/>
      <c r="G3507"/>
      <c r="H3507" s="14"/>
      <c r="I3507" s="14"/>
      <c r="J3507" s="14"/>
      <c r="L3507"/>
    </row>
    <row r="3508" spans="1:12" x14ac:dyDescent="0.25">
      <c r="A3508" s="10"/>
      <c r="G3508"/>
      <c r="H3508" s="14"/>
      <c r="I3508" s="14"/>
      <c r="J3508" s="14"/>
      <c r="L3508"/>
    </row>
    <row r="3509" spans="1:12" x14ac:dyDescent="0.25">
      <c r="A3509" s="10"/>
      <c r="G3509"/>
      <c r="H3509" s="14"/>
      <c r="I3509" s="14"/>
      <c r="J3509" s="14"/>
      <c r="L3509"/>
    </row>
    <row r="3510" spans="1:12" x14ac:dyDescent="0.25">
      <c r="A3510" s="10"/>
      <c r="G3510"/>
      <c r="H3510" s="14"/>
      <c r="I3510" s="14"/>
      <c r="J3510" s="14"/>
      <c r="L3510"/>
    </row>
    <row r="3511" spans="1:12" x14ac:dyDescent="0.25">
      <c r="A3511" s="10"/>
      <c r="G3511"/>
      <c r="H3511" s="14"/>
      <c r="I3511" s="14"/>
      <c r="J3511" s="14"/>
      <c r="L3511"/>
    </row>
    <row r="3512" spans="1:12" x14ac:dyDescent="0.25">
      <c r="A3512" s="10"/>
      <c r="G3512"/>
      <c r="H3512" s="14"/>
      <c r="I3512" s="14"/>
      <c r="J3512" s="14"/>
      <c r="L3512"/>
    </row>
    <row r="3513" spans="1:12" x14ac:dyDescent="0.25">
      <c r="A3513" s="10"/>
      <c r="G3513"/>
      <c r="H3513" s="14"/>
      <c r="I3513" s="14"/>
      <c r="J3513" s="14"/>
      <c r="L3513"/>
    </row>
    <row r="3514" spans="1:12" x14ac:dyDescent="0.25">
      <c r="A3514" s="10"/>
      <c r="G3514"/>
      <c r="H3514" s="14"/>
      <c r="I3514" s="14"/>
      <c r="J3514" s="14"/>
      <c r="L3514"/>
    </row>
    <row r="3515" spans="1:12" x14ac:dyDescent="0.25">
      <c r="A3515" s="10"/>
      <c r="G3515"/>
      <c r="H3515" s="14"/>
      <c r="I3515" s="14"/>
      <c r="J3515" s="14"/>
      <c r="L3515"/>
    </row>
    <row r="3516" spans="1:12" x14ac:dyDescent="0.25">
      <c r="A3516" s="10"/>
      <c r="G3516"/>
      <c r="H3516" s="14"/>
      <c r="I3516" s="14"/>
      <c r="J3516" s="14"/>
      <c r="L3516"/>
    </row>
    <row r="3517" spans="1:12" x14ac:dyDescent="0.25">
      <c r="A3517" s="10"/>
      <c r="G3517"/>
      <c r="H3517" s="14"/>
      <c r="I3517" s="14"/>
      <c r="J3517" s="14"/>
      <c r="L3517"/>
    </row>
    <row r="3518" spans="1:12" x14ac:dyDescent="0.25">
      <c r="A3518" s="10"/>
      <c r="G3518"/>
      <c r="H3518" s="14"/>
      <c r="I3518" s="14"/>
      <c r="J3518" s="14"/>
      <c r="L3518"/>
    </row>
    <row r="3519" spans="1:12" x14ac:dyDescent="0.25">
      <c r="A3519" s="10"/>
      <c r="G3519"/>
      <c r="H3519" s="14"/>
      <c r="I3519" s="14"/>
      <c r="J3519" s="14"/>
      <c r="L3519"/>
    </row>
    <row r="3520" spans="1:12" x14ac:dyDescent="0.25">
      <c r="A3520" s="10"/>
      <c r="G3520"/>
      <c r="H3520" s="14"/>
      <c r="I3520" s="14"/>
      <c r="J3520" s="14"/>
      <c r="L3520"/>
    </row>
    <row r="3521" spans="1:12" x14ac:dyDescent="0.25">
      <c r="A3521" s="10"/>
      <c r="G3521"/>
      <c r="H3521" s="14"/>
      <c r="I3521" s="14"/>
      <c r="J3521" s="14"/>
      <c r="L3521"/>
    </row>
    <row r="3522" spans="1:12" x14ac:dyDescent="0.25">
      <c r="A3522" s="10"/>
      <c r="G3522"/>
      <c r="H3522" s="14"/>
      <c r="I3522" s="14"/>
      <c r="J3522" s="14"/>
      <c r="L3522"/>
    </row>
    <row r="3523" spans="1:12" x14ac:dyDescent="0.25">
      <c r="A3523" s="10"/>
      <c r="G3523"/>
      <c r="H3523" s="14"/>
      <c r="I3523" s="14"/>
      <c r="J3523" s="14"/>
      <c r="L3523"/>
    </row>
    <row r="3524" spans="1:12" x14ac:dyDescent="0.25">
      <c r="A3524" s="10"/>
      <c r="G3524"/>
      <c r="H3524" s="14"/>
      <c r="I3524" s="14"/>
      <c r="J3524" s="14"/>
      <c r="L3524"/>
    </row>
    <row r="3525" spans="1:12" x14ac:dyDescent="0.25">
      <c r="A3525" s="10"/>
      <c r="G3525"/>
      <c r="H3525" s="14"/>
      <c r="I3525" s="14"/>
      <c r="J3525" s="14"/>
      <c r="L3525"/>
    </row>
    <row r="3526" spans="1:12" x14ac:dyDescent="0.25">
      <c r="A3526" s="10"/>
      <c r="G3526"/>
      <c r="H3526" s="14"/>
      <c r="I3526" s="14"/>
      <c r="J3526" s="14"/>
      <c r="L3526"/>
    </row>
    <row r="3527" spans="1:12" x14ac:dyDescent="0.25">
      <c r="A3527" s="10"/>
      <c r="G3527"/>
      <c r="H3527" s="14"/>
      <c r="I3527" s="14"/>
      <c r="J3527" s="14"/>
      <c r="L3527"/>
    </row>
    <row r="3528" spans="1:12" x14ac:dyDescent="0.25">
      <c r="A3528" s="10"/>
      <c r="G3528"/>
      <c r="H3528" s="14"/>
      <c r="I3528" s="14"/>
      <c r="J3528" s="14"/>
      <c r="L3528"/>
    </row>
    <row r="3529" spans="1:12" x14ac:dyDescent="0.25">
      <c r="A3529" s="10"/>
      <c r="G3529"/>
      <c r="H3529" s="14"/>
      <c r="I3529" s="14"/>
      <c r="J3529" s="14"/>
      <c r="L3529"/>
    </row>
    <row r="3530" spans="1:12" x14ac:dyDescent="0.25">
      <c r="A3530" s="10"/>
      <c r="G3530"/>
      <c r="H3530" s="14"/>
      <c r="I3530" s="14"/>
      <c r="J3530" s="14"/>
      <c r="L3530"/>
    </row>
    <row r="3531" spans="1:12" x14ac:dyDescent="0.25">
      <c r="A3531" s="10"/>
      <c r="G3531"/>
      <c r="H3531" s="14"/>
      <c r="I3531" s="14"/>
      <c r="J3531" s="14"/>
      <c r="L3531"/>
    </row>
    <row r="3532" spans="1:12" x14ac:dyDescent="0.25">
      <c r="A3532" s="10"/>
      <c r="G3532"/>
      <c r="H3532" s="14"/>
      <c r="I3532" s="14"/>
      <c r="J3532" s="14"/>
      <c r="L3532"/>
    </row>
    <row r="3533" spans="1:12" x14ac:dyDescent="0.25">
      <c r="A3533" s="10"/>
      <c r="G3533"/>
      <c r="H3533" s="14"/>
      <c r="I3533" s="14"/>
      <c r="J3533" s="14"/>
      <c r="L3533"/>
    </row>
    <row r="3534" spans="1:12" x14ac:dyDescent="0.25">
      <c r="A3534" s="10"/>
      <c r="G3534"/>
      <c r="H3534" s="14"/>
      <c r="I3534" s="14"/>
      <c r="J3534" s="14"/>
      <c r="L3534"/>
    </row>
    <row r="3535" spans="1:12" x14ac:dyDescent="0.25">
      <c r="A3535" s="10"/>
      <c r="G3535"/>
      <c r="H3535" s="14"/>
      <c r="I3535" s="14"/>
      <c r="J3535" s="14"/>
      <c r="L3535"/>
    </row>
    <row r="3536" spans="1:12" x14ac:dyDescent="0.25">
      <c r="A3536" s="10"/>
      <c r="G3536"/>
      <c r="H3536" s="14"/>
      <c r="I3536" s="14"/>
      <c r="J3536" s="14"/>
      <c r="L3536"/>
    </row>
    <row r="3537" spans="1:12" x14ac:dyDescent="0.25">
      <c r="A3537" s="10"/>
      <c r="G3537"/>
      <c r="H3537" s="14"/>
      <c r="I3537" s="14"/>
      <c r="J3537" s="14"/>
      <c r="L3537"/>
    </row>
    <row r="3538" spans="1:12" x14ac:dyDescent="0.25">
      <c r="A3538" s="10"/>
      <c r="G3538"/>
      <c r="H3538" s="14"/>
      <c r="I3538" s="14"/>
      <c r="J3538" s="14"/>
      <c r="L3538"/>
    </row>
    <row r="3539" spans="1:12" x14ac:dyDescent="0.25">
      <c r="A3539" s="10"/>
      <c r="G3539"/>
      <c r="H3539" s="14"/>
      <c r="I3539" s="14"/>
      <c r="J3539" s="14"/>
      <c r="L3539"/>
    </row>
    <row r="3540" spans="1:12" x14ac:dyDescent="0.25">
      <c r="A3540" s="10"/>
      <c r="G3540"/>
      <c r="H3540" s="14"/>
      <c r="I3540" s="14"/>
      <c r="J3540" s="14"/>
      <c r="L3540"/>
    </row>
    <row r="3541" spans="1:12" x14ac:dyDescent="0.25">
      <c r="A3541" s="10"/>
      <c r="G3541"/>
      <c r="H3541" s="14"/>
      <c r="I3541" s="14"/>
      <c r="J3541" s="14"/>
      <c r="L3541"/>
    </row>
    <row r="3542" spans="1:12" x14ac:dyDescent="0.25">
      <c r="A3542" s="10"/>
      <c r="G3542"/>
      <c r="H3542" s="14"/>
      <c r="I3542" s="14"/>
      <c r="J3542" s="14"/>
      <c r="L3542"/>
    </row>
    <row r="3543" spans="1:12" x14ac:dyDescent="0.25">
      <c r="A3543" s="10"/>
      <c r="G3543"/>
      <c r="H3543" s="14"/>
      <c r="I3543" s="14"/>
      <c r="J3543" s="14"/>
      <c r="L3543"/>
    </row>
    <row r="3544" spans="1:12" x14ac:dyDescent="0.25">
      <c r="A3544" s="10"/>
      <c r="G3544"/>
      <c r="H3544" s="14"/>
      <c r="I3544" s="14"/>
      <c r="J3544" s="14"/>
      <c r="L3544"/>
    </row>
    <row r="3545" spans="1:12" x14ac:dyDescent="0.25">
      <c r="A3545" s="10"/>
      <c r="G3545"/>
      <c r="H3545" s="14"/>
      <c r="I3545" s="14"/>
      <c r="J3545" s="14"/>
      <c r="L3545"/>
    </row>
    <row r="3546" spans="1:12" x14ac:dyDescent="0.25">
      <c r="A3546" s="10"/>
      <c r="G3546"/>
      <c r="H3546" s="14"/>
      <c r="I3546" s="14"/>
      <c r="J3546" s="14"/>
      <c r="L3546"/>
    </row>
    <row r="3547" spans="1:12" x14ac:dyDescent="0.25">
      <c r="A3547" s="10"/>
      <c r="G3547"/>
      <c r="H3547" s="14"/>
      <c r="I3547" s="14"/>
      <c r="J3547" s="14"/>
      <c r="L3547"/>
    </row>
    <row r="3548" spans="1:12" x14ac:dyDescent="0.25">
      <c r="A3548" s="10"/>
      <c r="G3548"/>
      <c r="H3548" s="14"/>
      <c r="I3548" s="14"/>
      <c r="J3548" s="14"/>
      <c r="L3548"/>
    </row>
    <row r="3549" spans="1:12" x14ac:dyDescent="0.25">
      <c r="A3549" s="10"/>
      <c r="G3549"/>
      <c r="H3549" s="14"/>
      <c r="I3549" s="14"/>
      <c r="J3549" s="14"/>
      <c r="L3549"/>
    </row>
    <row r="3550" spans="1:12" x14ac:dyDescent="0.25">
      <c r="A3550" s="10"/>
      <c r="G3550"/>
      <c r="H3550" s="14"/>
      <c r="I3550" s="14"/>
      <c r="J3550" s="14"/>
      <c r="L3550"/>
    </row>
    <row r="3551" spans="1:12" x14ac:dyDescent="0.25">
      <c r="A3551" s="10"/>
      <c r="G3551"/>
      <c r="H3551" s="14"/>
      <c r="I3551" s="14"/>
      <c r="J3551" s="14"/>
      <c r="L3551"/>
    </row>
    <row r="3552" spans="1:12" x14ac:dyDescent="0.25">
      <c r="A3552" s="10"/>
      <c r="G3552"/>
      <c r="H3552" s="14"/>
      <c r="I3552" s="14"/>
      <c r="J3552" s="14"/>
      <c r="L3552"/>
    </row>
    <row r="3553" spans="1:12" x14ac:dyDescent="0.25">
      <c r="A3553" s="10"/>
      <c r="G3553"/>
      <c r="H3553" s="14"/>
      <c r="I3553" s="14"/>
      <c r="J3553" s="14"/>
      <c r="L3553"/>
    </row>
    <row r="3554" spans="1:12" x14ac:dyDescent="0.25">
      <c r="A3554" s="10"/>
      <c r="G3554"/>
      <c r="H3554" s="14"/>
      <c r="I3554" s="14"/>
      <c r="J3554" s="14"/>
      <c r="L3554"/>
    </row>
    <row r="3555" spans="1:12" x14ac:dyDescent="0.25">
      <c r="A3555" s="10"/>
      <c r="G3555"/>
      <c r="H3555" s="14"/>
      <c r="I3555" s="14"/>
      <c r="J3555" s="14"/>
      <c r="L3555"/>
    </row>
    <row r="3556" spans="1:12" x14ac:dyDescent="0.25">
      <c r="A3556" s="10"/>
      <c r="G3556"/>
      <c r="H3556" s="14"/>
      <c r="I3556" s="14"/>
      <c r="J3556" s="14"/>
      <c r="L3556"/>
    </row>
    <row r="3557" spans="1:12" x14ac:dyDescent="0.25">
      <c r="A3557" s="10"/>
      <c r="G3557"/>
      <c r="H3557" s="14"/>
      <c r="I3557" s="14"/>
      <c r="J3557" s="14"/>
      <c r="L3557"/>
    </row>
    <row r="3558" spans="1:12" x14ac:dyDescent="0.25">
      <c r="A3558" s="10"/>
      <c r="G3558"/>
      <c r="H3558" s="14"/>
      <c r="I3558" s="14"/>
      <c r="J3558" s="14"/>
      <c r="L3558"/>
    </row>
    <row r="3559" spans="1:12" x14ac:dyDescent="0.25">
      <c r="A3559" s="10"/>
      <c r="G3559"/>
      <c r="H3559" s="14"/>
      <c r="I3559" s="14"/>
      <c r="J3559" s="14"/>
      <c r="L3559"/>
    </row>
    <row r="3560" spans="1:12" x14ac:dyDescent="0.25">
      <c r="A3560" s="10"/>
      <c r="G3560"/>
      <c r="H3560" s="14"/>
      <c r="I3560" s="14"/>
      <c r="J3560" s="14"/>
      <c r="L3560"/>
    </row>
    <row r="3561" spans="1:12" x14ac:dyDescent="0.25">
      <c r="A3561" s="10"/>
      <c r="G3561"/>
      <c r="H3561" s="14"/>
      <c r="I3561" s="14"/>
      <c r="J3561" s="14"/>
      <c r="L3561"/>
    </row>
    <row r="3562" spans="1:12" x14ac:dyDescent="0.25">
      <c r="A3562" s="10"/>
      <c r="G3562"/>
      <c r="H3562" s="14"/>
      <c r="I3562" s="14"/>
      <c r="J3562" s="14"/>
      <c r="L3562"/>
    </row>
    <row r="3563" spans="1:12" x14ac:dyDescent="0.25">
      <c r="A3563" s="10"/>
      <c r="G3563"/>
      <c r="H3563" s="14"/>
      <c r="I3563" s="14"/>
      <c r="J3563" s="14"/>
      <c r="L3563"/>
    </row>
    <row r="3564" spans="1:12" x14ac:dyDescent="0.25">
      <c r="A3564" s="10"/>
      <c r="G3564"/>
      <c r="H3564" s="14"/>
      <c r="I3564" s="14"/>
      <c r="J3564" s="14"/>
      <c r="L3564"/>
    </row>
    <row r="3565" spans="1:12" x14ac:dyDescent="0.25">
      <c r="A3565" s="10"/>
      <c r="G3565"/>
      <c r="H3565" s="14"/>
      <c r="I3565" s="14"/>
      <c r="J3565" s="14"/>
      <c r="L3565"/>
    </row>
    <row r="3566" spans="1:12" x14ac:dyDescent="0.25">
      <c r="A3566" s="10"/>
      <c r="G3566"/>
      <c r="H3566" s="14"/>
      <c r="I3566" s="14"/>
      <c r="J3566" s="14"/>
      <c r="L3566"/>
    </row>
    <row r="3567" spans="1:12" x14ac:dyDescent="0.25">
      <c r="A3567" s="10"/>
      <c r="G3567"/>
      <c r="H3567" s="14"/>
      <c r="I3567" s="14"/>
      <c r="J3567" s="14"/>
      <c r="L3567"/>
    </row>
    <row r="3568" spans="1:12" x14ac:dyDescent="0.25">
      <c r="A3568" s="10"/>
      <c r="G3568"/>
      <c r="H3568" s="14"/>
      <c r="I3568" s="14"/>
      <c r="J3568" s="14"/>
      <c r="L3568"/>
    </row>
    <row r="3569" spans="1:12" x14ac:dyDescent="0.25">
      <c r="A3569" s="10"/>
      <c r="G3569"/>
      <c r="H3569" s="14"/>
      <c r="I3569" s="14"/>
      <c r="J3569" s="14"/>
      <c r="L3569"/>
    </row>
    <row r="3570" spans="1:12" x14ac:dyDescent="0.25">
      <c r="A3570" s="10"/>
      <c r="G3570"/>
      <c r="H3570" s="14"/>
      <c r="I3570" s="14"/>
      <c r="J3570" s="14"/>
      <c r="L3570"/>
    </row>
    <row r="3571" spans="1:12" x14ac:dyDescent="0.25">
      <c r="A3571" s="10"/>
      <c r="G3571"/>
      <c r="H3571" s="14"/>
      <c r="I3571" s="14"/>
      <c r="J3571" s="14"/>
      <c r="L3571"/>
    </row>
    <row r="3572" spans="1:12" x14ac:dyDescent="0.25">
      <c r="A3572" s="10"/>
      <c r="G3572"/>
      <c r="H3572" s="14"/>
      <c r="I3572" s="14"/>
      <c r="J3572" s="14"/>
      <c r="L3572"/>
    </row>
    <row r="3573" spans="1:12" x14ac:dyDescent="0.25">
      <c r="A3573" s="10"/>
      <c r="G3573"/>
      <c r="H3573" s="14"/>
      <c r="I3573" s="14"/>
      <c r="J3573" s="14"/>
      <c r="L3573"/>
    </row>
    <row r="3574" spans="1:12" x14ac:dyDescent="0.25">
      <c r="A3574" s="10"/>
      <c r="G3574"/>
      <c r="H3574" s="14"/>
      <c r="I3574" s="14"/>
      <c r="J3574" s="14"/>
      <c r="L3574"/>
    </row>
    <row r="3575" spans="1:12" x14ac:dyDescent="0.25">
      <c r="A3575" s="10"/>
      <c r="G3575"/>
      <c r="H3575" s="14"/>
      <c r="I3575" s="14"/>
      <c r="J3575" s="14"/>
      <c r="L3575"/>
    </row>
    <row r="3576" spans="1:12" x14ac:dyDescent="0.25">
      <c r="A3576" s="10"/>
      <c r="G3576"/>
      <c r="H3576" s="14"/>
      <c r="I3576" s="14"/>
      <c r="J3576" s="14"/>
      <c r="L3576"/>
    </row>
    <row r="3577" spans="1:12" x14ac:dyDescent="0.25">
      <c r="A3577" s="10"/>
      <c r="G3577"/>
      <c r="H3577" s="14"/>
      <c r="I3577" s="14"/>
      <c r="J3577" s="14"/>
      <c r="L3577"/>
    </row>
    <row r="3578" spans="1:12" x14ac:dyDescent="0.25">
      <c r="A3578" s="10"/>
      <c r="G3578"/>
      <c r="H3578" s="14"/>
      <c r="I3578" s="14"/>
      <c r="J3578" s="14"/>
      <c r="L3578"/>
    </row>
    <row r="3579" spans="1:12" x14ac:dyDescent="0.25">
      <c r="A3579" s="10"/>
      <c r="G3579"/>
      <c r="H3579" s="14"/>
      <c r="I3579" s="14"/>
      <c r="J3579" s="14"/>
      <c r="L3579"/>
    </row>
    <row r="3580" spans="1:12" x14ac:dyDescent="0.25">
      <c r="A3580" s="10"/>
      <c r="G3580"/>
      <c r="H3580" s="14"/>
      <c r="I3580" s="14"/>
      <c r="J3580" s="14"/>
      <c r="L3580"/>
    </row>
    <row r="3581" spans="1:12" x14ac:dyDescent="0.25">
      <c r="A3581" s="10"/>
      <c r="G3581"/>
      <c r="H3581" s="14"/>
      <c r="I3581" s="14"/>
      <c r="J3581" s="14"/>
      <c r="L3581"/>
    </row>
    <row r="3582" spans="1:12" x14ac:dyDescent="0.25">
      <c r="A3582" s="10"/>
      <c r="G3582"/>
      <c r="H3582" s="14"/>
      <c r="I3582" s="14"/>
      <c r="J3582" s="14"/>
      <c r="L3582"/>
    </row>
    <row r="3583" spans="1:12" x14ac:dyDescent="0.25">
      <c r="A3583" s="10"/>
      <c r="G3583"/>
      <c r="H3583" s="14"/>
      <c r="I3583" s="14"/>
      <c r="J3583" s="14"/>
      <c r="L3583"/>
    </row>
    <row r="3584" spans="1:12" x14ac:dyDescent="0.25">
      <c r="A3584" s="10"/>
      <c r="G3584"/>
      <c r="H3584" s="14"/>
      <c r="I3584" s="14"/>
      <c r="J3584" s="14"/>
      <c r="L3584"/>
    </row>
    <row r="3585" spans="1:12" x14ac:dyDescent="0.25">
      <c r="A3585" s="10"/>
      <c r="G3585"/>
      <c r="H3585" s="14"/>
      <c r="I3585" s="14"/>
      <c r="J3585" s="14"/>
      <c r="L3585"/>
    </row>
    <row r="3586" spans="1:12" x14ac:dyDescent="0.25">
      <c r="A3586" s="10"/>
      <c r="G3586"/>
      <c r="H3586" s="14"/>
      <c r="I3586" s="14"/>
      <c r="J3586" s="14"/>
      <c r="L3586"/>
    </row>
    <row r="3587" spans="1:12" x14ac:dyDescent="0.25">
      <c r="A3587" s="10"/>
      <c r="G3587"/>
      <c r="H3587" s="14"/>
      <c r="I3587" s="14"/>
      <c r="J3587" s="14"/>
      <c r="L3587"/>
    </row>
    <row r="3588" spans="1:12" x14ac:dyDescent="0.25">
      <c r="A3588" s="10"/>
      <c r="G3588"/>
      <c r="H3588" s="14"/>
      <c r="I3588" s="14"/>
      <c r="J3588" s="14"/>
      <c r="L3588"/>
    </row>
    <row r="3589" spans="1:12" x14ac:dyDescent="0.25">
      <c r="A3589" s="10"/>
      <c r="G3589"/>
      <c r="H3589" s="14"/>
      <c r="I3589" s="14"/>
      <c r="J3589" s="14"/>
      <c r="L3589"/>
    </row>
    <row r="3590" spans="1:12" x14ac:dyDescent="0.25">
      <c r="A3590" s="10"/>
      <c r="G3590"/>
      <c r="H3590" s="14"/>
      <c r="I3590" s="14"/>
      <c r="J3590" s="14"/>
      <c r="L3590"/>
    </row>
    <row r="3591" spans="1:12" x14ac:dyDescent="0.25">
      <c r="A3591" s="10"/>
      <c r="G3591"/>
      <c r="H3591" s="14"/>
      <c r="I3591" s="14"/>
      <c r="J3591" s="14"/>
      <c r="L3591"/>
    </row>
    <row r="3592" spans="1:12" x14ac:dyDescent="0.25">
      <c r="A3592" s="10"/>
      <c r="G3592"/>
      <c r="H3592" s="14"/>
      <c r="I3592" s="14"/>
      <c r="J3592" s="14"/>
      <c r="L3592"/>
    </row>
    <row r="3593" spans="1:12" x14ac:dyDescent="0.25">
      <c r="A3593" s="10"/>
      <c r="G3593"/>
      <c r="H3593" s="14"/>
      <c r="I3593" s="14"/>
      <c r="J3593" s="14"/>
      <c r="L3593"/>
    </row>
    <row r="3594" spans="1:12" x14ac:dyDescent="0.25">
      <c r="A3594" s="10"/>
      <c r="G3594"/>
      <c r="H3594" s="14"/>
      <c r="I3594" s="14"/>
      <c r="J3594" s="14"/>
      <c r="L3594"/>
    </row>
    <row r="3595" spans="1:12" x14ac:dyDescent="0.25">
      <c r="A3595" s="10"/>
      <c r="G3595"/>
      <c r="H3595" s="14"/>
      <c r="I3595" s="14"/>
      <c r="J3595" s="14"/>
      <c r="L3595"/>
    </row>
    <row r="3596" spans="1:12" x14ac:dyDescent="0.25">
      <c r="A3596" s="10"/>
      <c r="G3596"/>
      <c r="H3596" s="14"/>
      <c r="I3596" s="14"/>
      <c r="J3596" s="14"/>
      <c r="L3596"/>
    </row>
    <row r="3597" spans="1:12" x14ac:dyDescent="0.25">
      <c r="A3597" s="10"/>
      <c r="G3597"/>
      <c r="H3597" s="14"/>
      <c r="I3597" s="14"/>
      <c r="J3597" s="14"/>
      <c r="L3597"/>
    </row>
    <row r="3598" spans="1:12" x14ac:dyDescent="0.25">
      <c r="A3598" s="10"/>
      <c r="G3598"/>
      <c r="H3598" s="14"/>
      <c r="I3598" s="14"/>
      <c r="J3598" s="14"/>
      <c r="L3598"/>
    </row>
    <row r="3599" spans="1:12" x14ac:dyDescent="0.25">
      <c r="A3599" s="10"/>
      <c r="G3599"/>
      <c r="H3599" s="14"/>
      <c r="I3599" s="14"/>
      <c r="J3599" s="14"/>
      <c r="L3599"/>
    </row>
    <row r="3600" spans="1:12" x14ac:dyDescent="0.25">
      <c r="A3600" s="10"/>
      <c r="G3600"/>
      <c r="H3600" s="14"/>
      <c r="I3600" s="14"/>
      <c r="J3600" s="14"/>
      <c r="L3600"/>
    </row>
    <row r="3601" spans="1:12" x14ac:dyDescent="0.25">
      <c r="A3601" s="10"/>
      <c r="G3601"/>
      <c r="H3601" s="14"/>
      <c r="I3601" s="14"/>
      <c r="J3601" s="14"/>
      <c r="L3601"/>
    </row>
    <row r="3602" spans="1:12" x14ac:dyDescent="0.25">
      <c r="A3602" s="10"/>
      <c r="G3602"/>
      <c r="H3602" s="14"/>
      <c r="I3602" s="14"/>
      <c r="J3602" s="14"/>
      <c r="L3602"/>
    </row>
    <row r="3603" spans="1:12" x14ac:dyDescent="0.25">
      <c r="A3603" s="10"/>
      <c r="G3603"/>
      <c r="H3603" s="14"/>
      <c r="I3603" s="14"/>
      <c r="J3603" s="14"/>
      <c r="L3603"/>
    </row>
    <row r="3604" spans="1:12" x14ac:dyDescent="0.25">
      <c r="A3604" s="10"/>
      <c r="G3604"/>
      <c r="H3604" s="14"/>
      <c r="I3604" s="14"/>
      <c r="J3604" s="14"/>
      <c r="L3604"/>
    </row>
    <row r="3605" spans="1:12" x14ac:dyDescent="0.25">
      <c r="A3605" s="10"/>
      <c r="G3605"/>
      <c r="H3605" s="14"/>
      <c r="I3605" s="14"/>
      <c r="J3605" s="14"/>
      <c r="L3605"/>
    </row>
    <row r="3606" spans="1:12" x14ac:dyDescent="0.25">
      <c r="A3606" s="10"/>
      <c r="G3606"/>
      <c r="H3606" s="14"/>
      <c r="I3606" s="14"/>
      <c r="J3606" s="14"/>
      <c r="L3606"/>
    </row>
    <row r="3607" spans="1:12" x14ac:dyDescent="0.25">
      <c r="A3607" s="10"/>
      <c r="G3607"/>
      <c r="H3607" s="14"/>
      <c r="I3607" s="14"/>
      <c r="J3607" s="14"/>
      <c r="L3607"/>
    </row>
    <row r="3608" spans="1:12" x14ac:dyDescent="0.25">
      <c r="A3608" s="10"/>
      <c r="G3608"/>
      <c r="H3608" s="14"/>
      <c r="I3608" s="14"/>
      <c r="J3608" s="14"/>
      <c r="L3608"/>
    </row>
    <row r="3609" spans="1:12" x14ac:dyDescent="0.25">
      <c r="A3609" s="10"/>
      <c r="G3609"/>
      <c r="H3609" s="14"/>
      <c r="I3609" s="14"/>
      <c r="J3609" s="14"/>
      <c r="L3609"/>
    </row>
    <row r="3610" spans="1:12" x14ac:dyDescent="0.25">
      <c r="A3610" s="10"/>
      <c r="G3610"/>
      <c r="H3610" s="14"/>
      <c r="I3610" s="14"/>
      <c r="J3610" s="14"/>
      <c r="L3610"/>
    </row>
    <row r="3611" spans="1:12" x14ac:dyDescent="0.25">
      <c r="A3611" s="10"/>
      <c r="G3611"/>
      <c r="H3611" s="14"/>
      <c r="I3611" s="14"/>
      <c r="J3611" s="14"/>
      <c r="L3611"/>
    </row>
    <row r="3612" spans="1:12" x14ac:dyDescent="0.25">
      <c r="A3612" s="10"/>
      <c r="G3612"/>
      <c r="H3612" s="14"/>
      <c r="I3612" s="14"/>
      <c r="J3612" s="14"/>
      <c r="L3612"/>
    </row>
    <row r="3613" spans="1:12" x14ac:dyDescent="0.25">
      <c r="A3613" s="10"/>
      <c r="G3613"/>
      <c r="H3613" s="14"/>
      <c r="I3613" s="14"/>
      <c r="J3613" s="14"/>
      <c r="L3613"/>
    </row>
    <row r="3614" spans="1:12" x14ac:dyDescent="0.25">
      <c r="A3614" s="10"/>
      <c r="G3614"/>
      <c r="H3614" s="14"/>
      <c r="I3614" s="14"/>
      <c r="J3614" s="14"/>
      <c r="L3614"/>
    </row>
    <row r="3615" spans="1:12" x14ac:dyDescent="0.25">
      <c r="A3615" s="10"/>
      <c r="G3615"/>
      <c r="H3615" s="14"/>
      <c r="I3615" s="14"/>
      <c r="J3615" s="14"/>
      <c r="L3615"/>
    </row>
    <row r="3616" spans="1:12" x14ac:dyDescent="0.25">
      <c r="A3616" s="10"/>
      <c r="G3616"/>
      <c r="H3616" s="14"/>
      <c r="I3616" s="14"/>
      <c r="J3616" s="14"/>
      <c r="L3616"/>
    </row>
    <row r="3617" spans="1:12" x14ac:dyDescent="0.25">
      <c r="A3617" s="10"/>
      <c r="G3617"/>
      <c r="H3617" s="14"/>
      <c r="I3617" s="14"/>
      <c r="J3617" s="14"/>
      <c r="L3617"/>
    </row>
    <row r="3618" spans="1:12" x14ac:dyDescent="0.25">
      <c r="A3618" s="10"/>
      <c r="G3618"/>
      <c r="H3618" s="14"/>
      <c r="I3618" s="14"/>
      <c r="J3618" s="14"/>
      <c r="L3618"/>
    </row>
    <row r="3619" spans="1:12" x14ac:dyDescent="0.25">
      <c r="A3619" s="10"/>
      <c r="G3619"/>
      <c r="H3619" s="14"/>
      <c r="I3619" s="14"/>
      <c r="J3619" s="14"/>
      <c r="L3619"/>
    </row>
    <row r="3620" spans="1:12" x14ac:dyDescent="0.25">
      <c r="A3620" s="10"/>
      <c r="G3620"/>
      <c r="H3620" s="14"/>
      <c r="I3620" s="14"/>
      <c r="J3620" s="14"/>
      <c r="L3620"/>
    </row>
    <row r="3621" spans="1:12" x14ac:dyDescent="0.25">
      <c r="A3621" s="10"/>
      <c r="G3621"/>
      <c r="H3621" s="14"/>
      <c r="I3621" s="14"/>
      <c r="J3621" s="14"/>
      <c r="L3621"/>
    </row>
    <row r="3622" spans="1:12" x14ac:dyDescent="0.25">
      <c r="A3622" s="10"/>
      <c r="G3622"/>
      <c r="H3622" s="14"/>
      <c r="I3622" s="14"/>
      <c r="J3622" s="14"/>
      <c r="L3622"/>
    </row>
    <row r="3623" spans="1:12" x14ac:dyDescent="0.25">
      <c r="A3623" s="10"/>
      <c r="G3623"/>
      <c r="H3623" s="14"/>
      <c r="I3623" s="14"/>
      <c r="J3623" s="14"/>
      <c r="L3623"/>
    </row>
    <row r="3624" spans="1:12" x14ac:dyDescent="0.25">
      <c r="A3624" s="10"/>
      <c r="G3624"/>
      <c r="H3624" s="14"/>
      <c r="I3624" s="14"/>
      <c r="J3624" s="14"/>
      <c r="L3624"/>
    </row>
    <row r="3625" spans="1:12" x14ac:dyDescent="0.25">
      <c r="A3625" s="10"/>
      <c r="G3625"/>
      <c r="H3625" s="14"/>
      <c r="I3625" s="14"/>
      <c r="J3625" s="14"/>
      <c r="L3625"/>
    </row>
    <row r="3626" spans="1:12" x14ac:dyDescent="0.25">
      <c r="A3626" s="10"/>
      <c r="G3626"/>
      <c r="H3626" s="14"/>
      <c r="I3626" s="14"/>
      <c r="J3626" s="14"/>
      <c r="L3626"/>
    </row>
    <row r="3627" spans="1:12" x14ac:dyDescent="0.25">
      <c r="A3627" s="10"/>
      <c r="G3627"/>
      <c r="H3627" s="14"/>
      <c r="I3627" s="14"/>
      <c r="J3627" s="14"/>
      <c r="L3627"/>
    </row>
    <row r="3628" spans="1:12" x14ac:dyDescent="0.25">
      <c r="A3628" s="10"/>
      <c r="G3628"/>
      <c r="H3628" s="14"/>
      <c r="I3628" s="14"/>
      <c r="J3628" s="14"/>
      <c r="L3628"/>
    </row>
    <row r="3629" spans="1:12" x14ac:dyDescent="0.25">
      <c r="A3629" s="10"/>
      <c r="G3629"/>
      <c r="H3629" s="14"/>
      <c r="I3629" s="14"/>
      <c r="J3629" s="14"/>
      <c r="L3629"/>
    </row>
    <row r="3630" spans="1:12" x14ac:dyDescent="0.25">
      <c r="A3630" s="10"/>
      <c r="G3630"/>
      <c r="H3630" s="14"/>
      <c r="I3630" s="14"/>
      <c r="J3630" s="14"/>
      <c r="L3630"/>
    </row>
    <row r="3631" spans="1:12" x14ac:dyDescent="0.25">
      <c r="A3631" s="10"/>
      <c r="G3631"/>
      <c r="H3631" s="14"/>
      <c r="I3631" s="14"/>
      <c r="J3631" s="14"/>
      <c r="L3631"/>
    </row>
    <row r="3632" spans="1:12" x14ac:dyDescent="0.25">
      <c r="A3632" s="10"/>
      <c r="G3632"/>
      <c r="H3632" s="14"/>
      <c r="I3632" s="14"/>
      <c r="J3632" s="14"/>
      <c r="L3632"/>
    </row>
    <row r="3633" spans="1:12" x14ac:dyDescent="0.25">
      <c r="A3633" s="10"/>
      <c r="G3633"/>
      <c r="H3633" s="14"/>
      <c r="I3633" s="14"/>
      <c r="J3633" s="14"/>
      <c r="L3633"/>
    </row>
    <row r="3634" spans="1:12" x14ac:dyDescent="0.25">
      <c r="A3634" s="10"/>
      <c r="G3634"/>
      <c r="H3634" s="14"/>
      <c r="I3634" s="14"/>
      <c r="J3634" s="14"/>
      <c r="L3634"/>
    </row>
    <row r="3635" spans="1:12" x14ac:dyDescent="0.25">
      <c r="A3635" s="10"/>
      <c r="G3635"/>
      <c r="H3635" s="14"/>
      <c r="I3635" s="14"/>
      <c r="J3635" s="14"/>
      <c r="L3635"/>
    </row>
    <row r="3636" spans="1:12" x14ac:dyDescent="0.25">
      <c r="A3636" s="10"/>
      <c r="G3636"/>
      <c r="H3636" s="14"/>
      <c r="I3636" s="14"/>
      <c r="J3636" s="14"/>
      <c r="L3636"/>
    </row>
    <row r="3637" spans="1:12" x14ac:dyDescent="0.25">
      <c r="A3637" s="10"/>
      <c r="G3637"/>
      <c r="H3637" s="14"/>
      <c r="I3637" s="14"/>
      <c r="J3637" s="14"/>
      <c r="L3637"/>
    </row>
    <row r="3638" spans="1:12" x14ac:dyDescent="0.25">
      <c r="A3638" s="10"/>
      <c r="G3638"/>
      <c r="H3638" s="14"/>
      <c r="I3638" s="14"/>
      <c r="J3638" s="14"/>
      <c r="L3638"/>
    </row>
    <row r="3639" spans="1:12" x14ac:dyDescent="0.25">
      <c r="A3639" s="10"/>
      <c r="G3639"/>
      <c r="H3639" s="14"/>
      <c r="I3639" s="14"/>
      <c r="J3639" s="14"/>
      <c r="L3639"/>
    </row>
    <row r="3640" spans="1:12" x14ac:dyDescent="0.25">
      <c r="A3640" s="10"/>
      <c r="G3640"/>
      <c r="H3640" s="14"/>
      <c r="I3640" s="14"/>
      <c r="J3640" s="14"/>
      <c r="L3640"/>
    </row>
    <row r="3641" spans="1:12" x14ac:dyDescent="0.25">
      <c r="A3641" s="10"/>
      <c r="G3641"/>
      <c r="H3641" s="14"/>
      <c r="I3641" s="14"/>
      <c r="J3641" s="14"/>
      <c r="L3641"/>
    </row>
    <row r="3642" spans="1:12" x14ac:dyDescent="0.25">
      <c r="A3642" s="10"/>
      <c r="G3642"/>
      <c r="H3642" s="14"/>
      <c r="I3642" s="14"/>
      <c r="J3642" s="14"/>
      <c r="L3642"/>
    </row>
    <row r="3643" spans="1:12" x14ac:dyDescent="0.25">
      <c r="A3643" s="10"/>
      <c r="G3643"/>
      <c r="H3643" s="14"/>
      <c r="I3643" s="14"/>
      <c r="J3643" s="14"/>
      <c r="L3643"/>
    </row>
    <row r="3644" spans="1:12" x14ac:dyDescent="0.25">
      <c r="A3644" s="10"/>
      <c r="G3644"/>
      <c r="H3644" s="14"/>
      <c r="I3644" s="14"/>
      <c r="J3644" s="14"/>
      <c r="L3644"/>
    </row>
    <row r="3645" spans="1:12" x14ac:dyDescent="0.25">
      <c r="A3645" s="10"/>
      <c r="G3645"/>
      <c r="H3645" s="14"/>
      <c r="I3645" s="14"/>
      <c r="J3645" s="14"/>
      <c r="L3645"/>
    </row>
    <row r="3646" spans="1:12" x14ac:dyDescent="0.25">
      <c r="A3646" s="10"/>
      <c r="G3646"/>
      <c r="H3646" s="14"/>
      <c r="I3646" s="14"/>
      <c r="J3646" s="14"/>
      <c r="L3646"/>
    </row>
    <row r="3647" spans="1:12" x14ac:dyDescent="0.25">
      <c r="A3647" s="10"/>
      <c r="G3647"/>
      <c r="H3647" s="14"/>
      <c r="I3647" s="14"/>
      <c r="J3647" s="14"/>
      <c r="L3647"/>
    </row>
    <row r="3648" spans="1:12" x14ac:dyDescent="0.25">
      <c r="A3648" s="10"/>
      <c r="G3648"/>
      <c r="H3648" s="14"/>
      <c r="I3648" s="14"/>
      <c r="J3648" s="14"/>
      <c r="L3648"/>
    </row>
    <row r="3649" spans="1:12" x14ac:dyDescent="0.25">
      <c r="A3649" s="10"/>
      <c r="G3649"/>
      <c r="H3649" s="14"/>
      <c r="I3649" s="14"/>
      <c r="J3649" s="14"/>
      <c r="L3649"/>
    </row>
    <row r="3650" spans="1:12" x14ac:dyDescent="0.25">
      <c r="A3650" s="10"/>
      <c r="G3650"/>
      <c r="H3650" s="14"/>
      <c r="I3650" s="14"/>
      <c r="J3650" s="14"/>
      <c r="L3650"/>
    </row>
    <row r="3651" spans="1:12" x14ac:dyDescent="0.25">
      <c r="A3651" s="10"/>
      <c r="G3651"/>
      <c r="H3651" s="14"/>
      <c r="I3651" s="14"/>
      <c r="J3651" s="14"/>
      <c r="L3651"/>
    </row>
    <row r="3652" spans="1:12" x14ac:dyDescent="0.25">
      <c r="A3652" s="10"/>
      <c r="G3652"/>
      <c r="H3652" s="14"/>
      <c r="I3652" s="14"/>
      <c r="J3652" s="14"/>
      <c r="L3652"/>
    </row>
    <row r="3653" spans="1:12" x14ac:dyDescent="0.25">
      <c r="A3653" s="10"/>
      <c r="G3653"/>
      <c r="H3653" s="14"/>
      <c r="I3653" s="14"/>
      <c r="J3653" s="14"/>
      <c r="L3653"/>
    </row>
    <row r="3654" spans="1:12" x14ac:dyDescent="0.25">
      <c r="A3654" s="10"/>
      <c r="G3654"/>
      <c r="H3654" s="14"/>
      <c r="I3654" s="14"/>
      <c r="J3654" s="14"/>
      <c r="L3654"/>
    </row>
    <row r="3655" spans="1:12" x14ac:dyDescent="0.25">
      <c r="A3655" s="10"/>
      <c r="G3655"/>
      <c r="H3655" s="14"/>
      <c r="I3655" s="14"/>
      <c r="J3655" s="14"/>
      <c r="L3655"/>
    </row>
    <row r="3656" spans="1:12" x14ac:dyDescent="0.25">
      <c r="A3656" s="10"/>
      <c r="G3656"/>
      <c r="H3656" s="14"/>
      <c r="I3656" s="14"/>
      <c r="J3656" s="14"/>
      <c r="L3656"/>
    </row>
    <row r="3657" spans="1:12" x14ac:dyDescent="0.25">
      <c r="A3657" s="10"/>
      <c r="G3657"/>
      <c r="H3657" s="14"/>
      <c r="I3657" s="14"/>
      <c r="J3657" s="14"/>
      <c r="L3657"/>
    </row>
    <row r="3658" spans="1:12" x14ac:dyDescent="0.25">
      <c r="A3658" s="10"/>
      <c r="G3658"/>
      <c r="H3658" s="14"/>
      <c r="I3658" s="14"/>
      <c r="J3658" s="14"/>
      <c r="L3658"/>
    </row>
    <row r="3659" spans="1:12" x14ac:dyDescent="0.25">
      <c r="A3659" s="10"/>
      <c r="G3659"/>
      <c r="H3659" s="14"/>
      <c r="I3659" s="14"/>
      <c r="J3659" s="14"/>
      <c r="L3659"/>
    </row>
    <row r="3660" spans="1:12" x14ac:dyDescent="0.25">
      <c r="A3660" s="10"/>
      <c r="G3660"/>
      <c r="H3660" s="14"/>
      <c r="I3660" s="14"/>
      <c r="J3660" s="14"/>
      <c r="L3660"/>
    </row>
    <row r="3661" spans="1:12" x14ac:dyDescent="0.25">
      <c r="A3661" s="10"/>
      <c r="G3661"/>
      <c r="H3661" s="14"/>
      <c r="I3661" s="14"/>
      <c r="J3661" s="14"/>
      <c r="L3661"/>
    </row>
    <row r="3662" spans="1:12" x14ac:dyDescent="0.25">
      <c r="A3662" s="10"/>
      <c r="G3662"/>
      <c r="H3662" s="14"/>
      <c r="I3662" s="14"/>
      <c r="J3662" s="14"/>
      <c r="L3662"/>
    </row>
    <row r="3663" spans="1:12" x14ac:dyDescent="0.25">
      <c r="A3663" s="10"/>
      <c r="G3663"/>
      <c r="H3663" s="14"/>
      <c r="I3663" s="14"/>
      <c r="J3663" s="14"/>
      <c r="L3663"/>
    </row>
    <row r="3664" spans="1:12" x14ac:dyDescent="0.25">
      <c r="A3664" s="10"/>
      <c r="G3664"/>
      <c r="H3664" s="14"/>
      <c r="I3664" s="14"/>
      <c r="J3664" s="14"/>
      <c r="L3664"/>
    </row>
    <row r="3665" spans="1:12" x14ac:dyDescent="0.25">
      <c r="A3665" s="10"/>
      <c r="G3665"/>
      <c r="H3665" s="14"/>
      <c r="I3665" s="14"/>
      <c r="J3665" s="14"/>
      <c r="L3665"/>
    </row>
    <row r="3666" spans="1:12" x14ac:dyDescent="0.25">
      <c r="A3666" s="10"/>
      <c r="G3666"/>
      <c r="H3666" s="14"/>
      <c r="I3666" s="14"/>
      <c r="J3666" s="14"/>
      <c r="L3666"/>
    </row>
    <row r="3667" spans="1:12" x14ac:dyDescent="0.25">
      <c r="A3667" s="10"/>
      <c r="G3667"/>
      <c r="H3667" s="14"/>
      <c r="I3667" s="14"/>
      <c r="J3667" s="14"/>
      <c r="L3667"/>
    </row>
    <row r="3668" spans="1:12" x14ac:dyDescent="0.25">
      <c r="A3668" s="10"/>
      <c r="G3668"/>
      <c r="H3668" s="14"/>
      <c r="I3668" s="14"/>
      <c r="J3668" s="14"/>
      <c r="L3668"/>
    </row>
    <row r="3669" spans="1:12" x14ac:dyDescent="0.25">
      <c r="A3669" s="10"/>
      <c r="G3669"/>
      <c r="H3669" s="14"/>
      <c r="I3669" s="14"/>
      <c r="J3669" s="14"/>
      <c r="L3669"/>
    </row>
    <row r="3670" spans="1:12" x14ac:dyDescent="0.25">
      <c r="A3670" s="10"/>
      <c r="G3670"/>
      <c r="H3670" s="14"/>
      <c r="I3670" s="14"/>
      <c r="J3670" s="14"/>
      <c r="L3670"/>
    </row>
    <row r="3671" spans="1:12" x14ac:dyDescent="0.25">
      <c r="A3671" s="10"/>
      <c r="G3671"/>
      <c r="H3671" s="14"/>
      <c r="I3671" s="14"/>
      <c r="J3671" s="14"/>
      <c r="L3671"/>
    </row>
    <row r="3672" spans="1:12" x14ac:dyDescent="0.25">
      <c r="A3672" s="10"/>
      <c r="G3672"/>
      <c r="H3672" s="14"/>
      <c r="I3672" s="14"/>
      <c r="J3672" s="14"/>
      <c r="L3672"/>
    </row>
    <row r="3673" spans="1:12" x14ac:dyDescent="0.25">
      <c r="A3673" s="10"/>
      <c r="G3673"/>
      <c r="H3673" s="14"/>
      <c r="I3673" s="14"/>
      <c r="J3673" s="14"/>
      <c r="L3673"/>
    </row>
    <row r="3674" spans="1:12" x14ac:dyDescent="0.25">
      <c r="A3674" s="10"/>
      <c r="G3674"/>
      <c r="H3674" s="14"/>
      <c r="I3674" s="14"/>
      <c r="J3674" s="14"/>
      <c r="L3674"/>
    </row>
    <row r="3675" spans="1:12" x14ac:dyDescent="0.25">
      <c r="A3675" s="10"/>
      <c r="G3675"/>
      <c r="H3675" s="14"/>
      <c r="I3675" s="14"/>
      <c r="J3675" s="14"/>
      <c r="L3675"/>
    </row>
    <row r="3676" spans="1:12" x14ac:dyDescent="0.25">
      <c r="A3676" s="10"/>
      <c r="G3676"/>
      <c r="H3676" s="14"/>
      <c r="I3676" s="14"/>
      <c r="J3676" s="14"/>
      <c r="L3676"/>
    </row>
    <row r="3677" spans="1:12" x14ac:dyDescent="0.25">
      <c r="A3677" s="10"/>
      <c r="G3677"/>
      <c r="H3677" s="14"/>
      <c r="I3677" s="14"/>
      <c r="J3677" s="14"/>
      <c r="L3677"/>
    </row>
    <row r="3678" spans="1:12" x14ac:dyDescent="0.25">
      <c r="A3678" s="10"/>
      <c r="G3678"/>
      <c r="H3678" s="14"/>
      <c r="I3678" s="14"/>
      <c r="J3678" s="14"/>
      <c r="L3678"/>
    </row>
    <row r="3679" spans="1:12" x14ac:dyDescent="0.25">
      <c r="A3679" s="10"/>
      <c r="G3679"/>
      <c r="H3679" s="14"/>
      <c r="I3679" s="14"/>
      <c r="J3679" s="14"/>
      <c r="L3679"/>
    </row>
    <row r="3680" spans="1:12" x14ac:dyDescent="0.25">
      <c r="A3680" s="10"/>
      <c r="G3680"/>
      <c r="H3680" s="14"/>
      <c r="I3680" s="14"/>
      <c r="J3680" s="14"/>
      <c r="L3680"/>
    </row>
    <row r="3681" spans="1:12" x14ac:dyDescent="0.25">
      <c r="A3681" s="10"/>
      <c r="G3681"/>
      <c r="H3681" s="14"/>
      <c r="I3681" s="14"/>
      <c r="J3681" s="14"/>
      <c r="L3681"/>
    </row>
    <row r="3682" spans="1:12" x14ac:dyDescent="0.25">
      <c r="A3682" s="10"/>
      <c r="G3682"/>
      <c r="H3682" s="14"/>
      <c r="I3682" s="14"/>
      <c r="J3682" s="14"/>
      <c r="L3682"/>
    </row>
    <row r="3683" spans="1:12" x14ac:dyDescent="0.25">
      <c r="A3683" s="10"/>
      <c r="G3683"/>
      <c r="H3683" s="14"/>
      <c r="I3683" s="14"/>
      <c r="J3683" s="14"/>
      <c r="L3683"/>
    </row>
    <row r="3684" spans="1:12" x14ac:dyDescent="0.25">
      <c r="A3684" s="10"/>
      <c r="G3684"/>
      <c r="H3684" s="14"/>
      <c r="I3684" s="14"/>
      <c r="J3684" s="14"/>
      <c r="L3684"/>
    </row>
    <row r="3685" spans="1:12" x14ac:dyDescent="0.25">
      <c r="A3685" s="10"/>
      <c r="G3685"/>
      <c r="H3685" s="14"/>
      <c r="I3685" s="14"/>
      <c r="J3685" s="14"/>
      <c r="L3685"/>
    </row>
    <row r="3686" spans="1:12" x14ac:dyDescent="0.25">
      <c r="A3686" s="10"/>
      <c r="G3686"/>
      <c r="H3686" s="14"/>
      <c r="I3686" s="14"/>
      <c r="J3686" s="14"/>
      <c r="L3686"/>
    </row>
    <row r="3687" spans="1:12" x14ac:dyDescent="0.25">
      <c r="A3687" s="10"/>
      <c r="G3687"/>
      <c r="H3687" s="14"/>
      <c r="I3687" s="14"/>
      <c r="J3687" s="14"/>
      <c r="L3687"/>
    </row>
    <row r="3688" spans="1:12" x14ac:dyDescent="0.25">
      <c r="A3688" s="10"/>
      <c r="G3688"/>
      <c r="H3688" s="14"/>
      <c r="I3688" s="14"/>
      <c r="J3688" s="14"/>
      <c r="L3688"/>
    </row>
    <row r="3689" spans="1:12" x14ac:dyDescent="0.25">
      <c r="A3689" s="10"/>
      <c r="G3689"/>
      <c r="H3689" s="14"/>
      <c r="I3689" s="14"/>
      <c r="J3689" s="14"/>
      <c r="L3689"/>
    </row>
    <row r="3690" spans="1:12" x14ac:dyDescent="0.25">
      <c r="A3690" s="10"/>
      <c r="G3690"/>
      <c r="H3690" s="14"/>
      <c r="I3690" s="14"/>
      <c r="J3690" s="14"/>
      <c r="L3690"/>
    </row>
    <row r="3691" spans="1:12" x14ac:dyDescent="0.25">
      <c r="A3691" s="10"/>
      <c r="G3691"/>
      <c r="H3691" s="14"/>
      <c r="I3691" s="14"/>
      <c r="J3691" s="14"/>
      <c r="L3691"/>
    </row>
    <row r="3692" spans="1:12" x14ac:dyDescent="0.25">
      <c r="A3692" s="10"/>
      <c r="G3692"/>
      <c r="H3692" s="14"/>
      <c r="I3692" s="14"/>
      <c r="J3692" s="14"/>
      <c r="L3692"/>
    </row>
    <row r="3693" spans="1:12" x14ac:dyDescent="0.25">
      <c r="A3693" s="10"/>
      <c r="G3693"/>
      <c r="H3693" s="14"/>
      <c r="I3693" s="14"/>
      <c r="J3693" s="14"/>
      <c r="L3693"/>
    </row>
    <row r="3694" spans="1:12" x14ac:dyDescent="0.25">
      <c r="A3694" s="10"/>
      <c r="G3694"/>
      <c r="H3694" s="14"/>
      <c r="I3694" s="14"/>
      <c r="J3694" s="14"/>
      <c r="L3694"/>
    </row>
    <row r="3695" spans="1:12" x14ac:dyDescent="0.25">
      <c r="A3695" s="10"/>
      <c r="G3695"/>
      <c r="H3695" s="14"/>
      <c r="I3695" s="14"/>
      <c r="J3695" s="14"/>
      <c r="L3695"/>
    </row>
    <row r="3696" spans="1:12" x14ac:dyDescent="0.25">
      <c r="A3696" s="10"/>
      <c r="G3696"/>
      <c r="H3696" s="14"/>
      <c r="I3696" s="14"/>
      <c r="J3696" s="14"/>
      <c r="L3696"/>
    </row>
    <row r="3697" spans="1:12" x14ac:dyDescent="0.25">
      <c r="A3697" s="10"/>
      <c r="G3697"/>
      <c r="H3697" s="14"/>
      <c r="I3697" s="14"/>
      <c r="J3697" s="14"/>
      <c r="L3697"/>
    </row>
    <row r="3698" spans="1:12" x14ac:dyDescent="0.25">
      <c r="A3698" s="10"/>
      <c r="G3698"/>
      <c r="H3698" s="14"/>
      <c r="I3698" s="14"/>
      <c r="J3698" s="14"/>
      <c r="L3698"/>
    </row>
    <row r="3699" spans="1:12" x14ac:dyDescent="0.25">
      <c r="A3699" s="10"/>
      <c r="G3699"/>
      <c r="H3699" s="14"/>
      <c r="I3699" s="14"/>
      <c r="J3699" s="14"/>
      <c r="L3699"/>
    </row>
    <row r="3700" spans="1:12" x14ac:dyDescent="0.25">
      <c r="A3700" s="10"/>
      <c r="G3700"/>
      <c r="H3700" s="14"/>
      <c r="I3700" s="14"/>
      <c r="J3700" s="14"/>
      <c r="L3700"/>
    </row>
    <row r="3701" spans="1:12" x14ac:dyDescent="0.25">
      <c r="A3701" s="10"/>
      <c r="G3701"/>
      <c r="H3701" s="14"/>
      <c r="I3701" s="14"/>
      <c r="J3701" s="14"/>
      <c r="L3701"/>
    </row>
    <row r="3702" spans="1:12" x14ac:dyDescent="0.25">
      <c r="A3702" s="10"/>
      <c r="G3702"/>
      <c r="H3702" s="14"/>
      <c r="I3702" s="14"/>
      <c r="J3702" s="14"/>
      <c r="L3702"/>
    </row>
    <row r="3703" spans="1:12" x14ac:dyDescent="0.25">
      <c r="A3703" s="10"/>
      <c r="G3703"/>
      <c r="H3703" s="14"/>
      <c r="I3703" s="14"/>
      <c r="J3703" s="14"/>
      <c r="L3703"/>
    </row>
    <row r="3704" spans="1:12" x14ac:dyDescent="0.25">
      <c r="A3704" s="10"/>
      <c r="G3704"/>
      <c r="H3704" s="14"/>
      <c r="I3704" s="14"/>
      <c r="J3704" s="14"/>
      <c r="L3704"/>
    </row>
    <row r="3705" spans="1:12" x14ac:dyDescent="0.25">
      <c r="A3705" s="10"/>
      <c r="G3705"/>
      <c r="H3705" s="14"/>
      <c r="I3705" s="14"/>
      <c r="J3705" s="14"/>
      <c r="L3705"/>
    </row>
    <row r="3706" spans="1:12" x14ac:dyDescent="0.25">
      <c r="A3706" s="10"/>
      <c r="G3706"/>
      <c r="H3706" s="14"/>
      <c r="I3706" s="14"/>
      <c r="J3706" s="14"/>
      <c r="L3706"/>
    </row>
    <row r="3707" spans="1:12" x14ac:dyDescent="0.25">
      <c r="A3707" s="10"/>
      <c r="G3707"/>
      <c r="H3707" s="14"/>
      <c r="I3707" s="14"/>
      <c r="J3707" s="14"/>
      <c r="L3707"/>
    </row>
    <row r="3708" spans="1:12" x14ac:dyDescent="0.25">
      <c r="A3708" s="10"/>
      <c r="G3708"/>
      <c r="H3708" s="14"/>
      <c r="I3708" s="14"/>
      <c r="J3708" s="14"/>
      <c r="L3708"/>
    </row>
    <row r="3709" spans="1:12" x14ac:dyDescent="0.25">
      <c r="A3709" s="10"/>
      <c r="G3709"/>
      <c r="H3709" s="14"/>
      <c r="I3709" s="14"/>
      <c r="J3709" s="14"/>
      <c r="L3709"/>
    </row>
    <row r="3710" spans="1:12" x14ac:dyDescent="0.25">
      <c r="A3710" s="10"/>
      <c r="G3710"/>
      <c r="H3710" s="14"/>
      <c r="I3710" s="14"/>
      <c r="J3710" s="14"/>
      <c r="L3710"/>
    </row>
    <row r="3711" spans="1:12" x14ac:dyDescent="0.25">
      <c r="A3711" s="10"/>
      <c r="G3711"/>
      <c r="H3711" s="14"/>
      <c r="I3711" s="14"/>
      <c r="J3711" s="14"/>
      <c r="L3711"/>
    </row>
    <row r="3712" spans="1:12" x14ac:dyDescent="0.25">
      <c r="A3712" s="10"/>
      <c r="G3712"/>
      <c r="H3712" s="14"/>
      <c r="I3712" s="14"/>
      <c r="J3712" s="14"/>
      <c r="L3712"/>
    </row>
    <row r="3713" spans="1:12" x14ac:dyDescent="0.25">
      <c r="A3713" s="10"/>
      <c r="G3713"/>
      <c r="H3713" s="14"/>
      <c r="I3713" s="14"/>
      <c r="J3713" s="14"/>
      <c r="L3713"/>
    </row>
    <row r="3714" spans="1:12" x14ac:dyDescent="0.25">
      <c r="A3714" s="10"/>
      <c r="G3714"/>
      <c r="H3714" s="14"/>
      <c r="I3714" s="14"/>
      <c r="J3714" s="14"/>
      <c r="L3714"/>
    </row>
    <row r="3715" spans="1:12" x14ac:dyDescent="0.25">
      <c r="A3715" s="10"/>
      <c r="G3715"/>
      <c r="H3715" s="14"/>
      <c r="I3715" s="14"/>
      <c r="J3715" s="14"/>
      <c r="L3715"/>
    </row>
    <row r="3716" spans="1:12" x14ac:dyDescent="0.25">
      <c r="A3716" s="10"/>
      <c r="G3716"/>
      <c r="H3716" s="14"/>
      <c r="I3716" s="14"/>
      <c r="J3716" s="14"/>
      <c r="L3716"/>
    </row>
    <row r="3717" spans="1:12" x14ac:dyDescent="0.25">
      <c r="A3717" s="10"/>
      <c r="G3717"/>
      <c r="H3717" s="14"/>
      <c r="I3717" s="14"/>
      <c r="J3717" s="14"/>
      <c r="L3717"/>
    </row>
    <row r="3718" spans="1:12" x14ac:dyDescent="0.25">
      <c r="A3718" s="10"/>
      <c r="G3718"/>
      <c r="H3718" s="14"/>
      <c r="I3718" s="14"/>
      <c r="J3718" s="14"/>
      <c r="L3718"/>
    </row>
    <row r="3719" spans="1:12" x14ac:dyDescent="0.25">
      <c r="A3719" s="10"/>
      <c r="G3719"/>
      <c r="H3719" s="14"/>
      <c r="I3719" s="14"/>
      <c r="J3719" s="14"/>
      <c r="L3719"/>
    </row>
    <row r="3720" spans="1:12" x14ac:dyDescent="0.25">
      <c r="A3720" s="10"/>
      <c r="G3720"/>
      <c r="H3720" s="14"/>
      <c r="I3720" s="14"/>
      <c r="J3720" s="14"/>
      <c r="L3720"/>
    </row>
    <row r="3721" spans="1:12" x14ac:dyDescent="0.25">
      <c r="A3721" s="10"/>
      <c r="G3721"/>
      <c r="H3721" s="14"/>
      <c r="I3721" s="14"/>
      <c r="J3721" s="14"/>
      <c r="L3721"/>
    </row>
    <row r="3722" spans="1:12" x14ac:dyDescent="0.25">
      <c r="A3722" s="10"/>
      <c r="G3722"/>
      <c r="H3722" s="14"/>
      <c r="I3722" s="14"/>
      <c r="J3722" s="14"/>
      <c r="L3722"/>
    </row>
    <row r="3723" spans="1:12" x14ac:dyDescent="0.25">
      <c r="A3723" s="10"/>
      <c r="G3723"/>
      <c r="H3723" s="14"/>
      <c r="I3723" s="14"/>
      <c r="J3723" s="14"/>
      <c r="L3723"/>
    </row>
    <row r="3724" spans="1:12" x14ac:dyDescent="0.25">
      <c r="A3724" s="10"/>
      <c r="G3724"/>
      <c r="H3724" s="14"/>
      <c r="I3724" s="14"/>
      <c r="J3724" s="14"/>
      <c r="L3724"/>
    </row>
    <row r="3725" spans="1:12" x14ac:dyDescent="0.25">
      <c r="A3725" s="10"/>
      <c r="G3725"/>
      <c r="H3725" s="14"/>
      <c r="I3725" s="14"/>
      <c r="J3725" s="14"/>
      <c r="L3725"/>
    </row>
    <row r="3726" spans="1:12" x14ac:dyDescent="0.25">
      <c r="A3726" s="10"/>
      <c r="G3726"/>
      <c r="H3726" s="14"/>
      <c r="I3726" s="14"/>
      <c r="J3726" s="14"/>
      <c r="L3726"/>
    </row>
    <row r="3727" spans="1:12" x14ac:dyDescent="0.25">
      <c r="A3727" s="10"/>
      <c r="G3727"/>
      <c r="H3727" s="14"/>
      <c r="I3727" s="14"/>
      <c r="J3727" s="14"/>
      <c r="L3727"/>
    </row>
    <row r="3728" spans="1:12" x14ac:dyDescent="0.25">
      <c r="A3728" s="10"/>
      <c r="G3728"/>
      <c r="H3728" s="14"/>
      <c r="I3728" s="14"/>
      <c r="J3728" s="14"/>
      <c r="L3728"/>
    </row>
    <row r="3729" spans="1:12" x14ac:dyDescent="0.25">
      <c r="A3729" s="10"/>
      <c r="G3729"/>
      <c r="H3729" s="14"/>
      <c r="I3729" s="14"/>
      <c r="J3729" s="14"/>
      <c r="L3729"/>
    </row>
    <row r="3730" spans="1:12" x14ac:dyDescent="0.25">
      <c r="A3730" s="10"/>
      <c r="G3730"/>
      <c r="H3730" s="14"/>
      <c r="I3730" s="14"/>
      <c r="J3730" s="14"/>
      <c r="L3730"/>
    </row>
    <row r="3731" spans="1:12" x14ac:dyDescent="0.25">
      <c r="A3731" s="10"/>
      <c r="G3731"/>
      <c r="H3731" s="14"/>
      <c r="I3731" s="14"/>
      <c r="J3731" s="14"/>
      <c r="L3731"/>
    </row>
    <row r="3732" spans="1:12" x14ac:dyDescent="0.25">
      <c r="A3732" s="10"/>
      <c r="G3732"/>
      <c r="H3732" s="14"/>
      <c r="I3732" s="14"/>
      <c r="J3732" s="14"/>
      <c r="L3732"/>
    </row>
    <row r="3733" spans="1:12" x14ac:dyDescent="0.25">
      <c r="A3733" s="10"/>
      <c r="G3733"/>
      <c r="H3733" s="14"/>
      <c r="I3733" s="14"/>
      <c r="J3733" s="14"/>
      <c r="L3733"/>
    </row>
    <row r="3734" spans="1:12" x14ac:dyDescent="0.25">
      <c r="A3734" s="10"/>
      <c r="G3734"/>
      <c r="H3734" s="14"/>
      <c r="I3734" s="14"/>
      <c r="J3734" s="14"/>
      <c r="L3734"/>
    </row>
    <row r="3735" spans="1:12" x14ac:dyDescent="0.25">
      <c r="A3735" s="10"/>
      <c r="G3735"/>
      <c r="H3735" s="14"/>
      <c r="I3735" s="14"/>
      <c r="J3735" s="14"/>
      <c r="L3735"/>
    </row>
    <row r="3736" spans="1:12" x14ac:dyDescent="0.25">
      <c r="A3736" s="10"/>
      <c r="G3736"/>
      <c r="H3736" s="14"/>
      <c r="I3736" s="14"/>
      <c r="J3736" s="14"/>
      <c r="L3736"/>
    </row>
    <row r="3737" spans="1:12" x14ac:dyDescent="0.25">
      <c r="A3737" s="10"/>
      <c r="G3737"/>
      <c r="H3737" s="14"/>
      <c r="I3737" s="14"/>
      <c r="J3737" s="14"/>
      <c r="L3737"/>
    </row>
    <row r="3738" spans="1:12" x14ac:dyDescent="0.25">
      <c r="A3738" s="10"/>
      <c r="G3738"/>
      <c r="H3738" s="14"/>
      <c r="I3738" s="14"/>
      <c r="J3738" s="14"/>
      <c r="L3738"/>
    </row>
    <row r="3739" spans="1:12" x14ac:dyDescent="0.25">
      <c r="A3739" s="10"/>
      <c r="G3739"/>
      <c r="H3739" s="14"/>
      <c r="I3739" s="14"/>
      <c r="J3739" s="14"/>
      <c r="L3739"/>
    </row>
    <row r="3740" spans="1:12" x14ac:dyDescent="0.25">
      <c r="A3740" s="10"/>
      <c r="G3740"/>
      <c r="H3740" s="14"/>
      <c r="I3740" s="14"/>
      <c r="J3740" s="14"/>
      <c r="L3740"/>
    </row>
    <row r="3741" spans="1:12" x14ac:dyDescent="0.25">
      <c r="A3741" s="10"/>
      <c r="G3741"/>
      <c r="H3741" s="14"/>
      <c r="I3741" s="14"/>
      <c r="J3741" s="14"/>
      <c r="L3741"/>
    </row>
    <row r="3742" spans="1:12" x14ac:dyDescent="0.25">
      <c r="A3742" s="10"/>
      <c r="G3742"/>
      <c r="H3742" s="14"/>
      <c r="I3742" s="14"/>
      <c r="J3742" s="14"/>
      <c r="L3742"/>
    </row>
    <row r="3743" spans="1:12" x14ac:dyDescent="0.25">
      <c r="A3743" s="10"/>
      <c r="G3743"/>
      <c r="H3743" s="14"/>
      <c r="I3743" s="14"/>
      <c r="J3743" s="14"/>
      <c r="L3743"/>
    </row>
    <row r="3744" spans="1:12" x14ac:dyDescent="0.25">
      <c r="A3744" s="10"/>
      <c r="G3744"/>
      <c r="H3744" s="14"/>
      <c r="I3744" s="14"/>
      <c r="J3744" s="14"/>
      <c r="L3744"/>
    </row>
    <row r="3745" spans="1:12" x14ac:dyDescent="0.25">
      <c r="A3745" s="10"/>
      <c r="G3745"/>
      <c r="H3745" s="14"/>
      <c r="I3745" s="14"/>
      <c r="J3745" s="14"/>
      <c r="L3745"/>
    </row>
    <row r="3746" spans="1:12" x14ac:dyDescent="0.25">
      <c r="A3746" s="10"/>
      <c r="G3746"/>
      <c r="H3746" s="14"/>
      <c r="I3746" s="14"/>
      <c r="J3746" s="14"/>
      <c r="L3746"/>
    </row>
    <row r="3747" spans="1:12" x14ac:dyDescent="0.25">
      <c r="A3747" s="10"/>
      <c r="G3747"/>
      <c r="H3747" s="14"/>
      <c r="I3747" s="14"/>
      <c r="J3747" s="14"/>
      <c r="L3747"/>
    </row>
    <row r="3748" spans="1:12" x14ac:dyDescent="0.25">
      <c r="A3748" s="10"/>
      <c r="G3748"/>
      <c r="H3748" s="14"/>
      <c r="I3748" s="14"/>
      <c r="J3748" s="14"/>
      <c r="L3748"/>
    </row>
    <row r="3749" spans="1:12" x14ac:dyDescent="0.25">
      <c r="A3749" s="10"/>
      <c r="G3749"/>
      <c r="H3749" s="14"/>
      <c r="I3749" s="14"/>
      <c r="J3749" s="14"/>
      <c r="L3749"/>
    </row>
    <row r="3750" spans="1:12" x14ac:dyDescent="0.25">
      <c r="A3750" s="10"/>
      <c r="G3750"/>
      <c r="H3750" s="14"/>
      <c r="I3750" s="14"/>
      <c r="J3750" s="14"/>
      <c r="L3750"/>
    </row>
    <row r="3751" spans="1:12" x14ac:dyDescent="0.25">
      <c r="A3751" s="10"/>
      <c r="G3751"/>
      <c r="H3751" s="14"/>
      <c r="I3751" s="14"/>
      <c r="J3751" s="14"/>
      <c r="L3751"/>
    </row>
    <row r="3752" spans="1:12" x14ac:dyDescent="0.25">
      <c r="A3752" s="10"/>
      <c r="G3752"/>
      <c r="H3752" s="14"/>
      <c r="I3752" s="14"/>
      <c r="J3752" s="14"/>
      <c r="L3752"/>
    </row>
    <row r="3753" spans="1:12" x14ac:dyDescent="0.25">
      <c r="A3753" s="10"/>
      <c r="G3753"/>
      <c r="H3753" s="14"/>
      <c r="I3753" s="14"/>
      <c r="J3753" s="14"/>
      <c r="L3753"/>
    </row>
    <row r="3754" spans="1:12" x14ac:dyDescent="0.25">
      <c r="A3754" s="10"/>
      <c r="G3754"/>
      <c r="H3754" s="14"/>
      <c r="I3754" s="14"/>
      <c r="J3754" s="14"/>
      <c r="L3754"/>
    </row>
    <row r="3755" spans="1:12" x14ac:dyDescent="0.25">
      <c r="A3755" s="10"/>
      <c r="G3755"/>
      <c r="H3755" s="14"/>
      <c r="I3755" s="14"/>
      <c r="J3755" s="14"/>
      <c r="L3755"/>
    </row>
    <row r="3756" spans="1:12" x14ac:dyDescent="0.25">
      <c r="A3756" s="10"/>
      <c r="G3756"/>
      <c r="H3756" s="14"/>
      <c r="I3756" s="14"/>
      <c r="J3756" s="14"/>
      <c r="L3756"/>
    </row>
    <row r="3757" spans="1:12" x14ac:dyDescent="0.25">
      <c r="A3757" s="10"/>
      <c r="G3757"/>
      <c r="H3757" s="14"/>
      <c r="I3757" s="14"/>
      <c r="J3757" s="14"/>
      <c r="L3757"/>
    </row>
    <row r="3758" spans="1:12" x14ac:dyDescent="0.25">
      <c r="A3758" s="10"/>
      <c r="G3758"/>
      <c r="H3758" s="14"/>
      <c r="I3758" s="14"/>
      <c r="J3758" s="14"/>
      <c r="L3758"/>
    </row>
    <row r="3759" spans="1:12" x14ac:dyDescent="0.25">
      <c r="A3759" s="10"/>
      <c r="G3759"/>
      <c r="H3759" s="14"/>
      <c r="I3759" s="14"/>
      <c r="J3759" s="14"/>
      <c r="L3759"/>
    </row>
    <row r="3760" spans="1:12" x14ac:dyDescent="0.25">
      <c r="A3760" s="10"/>
      <c r="G3760"/>
      <c r="H3760" s="14"/>
      <c r="I3760" s="14"/>
      <c r="J3760" s="14"/>
      <c r="L3760"/>
    </row>
    <row r="3761" spans="1:12" x14ac:dyDescent="0.25">
      <c r="A3761" s="10"/>
      <c r="G3761"/>
      <c r="H3761" s="14"/>
      <c r="I3761" s="14"/>
      <c r="J3761" s="14"/>
      <c r="L3761"/>
    </row>
    <row r="3762" spans="1:12" x14ac:dyDescent="0.25">
      <c r="A3762" s="10"/>
      <c r="G3762"/>
      <c r="H3762" s="14"/>
      <c r="I3762" s="14"/>
      <c r="J3762" s="14"/>
      <c r="L3762"/>
    </row>
    <row r="3763" spans="1:12" x14ac:dyDescent="0.25">
      <c r="A3763" s="10"/>
      <c r="G3763"/>
      <c r="H3763" s="14"/>
      <c r="I3763" s="14"/>
      <c r="J3763" s="14"/>
      <c r="L3763"/>
    </row>
    <row r="3764" spans="1:12" x14ac:dyDescent="0.25">
      <c r="A3764" s="10"/>
      <c r="G3764"/>
      <c r="H3764" s="14"/>
      <c r="I3764" s="14"/>
      <c r="J3764" s="14"/>
      <c r="L3764"/>
    </row>
    <row r="3765" spans="1:12" x14ac:dyDescent="0.25">
      <c r="A3765" s="10"/>
      <c r="G3765"/>
      <c r="H3765" s="14"/>
      <c r="I3765" s="14"/>
      <c r="J3765" s="14"/>
      <c r="L3765"/>
    </row>
    <row r="3766" spans="1:12" x14ac:dyDescent="0.25">
      <c r="A3766" s="10"/>
      <c r="G3766"/>
      <c r="H3766" s="14"/>
      <c r="I3766" s="14"/>
      <c r="J3766" s="14"/>
      <c r="L3766"/>
    </row>
    <row r="3767" spans="1:12" x14ac:dyDescent="0.25">
      <c r="A3767" s="10"/>
      <c r="G3767"/>
      <c r="H3767" s="14"/>
      <c r="I3767" s="14"/>
      <c r="J3767" s="14"/>
      <c r="L3767"/>
    </row>
    <row r="3768" spans="1:12" x14ac:dyDescent="0.25">
      <c r="A3768" s="10"/>
      <c r="G3768"/>
      <c r="H3768" s="14"/>
      <c r="I3768" s="14"/>
      <c r="J3768" s="14"/>
      <c r="L3768"/>
    </row>
    <row r="3769" spans="1:12" x14ac:dyDescent="0.25">
      <c r="A3769" s="10"/>
      <c r="G3769"/>
      <c r="H3769" s="14"/>
      <c r="I3769" s="14"/>
      <c r="J3769" s="14"/>
      <c r="L3769"/>
    </row>
    <row r="3770" spans="1:12" x14ac:dyDescent="0.25">
      <c r="A3770" s="10"/>
      <c r="G3770"/>
      <c r="H3770" s="14"/>
      <c r="I3770" s="14"/>
      <c r="J3770" s="14"/>
      <c r="L3770"/>
    </row>
    <row r="3771" spans="1:12" x14ac:dyDescent="0.25">
      <c r="A3771" s="10"/>
      <c r="G3771"/>
      <c r="H3771" s="14"/>
      <c r="I3771" s="14"/>
      <c r="J3771" s="14"/>
      <c r="L3771"/>
    </row>
    <row r="3772" spans="1:12" x14ac:dyDescent="0.25">
      <c r="A3772" s="10"/>
      <c r="G3772"/>
      <c r="H3772" s="14"/>
      <c r="I3772" s="14"/>
      <c r="J3772" s="14"/>
      <c r="L3772"/>
    </row>
    <row r="3773" spans="1:12" x14ac:dyDescent="0.25">
      <c r="A3773" s="10"/>
      <c r="G3773"/>
      <c r="H3773" s="14"/>
      <c r="I3773" s="14"/>
      <c r="J3773" s="14"/>
      <c r="L3773"/>
    </row>
    <row r="3774" spans="1:12" x14ac:dyDescent="0.25">
      <c r="A3774" s="10"/>
      <c r="G3774"/>
      <c r="H3774" s="14"/>
      <c r="I3774" s="14"/>
      <c r="J3774" s="14"/>
      <c r="L3774"/>
    </row>
    <row r="3775" spans="1:12" x14ac:dyDescent="0.25">
      <c r="A3775" s="10"/>
      <c r="G3775"/>
      <c r="H3775" s="14"/>
      <c r="I3775" s="14"/>
      <c r="J3775" s="14"/>
      <c r="L3775"/>
    </row>
    <row r="3776" spans="1:12" x14ac:dyDescent="0.25">
      <c r="A3776" s="10"/>
      <c r="G3776"/>
      <c r="H3776" s="14"/>
      <c r="I3776" s="14"/>
      <c r="J3776" s="14"/>
      <c r="L3776"/>
    </row>
    <row r="3777" spans="1:12" x14ac:dyDescent="0.25">
      <c r="A3777" s="10"/>
      <c r="G3777"/>
      <c r="H3777" s="14"/>
      <c r="I3777" s="14"/>
      <c r="J3777" s="14"/>
      <c r="L3777"/>
    </row>
    <row r="3778" spans="1:12" x14ac:dyDescent="0.25">
      <c r="A3778" s="10"/>
      <c r="G3778"/>
      <c r="H3778" s="14"/>
      <c r="I3778" s="14"/>
      <c r="J3778" s="14"/>
      <c r="L3778"/>
    </row>
    <row r="3779" spans="1:12" x14ac:dyDescent="0.25">
      <c r="A3779" s="10"/>
      <c r="G3779"/>
      <c r="H3779" s="14"/>
      <c r="I3779" s="14"/>
      <c r="J3779" s="14"/>
      <c r="L3779"/>
    </row>
    <row r="3780" spans="1:12" x14ac:dyDescent="0.25">
      <c r="A3780" s="10"/>
      <c r="G3780"/>
      <c r="H3780" s="14"/>
      <c r="I3780" s="14"/>
      <c r="J3780" s="14"/>
      <c r="L3780"/>
    </row>
    <row r="3781" spans="1:12" x14ac:dyDescent="0.25">
      <c r="A3781" s="10"/>
      <c r="G3781"/>
      <c r="H3781" s="14"/>
      <c r="I3781" s="14"/>
      <c r="J3781" s="14"/>
      <c r="L3781"/>
    </row>
    <row r="3782" spans="1:12" x14ac:dyDescent="0.25">
      <c r="A3782" s="10"/>
      <c r="G3782"/>
      <c r="H3782" s="14"/>
      <c r="I3782" s="14"/>
      <c r="J3782" s="14"/>
      <c r="L3782"/>
    </row>
    <row r="3783" spans="1:12" x14ac:dyDescent="0.25">
      <c r="A3783" s="10"/>
      <c r="G3783"/>
      <c r="H3783" s="14"/>
      <c r="I3783" s="14"/>
      <c r="J3783" s="14"/>
      <c r="L3783"/>
    </row>
    <row r="3784" spans="1:12" x14ac:dyDescent="0.25">
      <c r="A3784" s="10"/>
      <c r="G3784"/>
      <c r="H3784" s="14"/>
      <c r="I3784" s="14"/>
      <c r="J3784" s="14"/>
      <c r="L3784"/>
    </row>
    <row r="3785" spans="1:12" x14ac:dyDescent="0.25">
      <c r="A3785" s="10"/>
      <c r="G3785"/>
      <c r="H3785" s="14"/>
      <c r="I3785" s="14"/>
      <c r="J3785" s="14"/>
      <c r="L3785"/>
    </row>
    <row r="3786" spans="1:12" x14ac:dyDescent="0.25">
      <c r="A3786" s="10"/>
      <c r="G3786"/>
      <c r="H3786" s="14"/>
      <c r="I3786" s="14"/>
      <c r="J3786" s="14"/>
      <c r="L3786"/>
    </row>
    <row r="3787" spans="1:12" x14ac:dyDescent="0.25">
      <c r="A3787" s="10"/>
      <c r="G3787"/>
      <c r="H3787" s="14"/>
      <c r="I3787" s="14"/>
      <c r="J3787" s="14"/>
      <c r="L3787"/>
    </row>
    <row r="3788" spans="1:12" x14ac:dyDescent="0.25">
      <c r="A3788" s="10"/>
      <c r="G3788"/>
      <c r="H3788" s="14"/>
      <c r="I3788" s="14"/>
      <c r="J3788" s="14"/>
      <c r="L3788"/>
    </row>
    <row r="3789" spans="1:12" x14ac:dyDescent="0.25">
      <c r="A3789" s="10"/>
      <c r="G3789"/>
      <c r="H3789" s="14"/>
      <c r="I3789" s="14"/>
      <c r="J3789" s="14"/>
      <c r="L3789"/>
    </row>
    <row r="3790" spans="1:12" x14ac:dyDescent="0.25">
      <c r="A3790" s="10"/>
      <c r="G3790"/>
      <c r="H3790" s="14"/>
      <c r="I3790" s="14"/>
      <c r="J3790" s="14"/>
      <c r="L3790"/>
    </row>
    <row r="3791" spans="1:12" x14ac:dyDescent="0.25">
      <c r="A3791" s="10"/>
      <c r="G3791"/>
      <c r="H3791" s="14"/>
      <c r="I3791" s="14"/>
      <c r="J3791" s="14"/>
      <c r="L3791"/>
    </row>
    <row r="3792" spans="1:12" x14ac:dyDescent="0.25">
      <c r="A3792" s="10"/>
      <c r="G3792"/>
      <c r="H3792" s="14"/>
      <c r="I3792" s="14"/>
      <c r="J3792" s="14"/>
      <c r="L3792"/>
    </row>
    <row r="3793" spans="1:12" x14ac:dyDescent="0.25">
      <c r="A3793" s="10"/>
      <c r="G3793"/>
      <c r="H3793" s="14"/>
      <c r="I3793" s="14"/>
      <c r="J3793" s="14"/>
      <c r="L3793"/>
    </row>
    <row r="3794" spans="1:12" x14ac:dyDescent="0.25">
      <c r="A3794" s="10"/>
      <c r="G3794"/>
      <c r="H3794" s="14"/>
      <c r="I3794" s="14"/>
      <c r="J3794" s="14"/>
      <c r="L3794"/>
    </row>
    <row r="3795" spans="1:12" x14ac:dyDescent="0.25">
      <c r="A3795" s="10"/>
      <c r="G3795"/>
      <c r="H3795" s="14"/>
      <c r="I3795" s="14"/>
      <c r="J3795" s="14"/>
      <c r="L3795"/>
    </row>
    <row r="3796" spans="1:12" x14ac:dyDescent="0.25">
      <c r="A3796" s="10"/>
      <c r="G3796"/>
      <c r="H3796" s="14"/>
      <c r="I3796" s="14"/>
      <c r="J3796" s="14"/>
      <c r="L3796"/>
    </row>
    <row r="3797" spans="1:12" x14ac:dyDescent="0.25">
      <c r="A3797" s="10"/>
      <c r="G3797"/>
      <c r="H3797" s="14"/>
      <c r="I3797" s="14"/>
      <c r="J3797" s="14"/>
      <c r="L3797"/>
    </row>
    <row r="3798" spans="1:12" x14ac:dyDescent="0.25">
      <c r="A3798" s="10"/>
      <c r="G3798"/>
      <c r="H3798" s="14"/>
      <c r="I3798" s="14"/>
      <c r="J3798" s="14"/>
      <c r="L3798"/>
    </row>
    <row r="3799" spans="1:12" x14ac:dyDescent="0.25">
      <c r="A3799" s="10"/>
      <c r="G3799"/>
      <c r="H3799" s="14"/>
      <c r="I3799" s="14"/>
      <c r="J3799" s="14"/>
      <c r="L3799"/>
    </row>
    <row r="3800" spans="1:12" x14ac:dyDescent="0.25">
      <c r="A3800" s="10"/>
      <c r="G3800"/>
      <c r="H3800" s="14"/>
      <c r="I3800" s="14"/>
      <c r="J3800" s="14"/>
      <c r="L3800"/>
    </row>
    <row r="3801" spans="1:12" x14ac:dyDescent="0.25">
      <c r="A3801" s="10"/>
      <c r="G3801"/>
      <c r="H3801" s="14"/>
      <c r="I3801" s="14"/>
      <c r="J3801" s="14"/>
      <c r="L3801"/>
    </row>
    <row r="3802" spans="1:12" x14ac:dyDescent="0.25">
      <c r="A3802" s="10"/>
      <c r="G3802"/>
      <c r="H3802" s="14"/>
      <c r="I3802" s="14"/>
      <c r="J3802" s="14"/>
      <c r="L3802"/>
    </row>
    <row r="3803" spans="1:12" x14ac:dyDescent="0.25">
      <c r="A3803" s="10"/>
      <c r="G3803"/>
      <c r="H3803" s="14"/>
      <c r="I3803" s="14"/>
      <c r="J3803" s="14"/>
      <c r="L3803"/>
    </row>
    <row r="3804" spans="1:12" x14ac:dyDescent="0.25">
      <c r="A3804" s="10"/>
      <c r="G3804"/>
      <c r="H3804" s="14"/>
      <c r="I3804" s="14"/>
      <c r="J3804" s="14"/>
      <c r="L3804"/>
    </row>
    <row r="3805" spans="1:12" x14ac:dyDescent="0.25">
      <c r="A3805" s="10"/>
      <c r="G3805"/>
      <c r="H3805" s="14"/>
      <c r="I3805" s="14"/>
      <c r="J3805" s="14"/>
      <c r="L3805"/>
    </row>
    <row r="3806" spans="1:12" x14ac:dyDescent="0.25">
      <c r="A3806" s="10"/>
      <c r="G3806"/>
      <c r="H3806" s="14"/>
      <c r="I3806" s="14"/>
      <c r="J3806" s="14"/>
      <c r="L3806"/>
    </row>
    <row r="3807" spans="1:12" x14ac:dyDescent="0.25">
      <c r="A3807" s="10"/>
      <c r="G3807"/>
      <c r="H3807" s="14"/>
      <c r="I3807" s="14"/>
      <c r="J3807" s="14"/>
      <c r="L3807"/>
    </row>
    <row r="3808" spans="1:12" x14ac:dyDescent="0.25">
      <c r="A3808" s="10"/>
      <c r="G3808"/>
      <c r="H3808" s="14"/>
      <c r="I3808" s="14"/>
      <c r="J3808" s="14"/>
      <c r="L3808"/>
    </row>
    <row r="3809" spans="1:12" x14ac:dyDescent="0.25">
      <c r="A3809" s="10"/>
      <c r="G3809"/>
      <c r="H3809" s="14"/>
      <c r="I3809" s="14"/>
      <c r="J3809" s="14"/>
      <c r="L3809"/>
    </row>
    <row r="3810" spans="1:12" x14ac:dyDescent="0.25">
      <c r="A3810" s="10"/>
      <c r="G3810"/>
      <c r="H3810" s="14"/>
      <c r="I3810" s="14"/>
      <c r="J3810" s="14"/>
      <c r="L3810"/>
    </row>
    <row r="3811" spans="1:12" x14ac:dyDescent="0.25">
      <c r="A3811" s="10"/>
      <c r="G3811"/>
      <c r="H3811" s="14"/>
      <c r="I3811" s="14"/>
      <c r="J3811" s="14"/>
      <c r="L3811"/>
    </row>
    <row r="3812" spans="1:12" x14ac:dyDescent="0.25">
      <c r="A3812" s="10"/>
      <c r="G3812"/>
      <c r="H3812" s="14"/>
      <c r="I3812" s="14"/>
      <c r="J3812" s="14"/>
      <c r="L3812"/>
    </row>
    <row r="3813" spans="1:12" x14ac:dyDescent="0.25">
      <c r="A3813" s="10"/>
      <c r="G3813"/>
      <c r="H3813" s="14"/>
      <c r="I3813" s="14"/>
      <c r="J3813" s="14"/>
      <c r="L3813"/>
    </row>
    <row r="3814" spans="1:12" x14ac:dyDescent="0.25">
      <c r="A3814" s="10"/>
      <c r="G3814"/>
      <c r="H3814" s="14"/>
      <c r="I3814" s="14"/>
      <c r="J3814" s="14"/>
      <c r="L3814"/>
    </row>
    <row r="3815" spans="1:12" x14ac:dyDescent="0.25">
      <c r="A3815" s="10"/>
      <c r="G3815"/>
      <c r="H3815" s="14"/>
      <c r="I3815" s="14"/>
      <c r="J3815" s="14"/>
      <c r="L3815"/>
    </row>
    <row r="3816" spans="1:12" x14ac:dyDescent="0.25">
      <c r="A3816" s="10"/>
      <c r="G3816"/>
      <c r="H3816" s="14"/>
      <c r="I3816" s="14"/>
      <c r="J3816" s="14"/>
      <c r="L3816"/>
    </row>
    <row r="3817" spans="1:12" x14ac:dyDescent="0.25">
      <c r="A3817" s="10"/>
      <c r="G3817"/>
      <c r="H3817" s="14"/>
      <c r="I3817" s="14"/>
      <c r="J3817" s="14"/>
      <c r="L3817"/>
    </row>
    <row r="3818" spans="1:12" x14ac:dyDescent="0.25">
      <c r="A3818" s="10"/>
      <c r="G3818"/>
      <c r="H3818" s="14"/>
      <c r="I3818" s="14"/>
      <c r="J3818" s="14"/>
      <c r="L3818"/>
    </row>
    <row r="3819" spans="1:12" x14ac:dyDescent="0.25">
      <c r="A3819" s="10"/>
      <c r="G3819"/>
      <c r="H3819" s="14"/>
      <c r="I3819" s="14"/>
      <c r="J3819" s="14"/>
      <c r="L3819"/>
    </row>
    <row r="3820" spans="1:12" x14ac:dyDescent="0.25">
      <c r="A3820" s="10"/>
      <c r="G3820"/>
      <c r="H3820" s="14"/>
      <c r="I3820" s="14"/>
      <c r="J3820" s="14"/>
      <c r="L3820"/>
    </row>
    <row r="3821" spans="1:12" x14ac:dyDescent="0.25">
      <c r="A3821" s="10"/>
      <c r="G3821"/>
      <c r="H3821" s="14"/>
      <c r="I3821" s="14"/>
      <c r="J3821" s="14"/>
      <c r="L3821"/>
    </row>
    <row r="3822" spans="1:12" x14ac:dyDescent="0.25">
      <c r="A3822" s="10"/>
      <c r="G3822"/>
      <c r="H3822" s="14"/>
      <c r="I3822" s="14"/>
      <c r="J3822" s="14"/>
      <c r="L3822"/>
    </row>
    <row r="3823" spans="1:12" x14ac:dyDescent="0.25">
      <c r="A3823" s="10"/>
      <c r="G3823"/>
      <c r="H3823" s="14"/>
      <c r="I3823" s="14"/>
      <c r="J3823" s="14"/>
      <c r="L3823"/>
    </row>
    <row r="3824" spans="1:12" x14ac:dyDescent="0.25">
      <c r="A3824" s="10"/>
      <c r="G3824"/>
      <c r="H3824" s="14"/>
      <c r="I3824" s="14"/>
      <c r="J3824" s="14"/>
      <c r="L3824"/>
    </row>
    <row r="3825" spans="1:12" x14ac:dyDescent="0.25">
      <c r="A3825" s="10"/>
      <c r="G3825"/>
      <c r="H3825" s="14"/>
      <c r="I3825" s="14"/>
      <c r="J3825" s="14"/>
      <c r="L3825"/>
    </row>
    <row r="3826" spans="1:12" x14ac:dyDescent="0.25">
      <c r="A3826" s="10"/>
      <c r="G3826"/>
      <c r="H3826" s="14"/>
      <c r="I3826" s="14"/>
      <c r="J3826" s="14"/>
      <c r="L3826"/>
    </row>
    <row r="3827" spans="1:12" x14ac:dyDescent="0.25">
      <c r="A3827" s="10"/>
      <c r="G3827"/>
      <c r="H3827" s="14"/>
      <c r="I3827" s="14"/>
      <c r="J3827" s="14"/>
      <c r="L3827"/>
    </row>
    <row r="3828" spans="1:12" x14ac:dyDescent="0.25">
      <c r="A3828" s="10"/>
      <c r="G3828"/>
      <c r="H3828" s="14"/>
      <c r="I3828" s="14"/>
      <c r="J3828" s="14"/>
      <c r="L3828"/>
    </row>
    <row r="3829" spans="1:12" x14ac:dyDescent="0.25">
      <c r="A3829" s="10"/>
      <c r="G3829"/>
      <c r="H3829" s="14"/>
      <c r="I3829" s="14"/>
      <c r="J3829" s="14"/>
      <c r="L3829"/>
    </row>
    <row r="3830" spans="1:12" x14ac:dyDescent="0.25">
      <c r="A3830" s="10"/>
      <c r="G3830"/>
      <c r="H3830" s="14"/>
      <c r="I3830" s="14"/>
      <c r="J3830" s="14"/>
      <c r="L3830"/>
    </row>
    <row r="3831" spans="1:12" x14ac:dyDescent="0.25">
      <c r="A3831" s="10"/>
      <c r="G3831"/>
      <c r="H3831" s="14"/>
      <c r="I3831" s="14"/>
      <c r="J3831" s="14"/>
      <c r="L3831"/>
    </row>
    <row r="3832" spans="1:12" x14ac:dyDescent="0.25">
      <c r="A3832" s="10"/>
      <c r="G3832"/>
      <c r="H3832" s="14"/>
      <c r="I3832" s="14"/>
      <c r="J3832" s="14"/>
      <c r="L3832"/>
    </row>
    <row r="3833" spans="1:12" x14ac:dyDescent="0.25">
      <c r="A3833" s="10"/>
      <c r="G3833"/>
      <c r="H3833" s="14"/>
      <c r="I3833" s="14"/>
      <c r="J3833" s="14"/>
      <c r="L3833"/>
    </row>
    <row r="3834" spans="1:12" x14ac:dyDescent="0.25">
      <c r="A3834" s="10"/>
      <c r="G3834"/>
      <c r="H3834" s="14"/>
      <c r="I3834" s="14"/>
      <c r="J3834" s="14"/>
      <c r="L3834"/>
    </row>
    <row r="3835" spans="1:12" x14ac:dyDescent="0.25">
      <c r="A3835" s="10"/>
      <c r="G3835"/>
      <c r="H3835" s="14"/>
      <c r="I3835" s="14"/>
      <c r="J3835" s="14"/>
      <c r="L3835"/>
    </row>
    <row r="3836" spans="1:12" x14ac:dyDescent="0.25">
      <c r="A3836" s="10"/>
      <c r="G3836"/>
      <c r="H3836" s="14"/>
      <c r="I3836" s="14"/>
      <c r="J3836" s="14"/>
      <c r="L3836"/>
    </row>
    <row r="3837" spans="1:12" x14ac:dyDescent="0.25">
      <c r="A3837" s="10"/>
      <c r="G3837"/>
      <c r="H3837" s="14"/>
      <c r="I3837" s="14"/>
      <c r="J3837" s="14"/>
      <c r="L3837"/>
    </row>
    <row r="3838" spans="1:12" x14ac:dyDescent="0.25">
      <c r="A3838" s="10"/>
      <c r="G3838"/>
      <c r="H3838" s="14"/>
      <c r="I3838" s="14"/>
      <c r="J3838" s="14"/>
      <c r="L3838"/>
    </row>
    <row r="3839" spans="1:12" x14ac:dyDescent="0.25">
      <c r="A3839" s="10"/>
      <c r="G3839"/>
      <c r="H3839" s="14"/>
      <c r="I3839" s="14"/>
      <c r="J3839" s="14"/>
      <c r="L3839"/>
    </row>
    <row r="3840" spans="1:12" x14ac:dyDescent="0.25">
      <c r="A3840" s="10"/>
      <c r="G3840"/>
      <c r="H3840" s="14"/>
      <c r="I3840" s="14"/>
      <c r="J3840" s="14"/>
      <c r="L3840"/>
    </row>
    <row r="3841" spans="1:12" x14ac:dyDescent="0.25">
      <c r="A3841" s="10"/>
      <c r="G3841"/>
      <c r="H3841" s="14"/>
      <c r="I3841" s="14"/>
      <c r="J3841" s="14"/>
      <c r="L3841"/>
    </row>
    <row r="3842" spans="1:12" x14ac:dyDescent="0.25">
      <c r="A3842" s="10"/>
      <c r="G3842"/>
      <c r="H3842" s="14"/>
      <c r="I3842" s="14"/>
      <c r="J3842" s="14"/>
      <c r="L3842"/>
    </row>
    <row r="3843" spans="1:12" x14ac:dyDescent="0.25">
      <c r="A3843" s="10"/>
      <c r="G3843"/>
      <c r="H3843" s="14"/>
      <c r="I3843" s="14"/>
      <c r="J3843" s="14"/>
      <c r="L3843"/>
    </row>
    <row r="3844" spans="1:12" x14ac:dyDescent="0.25">
      <c r="A3844" s="10"/>
      <c r="G3844"/>
      <c r="H3844" s="14"/>
      <c r="I3844" s="14"/>
      <c r="J3844" s="14"/>
      <c r="L3844"/>
    </row>
    <row r="3845" spans="1:12" x14ac:dyDescent="0.25">
      <c r="A3845" s="10"/>
      <c r="G3845"/>
      <c r="H3845" s="14"/>
      <c r="I3845" s="14"/>
      <c r="J3845" s="14"/>
      <c r="L3845"/>
    </row>
    <row r="3846" spans="1:12" x14ac:dyDescent="0.25">
      <c r="A3846" s="10"/>
      <c r="G3846"/>
      <c r="H3846" s="14"/>
      <c r="I3846" s="14"/>
      <c r="J3846" s="14"/>
      <c r="L3846"/>
    </row>
    <row r="3847" spans="1:12" x14ac:dyDescent="0.25">
      <c r="A3847" s="10"/>
      <c r="G3847"/>
      <c r="H3847" s="14"/>
      <c r="I3847" s="14"/>
      <c r="J3847" s="14"/>
      <c r="L3847"/>
    </row>
    <row r="3848" spans="1:12" x14ac:dyDescent="0.25">
      <c r="A3848" s="10"/>
      <c r="G3848"/>
      <c r="H3848" s="14"/>
      <c r="I3848" s="14"/>
      <c r="J3848" s="14"/>
      <c r="L3848"/>
    </row>
    <row r="3849" spans="1:12" x14ac:dyDescent="0.25">
      <c r="A3849" s="10"/>
      <c r="G3849"/>
      <c r="H3849" s="14"/>
      <c r="I3849" s="14"/>
      <c r="J3849" s="14"/>
      <c r="L3849"/>
    </row>
    <row r="3850" spans="1:12" x14ac:dyDescent="0.25">
      <c r="A3850" s="10"/>
      <c r="G3850"/>
      <c r="H3850" s="14"/>
      <c r="I3850" s="14"/>
      <c r="J3850" s="14"/>
      <c r="L3850"/>
    </row>
    <row r="3851" spans="1:12" x14ac:dyDescent="0.25">
      <c r="A3851" s="10"/>
      <c r="G3851"/>
      <c r="H3851" s="14"/>
      <c r="I3851" s="14"/>
      <c r="J3851" s="14"/>
      <c r="L3851"/>
    </row>
    <row r="3852" spans="1:12" x14ac:dyDescent="0.25">
      <c r="A3852" s="10"/>
      <c r="G3852"/>
      <c r="H3852" s="14"/>
      <c r="I3852" s="14"/>
      <c r="J3852" s="14"/>
      <c r="L3852"/>
    </row>
    <row r="3853" spans="1:12" x14ac:dyDescent="0.25">
      <c r="A3853" s="10"/>
      <c r="G3853"/>
      <c r="H3853" s="14"/>
      <c r="I3853" s="14"/>
      <c r="J3853" s="14"/>
      <c r="L3853"/>
    </row>
    <row r="3854" spans="1:12" x14ac:dyDescent="0.25">
      <c r="A3854" s="10"/>
      <c r="G3854"/>
      <c r="H3854" s="14"/>
      <c r="I3854" s="14"/>
      <c r="J3854" s="14"/>
      <c r="L3854"/>
    </row>
    <row r="3855" spans="1:12" x14ac:dyDescent="0.25">
      <c r="A3855" s="10"/>
      <c r="G3855"/>
      <c r="H3855" s="14"/>
      <c r="I3855" s="14"/>
      <c r="J3855" s="14"/>
      <c r="L3855"/>
    </row>
    <row r="3856" spans="1:12" x14ac:dyDescent="0.25">
      <c r="A3856" s="10"/>
      <c r="G3856"/>
      <c r="H3856" s="14"/>
      <c r="I3856" s="14"/>
      <c r="J3856" s="14"/>
      <c r="L3856"/>
    </row>
    <row r="3857" spans="1:12" x14ac:dyDescent="0.25">
      <c r="A3857" s="10"/>
      <c r="G3857"/>
      <c r="H3857" s="14"/>
      <c r="I3857" s="14"/>
      <c r="J3857" s="14"/>
      <c r="L3857"/>
    </row>
    <row r="3858" spans="1:12" x14ac:dyDescent="0.25">
      <c r="A3858" s="10"/>
      <c r="G3858"/>
      <c r="H3858" s="14"/>
      <c r="I3858" s="14"/>
      <c r="J3858" s="14"/>
      <c r="L3858"/>
    </row>
    <row r="3859" spans="1:12" x14ac:dyDescent="0.25">
      <c r="A3859" s="10"/>
      <c r="G3859"/>
      <c r="H3859" s="14"/>
      <c r="I3859" s="14"/>
      <c r="J3859" s="14"/>
      <c r="L3859"/>
    </row>
    <row r="3860" spans="1:12" x14ac:dyDescent="0.25">
      <c r="A3860" s="10"/>
      <c r="G3860"/>
      <c r="H3860" s="14"/>
      <c r="I3860" s="14"/>
      <c r="J3860" s="14"/>
      <c r="L3860"/>
    </row>
    <row r="3861" spans="1:12" x14ac:dyDescent="0.25">
      <c r="A3861" s="10"/>
      <c r="G3861"/>
      <c r="H3861" s="14"/>
      <c r="I3861" s="14"/>
      <c r="J3861" s="14"/>
      <c r="L3861"/>
    </row>
    <row r="3862" spans="1:12" x14ac:dyDescent="0.25">
      <c r="A3862" s="10"/>
      <c r="G3862"/>
      <c r="H3862" s="14"/>
      <c r="I3862" s="14"/>
      <c r="J3862" s="14"/>
      <c r="L3862"/>
    </row>
    <row r="3863" spans="1:12" x14ac:dyDescent="0.25">
      <c r="A3863" s="10"/>
      <c r="G3863"/>
      <c r="H3863" s="14"/>
      <c r="I3863" s="14"/>
      <c r="J3863" s="14"/>
      <c r="L3863"/>
    </row>
    <row r="3864" spans="1:12" x14ac:dyDescent="0.25">
      <c r="A3864" s="10"/>
      <c r="G3864"/>
      <c r="H3864" s="14"/>
      <c r="I3864" s="14"/>
      <c r="J3864" s="14"/>
      <c r="L3864"/>
    </row>
    <row r="3865" spans="1:12" x14ac:dyDescent="0.25">
      <c r="A3865" s="10"/>
      <c r="G3865"/>
      <c r="H3865" s="14"/>
      <c r="I3865" s="14"/>
      <c r="J3865" s="14"/>
      <c r="L3865"/>
    </row>
    <row r="3866" spans="1:12" x14ac:dyDescent="0.25">
      <c r="A3866" s="10"/>
      <c r="G3866"/>
      <c r="H3866" s="14"/>
      <c r="I3866" s="14"/>
      <c r="J3866" s="14"/>
      <c r="L3866"/>
    </row>
    <row r="3867" spans="1:12" x14ac:dyDescent="0.25">
      <c r="A3867" s="10"/>
      <c r="G3867"/>
      <c r="H3867" s="14"/>
      <c r="I3867" s="14"/>
      <c r="J3867" s="14"/>
      <c r="L3867"/>
    </row>
    <row r="3868" spans="1:12" x14ac:dyDescent="0.25">
      <c r="A3868" s="10"/>
      <c r="G3868"/>
      <c r="H3868" s="14"/>
      <c r="I3868" s="14"/>
      <c r="J3868" s="14"/>
      <c r="L3868"/>
    </row>
    <row r="3869" spans="1:12" x14ac:dyDescent="0.25">
      <c r="A3869" s="10"/>
      <c r="G3869"/>
      <c r="H3869" s="14"/>
      <c r="I3869" s="14"/>
      <c r="J3869" s="14"/>
      <c r="L3869"/>
    </row>
    <row r="3870" spans="1:12" x14ac:dyDescent="0.25">
      <c r="A3870" s="10"/>
      <c r="G3870"/>
      <c r="H3870" s="14"/>
      <c r="I3870" s="14"/>
      <c r="J3870" s="14"/>
      <c r="L3870"/>
    </row>
    <row r="3871" spans="1:12" x14ac:dyDescent="0.25">
      <c r="A3871" s="10"/>
      <c r="G3871"/>
      <c r="H3871" s="14"/>
      <c r="I3871" s="14"/>
      <c r="J3871" s="14"/>
      <c r="L3871"/>
    </row>
    <row r="3872" spans="1:12" x14ac:dyDescent="0.25">
      <c r="A3872" s="10"/>
      <c r="G3872"/>
      <c r="H3872" s="14"/>
      <c r="I3872" s="14"/>
      <c r="J3872" s="14"/>
      <c r="L3872"/>
    </row>
    <row r="3873" spans="1:12" x14ac:dyDescent="0.25">
      <c r="A3873" s="10"/>
      <c r="G3873"/>
      <c r="H3873" s="14"/>
      <c r="I3873" s="14"/>
      <c r="J3873" s="14"/>
      <c r="L3873"/>
    </row>
    <row r="3874" spans="1:12" x14ac:dyDescent="0.25">
      <c r="A3874" s="10"/>
      <c r="G3874"/>
      <c r="H3874" s="14"/>
      <c r="I3874" s="14"/>
      <c r="J3874" s="14"/>
      <c r="L3874"/>
    </row>
    <row r="3875" spans="1:12" x14ac:dyDescent="0.25">
      <c r="A3875" s="10"/>
      <c r="G3875"/>
      <c r="H3875" s="14"/>
      <c r="I3875" s="14"/>
      <c r="J3875" s="14"/>
      <c r="L3875"/>
    </row>
    <row r="3876" spans="1:12" x14ac:dyDescent="0.25">
      <c r="A3876" s="10"/>
      <c r="G3876"/>
      <c r="H3876" s="14"/>
      <c r="I3876" s="14"/>
      <c r="J3876" s="14"/>
      <c r="L3876"/>
    </row>
    <row r="3877" spans="1:12" x14ac:dyDescent="0.25">
      <c r="A3877" s="10"/>
      <c r="G3877"/>
      <c r="H3877" s="14"/>
      <c r="I3877" s="14"/>
      <c r="J3877" s="14"/>
      <c r="L3877"/>
    </row>
    <row r="3878" spans="1:12" x14ac:dyDescent="0.25">
      <c r="A3878" s="10"/>
      <c r="G3878"/>
      <c r="H3878" s="14"/>
      <c r="I3878" s="14"/>
      <c r="J3878" s="14"/>
      <c r="L3878"/>
    </row>
    <row r="3879" spans="1:12" x14ac:dyDescent="0.25">
      <c r="A3879" s="10"/>
      <c r="G3879"/>
      <c r="H3879" s="14"/>
      <c r="I3879" s="14"/>
      <c r="J3879" s="14"/>
      <c r="L3879"/>
    </row>
    <row r="3880" spans="1:12" x14ac:dyDescent="0.25">
      <c r="A3880" s="10"/>
      <c r="G3880"/>
      <c r="H3880" s="14"/>
      <c r="I3880" s="14"/>
      <c r="J3880" s="14"/>
      <c r="L3880"/>
    </row>
    <row r="3881" spans="1:12" x14ac:dyDescent="0.25">
      <c r="A3881" s="10"/>
      <c r="G3881"/>
      <c r="H3881" s="14"/>
      <c r="I3881" s="14"/>
      <c r="J3881" s="14"/>
      <c r="L3881"/>
    </row>
    <row r="3882" spans="1:12" x14ac:dyDescent="0.25">
      <c r="A3882" s="10"/>
      <c r="G3882"/>
      <c r="H3882" s="14"/>
      <c r="I3882" s="14"/>
      <c r="J3882" s="14"/>
      <c r="L3882"/>
    </row>
    <row r="3883" spans="1:12" x14ac:dyDescent="0.25">
      <c r="A3883" s="10"/>
      <c r="G3883"/>
      <c r="H3883" s="14"/>
      <c r="I3883" s="14"/>
      <c r="J3883" s="14"/>
      <c r="L3883"/>
    </row>
    <row r="3884" spans="1:12" x14ac:dyDescent="0.25">
      <c r="A3884" s="10"/>
      <c r="G3884"/>
      <c r="H3884" s="14"/>
      <c r="I3884" s="14"/>
      <c r="J3884" s="14"/>
      <c r="L3884"/>
    </row>
    <row r="3885" spans="1:12" x14ac:dyDescent="0.25">
      <c r="A3885" s="10"/>
      <c r="G3885"/>
      <c r="H3885" s="14"/>
      <c r="I3885" s="14"/>
      <c r="J3885" s="14"/>
      <c r="L3885"/>
    </row>
    <row r="3886" spans="1:12" x14ac:dyDescent="0.25">
      <c r="A3886" s="10"/>
      <c r="G3886"/>
      <c r="H3886" s="14"/>
      <c r="I3886" s="14"/>
      <c r="J3886" s="14"/>
      <c r="L3886"/>
    </row>
    <row r="3887" spans="1:12" x14ac:dyDescent="0.25">
      <c r="A3887" s="10"/>
      <c r="G3887"/>
      <c r="H3887" s="14"/>
      <c r="I3887" s="14"/>
      <c r="J3887" s="14"/>
      <c r="L3887"/>
    </row>
    <row r="3888" spans="1:12" x14ac:dyDescent="0.25">
      <c r="A3888" s="10"/>
      <c r="G3888"/>
      <c r="H3888" s="14"/>
      <c r="I3888" s="14"/>
      <c r="J3888" s="14"/>
      <c r="L3888"/>
    </row>
    <row r="3889" spans="1:12" x14ac:dyDescent="0.25">
      <c r="A3889" s="10"/>
      <c r="G3889"/>
      <c r="H3889" s="14"/>
      <c r="I3889" s="14"/>
      <c r="J3889" s="14"/>
      <c r="L3889"/>
    </row>
    <row r="3890" spans="1:12" x14ac:dyDescent="0.25">
      <c r="A3890" s="10"/>
      <c r="G3890"/>
      <c r="H3890" s="14"/>
      <c r="I3890" s="14"/>
      <c r="J3890" s="14"/>
      <c r="L3890"/>
    </row>
    <row r="3891" spans="1:12" x14ac:dyDescent="0.25">
      <c r="A3891" s="10"/>
      <c r="G3891"/>
      <c r="H3891" s="14"/>
      <c r="I3891" s="14"/>
      <c r="J3891" s="14"/>
      <c r="L3891"/>
    </row>
    <row r="3892" spans="1:12" x14ac:dyDescent="0.25">
      <c r="A3892" s="10"/>
      <c r="G3892"/>
      <c r="H3892" s="14"/>
      <c r="I3892" s="14"/>
      <c r="J3892" s="14"/>
      <c r="L3892"/>
    </row>
    <row r="3893" spans="1:12" x14ac:dyDescent="0.25">
      <c r="A3893" s="10"/>
      <c r="G3893"/>
      <c r="H3893" s="14"/>
      <c r="I3893" s="14"/>
      <c r="J3893" s="14"/>
      <c r="L3893"/>
    </row>
    <row r="3894" spans="1:12" x14ac:dyDescent="0.25">
      <c r="A3894" s="10"/>
      <c r="G3894"/>
      <c r="H3894" s="14"/>
      <c r="I3894" s="14"/>
      <c r="J3894" s="14"/>
      <c r="L3894"/>
    </row>
    <row r="3895" spans="1:12" x14ac:dyDescent="0.25">
      <c r="A3895" s="10"/>
      <c r="G3895"/>
      <c r="H3895" s="14"/>
      <c r="I3895" s="14"/>
      <c r="J3895" s="14"/>
      <c r="L3895"/>
    </row>
    <row r="3896" spans="1:12" x14ac:dyDescent="0.25">
      <c r="A3896" s="10"/>
      <c r="G3896"/>
      <c r="H3896" s="14"/>
      <c r="I3896" s="14"/>
      <c r="J3896" s="14"/>
      <c r="L3896"/>
    </row>
    <row r="3897" spans="1:12" x14ac:dyDescent="0.25">
      <c r="A3897" s="10"/>
      <c r="G3897"/>
      <c r="H3897" s="14"/>
      <c r="I3897" s="14"/>
      <c r="J3897" s="14"/>
      <c r="L3897"/>
    </row>
    <row r="3898" spans="1:12" x14ac:dyDescent="0.25">
      <c r="A3898" s="10"/>
      <c r="G3898"/>
      <c r="H3898" s="14"/>
      <c r="I3898" s="14"/>
      <c r="J3898" s="14"/>
      <c r="L3898"/>
    </row>
    <row r="3899" spans="1:12" x14ac:dyDescent="0.25">
      <c r="A3899" s="10"/>
      <c r="G3899"/>
      <c r="H3899" s="14"/>
      <c r="I3899" s="14"/>
      <c r="J3899" s="14"/>
      <c r="L3899"/>
    </row>
    <row r="3900" spans="1:12" x14ac:dyDescent="0.25">
      <c r="A3900" s="10"/>
      <c r="G3900"/>
      <c r="H3900" s="14"/>
      <c r="I3900" s="14"/>
      <c r="J3900" s="14"/>
      <c r="L3900"/>
    </row>
    <row r="3901" spans="1:12" x14ac:dyDescent="0.25">
      <c r="A3901" s="10"/>
      <c r="G3901"/>
      <c r="H3901" s="14"/>
      <c r="I3901" s="14"/>
      <c r="J3901" s="14"/>
      <c r="L3901"/>
    </row>
    <row r="3902" spans="1:12" x14ac:dyDescent="0.25">
      <c r="A3902" s="10"/>
      <c r="G3902"/>
      <c r="H3902" s="14"/>
      <c r="I3902" s="14"/>
      <c r="J3902" s="14"/>
      <c r="L3902"/>
    </row>
    <row r="3903" spans="1:12" x14ac:dyDescent="0.25">
      <c r="A3903" s="10"/>
      <c r="G3903"/>
      <c r="H3903" s="14"/>
      <c r="I3903" s="14"/>
      <c r="J3903" s="14"/>
      <c r="L3903"/>
    </row>
    <row r="3904" spans="1:12" x14ac:dyDescent="0.25">
      <c r="A3904" s="10"/>
      <c r="G3904"/>
      <c r="H3904" s="14"/>
      <c r="I3904" s="14"/>
      <c r="J3904" s="14"/>
      <c r="L3904"/>
    </row>
    <row r="3905" spans="1:12" x14ac:dyDescent="0.25">
      <c r="A3905" s="10"/>
      <c r="G3905"/>
      <c r="H3905" s="14"/>
      <c r="I3905" s="14"/>
      <c r="J3905" s="14"/>
      <c r="L3905"/>
    </row>
    <row r="3906" spans="1:12" x14ac:dyDescent="0.25">
      <c r="A3906" s="10"/>
      <c r="G3906"/>
      <c r="H3906" s="14"/>
      <c r="I3906" s="14"/>
      <c r="J3906" s="14"/>
      <c r="L3906"/>
    </row>
    <row r="3907" spans="1:12" x14ac:dyDescent="0.25">
      <c r="A3907" s="10"/>
      <c r="G3907"/>
      <c r="H3907" s="14"/>
      <c r="I3907" s="14"/>
      <c r="J3907" s="14"/>
      <c r="L3907"/>
    </row>
    <row r="3908" spans="1:12" x14ac:dyDescent="0.25">
      <c r="A3908" s="10"/>
      <c r="G3908"/>
      <c r="H3908" s="14"/>
      <c r="I3908" s="14"/>
      <c r="J3908" s="14"/>
      <c r="L3908"/>
    </row>
    <row r="3909" spans="1:12" x14ac:dyDescent="0.25">
      <c r="A3909" s="10"/>
      <c r="G3909"/>
      <c r="H3909" s="14"/>
      <c r="I3909" s="14"/>
      <c r="J3909" s="14"/>
      <c r="L3909"/>
    </row>
    <row r="3910" spans="1:12" x14ac:dyDescent="0.25">
      <c r="A3910" s="10"/>
      <c r="G3910"/>
      <c r="H3910" s="14"/>
      <c r="I3910" s="14"/>
      <c r="J3910" s="14"/>
      <c r="L3910"/>
    </row>
    <row r="3911" spans="1:12" x14ac:dyDescent="0.25">
      <c r="A3911" s="10"/>
      <c r="G3911"/>
      <c r="H3911" s="14"/>
      <c r="I3911" s="14"/>
      <c r="J3911" s="14"/>
      <c r="L3911"/>
    </row>
    <row r="3912" spans="1:12" x14ac:dyDescent="0.25">
      <c r="A3912" s="10"/>
      <c r="G3912"/>
      <c r="H3912" s="14"/>
      <c r="I3912" s="14"/>
      <c r="J3912" s="14"/>
      <c r="L3912"/>
    </row>
    <row r="3913" spans="1:12" x14ac:dyDescent="0.25">
      <c r="A3913" s="10"/>
      <c r="G3913"/>
      <c r="H3913" s="14"/>
      <c r="I3913" s="14"/>
      <c r="J3913" s="14"/>
      <c r="L3913"/>
    </row>
    <row r="3914" spans="1:12" x14ac:dyDescent="0.25">
      <c r="A3914" s="10"/>
      <c r="G3914"/>
      <c r="H3914" s="14"/>
      <c r="I3914" s="14"/>
      <c r="J3914" s="14"/>
      <c r="L3914"/>
    </row>
    <row r="3915" spans="1:12" x14ac:dyDescent="0.25">
      <c r="A3915" s="10"/>
      <c r="G3915"/>
      <c r="H3915" s="14"/>
      <c r="I3915" s="14"/>
      <c r="J3915" s="14"/>
      <c r="L3915"/>
    </row>
    <row r="3916" spans="1:12" x14ac:dyDescent="0.25">
      <c r="A3916" s="10"/>
      <c r="G3916"/>
      <c r="H3916" s="14"/>
      <c r="I3916" s="14"/>
      <c r="J3916" s="14"/>
      <c r="L3916"/>
    </row>
    <row r="3917" spans="1:12" x14ac:dyDescent="0.25">
      <c r="A3917" s="10"/>
      <c r="G3917"/>
      <c r="H3917" s="14"/>
      <c r="I3917" s="14"/>
      <c r="J3917" s="14"/>
      <c r="L3917"/>
    </row>
    <row r="3918" spans="1:12" x14ac:dyDescent="0.25">
      <c r="A3918" s="10"/>
      <c r="G3918"/>
      <c r="H3918" s="14"/>
      <c r="I3918" s="14"/>
      <c r="J3918" s="14"/>
      <c r="L3918"/>
    </row>
    <row r="3919" spans="1:12" x14ac:dyDescent="0.25">
      <c r="A3919" s="10"/>
      <c r="G3919"/>
      <c r="H3919" s="14"/>
      <c r="I3919" s="14"/>
      <c r="J3919" s="14"/>
      <c r="L3919"/>
    </row>
    <row r="3920" spans="1:12" x14ac:dyDescent="0.25">
      <c r="A3920" s="10"/>
      <c r="G3920"/>
      <c r="H3920" s="14"/>
      <c r="I3920" s="14"/>
      <c r="J3920" s="14"/>
      <c r="L3920"/>
    </row>
    <row r="3921" spans="1:12" x14ac:dyDescent="0.25">
      <c r="A3921" s="10"/>
      <c r="G3921"/>
      <c r="H3921" s="14"/>
      <c r="I3921" s="14"/>
      <c r="J3921" s="14"/>
      <c r="L3921"/>
    </row>
    <row r="3922" spans="1:12" x14ac:dyDescent="0.25">
      <c r="A3922" s="10"/>
      <c r="G3922"/>
      <c r="H3922" s="14"/>
      <c r="I3922" s="14"/>
      <c r="J3922" s="14"/>
      <c r="L3922"/>
    </row>
    <row r="3923" spans="1:12" x14ac:dyDescent="0.25">
      <c r="A3923" s="10"/>
      <c r="G3923"/>
      <c r="H3923" s="14"/>
      <c r="I3923" s="14"/>
      <c r="J3923" s="14"/>
      <c r="L3923"/>
    </row>
    <row r="3924" spans="1:12" x14ac:dyDescent="0.25">
      <c r="A3924" s="10"/>
      <c r="G3924"/>
      <c r="H3924" s="14"/>
      <c r="I3924" s="14"/>
      <c r="J3924" s="14"/>
      <c r="L3924"/>
    </row>
    <row r="3925" spans="1:12" x14ac:dyDescent="0.25">
      <c r="A3925" s="10"/>
      <c r="G3925"/>
      <c r="H3925" s="14"/>
      <c r="I3925" s="14"/>
      <c r="J3925" s="14"/>
      <c r="L3925"/>
    </row>
    <row r="3926" spans="1:12" x14ac:dyDescent="0.25">
      <c r="A3926" s="10"/>
      <c r="G3926"/>
      <c r="H3926" s="14"/>
      <c r="I3926" s="14"/>
      <c r="J3926" s="14"/>
      <c r="L3926"/>
    </row>
    <row r="3927" spans="1:12" x14ac:dyDescent="0.25">
      <c r="A3927" s="10"/>
      <c r="G3927"/>
      <c r="H3927" s="14"/>
      <c r="I3927" s="14"/>
      <c r="J3927" s="14"/>
      <c r="L3927"/>
    </row>
    <row r="3928" spans="1:12" x14ac:dyDescent="0.25">
      <c r="A3928" s="10"/>
      <c r="G3928"/>
      <c r="H3928" s="14"/>
      <c r="I3928" s="14"/>
      <c r="J3928" s="14"/>
      <c r="L3928"/>
    </row>
    <row r="3929" spans="1:12" x14ac:dyDescent="0.25">
      <c r="A3929" s="10"/>
      <c r="G3929"/>
      <c r="H3929" s="14"/>
      <c r="I3929" s="14"/>
      <c r="J3929" s="14"/>
      <c r="L3929"/>
    </row>
    <row r="3930" spans="1:12" x14ac:dyDescent="0.25">
      <c r="A3930" s="10"/>
      <c r="G3930"/>
      <c r="H3930" s="14"/>
      <c r="I3930" s="14"/>
      <c r="J3930" s="14"/>
      <c r="L3930"/>
    </row>
    <row r="3931" spans="1:12" x14ac:dyDescent="0.25">
      <c r="A3931" s="10"/>
      <c r="G3931"/>
      <c r="H3931" s="14"/>
      <c r="I3931" s="14"/>
      <c r="J3931" s="14"/>
      <c r="L3931"/>
    </row>
    <row r="3932" spans="1:12" x14ac:dyDescent="0.25">
      <c r="A3932" s="10"/>
      <c r="G3932"/>
      <c r="H3932" s="14"/>
      <c r="I3932" s="14"/>
      <c r="J3932" s="14"/>
      <c r="L3932"/>
    </row>
    <row r="3933" spans="1:12" x14ac:dyDescent="0.25">
      <c r="A3933" s="10"/>
      <c r="G3933"/>
      <c r="H3933" s="14"/>
      <c r="I3933" s="14"/>
      <c r="J3933" s="14"/>
      <c r="L3933"/>
    </row>
    <row r="3934" spans="1:12" x14ac:dyDescent="0.25">
      <c r="A3934" s="10"/>
      <c r="G3934"/>
      <c r="H3934" s="14"/>
      <c r="I3934" s="14"/>
      <c r="J3934" s="14"/>
      <c r="L3934"/>
    </row>
    <row r="3935" spans="1:12" x14ac:dyDescent="0.25">
      <c r="A3935" s="10"/>
      <c r="G3935"/>
      <c r="H3935" s="14"/>
      <c r="I3935" s="14"/>
      <c r="J3935" s="14"/>
      <c r="L3935"/>
    </row>
    <row r="3936" spans="1:12" x14ac:dyDescent="0.25">
      <c r="A3936" s="10"/>
      <c r="G3936"/>
      <c r="H3936" s="14"/>
      <c r="I3936" s="14"/>
      <c r="J3936" s="14"/>
      <c r="L3936"/>
    </row>
    <row r="3937" spans="1:12" x14ac:dyDescent="0.25">
      <c r="A3937" s="10"/>
      <c r="G3937"/>
      <c r="H3937" s="14"/>
      <c r="I3937" s="14"/>
      <c r="J3937" s="14"/>
      <c r="L3937"/>
    </row>
    <row r="3938" spans="1:12" x14ac:dyDescent="0.25">
      <c r="A3938" s="10"/>
      <c r="G3938"/>
      <c r="H3938" s="14"/>
      <c r="I3938" s="14"/>
      <c r="J3938" s="14"/>
      <c r="L3938"/>
    </row>
    <row r="3939" spans="1:12" x14ac:dyDescent="0.25">
      <c r="A3939" s="10"/>
      <c r="G3939"/>
      <c r="H3939" s="14"/>
      <c r="I3939" s="14"/>
      <c r="J3939" s="14"/>
      <c r="L3939"/>
    </row>
    <row r="3940" spans="1:12" x14ac:dyDescent="0.25">
      <c r="A3940" s="10"/>
      <c r="G3940"/>
      <c r="H3940" s="14"/>
      <c r="I3940" s="14"/>
      <c r="J3940" s="14"/>
      <c r="L3940"/>
    </row>
    <row r="3941" spans="1:12" x14ac:dyDescent="0.25">
      <c r="A3941" s="10"/>
      <c r="G3941"/>
      <c r="H3941" s="14"/>
      <c r="I3941" s="14"/>
      <c r="J3941" s="14"/>
      <c r="L3941"/>
    </row>
    <row r="3942" spans="1:12" x14ac:dyDescent="0.25">
      <c r="A3942" s="10"/>
      <c r="G3942"/>
      <c r="H3942" s="14"/>
      <c r="I3942" s="14"/>
      <c r="J3942" s="14"/>
      <c r="L3942"/>
    </row>
    <row r="3943" spans="1:12" x14ac:dyDescent="0.25">
      <c r="A3943" s="10"/>
      <c r="G3943"/>
      <c r="H3943" s="14"/>
      <c r="I3943" s="14"/>
      <c r="J3943" s="14"/>
      <c r="L3943"/>
    </row>
    <row r="3944" spans="1:12" x14ac:dyDescent="0.25">
      <c r="A3944" s="10"/>
      <c r="G3944"/>
      <c r="H3944" s="14"/>
      <c r="I3944" s="14"/>
      <c r="J3944" s="14"/>
      <c r="L3944"/>
    </row>
    <row r="3945" spans="1:12" x14ac:dyDescent="0.25">
      <c r="A3945" s="10"/>
      <c r="G3945"/>
      <c r="H3945" s="14"/>
      <c r="I3945" s="14"/>
      <c r="J3945" s="14"/>
      <c r="L3945"/>
    </row>
    <row r="3946" spans="1:12" x14ac:dyDescent="0.25">
      <c r="A3946" s="10"/>
      <c r="G3946"/>
      <c r="H3946" s="14"/>
      <c r="I3946" s="14"/>
      <c r="J3946" s="14"/>
      <c r="L3946"/>
    </row>
    <row r="3947" spans="1:12" x14ac:dyDescent="0.25">
      <c r="A3947" s="10"/>
      <c r="G3947"/>
      <c r="H3947" s="14"/>
      <c r="I3947" s="14"/>
      <c r="J3947" s="14"/>
      <c r="L3947"/>
    </row>
    <row r="3948" spans="1:12" x14ac:dyDescent="0.25">
      <c r="A3948" s="10"/>
      <c r="G3948"/>
      <c r="H3948" s="14"/>
      <c r="I3948" s="14"/>
      <c r="J3948" s="14"/>
      <c r="L3948"/>
    </row>
    <row r="3949" spans="1:12" x14ac:dyDescent="0.25">
      <c r="A3949" s="10"/>
      <c r="G3949"/>
      <c r="H3949" s="14"/>
      <c r="I3949" s="14"/>
      <c r="J3949" s="14"/>
      <c r="L3949"/>
    </row>
    <row r="3950" spans="1:12" x14ac:dyDescent="0.25">
      <c r="A3950" s="10"/>
      <c r="G3950"/>
      <c r="H3950" s="14"/>
      <c r="I3950" s="14"/>
      <c r="J3950" s="14"/>
      <c r="L3950"/>
    </row>
    <row r="3951" spans="1:12" x14ac:dyDescent="0.25">
      <c r="A3951" s="10"/>
      <c r="G3951"/>
      <c r="H3951" s="14"/>
      <c r="I3951" s="14"/>
      <c r="J3951" s="14"/>
      <c r="L3951"/>
    </row>
    <row r="3952" spans="1:12" x14ac:dyDescent="0.25">
      <c r="A3952" s="10"/>
      <c r="G3952"/>
      <c r="H3952" s="14"/>
      <c r="I3952" s="14"/>
      <c r="J3952" s="14"/>
      <c r="L3952"/>
    </row>
    <row r="3953" spans="1:12" x14ac:dyDescent="0.25">
      <c r="A3953" s="10"/>
      <c r="G3953"/>
      <c r="H3953" s="14"/>
      <c r="I3953" s="14"/>
      <c r="J3953" s="14"/>
      <c r="L3953"/>
    </row>
    <row r="3954" spans="1:12" x14ac:dyDescent="0.25">
      <c r="A3954" s="10"/>
      <c r="G3954"/>
      <c r="H3954" s="14"/>
      <c r="I3954" s="14"/>
      <c r="J3954" s="14"/>
      <c r="L3954"/>
    </row>
    <row r="3955" spans="1:12" x14ac:dyDescent="0.25">
      <c r="A3955" s="10"/>
      <c r="G3955"/>
      <c r="H3955" s="14"/>
      <c r="I3955" s="14"/>
      <c r="J3955" s="14"/>
      <c r="L3955"/>
    </row>
    <row r="3956" spans="1:12" x14ac:dyDescent="0.25">
      <c r="A3956" s="10"/>
      <c r="G3956"/>
      <c r="H3956" s="14"/>
      <c r="I3956" s="14"/>
      <c r="J3956" s="14"/>
      <c r="L3956"/>
    </row>
    <row r="3957" spans="1:12" x14ac:dyDescent="0.25">
      <c r="A3957" s="10"/>
      <c r="G3957"/>
      <c r="H3957" s="14"/>
      <c r="I3957" s="14"/>
      <c r="J3957" s="14"/>
      <c r="L3957"/>
    </row>
    <row r="3958" spans="1:12" x14ac:dyDescent="0.25">
      <c r="A3958" s="10"/>
      <c r="G3958"/>
      <c r="H3958" s="14"/>
      <c r="I3958" s="14"/>
      <c r="J3958" s="14"/>
      <c r="L3958"/>
    </row>
    <row r="3959" spans="1:12" x14ac:dyDescent="0.25">
      <c r="A3959" s="10"/>
      <c r="G3959"/>
      <c r="H3959" s="14"/>
      <c r="I3959" s="14"/>
      <c r="J3959" s="14"/>
      <c r="L3959"/>
    </row>
    <row r="3960" spans="1:12" x14ac:dyDescent="0.25">
      <c r="A3960" s="10"/>
      <c r="G3960"/>
      <c r="H3960" s="14"/>
      <c r="I3960" s="14"/>
      <c r="J3960" s="14"/>
      <c r="L3960"/>
    </row>
    <row r="3961" spans="1:12" x14ac:dyDescent="0.25">
      <c r="A3961" s="10"/>
      <c r="G3961"/>
      <c r="H3961" s="14"/>
      <c r="I3961" s="14"/>
      <c r="J3961" s="14"/>
      <c r="L3961"/>
    </row>
    <row r="3962" spans="1:12" x14ac:dyDescent="0.25">
      <c r="A3962" s="10"/>
      <c r="G3962"/>
      <c r="H3962" s="14"/>
      <c r="I3962" s="14"/>
      <c r="J3962" s="14"/>
      <c r="L3962"/>
    </row>
    <row r="3963" spans="1:12" x14ac:dyDescent="0.25">
      <c r="A3963" s="10"/>
      <c r="G3963"/>
      <c r="H3963" s="14"/>
      <c r="I3963" s="14"/>
      <c r="J3963" s="14"/>
      <c r="L3963"/>
    </row>
    <row r="3964" spans="1:12" x14ac:dyDescent="0.25">
      <c r="A3964" s="10"/>
      <c r="G3964"/>
      <c r="H3964" s="14"/>
      <c r="I3964" s="14"/>
      <c r="J3964" s="14"/>
      <c r="L3964"/>
    </row>
    <row r="3965" spans="1:12" x14ac:dyDescent="0.25">
      <c r="A3965" s="10"/>
      <c r="G3965"/>
      <c r="H3965" s="14"/>
      <c r="I3965" s="14"/>
      <c r="J3965" s="14"/>
      <c r="L3965"/>
    </row>
    <row r="3966" spans="1:12" x14ac:dyDescent="0.25">
      <c r="A3966" s="10"/>
      <c r="G3966"/>
      <c r="H3966" s="14"/>
      <c r="I3966" s="14"/>
      <c r="J3966" s="14"/>
      <c r="L3966"/>
    </row>
    <row r="3967" spans="1:12" x14ac:dyDescent="0.25">
      <c r="A3967" s="10"/>
      <c r="G3967"/>
      <c r="H3967" s="14"/>
      <c r="I3967" s="14"/>
      <c r="J3967" s="14"/>
      <c r="L3967"/>
    </row>
    <row r="3968" spans="1:12" x14ac:dyDescent="0.25">
      <c r="A3968" s="10"/>
      <c r="G3968"/>
      <c r="H3968" s="14"/>
      <c r="I3968" s="14"/>
      <c r="J3968" s="14"/>
      <c r="L3968"/>
    </row>
    <row r="3969" spans="1:12" x14ac:dyDescent="0.25">
      <c r="A3969" s="10"/>
      <c r="G3969"/>
      <c r="H3969" s="14"/>
      <c r="I3969" s="14"/>
      <c r="J3969" s="14"/>
      <c r="L3969"/>
    </row>
    <row r="3970" spans="1:12" x14ac:dyDescent="0.25">
      <c r="A3970" s="10"/>
      <c r="G3970"/>
      <c r="H3970" s="14"/>
      <c r="I3970" s="14"/>
      <c r="J3970" s="14"/>
      <c r="L3970"/>
    </row>
    <row r="3971" spans="1:12" x14ac:dyDescent="0.25">
      <c r="A3971" s="10"/>
      <c r="G3971"/>
      <c r="H3971" s="14"/>
      <c r="I3971" s="14"/>
      <c r="J3971" s="14"/>
      <c r="L3971"/>
    </row>
    <row r="3972" spans="1:12" x14ac:dyDescent="0.25">
      <c r="A3972" s="10"/>
      <c r="G3972"/>
      <c r="H3972" s="14"/>
      <c r="I3972" s="14"/>
      <c r="J3972" s="14"/>
      <c r="L3972"/>
    </row>
    <row r="3973" spans="1:12" x14ac:dyDescent="0.25">
      <c r="A3973" s="10"/>
      <c r="G3973"/>
      <c r="H3973" s="14"/>
      <c r="I3973" s="14"/>
      <c r="J3973" s="14"/>
      <c r="L3973"/>
    </row>
    <row r="3974" spans="1:12" x14ac:dyDescent="0.25">
      <c r="A3974" s="10"/>
      <c r="G3974"/>
      <c r="H3974" s="14"/>
      <c r="I3974" s="14"/>
      <c r="J3974" s="14"/>
      <c r="L3974"/>
    </row>
    <row r="3975" spans="1:12" x14ac:dyDescent="0.25">
      <c r="A3975" s="10"/>
      <c r="G3975"/>
      <c r="H3975" s="14"/>
      <c r="I3975" s="14"/>
      <c r="J3975" s="14"/>
      <c r="L3975"/>
    </row>
    <row r="3976" spans="1:12" x14ac:dyDescent="0.25">
      <c r="A3976" s="10"/>
      <c r="G3976"/>
      <c r="H3976" s="14"/>
      <c r="I3976" s="14"/>
      <c r="J3976" s="14"/>
      <c r="L3976"/>
    </row>
    <row r="3977" spans="1:12" x14ac:dyDescent="0.25">
      <c r="A3977" s="10"/>
      <c r="G3977"/>
      <c r="H3977" s="14"/>
      <c r="I3977" s="14"/>
      <c r="J3977" s="14"/>
      <c r="L3977"/>
    </row>
    <row r="3978" spans="1:12" x14ac:dyDescent="0.25">
      <c r="A3978" s="10"/>
      <c r="G3978"/>
      <c r="H3978" s="14"/>
      <c r="I3978" s="14"/>
      <c r="J3978" s="14"/>
      <c r="L3978"/>
    </row>
    <row r="3979" spans="1:12" x14ac:dyDescent="0.25">
      <c r="A3979" s="10"/>
      <c r="G3979"/>
      <c r="H3979" s="14"/>
      <c r="I3979" s="14"/>
      <c r="J3979" s="14"/>
      <c r="L3979"/>
    </row>
    <row r="3980" spans="1:12" x14ac:dyDescent="0.25">
      <c r="A3980" s="10"/>
      <c r="G3980"/>
      <c r="H3980" s="14"/>
      <c r="I3980" s="14"/>
      <c r="J3980" s="14"/>
      <c r="L3980"/>
    </row>
    <row r="3981" spans="1:12" x14ac:dyDescent="0.25">
      <c r="A3981" s="10"/>
      <c r="G3981"/>
      <c r="H3981" s="14"/>
      <c r="I3981" s="14"/>
      <c r="J3981" s="14"/>
      <c r="L3981"/>
    </row>
    <row r="3982" spans="1:12" x14ac:dyDescent="0.25">
      <c r="A3982" s="10"/>
      <c r="G3982"/>
      <c r="H3982" s="14"/>
      <c r="I3982" s="14"/>
      <c r="J3982" s="14"/>
      <c r="L3982"/>
    </row>
    <row r="3983" spans="1:12" x14ac:dyDescent="0.25">
      <c r="A3983" s="10"/>
      <c r="G3983"/>
      <c r="H3983" s="14"/>
      <c r="I3983" s="14"/>
      <c r="J3983" s="14"/>
      <c r="L3983"/>
    </row>
    <row r="3984" spans="1:12" x14ac:dyDescent="0.25">
      <c r="A3984" s="10"/>
      <c r="G3984"/>
      <c r="H3984" s="14"/>
      <c r="I3984" s="14"/>
      <c r="J3984" s="14"/>
      <c r="L3984"/>
    </row>
    <row r="3985" spans="1:12" x14ac:dyDescent="0.25">
      <c r="A3985" s="10"/>
      <c r="G3985"/>
      <c r="H3985" s="14"/>
      <c r="I3985" s="14"/>
      <c r="J3985" s="14"/>
      <c r="L3985"/>
    </row>
    <row r="3986" spans="1:12" x14ac:dyDescent="0.25">
      <c r="A3986" s="10"/>
      <c r="G3986"/>
      <c r="H3986" s="14"/>
      <c r="I3986" s="14"/>
      <c r="J3986" s="14"/>
      <c r="L3986"/>
    </row>
    <row r="3987" spans="1:12" x14ac:dyDescent="0.25">
      <c r="A3987" s="10"/>
      <c r="G3987"/>
      <c r="H3987" s="14"/>
      <c r="I3987" s="14"/>
      <c r="J3987" s="14"/>
      <c r="L3987"/>
    </row>
    <row r="3988" spans="1:12" x14ac:dyDescent="0.25">
      <c r="A3988" s="10"/>
      <c r="G3988"/>
      <c r="H3988" s="14"/>
      <c r="I3988" s="14"/>
      <c r="J3988" s="14"/>
      <c r="L3988"/>
    </row>
    <row r="3989" spans="1:12" x14ac:dyDescent="0.25">
      <c r="A3989" s="10"/>
      <c r="G3989"/>
      <c r="H3989" s="14"/>
      <c r="I3989" s="14"/>
      <c r="J3989" s="14"/>
      <c r="L3989"/>
    </row>
    <row r="3990" spans="1:12" x14ac:dyDescent="0.25">
      <c r="A3990" s="10"/>
      <c r="G3990"/>
      <c r="H3990" s="14"/>
      <c r="I3990" s="14"/>
      <c r="J3990" s="14"/>
      <c r="L3990"/>
    </row>
    <row r="3991" spans="1:12" x14ac:dyDescent="0.25">
      <c r="A3991" s="10"/>
      <c r="G3991"/>
      <c r="H3991" s="14"/>
      <c r="I3991" s="14"/>
      <c r="J3991" s="14"/>
      <c r="L3991"/>
    </row>
    <row r="3992" spans="1:12" x14ac:dyDescent="0.25">
      <c r="A3992" s="10"/>
      <c r="G3992"/>
      <c r="H3992" s="14"/>
      <c r="I3992" s="14"/>
      <c r="J3992" s="14"/>
      <c r="L3992"/>
    </row>
    <row r="3993" spans="1:12" x14ac:dyDescent="0.25">
      <c r="A3993" s="10"/>
      <c r="G3993"/>
      <c r="H3993" s="14"/>
      <c r="I3993" s="14"/>
      <c r="J3993" s="14"/>
      <c r="L3993"/>
    </row>
    <row r="3994" spans="1:12" x14ac:dyDescent="0.25">
      <c r="A3994" s="10"/>
      <c r="G3994"/>
      <c r="H3994" s="14"/>
      <c r="I3994" s="14"/>
      <c r="J3994" s="14"/>
      <c r="L3994"/>
    </row>
    <row r="3995" spans="1:12" x14ac:dyDescent="0.25">
      <c r="A3995" s="10"/>
      <c r="G3995"/>
      <c r="H3995" s="14"/>
      <c r="I3995" s="14"/>
      <c r="J3995" s="14"/>
      <c r="L3995"/>
    </row>
    <row r="3996" spans="1:12" x14ac:dyDescent="0.25">
      <c r="A3996" s="10"/>
      <c r="G3996"/>
      <c r="H3996" s="14"/>
      <c r="I3996" s="14"/>
      <c r="J3996" s="14"/>
      <c r="L3996"/>
    </row>
    <row r="3997" spans="1:12" x14ac:dyDescent="0.25">
      <c r="A3997" s="10"/>
      <c r="G3997"/>
      <c r="H3997" s="14"/>
      <c r="I3997" s="14"/>
      <c r="J3997" s="14"/>
      <c r="L3997"/>
    </row>
    <row r="3998" spans="1:12" x14ac:dyDescent="0.25">
      <c r="A3998" s="10"/>
      <c r="G3998"/>
      <c r="H3998" s="14"/>
      <c r="I3998" s="14"/>
      <c r="J3998" s="14"/>
      <c r="L3998"/>
    </row>
    <row r="3999" spans="1:12" x14ac:dyDescent="0.25">
      <c r="A3999" s="10"/>
      <c r="G3999"/>
      <c r="H3999" s="14"/>
      <c r="I3999" s="14"/>
      <c r="J3999" s="14"/>
      <c r="L3999"/>
    </row>
    <row r="4000" spans="1:12" x14ac:dyDescent="0.25">
      <c r="A4000" s="10"/>
      <c r="G4000"/>
      <c r="H4000" s="14"/>
      <c r="I4000" s="14"/>
      <c r="J4000" s="14"/>
      <c r="L4000"/>
    </row>
    <row r="4001" spans="1:12" x14ac:dyDescent="0.25">
      <c r="A4001" s="10"/>
      <c r="G4001"/>
      <c r="H4001" s="14"/>
      <c r="I4001" s="14"/>
      <c r="J4001" s="14"/>
      <c r="L4001"/>
    </row>
    <row r="4002" spans="1:12" x14ac:dyDescent="0.25">
      <c r="A4002" s="10"/>
      <c r="G4002"/>
      <c r="H4002" s="14"/>
      <c r="I4002" s="14"/>
      <c r="J4002" s="14"/>
      <c r="L4002"/>
    </row>
    <row r="4003" spans="1:12" x14ac:dyDescent="0.25">
      <c r="A4003" s="10"/>
      <c r="G4003"/>
      <c r="H4003" s="14"/>
      <c r="I4003" s="14"/>
      <c r="J4003" s="14"/>
      <c r="L4003"/>
    </row>
    <row r="4004" spans="1:12" x14ac:dyDescent="0.25">
      <c r="A4004" s="10"/>
      <c r="G4004"/>
      <c r="H4004" s="14"/>
      <c r="I4004" s="14"/>
      <c r="J4004" s="14"/>
      <c r="L4004"/>
    </row>
    <row r="4005" spans="1:12" x14ac:dyDescent="0.25">
      <c r="A4005" s="10"/>
      <c r="G4005"/>
      <c r="H4005" s="14"/>
      <c r="I4005" s="14"/>
      <c r="J4005" s="14"/>
      <c r="L4005"/>
    </row>
    <row r="4006" spans="1:12" x14ac:dyDescent="0.25">
      <c r="A4006" s="10"/>
      <c r="G4006"/>
      <c r="H4006" s="14"/>
      <c r="I4006" s="14"/>
      <c r="J4006" s="14"/>
      <c r="L4006"/>
    </row>
    <row r="4007" spans="1:12" x14ac:dyDescent="0.25">
      <c r="A4007" s="10"/>
      <c r="G4007"/>
      <c r="H4007" s="14"/>
      <c r="I4007" s="14"/>
      <c r="J4007" s="14"/>
      <c r="L4007"/>
    </row>
    <row r="4008" spans="1:12" x14ac:dyDescent="0.25">
      <c r="A4008" s="10"/>
      <c r="G4008"/>
      <c r="H4008" s="14"/>
      <c r="I4008" s="14"/>
      <c r="J4008" s="14"/>
      <c r="L4008"/>
    </row>
    <row r="4009" spans="1:12" x14ac:dyDescent="0.25">
      <c r="A4009" s="10"/>
      <c r="G4009"/>
      <c r="H4009" s="14"/>
      <c r="I4009" s="14"/>
      <c r="J4009" s="14"/>
      <c r="L4009"/>
    </row>
    <row r="4010" spans="1:12" x14ac:dyDescent="0.25">
      <c r="A4010" s="10"/>
      <c r="G4010"/>
      <c r="H4010" s="14"/>
      <c r="I4010" s="14"/>
      <c r="J4010" s="14"/>
      <c r="L4010"/>
    </row>
    <row r="4011" spans="1:12" x14ac:dyDescent="0.25">
      <c r="A4011" s="10"/>
      <c r="G4011"/>
      <c r="H4011" s="14"/>
      <c r="I4011" s="14"/>
      <c r="J4011" s="14"/>
      <c r="L4011"/>
    </row>
    <row r="4012" spans="1:12" x14ac:dyDescent="0.25">
      <c r="A4012" s="10"/>
      <c r="G4012"/>
      <c r="H4012" s="14"/>
      <c r="I4012" s="14"/>
      <c r="J4012" s="14"/>
      <c r="L4012"/>
    </row>
    <row r="4013" spans="1:12" x14ac:dyDescent="0.25">
      <c r="A4013" s="10"/>
      <c r="G4013"/>
      <c r="H4013" s="14"/>
      <c r="I4013" s="14"/>
      <c r="J4013" s="14"/>
      <c r="L4013"/>
    </row>
    <row r="4014" spans="1:12" x14ac:dyDescent="0.25">
      <c r="A4014" s="10"/>
      <c r="G4014"/>
      <c r="H4014" s="14"/>
      <c r="I4014" s="14"/>
      <c r="J4014" s="14"/>
      <c r="L4014"/>
    </row>
    <row r="4015" spans="1:12" x14ac:dyDescent="0.25">
      <c r="A4015" s="10"/>
      <c r="G4015"/>
      <c r="H4015" s="14"/>
      <c r="I4015" s="14"/>
      <c r="J4015" s="14"/>
      <c r="L4015"/>
    </row>
    <row r="4016" spans="1:12" x14ac:dyDescent="0.25">
      <c r="A4016" s="10"/>
      <c r="G4016"/>
      <c r="H4016" s="14"/>
      <c r="I4016" s="14"/>
      <c r="J4016" s="14"/>
      <c r="L4016"/>
    </row>
    <row r="4017" spans="1:12" x14ac:dyDescent="0.25">
      <c r="A4017" s="10"/>
      <c r="G4017"/>
      <c r="H4017" s="14"/>
      <c r="I4017" s="14"/>
      <c r="J4017" s="14"/>
      <c r="L4017"/>
    </row>
    <row r="4018" spans="1:12" x14ac:dyDescent="0.25">
      <c r="A4018" s="10"/>
      <c r="G4018"/>
      <c r="H4018" s="14"/>
      <c r="I4018" s="14"/>
      <c r="J4018" s="14"/>
      <c r="L4018"/>
    </row>
    <row r="4019" spans="1:12" x14ac:dyDescent="0.25">
      <c r="A4019" s="10"/>
      <c r="G4019"/>
      <c r="H4019" s="14"/>
      <c r="I4019" s="14"/>
      <c r="J4019" s="14"/>
      <c r="L4019"/>
    </row>
    <row r="4020" spans="1:12" x14ac:dyDescent="0.25">
      <c r="A4020" s="10"/>
      <c r="G4020"/>
      <c r="H4020" s="14"/>
      <c r="I4020" s="14"/>
      <c r="J4020" s="14"/>
      <c r="L4020"/>
    </row>
    <row r="4021" spans="1:12" x14ac:dyDescent="0.25">
      <c r="A4021" s="10"/>
      <c r="G4021"/>
      <c r="H4021" s="14"/>
      <c r="I4021" s="14"/>
      <c r="J4021" s="14"/>
      <c r="L4021"/>
    </row>
    <row r="4022" spans="1:12" x14ac:dyDescent="0.25">
      <c r="A4022" s="10"/>
      <c r="G4022"/>
      <c r="H4022" s="14"/>
      <c r="I4022" s="14"/>
      <c r="J4022" s="14"/>
      <c r="L4022"/>
    </row>
    <row r="4023" spans="1:12" x14ac:dyDescent="0.25">
      <c r="A4023" s="10"/>
      <c r="G4023"/>
      <c r="H4023" s="14"/>
      <c r="I4023" s="14"/>
      <c r="J4023" s="14"/>
      <c r="L4023"/>
    </row>
    <row r="4024" spans="1:12" x14ac:dyDescent="0.25">
      <c r="A4024" s="10"/>
      <c r="G4024"/>
      <c r="H4024" s="14"/>
      <c r="I4024" s="14"/>
      <c r="J4024" s="14"/>
      <c r="L4024"/>
    </row>
    <row r="4025" spans="1:12" x14ac:dyDescent="0.25">
      <c r="A4025" s="10"/>
      <c r="G4025"/>
      <c r="H4025" s="14"/>
      <c r="I4025" s="14"/>
      <c r="J4025" s="14"/>
      <c r="L4025"/>
    </row>
    <row r="4026" spans="1:12" x14ac:dyDescent="0.25">
      <c r="A4026" s="10"/>
      <c r="G4026"/>
      <c r="H4026" s="14"/>
      <c r="I4026" s="14"/>
      <c r="J4026" s="14"/>
      <c r="L4026"/>
    </row>
    <row r="4027" spans="1:12" x14ac:dyDescent="0.25">
      <c r="A4027" s="10"/>
      <c r="G4027"/>
      <c r="H4027" s="14"/>
      <c r="I4027" s="14"/>
      <c r="J4027" s="14"/>
      <c r="L4027"/>
    </row>
    <row r="4028" spans="1:12" x14ac:dyDescent="0.25">
      <c r="A4028" s="10"/>
      <c r="G4028"/>
      <c r="H4028" s="14"/>
      <c r="I4028" s="14"/>
      <c r="J4028" s="14"/>
      <c r="L4028"/>
    </row>
    <row r="4029" spans="1:12" x14ac:dyDescent="0.25">
      <c r="A4029" s="10"/>
      <c r="G4029"/>
      <c r="H4029" s="14"/>
      <c r="I4029" s="14"/>
      <c r="J4029" s="14"/>
      <c r="L4029"/>
    </row>
    <row r="4030" spans="1:12" x14ac:dyDescent="0.25">
      <c r="A4030" s="10"/>
      <c r="G4030"/>
      <c r="H4030" s="14"/>
      <c r="I4030" s="14"/>
      <c r="J4030" s="14"/>
      <c r="L4030"/>
    </row>
    <row r="4031" spans="1:12" x14ac:dyDescent="0.25">
      <c r="A4031" s="10"/>
      <c r="G4031"/>
      <c r="H4031" s="14"/>
      <c r="I4031" s="14"/>
      <c r="J4031" s="14"/>
      <c r="L4031"/>
    </row>
    <row r="4032" spans="1:12" x14ac:dyDescent="0.25">
      <c r="A4032" s="10"/>
      <c r="G4032"/>
      <c r="H4032" s="14"/>
      <c r="I4032" s="14"/>
      <c r="J4032" s="14"/>
      <c r="L4032"/>
    </row>
    <row r="4033" spans="1:12" x14ac:dyDescent="0.25">
      <c r="A4033" s="10"/>
      <c r="G4033"/>
      <c r="H4033" s="14"/>
      <c r="I4033" s="14"/>
      <c r="J4033" s="14"/>
      <c r="L4033"/>
    </row>
    <row r="4034" spans="1:12" x14ac:dyDescent="0.25">
      <c r="A4034" s="10"/>
      <c r="G4034"/>
      <c r="H4034" s="14"/>
      <c r="I4034" s="14"/>
      <c r="J4034" s="14"/>
      <c r="L4034"/>
    </row>
    <row r="4035" spans="1:12" x14ac:dyDescent="0.25">
      <c r="A4035" s="10"/>
      <c r="G4035"/>
      <c r="H4035" s="14"/>
      <c r="I4035" s="14"/>
      <c r="J4035" s="14"/>
      <c r="L4035"/>
    </row>
    <row r="4036" spans="1:12" x14ac:dyDescent="0.25">
      <c r="A4036" s="10"/>
      <c r="G4036"/>
      <c r="H4036" s="14"/>
      <c r="I4036" s="14"/>
      <c r="J4036" s="14"/>
      <c r="L4036"/>
    </row>
    <row r="4037" spans="1:12" x14ac:dyDescent="0.25">
      <c r="A4037" s="10"/>
      <c r="G4037"/>
      <c r="H4037" s="14"/>
      <c r="I4037" s="14"/>
      <c r="J4037" s="14"/>
      <c r="L4037"/>
    </row>
    <row r="4038" spans="1:12" x14ac:dyDescent="0.25">
      <c r="A4038" s="10"/>
      <c r="G4038"/>
      <c r="H4038" s="14"/>
      <c r="I4038" s="14"/>
      <c r="J4038" s="14"/>
      <c r="L4038"/>
    </row>
    <row r="4039" spans="1:12" x14ac:dyDescent="0.25">
      <c r="A4039" s="10"/>
      <c r="G4039"/>
      <c r="H4039" s="14"/>
      <c r="I4039" s="14"/>
      <c r="J4039" s="14"/>
      <c r="L4039"/>
    </row>
    <row r="4040" spans="1:12" x14ac:dyDescent="0.25">
      <c r="A4040" s="10"/>
      <c r="G4040"/>
      <c r="H4040" s="14"/>
      <c r="I4040" s="14"/>
      <c r="J4040" s="14"/>
      <c r="L4040"/>
    </row>
    <row r="4041" spans="1:12" x14ac:dyDescent="0.25">
      <c r="A4041" s="10"/>
      <c r="G4041"/>
      <c r="H4041" s="14"/>
      <c r="I4041" s="14"/>
      <c r="J4041" s="14"/>
      <c r="L4041"/>
    </row>
    <row r="4042" spans="1:12" x14ac:dyDescent="0.25">
      <c r="A4042" s="10"/>
      <c r="G4042"/>
      <c r="H4042" s="14"/>
      <c r="I4042" s="14"/>
      <c r="J4042" s="14"/>
      <c r="L4042"/>
    </row>
    <row r="4043" spans="1:12" x14ac:dyDescent="0.25">
      <c r="A4043" s="10"/>
      <c r="G4043"/>
      <c r="H4043" s="14"/>
      <c r="I4043" s="14"/>
      <c r="J4043" s="14"/>
      <c r="L4043"/>
    </row>
    <row r="4044" spans="1:12" x14ac:dyDescent="0.25">
      <c r="A4044" s="10"/>
      <c r="G4044"/>
      <c r="H4044" s="14"/>
      <c r="I4044" s="14"/>
      <c r="J4044" s="14"/>
      <c r="L4044"/>
    </row>
    <row r="4045" spans="1:12" x14ac:dyDescent="0.25">
      <c r="A4045" s="10"/>
      <c r="G4045"/>
      <c r="H4045" s="14"/>
      <c r="I4045" s="14"/>
      <c r="J4045" s="14"/>
      <c r="L4045"/>
    </row>
    <row r="4046" spans="1:12" x14ac:dyDescent="0.25">
      <c r="A4046" s="10"/>
      <c r="G4046"/>
      <c r="H4046" s="14"/>
      <c r="I4046" s="14"/>
      <c r="J4046" s="14"/>
      <c r="L4046"/>
    </row>
    <row r="4047" spans="1:12" x14ac:dyDescent="0.25">
      <c r="A4047" s="10"/>
      <c r="G4047"/>
      <c r="H4047" s="14"/>
      <c r="I4047" s="14"/>
      <c r="J4047" s="14"/>
      <c r="L4047"/>
    </row>
    <row r="4048" spans="1:12" x14ac:dyDescent="0.25">
      <c r="A4048" s="10"/>
      <c r="G4048"/>
      <c r="H4048" s="14"/>
      <c r="I4048" s="14"/>
      <c r="J4048" s="14"/>
      <c r="L4048"/>
    </row>
    <row r="4049" spans="1:12" x14ac:dyDescent="0.25">
      <c r="A4049" s="10"/>
      <c r="G4049"/>
      <c r="H4049" s="14"/>
      <c r="I4049" s="14"/>
      <c r="J4049" s="14"/>
      <c r="L4049"/>
    </row>
    <row r="4050" spans="1:12" x14ac:dyDescent="0.25">
      <c r="A4050" s="10"/>
      <c r="G4050"/>
      <c r="H4050" s="14"/>
      <c r="I4050" s="14"/>
      <c r="J4050" s="14"/>
      <c r="L4050"/>
    </row>
    <row r="4051" spans="1:12" x14ac:dyDescent="0.25">
      <c r="A4051" s="10"/>
      <c r="G4051"/>
      <c r="H4051" s="14"/>
      <c r="I4051" s="14"/>
      <c r="J4051" s="14"/>
      <c r="L4051"/>
    </row>
    <row r="4052" spans="1:12" x14ac:dyDescent="0.25">
      <c r="A4052" s="10"/>
      <c r="G4052"/>
      <c r="H4052" s="14"/>
      <c r="I4052" s="14"/>
      <c r="J4052" s="14"/>
      <c r="L4052"/>
    </row>
    <row r="4053" spans="1:12" x14ac:dyDescent="0.25">
      <c r="A4053" s="10"/>
      <c r="G4053"/>
      <c r="H4053" s="14"/>
      <c r="I4053" s="14"/>
      <c r="J4053" s="14"/>
      <c r="L4053"/>
    </row>
    <row r="4054" spans="1:12" x14ac:dyDescent="0.25">
      <c r="A4054" s="10"/>
      <c r="G4054"/>
      <c r="H4054" s="14"/>
      <c r="I4054" s="14"/>
      <c r="J4054" s="14"/>
      <c r="L4054"/>
    </row>
    <row r="4055" spans="1:12" x14ac:dyDescent="0.25">
      <c r="A4055" s="10"/>
      <c r="G4055"/>
      <c r="H4055" s="14"/>
      <c r="I4055" s="14"/>
      <c r="J4055" s="14"/>
      <c r="L4055"/>
    </row>
    <row r="4056" spans="1:12" x14ac:dyDescent="0.25">
      <c r="A4056" s="10"/>
      <c r="G4056"/>
      <c r="H4056" s="14"/>
      <c r="I4056" s="14"/>
      <c r="J4056" s="14"/>
      <c r="L4056"/>
    </row>
    <row r="4057" spans="1:12" x14ac:dyDescent="0.25">
      <c r="A4057" s="10"/>
      <c r="G4057"/>
      <c r="H4057" s="14"/>
      <c r="I4057" s="14"/>
      <c r="J4057" s="14"/>
      <c r="L4057"/>
    </row>
    <row r="4058" spans="1:12" x14ac:dyDescent="0.25">
      <c r="A4058" s="10"/>
      <c r="G4058"/>
      <c r="H4058" s="14"/>
      <c r="I4058" s="14"/>
      <c r="J4058" s="14"/>
      <c r="L4058"/>
    </row>
    <row r="4059" spans="1:12" x14ac:dyDescent="0.25">
      <c r="A4059" s="10"/>
      <c r="G4059"/>
      <c r="H4059" s="14"/>
      <c r="I4059" s="14"/>
      <c r="J4059" s="14"/>
      <c r="L4059"/>
    </row>
    <row r="4060" spans="1:12" x14ac:dyDescent="0.25">
      <c r="A4060" s="10"/>
      <c r="G4060"/>
      <c r="H4060" s="14"/>
      <c r="I4060" s="14"/>
      <c r="J4060" s="14"/>
      <c r="L4060"/>
    </row>
    <row r="4061" spans="1:12" x14ac:dyDescent="0.25">
      <c r="A4061" s="10"/>
      <c r="G4061"/>
      <c r="H4061" s="14"/>
      <c r="I4061" s="14"/>
      <c r="J4061" s="14"/>
      <c r="L4061"/>
    </row>
    <row r="4062" spans="1:12" x14ac:dyDescent="0.25">
      <c r="A4062" s="10"/>
      <c r="G4062"/>
      <c r="H4062" s="14"/>
      <c r="I4062" s="14"/>
      <c r="J4062" s="14"/>
      <c r="L4062"/>
    </row>
    <row r="4063" spans="1:12" x14ac:dyDescent="0.25">
      <c r="A4063" s="10"/>
      <c r="G4063"/>
      <c r="H4063" s="14"/>
      <c r="I4063" s="14"/>
      <c r="J4063" s="14"/>
      <c r="L4063"/>
    </row>
    <row r="4064" spans="1:12" x14ac:dyDescent="0.25">
      <c r="A4064" s="10"/>
      <c r="G4064"/>
      <c r="H4064" s="14"/>
      <c r="I4064" s="14"/>
      <c r="J4064" s="14"/>
      <c r="L4064"/>
    </row>
    <row r="4065" spans="1:12" x14ac:dyDescent="0.25">
      <c r="A4065" s="10"/>
      <c r="G4065"/>
      <c r="H4065" s="14"/>
      <c r="I4065" s="14"/>
      <c r="J4065" s="14"/>
      <c r="L4065"/>
    </row>
    <row r="4066" spans="1:12" x14ac:dyDescent="0.25">
      <c r="A4066" s="10"/>
      <c r="G4066"/>
      <c r="H4066" s="14"/>
      <c r="I4066" s="14"/>
      <c r="J4066" s="14"/>
      <c r="L4066"/>
    </row>
    <row r="4067" spans="1:12" x14ac:dyDescent="0.25">
      <c r="A4067" s="10"/>
      <c r="G4067"/>
      <c r="H4067" s="14"/>
      <c r="I4067" s="14"/>
      <c r="J4067" s="14"/>
      <c r="L4067"/>
    </row>
    <row r="4068" spans="1:12" x14ac:dyDescent="0.25">
      <c r="A4068" s="10"/>
      <c r="G4068"/>
      <c r="H4068" s="14"/>
      <c r="I4068" s="14"/>
      <c r="J4068" s="14"/>
      <c r="L4068"/>
    </row>
    <row r="4069" spans="1:12" x14ac:dyDescent="0.25">
      <c r="A4069" s="10"/>
      <c r="G4069"/>
      <c r="H4069" s="14"/>
      <c r="I4069" s="14"/>
      <c r="J4069" s="14"/>
      <c r="L4069"/>
    </row>
    <row r="4070" spans="1:12" x14ac:dyDescent="0.25">
      <c r="A4070" s="10"/>
      <c r="G4070"/>
      <c r="H4070" s="14"/>
      <c r="I4070" s="14"/>
      <c r="J4070" s="14"/>
      <c r="L4070"/>
    </row>
    <row r="4071" spans="1:12" x14ac:dyDescent="0.25">
      <c r="A4071" s="10"/>
      <c r="G4071"/>
      <c r="H4071" s="14"/>
      <c r="I4071" s="14"/>
      <c r="J4071" s="14"/>
      <c r="L4071"/>
    </row>
    <row r="4072" spans="1:12" x14ac:dyDescent="0.25">
      <c r="A4072" s="10"/>
      <c r="G4072"/>
      <c r="H4072" s="14"/>
      <c r="I4072" s="14"/>
      <c r="J4072" s="14"/>
      <c r="L4072"/>
    </row>
    <row r="4073" spans="1:12" x14ac:dyDescent="0.25">
      <c r="A4073" s="10"/>
      <c r="G4073"/>
      <c r="H4073" s="14"/>
      <c r="I4073" s="14"/>
      <c r="J4073" s="14"/>
      <c r="L4073"/>
    </row>
    <row r="4074" spans="1:12" x14ac:dyDescent="0.25">
      <c r="A4074" s="10"/>
      <c r="G4074"/>
      <c r="H4074" s="14"/>
      <c r="I4074" s="14"/>
      <c r="J4074" s="14"/>
      <c r="L4074"/>
    </row>
    <row r="4075" spans="1:12" x14ac:dyDescent="0.25">
      <c r="A4075" s="10"/>
      <c r="G4075"/>
      <c r="H4075" s="14"/>
      <c r="I4075" s="14"/>
      <c r="J4075" s="14"/>
      <c r="L4075"/>
    </row>
    <row r="4076" spans="1:12" x14ac:dyDescent="0.25">
      <c r="A4076" s="10"/>
      <c r="G4076"/>
      <c r="H4076" s="14"/>
      <c r="I4076" s="14"/>
      <c r="J4076" s="14"/>
      <c r="L4076"/>
    </row>
    <row r="4077" spans="1:12" x14ac:dyDescent="0.25">
      <c r="A4077" s="10"/>
      <c r="G4077"/>
      <c r="H4077" s="14"/>
      <c r="I4077" s="14"/>
      <c r="J4077" s="14"/>
      <c r="L4077"/>
    </row>
    <row r="4078" spans="1:12" x14ac:dyDescent="0.25">
      <c r="A4078" s="10"/>
      <c r="G4078"/>
      <c r="H4078" s="14"/>
      <c r="I4078" s="14"/>
      <c r="J4078" s="14"/>
      <c r="L4078"/>
    </row>
    <row r="4079" spans="1:12" x14ac:dyDescent="0.25">
      <c r="A4079" s="10"/>
      <c r="G4079"/>
      <c r="H4079" s="14"/>
      <c r="I4079" s="14"/>
      <c r="J4079" s="14"/>
      <c r="L4079"/>
    </row>
    <row r="4080" spans="1:12" x14ac:dyDescent="0.25">
      <c r="A4080" s="10"/>
      <c r="G4080"/>
      <c r="H4080" s="14"/>
      <c r="I4080" s="14"/>
      <c r="J4080" s="14"/>
      <c r="L4080"/>
    </row>
    <row r="4081" spans="1:12" x14ac:dyDescent="0.25">
      <c r="A4081" s="10"/>
      <c r="G4081"/>
      <c r="H4081" s="14"/>
      <c r="I4081" s="14"/>
      <c r="J4081" s="14"/>
      <c r="L4081"/>
    </row>
    <row r="4082" spans="1:12" x14ac:dyDescent="0.25">
      <c r="A4082" s="10"/>
      <c r="G4082"/>
      <c r="H4082" s="14"/>
      <c r="I4082" s="14"/>
      <c r="J4082" s="14"/>
      <c r="L4082"/>
    </row>
    <row r="4083" spans="1:12" x14ac:dyDescent="0.25">
      <c r="A4083" s="10"/>
      <c r="G4083"/>
      <c r="H4083" s="14"/>
      <c r="I4083" s="14"/>
      <c r="J4083" s="14"/>
      <c r="L4083"/>
    </row>
    <row r="4084" spans="1:12" x14ac:dyDescent="0.25">
      <c r="A4084" s="10"/>
      <c r="G4084"/>
      <c r="H4084" s="14"/>
      <c r="I4084" s="14"/>
      <c r="J4084" s="14"/>
      <c r="L4084"/>
    </row>
    <row r="4085" spans="1:12" x14ac:dyDescent="0.25">
      <c r="A4085" s="10"/>
      <c r="G4085"/>
      <c r="H4085" s="14"/>
      <c r="I4085" s="14"/>
      <c r="J4085" s="14"/>
      <c r="L4085"/>
    </row>
    <row r="4086" spans="1:12" x14ac:dyDescent="0.25">
      <c r="A4086" s="10"/>
      <c r="G4086"/>
      <c r="H4086" s="14"/>
      <c r="I4086" s="14"/>
      <c r="J4086" s="14"/>
      <c r="L4086"/>
    </row>
    <row r="4087" spans="1:12" x14ac:dyDescent="0.25">
      <c r="A4087" s="10"/>
      <c r="G4087"/>
      <c r="H4087" s="14"/>
      <c r="I4087" s="14"/>
      <c r="J4087" s="14"/>
      <c r="L4087"/>
    </row>
    <row r="4088" spans="1:12" x14ac:dyDescent="0.25">
      <c r="A4088" s="10"/>
      <c r="G4088"/>
      <c r="H4088" s="14"/>
      <c r="I4088" s="14"/>
      <c r="J4088" s="14"/>
      <c r="L4088"/>
    </row>
    <row r="4089" spans="1:12" x14ac:dyDescent="0.25">
      <c r="A4089" s="10"/>
      <c r="G4089"/>
      <c r="H4089" s="14"/>
      <c r="I4089" s="14"/>
      <c r="J4089" s="14"/>
      <c r="L4089"/>
    </row>
    <row r="4090" spans="1:12" x14ac:dyDescent="0.25">
      <c r="A4090" s="10"/>
      <c r="G4090"/>
      <c r="H4090" s="14"/>
      <c r="I4090" s="14"/>
      <c r="J4090" s="14"/>
      <c r="L4090"/>
    </row>
    <row r="4091" spans="1:12" x14ac:dyDescent="0.25">
      <c r="A4091" s="10"/>
      <c r="G4091"/>
      <c r="H4091" s="14"/>
      <c r="I4091" s="14"/>
      <c r="J4091" s="14"/>
      <c r="L4091"/>
    </row>
    <row r="4092" spans="1:12" x14ac:dyDescent="0.25">
      <c r="A4092" s="10"/>
      <c r="G4092"/>
      <c r="H4092" s="14"/>
      <c r="I4092" s="14"/>
      <c r="J4092" s="14"/>
      <c r="L4092"/>
    </row>
    <row r="4093" spans="1:12" x14ac:dyDescent="0.25">
      <c r="A4093" s="10"/>
      <c r="G4093"/>
      <c r="H4093" s="14"/>
      <c r="I4093" s="14"/>
      <c r="J4093" s="14"/>
      <c r="L4093"/>
    </row>
    <row r="4094" spans="1:12" x14ac:dyDescent="0.25">
      <c r="A4094" s="10"/>
      <c r="G4094"/>
      <c r="H4094" s="14"/>
      <c r="I4094" s="14"/>
      <c r="J4094" s="14"/>
      <c r="L4094"/>
    </row>
    <row r="4095" spans="1:12" x14ac:dyDescent="0.25">
      <c r="A4095" s="10"/>
      <c r="G4095"/>
      <c r="H4095" s="14"/>
      <c r="I4095" s="14"/>
      <c r="J4095" s="14"/>
      <c r="L4095"/>
    </row>
    <row r="4096" spans="1:12" x14ac:dyDescent="0.25">
      <c r="A4096" s="10"/>
      <c r="G4096"/>
      <c r="H4096" s="14"/>
      <c r="I4096" s="14"/>
      <c r="J4096" s="14"/>
      <c r="L4096"/>
    </row>
    <row r="4097" spans="1:12" x14ac:dyDescent="0.25">
      <c r="A4097" s="10"/>
      <c r="G4097"/>
      <c r="H4097" s="14"/>
      <c r="I4097" s="14"/>
      <c r="J4097" s="14"/>
      <c r="L4097"/>
    </row>
    <row r="4098" spans="1:12" x14ac:dyDescent="0.25">
      <c r="A4098" s="10"/>
      <c r="G4098"/>
      <c r="H4098" s="14"/>
      <c r="I4098" s="14"/>
      <c r="J4098" s="14"/>
      <c r="L4098"/>
    </row>
    <row r="4099" spans="1:12" x14ac:dyDescent="0.25">
      <c r="A4099" s="10"/>
      <c r="G4099"/>
      <c r="H4099" s="14"/>
      <c r="I4099" s="14"/>
      <c r="J4099" s="14"/>
      <c r="L4099"/>
    </row>
    <row r="4100" spans="1:12" x14ac:dyDescent="0.25">
      <c r="A4100" s="10"/>
      <c r="G4100"/>
      <c r="H4100" s="14"/>
      <c r="I4100" s="14"/>
      <c r="J4100" s="14"/>
      <c r="L4100"/>
    </row>
    <row r="4101" spans="1:12" x14ac:dyDescent="0.25">
      <c r="A4101" s="10"/>
      <c r="G4101"/>
      <c r="H4101" s="14"/>
      <c r="I4101" s="14"/>
      <c r="J4101" s="14"/>
      <c r="L4101"/>
    </row>
    <row r="4102" spans="1:12" x14ac:dyDescent="0.25">
      <c r="A4102" s="10"/>
      <c r="G4102"/>
      <c r="H4102" s="14"/>
      <c r="I4102" s="14"/>
      <c r="J4102" s="14"/>
      <c r="L4102"/>
    </row>
    <row r="4103" spans="1:12" x14ac:dyDescent="0.25">
      <c r="A4103" s="10"/>
      <c r="G4103"/>
      <c r="H4103" s="14"/>
      <c r="I4103" s="14"/>
      <c r="J4103" s="14"/>
      <c r="L4103"/>
    </row>
    <row r="4104" spans="1:12" x14ac:dyDescent="0.25">
      <c r="A4104" s="10"/>
      <c r="G4104"/>
      <c r="H4104" s="14"/>
      <c r="I4104" s="14"/>
      <c r="J4104" s="14"/>
      <c r="L4104"/>
    </row>
    <row r="4105" spans="1:12" x14ac:dyDescent="0.25">
      <c r="A4105" s="10"/>
      <c r="G4105"/>
      <c r="H4105" s="14"/>
      <c r="I4105" s="14"/>
      <c r="J4105" s="14"/>
      <c r="L4105"/>
    </row>
    <row r="4106" spans="1:12" x14ac:dyDescent="0.25">
      <c r="A4106" s="10"/>
      <c r="G4106"/>
      <c r="H4106" s="14"/>
      <c r="I4106" s="14"/>
      <c r="J4106" s="14"/>
      <c r="L4106"/>
    </row>
    <row r="4107" spans="1:12" x14ac:dyDescent="0.25">
      <c r="A4107" s="10"/>
      <c r="G4107"/>
      <c r="H4107" s="14"/>
      <c r="I4107" s="14"/>
      <c r="J4107" s="14"/>
      <c r="L4107"/>
    </row>
    <row r="4108" spans="1:12" x14ac:dyDescent="0.25">
      <c r="A4108" s="10"/>
      <c r="G4108"/>
      <c r="H4108" s="14"/>
      <c r="I4108" s="14"/>
      <c r="J4108" s="14"/>
      <c r="L4108"/>
    </row>
    <row r="4109" spans="1:12" x14ac:dyDescent="0.25">
      <c r="A4109" s="10"/>
      <c r="G4109"/>
      <c r="H4109" s="14"/>
      <c r="I4109" s="14"/>
      <c r="J4109" s="14"/>
      <c r="L4109"/>
    </row>
    <row r="4110" spans="1:12" x14ac:dyDescent="0.25">
      <c r="A4110" s="10"/>
      <c r="G4110"/>
      <c r="H4110" s="14"/>
      <c r="I4110" s="14"/>
      <c r="J4110" s="14"/>
      <c r="L4110"/>
    </row>
    <row r="4111" spans="1:12" x14ac:dyDescent="0.25">
      <c r="A4111" s="10"/>
      <c r="G4111"/>
      <c r="H4111" s="14"/>
      <c r="I4111" s="14"/>
      <c r="J4111" s="14"/>
      <c r="L4111"/>
    </row>
    <row r="4112" spans="1:12" x14ac:dyDescent="0.25">
      <c r="A4112" s="10"/>
      <c r="G4112"/>
      <c r="H4112" s="14"/>
      <c r="I4112" s="14"/>
      <c r="J4112" s="14"/>
      <c r="L4112"/>
    </row>
    <row r="4113" spans="1:12" x14ac:dyDescent="0.25">
      <c r="A4113" s="10"/>
      <c r="G4113"/>
      <c r="H4113" s="14"/>
      <c r="I4113" s="14"/>
      <c r="J4113" s="14"/>
      <c r="L4113"/>
    </row>
    <row r="4114" spans="1:12" x14ac:dyDescent="0.25">
      <c r="A4114" s="10"/>
      <c r="G4114"/>
      <c r="H4114" s="14"/>
      <c r="I4114" s="14"/>
      <c r="J4114" s="14"/>
      <c r="L4114"/>
    </row>
    <row r="4115" spans="1:12" x14ac:dyDescent="0.25">
      <c r="A4115" s="10"/>
      <c r="G4115"/>
      <c r="H4115" s="14"/>
      <c r="I4115" s="14"/>
      <c r="J4115" s="14"/>
      <c r="L4115"/>
    </row>
    <row r="4116" spans="1:12" x14ac:dyDescent="0.25">
      <c r="A4116" s="10"/>
      <c r="G4116"/>
      <c r="H4116" s="14"/>
      <c r="I4116" s="14"/>
      <c r="J4116" s="14"/>
      <c r="L4116"/>
    </row>
    <row r="4117" spans="1:12" x14ac:dyDescent="0.25">
      <c r="A4117" s="10"/>
      <c r="G4117"/>
      <c r="H4117" s="14"/>
      <c r="I4117" s="14"/>
      <c r="J4117" s="14"/>
      <c r="L4117"/>
    </row>
    <row r="4118" spans="1:12" x14ac:dyDescent="0.25">
      <c r="A4118" s="10"/>
      <c r="G4118"/>
      <c r="H4118" s="14"/>
      <c r="I4118" s="14"/>
      <c r="J4118" s="14"/>
      <c r="L4118"/>
    </row>
    <row r="4119" spans="1:12" x14ac:dyDescent="0.25">
      <c r="A4119" s="10"/>
      <c r="G4119"/>
      <c r="H4119" s="14"/>
      <c r="I4119" s="14"/>
      <c r="J4119" s="14"/>
      <c r="L4119"/>
    </row>
    <row r="4120" spans="1:12" x14ac:dyDescent="0.25">
      <c r="A4120" s="10"/>
      <c r="G4120"/>
      <c r="H4120" s="14"/>
      <c r="I4120" s="14"/>
      <c r="J4120" s="14"/>
      <c r="L4120"/>
    </row>
    <row r="4121" spans="1:12" x14ac:dyDescent="0.25">
      <c r="A4121" s="10"/>
      <c r="G4121"/>
      <c r="H4121" s="14"/>
      <c r="I4121" s="14"/>
      <c r="J4121" s="14"/>
      <c r="L4121"/>
    </row>
    <row r="4122" spans="1:12" x14ac:dyDescent="0.25">
      <c r="A4122" s="10"/>
      <c r="G4122"/>
      <c r="H4122" s="14"/>
      <c r="I4122" s="14"/>
      <c r="J4122" s="14"/>
      <c r="L4122"/>
    </row>
    <row r="4123" spans="1:12" x14ac:dyDescent="0.25">
      <c r="A4123" s="10"/>
      <c r="G4123"/>
      <c r="H4123" s="14"/>
      <c r="I4123" s="14"/>
      <c r="J4123" s="14"/>
      <c r="L4123"/>
    </row>
    <row r="4124" spans="1:12" x14ac:dyDescent="0.25">
      <c r="A4124" s="10"/>
      <c r="G4124"/>
      <c r="H4124" s="14"/>
      <c r="I4124" s="14"/>
      <c r="J4124" s="14"/>
      <c r="L4124"/>
    </row>
    <row r="4125" spans="1:12" x14ac:dyDescent="0.25">
      <c r="A4125" s="10"/>
      <c r="G4125"/>
      <c r="H4125" s="14"/>
      <c r="I4125" s="14"/>
      <c r="J4125" s="14"/>
      <c r="L4125"/>
    </row>
    <row r="4126" spans="1:12" x14ac:dyDescent="0.25">
      <c r="A4126" s="10"/>
      <c r="G4126"/>
      <c r="H4126" s="14"/>
      <c r="I4126" s="14"/>
      <c r="J4126" s="14"/>
      <c r="L4126"/>
    </row>
    <row r="4127" spans="1:12" x14ac:dyDescent="0.25">
      <c r="A4127" s="10"/>
      <c r="G4127"/>
      <c r="H4127" s="14"/>
      <c r="I4127" s="14"/>
      <c r="J4127" s="14"/>
      <c r="L4127"/>
    </row>
    <row r="4128" spans="1:12" x14ac:dyDescent="0.25">
      <c r="A4128" s="10"/>
      <c r="G4128"/>
      <c r="H4128" s="14"/>
      <c r="I4128" s="14"/>
      <c r="J4128" s="14"/>
      <c r="L4128"/>
    </row>
    <row r="4129" spans="1:12" x14ac:dyDescent="0.25">
      <c r="A4129" s="10"/>
      <c r="G4129"/>
      <c r="H4129" s="14"/>
      <c r="I4129" s="14"/>
      <c r="J4129" s="14"/>
      <c r="L4129"/>
    </row>
    <row r="4130" spans="1:12" x14ac:dyDescent="0.25">
      <c r="A4130" s="10"/>
      <c r="G4130"/>
      <c r="H4130" s="14"/>
      <c r="I4130" s="14"/>
      <c r="J4130" s="14"/>
      <c r="L4130"/>
    </row>
    <row r="4131" spans="1:12" x14ac:dyDescent="0.25">
      <c r="A4131" s="10"/>
      <c r="G4131"/>
      <c r="H4131" s="14"/>
      <c r="I4131" s="14"/>
      <c r="J4131" s="14"/>
      <c r="L4131"/>
    </row>
    <row r="4132" spans="1:12" x14ac:dyDescent="0.25">
      <c r="A4132" s="10"/>
      <c r="G4132"/>
      <c r="H4132" s="14"/>
      <c r="I4132" s="14"/>
      <c r="J4132" s="14"/>
      <c r="L4132"/>
    </row>
    <row r="4133" spans="1:12" x14ac:dyDescent="0.25">
      <c r="A4133" s="10"/>
      <c r="G4133"/>
      <c r="H4133" s="14"/>
      <c r="I4133" s="14"/>
      <c r="J4133" s="14"/>
      <c r="L4133"/>
    </row>
    <row r="4134" spans="1:12" x14ac:dyDescent="0.25">
      <c r="A4134" s="10"/>
      <c r="G4134"/>
      <c r="H4134" s="14"/>
      <c r="I4134" s="14"/>
      <c r="J4134" s="14"/>
      <c r="L4134"/>
    </row>
    <row r="4135" spans="1:12" x14ac:dyDescent="0.25">
      <c r="A4135" s="10"/>
      <c r="G4135"/>
      <c r="H4135" s="14"/>
      <c r="I4135" s="14"/>
      <c r="J4135" s="14"/>
      <c r="L4135"/>
    </row>
    <row r="4136" spans="1:12" x14ac:dyDescent="0.25">
      <c r="A4136" s="10"/>
      <c r="G4136"/>
      <c r="H4136" s="14"/>
      <c r="I4136" s="14"/>
      <c r="J4136" s="14"/>
      <c r="L4136"/>
    </row>
    <row r="4137" spans="1:12" x14ac:dyDescent="0.25">
      <c r="A4137" s="10"/>
      <c r="G4137"/>
      <c r="H4137" s="14"/>
      <c r="I4137" s="14"/>
      <c r="J4137" s="14"/>
      <c r="L4137"/>
    </row>
    <row r="4138" spans="1:12" x14ac:dyDescent="0.25">
      <c r="A4138" s="10"/>
      <c r="G4138"/>
      <c r="H4138" s="14"/>
      <c r="I4138" s="14"/>
      <c r="J4138" s="14"/>
      <c r="L4138"/>
    </row>
    <row r="4139" spans="1:12" x14ac:dyDescent="0.25">
      <c r="A4139" s="10"/>
      <c r="G4139"/>
      <c r="H4139" s="14"/>
      <c r="I4139" s="14"/>
      <c r="J4139" s="14"/>
      <c r="L4139"/>
    </row>
    <row r="4140" spans="1:12" x14ac:dyDescent="0.25">
      <c r="A4140" s="10"/>
      <c r="G4140"/>
      <c r="H4140" s="14"/>
      <c r="I4140" s="14"/>
      <c r="J4140" s="14"/>
      <c r="L4140"/>
    </row>
    <row r="4141" spans="1:12" x14ac:dyDescent="0.25">
      <c r="A4141" s="10"/>
      <c r="G4141"/>
      <c r="H4141" s="14"/>
      <c r="I4141" s="14"/>
      <c r="J4141" s="14"/>
      <c r="L4141"/>
    </row>
    <row r="4142" spans="1:12" x14ac:dyDescent="0.25">
      <c r="A4142" s="10"/>
      <c r="G4142"/>
      <c r="H4142" s="14"/>
      <c r="I4142" s="14"/>
      <c r="J4142" s="14"/>
      <c r="L4142"/>
    </row>
    <row r="4143" spans="1:12" x14ac:dyDescent="0.25">
      <c r="A4143" s="10"/>
      <c r="G4143"/>
      <c r="H4143" s="14"/>
      <c r="I4143" s="14"/>
      <c r="J4143" s="14"/>
      <c r="L4143"/>
    </row>
    <row r="4144" spans="1:12" x14ac:dyDescent="0.25">
      <c r="A4144" s="10"/>
      <c r="G4144"/>
      <c r="H4144" s="14"/>
      <c r="I4144" s="14"/>
      <c r="J4144" s="14"/>
      <c r="L4144"/>
    </row>
    <row r="4145" spans="1:12" x14ac:dyDescent="0.25">
      <c r="A4145" s="10"/>
      <c r="G4145"/>
      <c r="H4145" s="14"/>
      <c r="I4145" s="14"/>
      <c r="J4145" s="14"/>
      <c r="L4145"/>
    </row>
    <row r="4146" spans="1:12" x14ac:dyDescent="0.25">
      <c r="A4146" s="10"/>
      <c r="G4146"/>
      <c r="H4146" s="14"/>
      <c r="I4146" s="14"/>
      <c r="J4146" s="14"/>
      <c r="L4146"/>
    </row>
    <row r="4147" spans="1:12" x14ac:dyDescent="0.25">
      <c r="A4147" s="10"/>
      <c r="G4147"/>
      <c r="H4147" s="14"/>
      <c r="I4147" s="14"/>
      <c r="J4147" s="14"/>
      <c r="L4147"/>
    </row>
    <row r="4148" spans="1:12" x14ac:dyDescent="0.25">
      <c r="A4148" s="10"/>
      <c r="G4148"/>
      <c r="H4148" s="14"/>
      <c r="I4148" s="14"/>
      <c r="J4148" s="14"/>
      <c r="L4148"/>
    </row>
    <row r="4149" spans="1:12" x14ac:dyDescent="0.25">
      <c r="A4149" s="10"/>
      <c r="G4149"/>
      <c r="H4149" s="14"/>
      <c r="I4149" s="14"/>
      <c r="J4149" s="14"/>
      <c r="L4149"/>
    </row>
    <row r="4150" spans="1:12" x14ac:dyDescent="0.25">
      <c r="A4150" s="10"/>
      <c r="G4150"/>
      <c r="H4150" s="14"/>
      <c r="I4150" s="14"/>
      <c r="J4150" s="14"/>
      <c r="L4150"/>
    </row>
    <row r="4151" spans="1:12" x14ac:dyDescent="0.25">
      <c r="A4151" s="10"/>
      <c r="G4151"/>
      <c r="H4151" s="14"/>
      <c r="I4151" s="14"/>
      <c r="J4151" s="14"/>
      <c r="L4151"/>
    </row>
    <row r="4152" spans="1:12" x14ac:dyDescent="0.25">
      <c r="A4152" s="10"/>
      <c r="G4152"/>
      <c r="H4152" s="14"/>
      <c r="I4152" s="14"/>
      <c r="J4152" s="14"/>
      <c r="L4152"/>
    </row>
    <row r="4153" spans="1:12" x14ac:dyDescent="0.25">
      <c r="A4153" s="10"/>
      <c r="G4153"/>
      <c r="H4153" s="14"/>
      <c r="I4153" s="14"/>
      <c r="J4153" s="14"/>
      <c r="L4153"/>
    </row>
    <row r="4154" spans="1:12" x14ac:dyDescent="0.25">
      <c r="A4154" s="10"/>
      <c r="G4154"/>
      <c r="H4154" s="14"/>
      <c r="I4154" s="14"/>
      <c r="J4154" s="14"/>
      <c r="L4154"/>
    </row>
    <row r="4155" spans="1:12" x14ac:dyDescent="0.25">
      <c r="A4155" s="10"/>
      <c r="G4155"/>
      <c r="H4155" s="14"/>
      <c r="I4155" s="14"/>
      <c r="J4155" s="14"/>
      <c r="L4155"/>
    </row>
    <row r="4156" spans="1:12" x14ac:dyDescent="0.25">
      <c r="A4156" s="10"/>
      <c r="G4156"/>
      <c r="H4156" s="14"/>
      <c r="I4156" s="14"/>
      <c r="J4156" s="14"/>
      <c r="L4156"/>
    </row>
    <row r="4157" spans="1:12" x14ac:dyDescent="0.25">
      <c r="A4157" s="10"/>
      <c r="G4157"/>
      <c r="H4157" s="14"/>
      <c r="I4157" s="14"/>
      <c r="J4157" s="14"/>
      <c r="L4157"/>
    </row>
    <row r="4158" spans="1:12" x14ac:dyDescent="0.25">
      <c r="A4158" s="10"/>
      <c r="G4158"/>
      <c r="H4158" s="14"/>
      <c r="I4158" s="14"/>
      <c r="J4158" s="14"/>
      <c r="L4158"/>
    </row>
    <row r="4159" spans="1:12" x14ac:dyDescent="0.25">
      <c r="A4159" s="10"/>
      <c r="G4159"/>
      <c r="H4159" s="14"/>
      <c r="I4159" s="14"/>
      <c r="J4159" s="14"/>
      <c r="L4159"/>
    </row>
    <row r="4160" spans="1:12" x14ac:dyDescent="0.25">
      <c r="A4160" s="10"/>
      <c r="G4160"/>
      <c r="H4160" s="14"/>
      <c r="I4160" s="14"/>
      <c r="J4160" s="14"/>
      <c r="L4160"/>
    </row>
    <row r="4161" spans="1:12" x14ac:dyDescent="0.25">
      <c r="A4161" s="10"/>
      <c r="G4161"/>
      <c r="H4161" s="14"/>
      <c r="I4161" s="14"/>
      <c r="J4161" s="14"/>
      <c r="L4161"/>
    </row>
    <row r="4162" spans="1:12" x14ac:dyDescent="0.25">
      <c r="A4162" s="10"/>
      <c r="G4162"/>
      <c r="H4162" s="14"/>
      <c r="I4162" s="14"/>
      <c r="J4162" s="14"/>
      <c r="L4162"/>
    </row>
    <row r="4163" spans="1:12" x14ac:dyDescent="0.25">
      <c r="A4163" s="10"/>
      <c r="G4163"/>
      <c r="H4163" s="14"/>
      <c r="I4163" s="14"/>
      <c r="J4163" s="14"/>
      <c r="L4163"/>
    </row>
    <row r="4164" spans="1:12" x14ac:dyDescent="0.25">
      <c r="A4164" s="10"/>
      <c r="G4164"/>
      <c r="H4164" s="14"/>
      <c r="I4164" s="14"/>
      <c r="J4164" s="14"/>
      <c r="L4164"/>
    </row>
    <row r="4165" spans="1:12" x14ac:dyDescent="0.25">
      <c r="A4165" s="10"/>
      <c r="G4165"/>
      <c r="H4165" s="14"/>
      <c r="I4165" s="14"/>
      <c r="J4165" s="14"/>
      <c r="L4165"/>
    </row>
    <row r="4166" spans="1:12" x14ac:dyDescent="0.25">
      <c r="A4166" s="10"/>
      <c r="G4166"/>
      <c r="H4166" s="14"/>
      <c r="I4166" s="14"/>
      <c r="J4166" s="14"/>
      <c r="L4166"/>
    </row>
    <row r="4167" spans="1:12" x14ac:dyDescent="0.25">
      <c r="A4167" s="10"/>
      <c r="G4167"/>
      <c r="H4167" s="14"/>
      <c r="I4167" s="14"/>
      <c r="J4167" s="14"/>
      <c r="L4167"/>
    </row>
    <row r="4168" spans="1:12" x14ac:dyDescent="0.25">
      <c r="A4168" s="10"/>
      <c r="G4168"/>
      <c r="H4168" s="14"/>
      <c r="I4168" s="14"/>
      <c r="J4168" s="14"/>
      <c r="L4168"/>
    </row>
    <row r="4169" spans="1:12" x14ac:dyDescent="0.25">
      <c r="A4169" s="10"/>
      <c r="G4169"/>
      <c r="H4169" s="14"/>
      <c r="I4169" s="14"/>
      <c r="J4169" s="14"/>
      <c r="L4169"/>
    </row>
    <row r="4170" spans="1:12" x14ac:dyDescent="0.25">
      <c r="A4170" s="10"/>
      <c r="G4170"/>
      <c r="H4170" s="14"/>
      <c r="I4170" s="14"/>
      <c r="J4170" s="14"/>
      <c r="L4170"/>
    </row>
    <row r="4171" spans="1:12" x14ac:dyDescent="0.25">
      <c r="A4171" s="10"/>
      <c r="G4171"/>
      <c r="H4171" s="14"/>
      <c r="I4171" s="14"/>
      <c r="J4171" s="14"/>
      <c r="L4171"/>
    </row>
    <row r="4172" spans="1:12" x14ac:dyDescent="0.25">
      <c r="A4172" s="10"/>
      <c r="G4172"/>
      <c r="H4172" s="14"/>
      <c r="I4172" s="14"/>
      <c r="J4172" s="14"/>
      <c r="L4172"/>
    </row>
    <row r="4173" spans="1:12" x14ac:dyDescent="0.25">
      <c r="A4173" s="10"/>
      <c r="G4173"/>
      <c r="H4173" s="14"/>
      <c r="I4173" s="14"/>
      <c r="J4173" s="14"/>
      <c r="L4173"/>
    </row>
    <row r="4174" spans="1:12" x14ac:dyDescent="0.25">
      <c r="A4174" s="10"/>
      <c r="G4174"/>
      <c r="H4174" s="14"/>
      <c r="I4174" s="14"/>
      <c r="J4174" s="14"/>
      <c r="L4174"/>
    </row>
    <row r="4175" spans="1:12" x14ac:dyDescent="0.25">
      <c r="A4175" s="10"/>
      <c r="G4175"/>
      <c r="H4175" s="14"/>
      <c r="I4175" s="14"/>
      <c r="J4175" s="14"/>
      <c r="L4175"/>
    </row>
    <row r="4176" spans="1:12" x14ac:dyDescent="0.25">
      <c r="A4176" s="10"/>
      <c r="G4176"/>
      <c r="H4176" s="14"/>
      <c r="I4176" s="14"/>
      <c r="J4176" s="14"/>
      <c r="L4176"/>
    </row>
    <row r="4177" spans="1:12" x14ac:dyDescent="0.25">
      <c r="A4177" s="10"/>
      <c r="G4177"/>
      <c r="H4177" s="14"/>
      <c r="I4177" s="14"/>
      <c r="J4177" s="14"/>
      <c r="L4177"/>
    </row>
    <row r="4178" spans="1:12" x14ac:dyDescent="0.25">
      <c r="A4178" s="10"/>
      <c r="G4178"/>
      <c r="H4178" s="14"/>
      <c r="I4178" s="14"/>
      <c r="J4178" s="14"/>
      <c r="L4178"/>
    </row>
    <row r="4179" spans="1:12" x14ac:dyDescent="0.25">
      <c r="A4179" s="10"/>
      <c r="G4179"/>
      <c r="H4179" s="14"/>
      <c r="I4179" s="14"/>
      <c r="J4179" s="14"/>
      <c r="L4179"/>
    </row>
    <row r="4180" spans="1:12" x14ac:dyDescent="0.25">
      <c r="A4180" s="10"/>
      <c r="G4180"/>
      <c r="H4180" s="14"/>
      <c r="I4180" s="14"/>
      <c r="J4180" s="14"/>
      <c r="L4180"/>
    </row>
    <row r="4181" spans="1:12" x14ac:dyDescent="0.25">
      <c r="A4181" s="10"/>
      <c r="G4181"/>
      <c r="H4181" s="14"/>
      <c r="I4181" s="14"/>
      <c r="J4181" s="14"/>
      <c r="L4181"/>
    </row>
    <row r="4182" spans="1:12" x14ac:dyDescent="0.25">
      <c r="A4182" s="10"/>
      <c r="G4182"/>
      <c r="H4182" s="14"/>
      <c r="I4182" s="14"/>
      <c r="J4182" s="14"/>
      <c r="L4182"/>
    </row>
    <row r="4183" spans="1:12" x14ac:dyDescent="0.25">
      <c r="A4183" s="10"/>
      <c r="G4183"/>
      <c r="H4183" s="14"/>
      <c r="I4183" s="14"/>
      <c r="J4183" s="14"/>
      <c r="L4183"/>
    </row>
    <row r="4184" spans="1:12" x14ac:dyDescent="0.25">
      <c r="A4184" s="10"/>
      <c r="G4184"/>
      <c r="H4184" s="14"/>
      <c r="I4184" s="14"/>
      <c r="J4184" s="14"/>
      <c r="L4184"/>
    </row>
    <row r="4185" spans="1:12" x14ac:dyDescent="0.25">
      <c r="A4185" s="10"/>
      <c r="G4185"/>
      <c r="H4185" s="14"/>
      <c r="I4185" s="14"/>
      <c r="J4185" s="14"/>
      <c r="L4185"/>
    </row>
    <row r="4186" spans="1:12" x14ac:dyDescent="0.25">
      <c r="A4186" s="10"/>
      <c r="G4186"/>
      <c r="H4186" s="14"/>
      <c r="I4186" s="14"/>
      <c r="J4186" s="14"/>
      <c r="L4186"/>
    </row>
    <row r="4187" spans="1:12" x14ac:dyDescent="0.25">
      <c r="A4187" s="10"/>
      <c r="G4187"/>
      <c r="H4187" s="14"/>
      <c r="I4187" s="14"/>
      <c r="J4187" s="14"/>
      <c r="L4187"/>
    </row>
    <row r="4188" spans="1:12" x14ac:dyDescent="0.25">
      <c r="A4188" s="10"/>
      <c r="G4188"/>
      <c r="H4188" s="14"/>
      <c r="I4188" s="14"/>
      <c r="J4188" s="14"/>
      <c r="L4188"/>
    </row>
    <row r="4189" spans="1:12" x14ac:dyDescent="0.25">
      <c r="A4189" s="10"/>
      <c r="G4189"/>
      <c r="H4189" s="14"/>
      <c r="I4189" s="14"/>
      <c r="J4189" s="14"/>
      <c r="L4189"/>
    </row>
    <row r="4190" spans="1:12" x14ac:dyDescent="0.25">
      <c r="A4190" s="10"/>
      <c r="G4190"/>
      <c r="H4190" s="14"/>
      <c r="I4190" s="14"/>
      <c r="J4190" s="14"/>
      <c r="L4190"/>
    </row>
    <row r="4191" spans="1:12" x14ac:dyDescent="0.25">
      <c r="A4191" s="10"/>
      <c r="G4191"/>
      <c r="H4191" s="14"/>
      <c r="I4191" s="14"/>
      <c r="J4191" s="14"/>
      <c r="L4191"/>
    </row>
    <row r="4192" spans="1:12" x14ac:dyDescent="0.25">
      <c r="A4192" s="10"/>
      <c r="G4192"/>
      <c r="H4192" s="14"/>
      <c r="I4192" s="14"/>
      <c r="J4192" s="14"/>
      <c r="L4192"/>
    </row>
    <row r="4193" spans="1:12" x14ac:dyDescent="0.25">
      <c r="A4193" s="10"/>
      <c r="G4193"/>
      <c r="H4193" s="14"/>
      <c r="I4193" s="14"/>
      <c r="J4193" s="14"/>
      <c r="L4193"/>
    </row>
    <row r="4194" spans="1:12" x14ac:dyDescent="0.25">
      <c r="A4194" s="10"/>
      <c r="G4194"/>
      <c r="H4194" s="14"/>
      <c r="I4194" s="14"/>
      <c r="J4194" s="14"/>
      <c r="L4194"/>
    </row>
    <row r="4195" spans="1:12" x14ac:dyDescent="0.25">
      <c r="A4195" s="10"/>
      <c r="G4195"/>
      <c r="H4195" s="14"/>
      <c r="I4195" s="14"/>
      <c r="J4195" s="14"/>
      <c r="L4195"/>
    </row>
    <row r="4196" spans="1:12" x14ac:dyDescent="0.25">
      <c r="A4196" s="10"/>
      <c r="G4196"/>
      <c r="H4196" s="14"/>
      <c r="I4196" s="14"/>
      <c r="J4196" s="14"/>
      <c r="L4196"/>
    </row>
    <row r="4197" spans="1:12" x14ac:dyDescent="0.25">
      <c r="A4197" s="10"/>
      <c r="G4197"/>
      <c r="H4197" s="14"/>
      <c r="I4197" s="14"/>
      <c r="J4197" s="14"/>
      <c r="L4197"/>
    </row>
    <row r="4198" spans="1:12" x14ac:dyDescent="0.25">
      <c r="A4198" s="10"/>
      <c r="G4198"/>
      <c r="H4198" s="14"/>
      <c r="I4198" s="14"/>
      <c r="J4198" s="14"/>
      <c r="L4198"/>
    </row>
    <row r="4199" spans="1:12" x14ac:dyDescent="0.25">
      <c r="A4199" s="10"/>
      <c r="G4199"/>
      <c r="H4199" s="14"/>
      <c r="I4199" s="14"/>
      <c r="J4199" s="14"/>
      <c r="L4199"/>
    </row>
    <row r="4200" spans="1:12" x14ac:dyDescent="0.25">
      <c r="A4200" s="10"/>
      <c r="G4200"/>
      <c r="H4200" s="14"/>
      <c r="I4200" s="14"/>
      <c r="J4200" s="14"/>
      <c r="L4200"/>
    </row>
    <row r="4201" spans="1:12" x14ac:dyDescent="0.25">
      <c r="A4201" s="10"/>
      <c r="G4201"/>
      <c r="H4201" s="14"/>
      <c r="I4201" s="14"/>
      <c r="J4201" s="14"/>
      <c r="L4201"/>
    </row>
    <row r="4202" spans="1:12" x14ac:dyDescent="0.25">
      <c r="A4202" s="10"/>
      <c r="G4202"/>
      <c r="H4202" s="14"/>
      <c r="I4202" s="14"/>
      <c r="J4202" s="14"/>
      <c r="L4202"/>
    </row>
    <row r="4203" spans="1:12" x14ac:dyDescent="0.25">
      <c r="A4203" s="10"/>
      <c r="G4203"/>
      <c r="H4203" s="14"/>
      <c r="I4203" s="14"/>
      <c r="J4203" s="14"/>
      <c r="L4203"/>
    </row>
    <row r="4204" spans="1:12" x14ac:dyDescent="0.25">
      <c r="A4204" s="10"/>
      <c r="G4204"/>
      <c r="H4204" s="14"/>
      <c r="I4204" s="14"/>
      <c r="J4204" s="14"/>
      <c r="L4204"/>
    </row>
    <row r="4205" spans="1:12" x14ac:dyDescent="0.25">
      <c r="A4205" s="10"/>
      <c r="G4205"/>
      <c r="H4205" s="14"/>
      <c r="I4205" s="14"/>
      <c r="J4205" s="14"/>
      <c r="L4205"/>
    </row>
    <row r="4206" spans="1:12" x14ac:dyDescent="0.25">
      <c r="A4206" s="10"/>
      <c r="G4206"/>
      <c r="H4206" s="14"/>
      <c r="I4206" s="14"/>
      <c r="J4206" s="14"/>
      <c r="L4206"/>
    </row>
    <row r="4207" spans="1:12" x14ac:dyDescent="0.25">
      <c r="A4207" s="10"/>
      <c r="G4207"/>
      <c r="H4207" s="14"/>
      <c r="I4207" s="14"/>
      <c r="J4207" s="14"/>
      <c r="L4207"/>
    </row>
    <row r="4208" spans="1:12" x14ac:dyDescent="0.25">
      <c r="A4208" s="10"/>
      <c r="G4208"/>
      <c r="H4208" s="14"/>
      <c r="I4208" s="14"/>
      <c r="J4208" s="14"/>
      <c r="L4208"/>
    </row>
    <row r="4209" spans="1:12" x14ac:dyDescent="0.25">
      <c r="A4209" s="10"/>
      <c r="G4209"/>
      <c r="H4209" s="14"/>
      <c r="I4209" s="14"/>
      <c r="J4209" s="14"/>
      <c r="L4209"/>
    </row>
    <row r="4210" spans="1:12" x14ac:dyDescent="0.25">
      <c r="A4210" s="10"/>
      <c r="G4210"/>
      <c r="H4210" s="14"/>
      <c r="I4210" s="14"/>
      <c r="J4210" s="14"/>
      <c r="L4210"/>
    </row>
    <row r="4211" spans="1:12" x14ac:dyDescent="0.25">
      <c r="A4211" s="10"/>
      <c r="G4211"/>
      <c r="H4211" s="14"/>
      <c r="I4211" s="14"/>
      <c r="J4211" s="14"/>
      <c r="L4211"/>
    </row>
    <row r="4212" spans="1:12" x14ac:dyDescent="0.25">
      <c r="A4212" s="10"/>
      <c r="G4212"/>
      <c r="H4212" s="14"/>
      <c r="I4212" s="14"/>
      <c r="J4212" s="14"/>
      <c r="L4212"/>
    </row>
    <row r="4213" spans="1:12" x14ac:dyDescent="0.25">
      <c r="A4213" s="10"/>
      <c r="G4213"/>
      <c r="H4213" s="14"/>
      <c r="I4213" s="14"/>
      <c r="J4213" s="14"/>
      <c r="L4213"/>
    </row>
    <row r="4214" spans="1:12" x14ac:dyDescent="0.25">
      <c r="A4214" s="10"/>
      <c r="G4214"/>
      <c r="H4214" s="14"/>
      <c r="I4214" s="14"/>
      <c r="J4214" s="14"/>
      <c r="L4214"/>
    </row>
    <row r="4215" spans="1:12" x14ac:dyDescent="0.25">
      <c r="A4215" s="10"/>
      <c r="G4215"/>
      <c r="H4215" s="14"/>
      <c r="I4215" s="14"/>
      <c r="J4215" s="14"/>
      <c r="L4215"/>
    </row>
    <row r="4216" spans="1:12" x14ac:dyDescent="0.25">
      <c r="A4216" s="10"/>
      <c r="G4216"/>
      <c r="H4216" s="14"/>
      <c r="I4216" s="14"/>
      <c r="J4216" s="14"/>
      <c r="L4216"/>
    </row>
    <row r="4217" spans="1:12" x14ac:dyDescent="0.25">
      <c r="A4217" s="10"/>
      <c r="G4217"/>
      <c r="H4217" s="14"/>
      <c r="I4217" s="14"/>
      <c r="J4217" s="14"/>
      <c r="L4217"/>
    </row>
    <row r="4218" spans="1:12" x14ac:dyDescent="0.25">
      <c r="A4218" s="10"/>
      <c r="G4218"/>
      <c r="H4218" s="14"/>
      <c r="I4218" s="14"/>
      <c r="J4218" s="14"/>
      <c r="L4218"/>
    </row>
    <row r="4219" spans="1:12" x14ac:dyDescent="0.25">
      <c r="A4219" s="10"/>
      <c r="G4219"/>
      <c r="H4219" s="14"/>
      <c r="I4219" s="14"/>
      <c r="J4219" s="14"/>
      <c r="L4219"/>
    </row>
    <row r="4220" spans="1:12" x14ac:dyDescent="0.25">
      <c r="A4220" s="10"/>
      <c r="G4220"/>
      <c r="H4220" s="14"/>
      <c r="I4220" s="14"/>
      <c r="J4220" s="14"/>
      <c r="L4220"/>
    </row>
    <row r="4221" spans="1:12" x14ac:dyDescent="0.25">
      <c r="A4221" s="10"/>
      <c r="G4221"/>
      <c r="H4221" s="14"/>
      <c r="I4221" s="14"/>
      <c r="J4221" s="14"/>
      <c r="L4221"/>
    </row>
    <row r="4222" spans="1:12" x14ac:dyDescent="0.25">
      <c r="A4222" s="10"/>
      <c r="G4222"/>
      <c r="H4222" s="14"/>
      <c r="I4222" s="14"/>
      <c r="J4222" s="14"/>
      <c r="L4222"/>
    </row>
    <row r="4223" spans="1:12" x14ac:dyDescent="0.25">
      <c r="A4223" s="10"/>
      <c r="G4223"/>
      <c r="H4223" s="14"/>
      <c r="I4223" s="14"/>
      <c r="J4223" s="14"/>
      <c r="L4223"/>
    </row>
    <row r="4224" spans="1:12" x14ac:dyDescent="0.25">
      <c r="A4224" s="10"/>
      <c r="G4224"/>
      <c r="H4224" s="14"/>
      <c r="I4224" s="14"/>
      <c r="J4224" s="14"/>
      <c r="L4224"/>
    </row>
    <row r="4225" spans="1:12" x14ac:dyDescent="0.25">
      <c r="A4225" s="10"/>
      <c r="G4225"/>
      <c r="H4225" s="14"/>
      <c r="I4225" s="14"/>
      <c r="J4225" s="14"/>
      <c r="L4225"/>
    </row>
    <row r="4226" spans="1:12" x14ac:dyDescent="0.25">
      <c r="A4226" s="10"/>
      <c r="G4226"/>
      <c r="H4226" s="14"/>
      <c r="I4226" s="14"/>
      <c r="J4226" s="14"/>
      <c r="L4226"/>
    </row>
    <row r="4227" spans="1:12" x14ac:dyDescent="0.25">
      <c r="A4227" s="10"/>
      <c r="G4227"/>
      <c r="H4227" s="14"/>
      <c r="I4227" s="14"/>
      <c r="J4227" s="14"/>
      <c r="L4227"/>
    </row>
    <row r="4228" spans="1:12" x14ac:dyDescent="0.25">
      <c r="A4228" s="10"/>
      <c r="G4228"/>
      <c r="H4228" s="14"/>
      <c r="I4228" s="14"/>
      <c r="J4228" s="14"/>
      <c r="L4228"/>
    </row>
    <row r="4229" spans="1:12" x14ac:dyDescent="0.25">
      <c r="A4229" s="10"/>
      <c r="G4229"/>
      <c r="H4229" s="14"/>
      <c r="I4229" s="14"/>
      <c r="J4229" s="14"/>
      <c r="L4229"/>
    </row>
    <row r="4230" spans="1:12" x14ac:dyDescent="0.25">
      <c r="A4230" s="10"/>
      <c r="G4230"/>
      <c r="H4230" s="14"/>
      <c r="I4230" s="14"/>
      <c r="J4230" s="14"/>
      <c r="L4230"/>
    </row>
    <row r="4231" spans="1:12" x14ac:dyDescent="0.25">
      <c r="A4231" s="10"/>
      <c r="G4231"/>
      <c r="H4231" s="14"/>
      <c r="I4231" s="14"/>
      <c r="J4231" s="14"/>
      <c r="L4231"/>
    </row>
    <row r="4232" spans="1:12" x14ac:dyDescent="0.25">
      <c r="A4232" s="10"/>
      <c r="G4232"/>
      <c r="H4232" s="14"/>
      <c r="I4232" s="14"/>
      <c r="J4232" s="14"/>
      <c r="L4232"/>
    </row>
    <row r="4233" spans="1:12" x14ac:dyDescent="0.25">
      <c r="A4233" s="10"/>
      <c r="G4233"/>
      <c r="H4233" s="14"/>
      <c r="I4233" s="14"/>
      <c r="J4233" s="14"/>
      <c r="L4233"/>
    </row>
    <row r="4234" spans="1:12" x14ac:dyDescent="0.25">
      <c r="A4234" s="10"/>
      <c r="G4234"/>
      <c r="H4234" s="14"/>
      <c r="I4234" s="14"/>
      <c r="J4234" s="14"/>
      <c r="L4234"/>
    </row>
    <row r="4235" spans="1:12" x14ac:dyDescent="0.25">
      <c r="A4235" s="10"/>
      <c r="G4235"/>
      <c r="H4235" s="14"/>
      <c r="I4235" s="14"/>
      <c r="J4235" s="14"/>
      <c r="L4235"/>
    </row>
    <row r="4236" spans="1:12" x14ac:dyDescent="0.25">
      <c r="A4236" s="10"/>
      <c r="G4236"/>
      <c r="H4236" s="14"/>
      <c r="I4236" s="14"/>
      <c r="J4236" s="14"/>
      <c r="L4236"/>
    </row>
    <row r="4237" spans="1:12" x14ac:dyDescent="0.25">
      <c r="A4237" s="10"/>
      <c r="G4237"/>
      <c r="H4237" s="14"/>
      <c r="I4237" s="14"/>
      <c r="J4237" s="14"/>
      <c r="L4237"/>
    </row>
    <row r="4238" spans="1:12" x14ac:dyDescent="0.25">
      <c r="A4238" s="10"/>
      <c r="G4238"/>
      <c r="H4238" s="14"/>
      <c r="I4238" s="14"/>
      <c r="J4238" s="14"/>
      <c r="L4238"/>
    </row>
    <row r="4239" spans="1:12" x14ac:dyDescent="0.25">
      <c r="A4239" s="10"/>
      <c r="G4239"/>
      <c r="H4239" s="14"/>
      <c r="I4239" s="14"/>
      <c r="J4239" s="14"/>
      <c r="L4239"/>
    </row>
    <row r="4240" spans="1:12" x14ac:dyDescent="0.25">
      <c r="A4240" s="10"/>
      <c r="G4240"/>
      <c r="H4240" s="14"/>
      <c r="I4240" s="14"/>
      <c r="J4240" s="14"/>
      <c r="L4240"/>
    </row>
    <row r="4241" spans="1:12" x14ac:dyDescent="0.25">
      <c r="A4241" s="10"/>
      <c r="G4241"/>
      <c r="H4241" s="14"/>
      <c r="I4241" s="14"/>
      <c r="J4241" s="14"/>
      <c r="L4241"/>
    </row>
    <row r="4242" spans="1:12" x14ac:dyDescent="0.25">
      <c r="A4242" s="10"/>
      <c r="G4242"/>
      <c r="H4242" s="14"/>
      <c r="I4242" s="14"/>
      <c r="J4242" s="14"/>
      <c r="L4242"/>
    </row>
    <row r="4243" spans="1:12" x14ac:dyDescent="0.25">
      <c r="A4243" s="10"/>
      <c r="G4243"/>
      <c r="H4243" s="14"/>
      <c r="I4243" s="14"/>
      <c r="J4243" s="14"/>
      <c r="L4243"/>
    </row>
    <row r="4244" spans="1:12" x14ac:dyDescent="0.25">
      <c r="A4244" s="10"/>
      <c r="G4244"/>
      <c r="H4244" s="14"/>
      <c r="I4244" s="14"/>
      <c r="J4244" s="14"/>
      <c r="L4244"/>
    </row>
    <row r="4245" spans="1:12" x14ac:dyDescent="0.25">
      <c r="A4245" s="10"/>
      <c r="G4245"/>
      <c r="H4245" s="14"/>
      <c r="I4245" s="14"/>
      <c r="J4245" s="14"/>
      <c r="L4245"/>
    </row>
    <row r="4246" spans="1:12" x14ac:dyDescent="0.25">
      <c r="A4246" s="10"/>
      <c r="G4246"/>
      <c r="H4246" s="14"/>
      <c r="I4246" s="14"/>
      <c r="J4246" s="14"/>
      <c r="L4246"/>
    </row>
    <row r="4247" spans="1:12" x14ac:dyDescent="0.25">
      <c r="A4247" s="10"/>
      <c r="G4247"/>
      <c r="H4247" s="14"/>
      <c r="I4247" s="14"/>
      <c r="J4247" s="14"/>
      <c r="L4247"/>
    </row>
    <row r="4248" spans="1:12" x14ac:dyDescent="0.25">
      <c r="A4248" s="10"/>
      <c r="G4248"/>
      <c r="H4248" s="14"/>
      <c r="I4248" s="14"/>
      <c r="J4248" s="14"/>
      <c r="L4248"/>
    </row>
    <row r="4249" spans="1:12" x14ac:dyDescent="0.25">
      <c r="A4249" s="10"/>
      <c r="G4249"/>
      <c r="H4249" s="14"/>
      <c r="I4249" s="14"/>
      <c r="J4249" s="14"/>
      <c r="L4249"/>
    </row>
    <row r="4250" spans="1:12" x14ac:dyDescent="0.25">
      <c r="A4250" s="10"/>
      <c r="G4250"/>
      <c r="H4250" s="14"/>
      <c r="I4250" s="14"/>
      <c r="J4250" s="14"/>
      <c r="L4250"/>
    </row>
    <row r="4251" spans="1:12" x14ac:dyDescent="0.25">
      <c r="A4251" s="10"/>
      <c r="G4251"/>
      <c r="H4251" s="14"/>
      <c r="I4251" s="14"/>
      <c r="J4251" s="14"/>
      <c r="L4251"/>
    </row>
    <row r="4252" spans="1:12" x14ac:dyDescent="0.25">
      <c r="A4252" s="10"/>
      <c r="G4252"/>
      <c r="H4252" s="14"/>
      <c r="I4252" s="14"/>
      <c r="J4252" s="14"/>
      <c r="L4252"/>
    </row>
    <row r="4253" spans="1:12" x14ac:dyDescent="0.25">
      <c r="A4253" s="10"/>
      <c r="G4253"/>
      <c r="H4253" s="14"/>
      <c r="I4253" s="14"/>
      <c r="J4253" s="14"/>
      <c r="L4253"/>
    </row>
    <row r="4254" spans="1:12" x14ac:dyDescent="0.25">
      <c r="A4254" s="10"/>
      <c r="G4254"/>
      <c r="H4254" s="14"/>
      <c r="I4254" s="14"/>
      <c r="J4254" s="14"/>
      <c r="L4254"/>
    </row>
    <row r="4255" spans="1:12" x14ac:dyDescent="0.25">
      <c r="A4255" s="10"/>
      <c r="G4255"/>
      <c r="H4255" s="14"/>
      <c r="I4255" s="14"/>
      <c r="J4255" s="14"/>
      <c r="L4255"/>
    </row>
    <row r="4256" spans="1:12" x14ac:dyDescent="0.25">
      <c r="A4256" s="10"/>
      <c r="G4256"/>
      <c r="H4256" s="14"/>
      <c r="I4256" s="14"/>
      <c r="J4256" s="14"/>
      <c r="L4256"/>
    </row>
    <row r="4257" spans="1:12" x14ac:dyDescent="0.25">
      <c r="A4257" s="10"/>
      <c r="G4257"/>
      <c r="H4257" s="14"/>
      <c r="I4257" s="14"/>
      <c r="J4257" s="14"/>
      <c r="L4257"/>
    </row>
    <row r="4258" spans="1:12" x14ac:dyDescent="0.25">
      <c r="A4258" s="10"/>
      <c r="G4258"/>
      <c r="H4258" s="14"/>
      <c r="I4258" s="14"/>
      <c r="J4258" s="14"/>
      <c r="L4258"/>
    </row>
    <row r="4259" spans="1:12" x14ac:dyDescent="0.25">
      <c r="A4259" s="10"/>
      <c r="G4259"/>
      <c r="H4259" s="14"/>
      <c r="I4259" s="14"/>
      <c r="J4259" s="14"/>
      <c r="L4259"/>
    </row>
    <row r="4260" spans="1:12" x14ac:dyDescent="0.25">
      <c r="A4260" s="10"/>
      <c r="G4260"/>
      <c r="H4260" s="14"/>
      <c r="I4260" s="14"/>
      <c r="J4260" s="14"/>
      <c r="L4260"/>
    </row>
    <row r="4261" spans="1:12" x14ac:dyDescent="0.25">
      <c r="A4261" s="10"/>
      <c r="G4261"/>
      <c r="H4261" s="14"/>
      <c r="I4261" s="14"/>
      <c r="J4261" s="14"/>
      <c r="L4261"/>
    </row>
    <row r="4262" spans="1:12" x14ac:dyDescent="0.25">
      <c r="A4262" s="10"/>
      <c r="G4262"/>
      <c r="H4262" s="14"/>
      <c r="I4262" s="14"/>
      <c r="J4262" s="14"/>
      <c r="L4262"/>
    </row>
    <row r="4263" spans="1:12" x14ac:dyDescent="0.25">
      <c r="A4263" s="10"/>
      <c r="G4263"/>
      <c r="H4263" s="14"/>
      <c r="I4263" s="14"/>
      <c r="J4263" s="14"/>
      <c r="L4263"/>
    </row>
    <row r="4264" spans="1:12" x14ac:dyDescent="0.25">
      <c r="A4264" s="10"/>
      <c r="G4264"/>
      <c r="H4264" s="14"/>
      <c r="I4264" s="14"/>
      <c r="J4264" s="14"/>
      <c r="L4264"/>
    </row>
    <row r="4265" spans="1:12" x14ac:dyDescent="0.25">
      <c r="A4265" s="10"/>
      <c r="G4265"/>
      <c r="H4265" s="14"/>
      <c r="I4265" s="14"/>
      <c r="J4265" s="14"/>
      <c r="L4265"/>
    </row>
    <row r="4266" spans="1:12" x14ac:dyDescent="0.25">
      <c r="A4266" s="10"/>
      <c r="G4266"/>
      <c r="H4266" s="14"/>
      <c r="I4266" s="14"/>
      <c r="J4266" s="14"/>
      <c r="L4266"/>
    </row>
    <row r="4267" spans="1:12" x14ac:dyDescent="0.25">
      <c r="A4267" s="10"/>
      <c r="G4267"/>
      <c r="H4267" s="14"/>
      <c r="I4267" s="14"/>
      <c r="J4267" s="14"/>
      <c r="L4267"/>
    </row>
    <row r="4268" spans="1:12" x14ac:dyDescent="0.25">
      <c r="A4268" s="10"/>
      <c r="G4268"/>
      <c r="H4268" s="14"/>
      <c r="I4268" s="14"/>
      <c r="J4268" s="14"/>
      <c r="L4268"/>
    </row>
    <row r="4269" spans="1:12" x14ac:dyDescent="0.25">
      <c r="A4269" s="10"/>
      <c r="G4269"/>
      <c r="H4269" s="14"/>
      <c r="I4269" s="14"/>
      <c r="J4269" s="14"/>
      <c r="L4269"/>
    </row>
    <row r="4270" spans="1:12" x14ac:dyDescent="0.25">
      <c r="A4270" s="10"/>
      <c r="G4270"/>
      <c r="H4270" s="14"/>
      <c r="I4270" s="14"/>
      <c r="J4270" s="14"/>
      <c r="L4270"/>
    </row>
    <row r="4271" spans="1:12" x14ac:dyDescent="0.25">
      <c r="A4271" s="10"/>
      <c r="G4271"/>
      <c r="H4271" s="14"/>
      <c r="I4271" s="14"/>
      <c r="J4271" s="14"/>
      <c r="L4271"/>
    </row>
    <row r="4272" spans="1:12" x14ac:dyDescent="0.25">
      <c r="A4272" s="10"/>
      <c r="G4272"/>
      <c r="H4272" s="14"/>
      <c r="I4272" s="14"/>
      <c r="J4272" s="14"/>
      <c r="L4272"/>
    </row>
    <row r="4273" spans="1:12" x14ac:dyDescent="0.25">
      <c r="A4273" s="10"/>
      <c r="G4273"/>
      <c r="H4273" s="14"/>
      <c r="I4273" s="14"/>
      <c r="J4273" s="14"/>
      <c r="L4273"/>
    </row>
    <row r="4274" spans="1:12" x14ac:dyDescent="0.25">
      <c r="A4274" s="10"/>
      <c r="G4274"/>
      <c r="H4274" s="14"/>
      <c r="I4274" s="14"/>
      <c r="J4274" s="14"/>
      <c r="L4274"/>
    </row>
    <row r="4275" spans="1:12" x14ac:dyDescent="0.25">
      <c r="A4275" s="10"/>
      <c r="G4275"/>
      <c r="H4275" s="14"/>
      <c r="I4275" s="14"/>
      <c r="J4275" s="14"/>
      <c r="L4275"/>
    </row>
    <row r="4276" spans="1:12" x14ac:dyDescent="0.25">
      <c r="A4276" s="10"/>
      <c r="G4276"/>
      <c r="H4276" s="14"/>
      <c r="I4276" s="14"/>
      <c r="J4276" s="14"/>
      <c r="L4276"/>
    </row>
    <row r="4277" spans="1:12" x14ac:dyDescent="0.25">
      <c r="A4277" s="10"/>
      <c r="G4277"/>
      <c r="H4277" s="14"/>
      <c r="I4277" s="14"/>
      <c r="J4277" s="14"/>
      <c r="L4277"/>
    </row>
    <row r="4278" spans="1:12" x14ac:dyDescent="0.25">
      <c r="A4278" s="10"/>
      <c r="G4278"/>
      <c r="H4278" s="14"/>
      <c r="I4278" s="14"/>
      <c r="J4278" s="14"/>
      <c r="L4278"/>
    </row>
    <row r="4279" spans="1:12" x14ac:dyDescent="0.25">
      <c r="A4279" s="10"/>
      <c r="G4279"/>
      <c r="H4279" s="14"/>
      <c r="I4279" s="14"/>
      <c r="J4279" s="14"/>
      <c r="L4279"/>
    </row>
    <row r="4280" spans="1:12" x14ac:dyDescent="0.25">
      <c r="A4280" s="10"/>
      <c r="G4280"/>
      <c r="H4280" s="14"/>
      <c r="I4280" s="14"/>
      <c r="J4280" s="14"/>
      <c r="L4280"/>
    </row>
    <row r="4281" spans="1:12" x14ac:dyDescent="0.25">
      <c r="A4281" s="10"/>
      <c r="G4281"/>
      <c r="H4281" s="14"/>
      <c r="I4281" s="14"/>
      <c r="J4281" s="14"/>
      <c r="L4281"/>
    </row>
    <row r="4282" spans="1:12" x14ac:dyDescent="0.25">
      <c r="A4282" s="10"/>
      <c r="G4282"/>
      <c r="H4282" s="14"/>
      <c r="I4282" s="14"/>
      <c r="J4282" s="14"/>
      <c r="L4282"/>
    </row>
    <row r="4283" spans="1:12" x14ac:dyDescent="0.25">
      <c r="A4283" s="10"/>
      <c r="G4283"/>
      <c r="H4283" s="14"/>
      <c r="I4283" s="14"/>
      <c r="J4283" s="14"/>
      <c r="L4283"/>
    </row>
    <row r="4284" spans="1:12" x14ac:dyDescent="0.25">
      <c r="A4284" s="10"/>
      <c r="G4284"/>
      <c r="H4284" s="14"/>
      <c r="I4284" s="14"/>
      <c r="J4284" s="14"/>
      <c r="L4284"/>
    </row>
    <row r="4285" spans="1:12" x14ac:dyDescent="0.25">
      <c r="A4285" s="10"/>
      <c r="G4285"/>
      <c r="H4285" s="14"/>
      <c r="I4285" s="14"/>
      <c r="J4285" s="14"/>
      <c r="L4285"/>
    </row>
    <row r="4286" spans="1:12" x14ac:dyDescent="0.25">
      <c r="A4286" s="10"/>
      <c r="G4286"/>
      <c r="H4286" s="14"/>
      <c r="I4286" s="14"/>
      <c r="J4286" s="14"/>
      <c r="L4286"/>
    </row>
    <row r="4287" spans="1:12" x14ac:dyDescent="0.25">
      <c r="A4287" s="10"/>
      <c r="G4287"/>
      <c r="H4287" s="14"/>
      <c r="I4287" s="14"/>
      <c r="J4287" s="14"/>
      <c r="L4287"/>
    </row>
    <row r="4288" spans="1:12" x14ac:dyDescent="0.25">
      <c r="A4288" s="10"/>
      <c r="G4288"/>
      <c r="H4288" s="14"/>
      <c r="I4288" s="14"/>
      <c r="J4288" s="14"/>
      <c r="L4288"/>
    </row>
    <row r="4289" spans="1:12" x14ac:dyDescent="0.25">
      <c r="A4289" s="10"/>
      <c r="G4289"/>
      <c r="H4289" s="14"/>
      <c r="I4289" s="14"/>
      <c r="J4289" s="14"/>
      <c r="L4289"/>
    </row>
    <row r="4290" spans="1:12" x14ac:dyDescent="0.25">
      <c r="A4290" s="10"/>
      <c r="G4290"/>
      <c r="H4290" s="14"/>
      <c r="I4290" s="14"/>
      <c r="J4290" s="14"/>
      <c r="L4290"/>
    </row>
    <row r="4291" spans="1:12" x14ac:dyDescent="0.25">
      <c r="A4291" s="10"/>
      <c r="G4291"/>
      <c r="H4291" s="14"/>
      <c r="I4291" s="14"/>
      <c r="J4291" s="14"/>
      <c r="L4291"/>
    </row>
    <row r="4292" spans="1:12" x14ac:dyDescent="0.25">
      <c r="A4292" s="10"/>
      <c r="G4292"/>
      <c r="H4292" s="14"/>
      <c r="I4292" s="14"/>
      <c r="J4292" s="14"/>
      <c r="L4292"/>
    </row>
    <row r="4293" spans="1:12" x14ac:dyDescent="0.25">
      <c r="A4293" s="10"/>
      <c r="G4293"/>
      <c r="H4293" s="14"/>
      <c r="I4293" s="14"/>
      <c r="J4293" s="14"/>
      <c r="L4293"/>
    </row>
    <row r="4294" spans="1:12" x14ac:dyDescent="0.25">
      <c r="A4294" s="10"/>
      <c r="G4294"/>
      <c r="H4294" s="14"/>
      <c r="I4294" s="14"/>
      <c r="J4294" s="14"/>
      <c r="L4294"/>
    </row>
    <row r="4295" spans="1:12" x14ac:dyDescent="0.25">
      <c r="A4295" s="10"/>
      <c r="G4295"/>
      <c r="H4295" s="14"/>
      <c r="I4295" s="14"/>
      <c r="J4295" s="14"/>
      <c r="L4295"/>
    </row>
    <row r="4296" spans="1:12" x14ac:dyDescent="0.25">
      <c r="A4296" s="10"/>
      <c r="G4296"/>
      <c r="H4296" s="14"/>
      <c r="I4296" s="14"/>
      <c r="J4296" s="14"/>
      <c r="L4296"/>
    </row>
    <row r="4297" spans="1:12" x14ac:dyDescent="0.25">
      <c r="A4297" s="10"/>
      <c r="G4297"/>
      <c r="H4297" s="14"/>
      <c r="I4297" s="14"/>
      <c r="J4297" s="14"/>
      <c r="L4297"/>
    </row>
    <row r="4298" spans="1:12" x14ac:dyDescent="0.25">
      <c r="A4298" s="10"/>
      <c r="G4298"/>
      <c r="H4298" s="14"/>
      <c r="I4298" s="14"/>
      <c r="J4298" s="14"/>
      <c r="L4298"/>
    </row>
    <row r="4299" spans="1:12" x14ac:dyDescent="0.25">
      <c r="A4299" s="10"/>
      <c r="G4299"/>
      <c r="H4299" s="14"/>
      <c r="I4299" s="14"/>
      <c r="J4299" s="14"/>
      <c r="L4299"/>
    </row>
    <row r="4300" spans="1:12" x14ac:dyDescent="0.25">
      <c r="A4300" s="10"/>
      <c r="G4300"/>
      <c r="H4300" s="14"/>
      <c r="I4300" s="14"/>
      <c r="J4300" s="14"/>
      <c r="L4300"/>
    </row>
    <row r="4301" spans="1:12" x14ac:dyDescent="0.25">
      <c r="A4301" s="10"/>
      <c r="G4301"/>
      <c r="H4301" s="14"/>
      <c r="I4301" s="14"/>
      <c r="J4301" s="14"/>
      <c r="L4301"/>
    </row>
    <row r="4302" spans="1:12" x14ac:dyDescent="0.25">
      <c r="A4302" s="10"/>
      <c r="G4302"/>
      <c r="H4302" s="14"/>
      <c r="I4302" s="14"/>
      <c r="J4302" s="14"/>
      <c r="L4302"/>
    </row>
    <row r="4303" spans="1:12" x14ac:dyDescent="0.25">
      <c r="A4303" s="10"/>
      <c r="G4303"/>
      <c r="H4303" s="14"/>
      <c r="I4303" s="14"/>
      <c r="J4303" s="14"/>
      <c r="L4303"/>
    </row>
    <row r="4304" spans="1:12" x14ac:dyDescent="0.25">
      <c r="A4304" s="10"/>
      <c r="G4304"/>
      <c r="H4304" s="14"/>
      <c r="I4304" s="14"/>
      <c r="J4304" s="14"/>
      <c r="L4304"/>
    </row>
    <row r="4305" spans="1:12" x14ac:dyDescent="0.25">
      <c r="A4305" s="10"/>
      <c r="G4305"/>
      <c r="H4305" s="14"/>
      <c r="I4305" s="14"/>
      <c r="J4305" s="14"/>
      <c r="L4305"/>
    </row>
    <row r="4306" spans="1:12" x14ac:dyDescent="0.25">
      <c r="A4306" s="10"/>
      <c r="G4306"/>
      <c r="H4306" s="14"/>
      <c r="I4306" s="14"/>
      <c r="J4306" s="14"/>
      <c r="L4306"/>
    </row>
    <row r="4307" spans="1:12" x14ac:dyDescent="0.25">
      <c r="A4307" s="10"/>
      <c r="G4307"/>
      <c r="H4307" s="14"/>
      <c r="I4307" s="14"/>
      <c r="J4307" s="14"/>
      <c r="L4307"/>
    </row>
    <row r="4308" spans="1:12" x14ac:dyDescent="0.25">
      <c r="A4308" s="10"/>
      <c r="G4308"/>
      <c r="H4308" s="14"/>
      <c r="I4308" s="14"/>
      <c r="J4308" s="14"/>
      <c r="L4308"/>
    </row>
    <row r="4309" spans="1:12" x14ac:dyDescent="0.25">
      <c r="A4309" s="10"/>
      <c r="G4309"/>
      <c r="H4309" s="14"/>
      <c r="I4309" s="14"/>
      <c r="J4309" s="14"/>
      <c r="L4309"/>
    </row>
    <row r="4310" spans="1:12" x14ac:dyDescent="0.25">
      <c r="A4310" s="10"/>
      <c r="G4310"/>
      <c r="H4310" s="14"/>
      <c r="I4310" s="14"/>
      <c r="J4310" s="14"/>
      <c r="L4310"/>
    </row>
    <row r="4311" spans="1:12" x14ac:dyDescent="0.25">
      <c r="A4311" s="10"/>
      <c r="G4311"/>
      <c r="H4311" s="14"/>
      <c r="I4311" s="14"/>
      <c r="J4311" s="14"/>
      <c r="L4311"/>
    </row>
    <row r="4312" spans="1:12" x14ac:dyDescent="0.25">
      <c r="A4312" s="10"/>
      <c r="G4312"/>
      <c r="H4312" s="14"/>
      <c r="I4312" s="14"/>
      <c r="J4312" s="14"/>
      <c r="L4312"/>
    </row>
    <row r="4313" spans="1:12" x14ac:dyDescent="0.25">
      <c r="A4313" s="10"/>
      <c r="G4313"/>
      <c r="H4313" s="14"/>
      <c r="I4313" s="14"/>
      <c r="J4313" s="14"/>
      <c r="L4313"/>
    </row>
    <row r="4314" spans="1:12" x14ac:dyDescent="0.25">
      <c r="A4314" s="10"/>
      <c r="G4314"/>
      <c r="H4314" s="14"/>
      <c r="I4314" s="14"/>
      <c r="J4314" s="14"/>
      <c r="L4314"/>
    </row>
    <row r="4315" spans="1:12" x14ac:dyDescent="0.25">
      <c r="A4315" s="10"/>
      <c r="G4315"/>
      <c r="H4315" s="14"/>
      <c r="I4315" s="14"/>
      <c r="J4315" s="14"/>
      <c r="L4315"/>
    </row>
    <row r="4316" spans="1:12" x14ac:dyDescent="0.25">
      <c r="A4316" s="10"/>
      <c r="G4316"/>
      <c r="H4316" s="14"/>
      <c r="I4316" s="14"/>
      <c r="J4316" s="14"/>
      <c r="L4316"/>
    </row>
    <row r="4317" spans="1:12" x14ac:dyDescent="0.25">
      <c r="A4317" s="10"/>
      <c r="G4317"/>
      <c r="H4317" s="14"/>
      <c r="I4317" s="14"/>
      <c r="J4317" s="14"/>
      <c r="L4317"/>
    </row>
    <row r="4318" spans="1:12" x14ac:dyDescent="0.25">
      <c r="A4318" s="10"/>
      <c r="G4318"/>
      <c r="H4318" s="14"/>
      <c r="I4318" s="14"/>
      <c r="J4318" s="14"/>
      <c r="L4318"/>
    </row>
    <row r="4319" spans="1:12" x14ac:dyDescent="0.25">
      <c r="A4319" s="10"/>
      <c r="G4319"/>
      <c r="H4319" s="14"/>
      <c r="I4319" s="14"/>
      <c r="J4319" s="14"/>
      <c r="L4319"/>
    </row>
    <row r="4320" spans="1:12" x14ac:dyDescent="0.25">
      <c r="A4320" s="10"/>
      <c r="G4320"/>
      <c r="H4320" s="14"/>
      <c r="I4320" s="14"/>
      <c r="J4320" s="14"/>
      <c r="L4320"/>
    </row>
    <row r="4321" spans="1:12" x14ac:dyDescent="0.25">
      <c r="A4321" s="10"/>
      <c r="G4321"/>
      <c r="H4321" s="14"/>
      <c r="I4321" s="14"/>
      <c r="J4321" s="14"/>
      <c r="L4321"/>
    </row>
    <row r="4322" spans="1:12" x14ac:dyDescent="0.25">
      <c r="A4322" s="10"/>
      <c r="G4322"/>
      <c r="H4322" s="14"/>
      <c r="I4322" s="14"/>
      <c r="J4322" s="14"/>
      <c r="L4322"/>
    </row>
    <row r="4323" spans="1:12" x14ac:dyDescent="0.25">
      <c r="A4323" s="10"/>
      <c r="G4323"/>
      <c r="H4323" s="14"/>
      <c r="I4323" s="14"/>
      <c r="J4323" s="14"/>
      <c r="L4323"/>
    </row>
    <row r="4324" spans="1:12" x14ac:dyDescent="0.25">
      <c r="A4324" s="10"/>
      <c r="G4324"/>
      <c r="H4324" s="14"/>
      <c r="I4324" s="14"/>
      <c r="J4324" s="14"/>
      <c r="L4324"/>
    </row>
    <row r="4325" spans="1:12" x14ac:dyDescent="0.25">
      <c r="A4325" s="10"/>
      <c r="G4325"/>
      <c r="H4325" s="14"/>
      <c r="I4325" s="14"/>
      <c r="J4325" s="14"/>
      <c r="L4325"/>
    </row>
    <row r="4326" spans="1:12" x14ac:dyDescent="0.25">
      <c r="A4326" s="10"/>
      <c r="G4326"/>
      <c r="H4326" s="14"/>
      <c r="I4326" s="14"/>
      <c r="J4326" s="14"/>
      <c r="L4326"/>
    </row>
    <row r="4327" spans="1:12" x14ac:dyDescent="0.25">
      <c r="A4327" s="10"/>
      <c r="G4327"/>
      <c r="H4327" s="14"/>
      <c r="I4327" s="14"/>
      <c r="J4327" s="14"/>
      <c r="L4327"/>
    </row>
    <row r="4328" spans="1:12" x14ac:dyDescent="0.25">
      <c r="A4328" s="10"/>
      <c r="G4328"/>
      <c r="H4328" s="14"/>
      <c r="I4328" s="14"/>
      <c r="J4328" s="14"/>
      <c r="L4328"/>
    </row>
    <row r="4329" spans="1:12" x14ac:dyDescent="0.25">
      <c r="A4329" s="10"/>
      <c r="G4329"/>
      <c r="H4329" s="14"/>
      <c r="I4329" s="14"/>
      <c r="J4329" s="14"/>
      <c r="L4329"/>
    </row>
    <row r="4330" spans="1:12" x14ac:dyDescent="0.25">
      <c r="A4330" s="10"/>
      <c r="G4330"/>
      <c r="H4330" s="14"/>
      <c r="I4330" s="14"/>
      <c r="J4330" s="14"/>
      <c r="L4330"/>
    </row>
    <row r="4331" spans="1:12" x14ac:dyDescent="0.25">
      <c r="A4331" s="10"/>
      <c r="G4331"/>
      <c r="H4331" s="14"/>
      <c r="I4331" s="14"/>
      <c r="J4331" s="14"/>
      <c r="L4331"/>
    </row>
    <row r="4332" spans="1:12" x14ac:dyDescent="0.25">
      <c r="A4332" s="10"/>
      <c r="G4332"/>
      <c r="H4332" s="14"/>
      <c r="I4332" s="14"/>
      <c r="J4332" s="14"/>
      <c r="L4332"/>
    </row>
    <row r="4333" spans="1:12" x14ac:dyDescent="0.25">
      <c r="A4333" s="10"/>
      <c r="G4333"/>
      <c r="H4333" s="14"/>
      <c r="I4333" s="14"/>
      <c r="J4333" s="14"/>
      <c r="L4333"/>
    </row>
    <row r="4334" spans="1:12" x14ac:dyDescent="0.25">
      <c r="A4334" s="10"/>
      <c r="G4334"/>
      <c r="H4334" s="14"/>
      <c r="I4334" s="14"/>
      <c r="J4334" s="14"/>
      <c r="L4334"/>
    </row>
    <row r="4335" spans="1:12" x14ac:dyDescent="0.25">
      <c r="A4335" s="10"/>
      <c r="G4335"/>
      <c r="H4335" s="14"/>
      <c r="I4335" s="14"/>
      <c r="J4335" s="14"/>
      <c r="L4335"/>
    </row>
    <row r="4336" spans="1:12" x14ac:dyDescent="0.25">
      <c r="A4336" s="10"/>
      <c r="G4336"/>
      <c r="H4336" s="14"/>
      <c r="I4336" s="14"/>
      <c r="J4336" s="14"/>
      <c r="L4336"/>
    </row>
    <row r="4337" spans="1:12" x14ac:dyDescent="0.25">
      <c r="A4337" s="10"/>
      <c r="G4337"/>
      <c r="H4337" s="14"/>
      <c r="I4337" s="14"/>
      <c r="J4337" s="14"/>
      <c r="L4337"/>
    </row>
    <row r="4338" spans="1:12" x14ac:dyDescent="0.25">
      <c r="A4338" s="10"/>
      <c r="G4338"/>
      <c r="H4338" s="14"/>
      <c r="I4338" s="14"/>
      <c r="J4338" s="14"/>
      <c r="L4338"/>
    </row>
    <row r="4339" spans="1:12" x14ac:dyDescent="0.25">
      <c r="A4339" s="10"/>
      <c r="G4339"/>
      <c r="H4339" s="14"/>
      <c r="I4339" s="14"/>
      <c r="J4339" s="14"/>
      <c r="L4339"/>
    </row>
    <row r="4340" spans="1:12" x14ac:dyDescent="0.25">
      <c r="A4340" s="10"/>
      <c r="G4340"/>
      <c r="H4340" s="14"/>
      <c r="I4340" s="14"/>
      <c r="J4340" s="14"/>
      <c r="L4340"/>
    </row>
    <row r="4341" spans="1:12" x14ac:dyDescent="0.25">
      <c r="A4341" s="10"/>
      <c r="G4341"/>
      <c r="H4341" s="14"/>
      <c r="I4341" s="14"/>
      <c r="J4341" s="14"/>
      <c r="L4341"/>
    </row>
    <row r="4342" spans="1:12" x14ac:dyDescent="0.25">
      <c r="A4342" s="10"/>
      <c r="G4342"/>
      <c r="H4342" s="14"/>
      <c r="I4342" s="14"/>
      <c r="J4342" s="14"/>
      <c r="L4342"/>
    </row>
    <row r="4343" spans="1:12" x14ac:dyDescent="0.25">
      <c r="A4343" s="10"/>
      <c r="G4343"/>
      <c r="H4343" s="14"/>
      <c r="I4343" s="14"/>
      <c r="J4343" s="14"/>
      <c r="L4343"/>
    </row>
    <row r="4344" spans="1:12" x14ac:dyDescent="0.25">
      <c r="A4344" s="10"/>
      <c r="G4344"/>
      <c r="H4344" s="14"/>
      <c r="I4344" s="14"/>
      <c r="J4344" s="14"/>
      <c r="L4344"/>
    </row>
    <row r="4345" spans="1:12" x14ac:dyDescent="0.25">
      <c r="A4345" s="10"/>
      <c r="G4345"/>
      <c r="H4345" s="14"/>
      <c r="I4345" s="14"/>
      <c r="J4345" s="14"/>
      <c r="L4345"/>
    </row>
    <row r="4346" spans="1:12" x14ac:dyDescent="0.25">
      <c r="A4346" s="10"/>
      <c r="G4346"/>
      <c r="H4346" s="14"/>
      <c r="I4346" s="14"/>
      <c r="J4346" s="14"/>
      <c r="L4346"/>
    </row>
    <row r="4347" spans="1:12" x14ac:dyDescent="0.25">
      <c r="A4347" s="10"/>
      <c r="G4347"/>
      <c r="H4347" s="14"/>
      <c r="I4347" s="14"/>
      <c r="J4347" s="14"/>
      <c r="L4347"/>
    </row>
    <row r="4348" spans="1:12" x14ac:dyDescent="0.25">
      <c r="A4348" s="10"/>
      <c r="G4348"/>
      <c r="H4348" s="14"/>
      <c r="I4348" s="14"/>
      <c r="J4348" s="14"/>
      <c r="L4348"/>
    </row>
    <row r="4349" spans="1:12" x14ac:dyDescent="0.25">
      <c r="A4349" s="10"/>
      <c r="G4349"/>
      <c r="H4349" s="14"/>
      <c r="I4349" s="14"/>
      <c r="J4349" s="14"/>
      <c r="L4349"/>
    </row>
    <row r="4350" spans="1:12" x14ac:dyDescent="0.25">
      <c r="A4350" s="10"/>
      <c r="G4350"/>
      <c r="H4350" s="14"/>
      <c r="I4350" s="14"/>
      <c r="J4350" s="14"/>
      <c r="L4350"/>
    </row>
    <row r="4351" spans="1:12" x14ac:dyDescent="0.25">
      <c r="A4351" s="10"/>
      <c r="G4351"/>
      <c r="H4351" s="14"/>
      <c r="I4351" s="14"/>
      <c r="J4351" s="14"/>
      <c r="L4351"/>
    </row>
    <row r="4352" spans="1:12" x14ac:dyDescent="0.25">
      <c r="A4352" s="10"/>
      <c r="G4352"/>
      <c r="H4352" s="14"/>
      <c r="I4352" s="14"/>
      <c r="J4352" s="14"/>
      <c r="L4352"/>
    </row>
    <row r="4353" spans="1:12" x14ac:dyDescent="0.25">
      <c r="A4353" s="10"/>
      <c r="G4353"/>
      <c r="H4353" s="14"/>
      <c r="I4353" s="14"/>
      <c r="J4353" s="14"/>
      <c r="L4353"/>
    </row>
    <row r="4354" spans="1:12" x14ac:dyDescent="0.25">
      <c r="A4354" s="10"/>
      <c r="G4354"/>
      <c r="H4354" s="14"/>
      <c r="I4354" s="14"/>
      <c r="J4354" s="14"/>
      <c r="L4354"/>
    </row>
    <row r="4355" spans="1:12" x14ac:dyDescent="0.25">
      <c r="A4355" s="10"/>
      <c r="G4355"/>
      <c r="H4355" s="14"/>
      <c r="I4355" s="14"/>
      <c r="J4355" s="14"/>
      <c r="L4355"/>
    </row>
    <row r="4356" spans="1:12" x14ac:dyDescent="0.25">
      <c r="A4356" s="10"/>
      <c r="G4356"/>
      <c r="H4356" s="14"/>
      <c r="I4356" s="14"/>
      <c r="J4356" s="14"/>
      <c r="L4356"/>
    </row>
    <row r="4357" spans="1:12" x14ac:dyDescent="0.25">
      <c r="A4357" s="10"/>
      <c r="G4357"/>
      <c r="H4357" s="14"/>
      <c r="I4357" s="14"/>
      <c r="J4357" s="14"/>
      <c r="L4357"/>
    </row>
    <row r="4358" spans="1:12" x14ac:dyDescent="0.25">
      <c r="A4358" s="10"/>
      <c r="G4358"/>
      <c r="H4358" s="14"/>
      <c r="I4358" s="14"/>
      <c r="J4358" s="14"/>
      <c r="L4358"/>
    </row>
    <row r="4359" spans="1:12" x14ac:dyDescent="0.25">
      <c r="A4359" s="10"/>
      <c r="G4359"/>
      <c r="H4359" s="14"/>
      <c r="I4359" s="14"/>
      <c r="J4359" s="14"/>
      <c r="L4359"/>
    </row>
    <row r="4360" spans="1:12" x14ac:dyDescent="0.25">
      <c r="A4360" s="10"/>
      <c r="G4360"/>
      <c r="H4360" s="14"/>
      <c r="I4360" s="14"/>
      <c r="J4360" s="14"/>
      <c r="L4360"/>
    </row>
    <row r="4361" spans="1:12" x14ac:dyDescent="0.25">
      <c r="A4361" s="10"/>
      <c r="G4361"/>
      <c r="H4361" s="14"/>
      <c r="I4361" s="14"/>
      <c r="J4361" s="14"/>
      <c r="L4361"/>
    </row>
    <row r="4362" spans="1:12" x14ac:dyDescent="0.25">
      <c r="A4362" s="10"/>
      <c r="G4362"/>
      <c r="H4362" s="14"/>
      <c r="I4362" s="14"/>
      <c r="J4362" s="14"/>
      <c r="L4362"/>
    </row>
    <row r="4363" spans="1:12" x14ac:dyDescent="0.25">
      <c r="A4363" s="10"/>
      <c r="G4363"/>
      <c r="H4363" s="14"/>
      <c r="I4363" s="14"/>
      <c r="J4363" s="14"/>
      <c r="L4363"/>
    </row>
    <row r="4364" spans="1:12" x14ac:dyDescent="0.25">
      <c r="A4364" s="10"/>
      <c r="G4364"/>
      <c r="H4364" s="14"/>
      <c r="I4364" s="14"/>
      <c r="J4364" s="14"/>
      <c r="L4364"/>
    </row>
    <row r="4365" spans="1:12" x14ac:dyDescent="0.25">
      <c r="A4365" s="10"/>
      <c r="G4365"/>
      <c r="H4365" s="14"/>
      <c r="I4365" s="14"/>
      <c r="J4365" s="14"/>
      <c r="L4365"/>
    </row>
    <row r="4366" spans="1:12" x14ac:dyDescent="0.25">
      <c r="A4366" s="10"/>
      <c r="G4366"/>
      <c r="H4366" s="14"/>
      <c r="I4366" s="14"/>
      <c r="J4366" s="14"/>
      <c r="L4366"/>
    </row>
    <row r="4367" spans="1:12" x14ac:dyDescent="0.25">
      <c r="A4367" s="10"/>
      <c r="G4367"/>
      <c r="H4367" s="14"/>
      <c r="I4367" s="14"/>
      <c r="J4367" s="14"/>
      <c r="L4367"/>
    </row>
    <row r="4368" spans="1:12" x14ac:dyDescent="0.25">
      <c r="A4368" s="10"/>
      <c r="G4368"/>
      <c r="H4368" s="14"/>
      <c r="I4368" s="14"/>
      <c r="J4368" s="14"/>
      <c r="L4368"/>
    </row>
    <row r="4369" spans="1:12" x14ac:dyDescent="0.25">
      <c r="A4369" s="10"/>
      <c r="G4369"/>
      <c r="H4369" s="14"/>
      <c r="I4369" s="14"/>
      <c r="J4369" s="14"/>
      <c r="L4369"/>
    </row>
    <row r="4370" spans="1:12" x14ac:dyDescent="0.25">
      <c r="A4370" s="10"/>
      <c r="G4370"/>
      <c r="H4370" s="14"/>
      <c r="I4370" s="14"/>
      <c r="J4370" s="14"/>
      <c r="L4370"/>
    </row>
    <row r="4371" spans="1:12" x14ac:dyDescent="0.25">
      <c r="A4371" s="10"/>
      <c r="G4371"/>
      <c r="H4371" s="14"/>
      <c r="I4371" s="14"/>
      <c r="J4371" s="14"/>
      <c r="L4371"/>
    </row>
    <row r="4372" spans="1:12" x14ac:dyDescent="0.25">
      <c r="A4372" s="10"/>
      <c r="G4372"/>
      <c r="H4372" s="14"/>
      <c r="I4372" s="14"/>
      <c r="J4372" s="14"/>
      <c r="L4372"/>
    </row>
    <row r="4373" spans="1:12" x14ac:dyDescent="0.25">
      <c r="A4373" s="10"/>
      <c r="G4373"/>
      <c r="H4373" s="14"/>
      <c r="I4373" s="14"/>
      <c r="J4373" s="14"/>
      <c r="L4373"/>
    </row>
    <row r="4374" spans="1:12" x14ac:dyDescent="0.25">
      <c r="A4374" s="10"/>
      <c r="G4374"/>
      <c r="H4374" s="14"/>
      <c r="I4374" s="14"/>
      <c r="J4374" s="14"/>
      <c r="L4374"/>
    </row>
    <row r="4375" spans="1:12" x14ac:dyDescent="0.25">
      <c r="A4375" s="10"/>
      <c r="G4375"/>
      <c r="H4375" s="14"/>
      <c r="I4375" s="14"/>
      <c r="J4375" s="14"/>
      <c r="L4375"/>
    </row>
    <row r="4376" spans="1:12" x14ac:dyDescent="0.25">
      <c r="A4376" s="10"/>
      <c r="G4376"/>
      <c r="H4376" s="14"/>
      <c r="I4376" s="14"/>
      <c r="J4376" s="14"/>
      <c r="L4376"/>
    </row>
    <row r="4377" spans="1:12" x14ac:dyDescent="0.25">
      <c r="A4377" s="10"/>
      <c r="G4377"/>
      <c r="H4377" s="14"/>
      <c r="I4377" s="14"/>
      <c r="J4377" s="14"/>
      <c r="L4377"/>
    </row>
    <row r="4378" spans="1:12" x14ac:dyDescent="0.25">
      <c r="A4378" s="10"/>
      <c r="G4378"/>
      <c r="H4378" s="14"/>
      <c r="I4378" s="14"/>
      <c r="J4378" s="14"/>
      <c r="L4378"/>
    </row>
    <row r="4379" spans="1:12" x14ac:dyDescent="0.25">
      <c r="A4379" s="10"/>
      <c r="G4379"/>
      <c r="H4379" s="14"/>
      <c r="I4379" s="14"/>
      <c r="J4379" s="14"/>
      <c r="L4379"/>
    </row>
    <row r="4380" spans="1:12" x14ac:dyDescent="0.25">
      <c r="A4380" s="10"/>
      <c r="G4380"/>
      <c r="H4380" s="14"/>
      <c r="I4380" s="14"/>
      <c r="J4380" s="14"/>
      <c r="L4380"/>
    </row>
    <row r="4381" spans="1:12" x14ac:dyDescent="0.25">
      <c r="A4381" s="10"/>
      <c r="G4381"/>
      <c r="H4381" s="14"/>
      <c r="I4381" s="14"/>
      <c r="J4381" s="14"/>
      <c r="L4381"/>
    </row>
    <row r="4382" spans="1:12" x14ac:dyDescent="0.25">
      <c r="A4382" s="10"/>
      <c r="G4382"/>
      <c r="H4382" s="14"/>
      <c r="I4382" s="14"/>
      <c r="J4382" s="14"/>
      <c r="L4382"/>
    </row>
    <row r="4383" spans="1:12" x14ac:dyDescent="0.25">
      <c r="A4383" s="10"/>
      <c r="G4383"/>
      <c r="H4383" s="14"/>
      <c r="I4383" s="14"/>
      <c r="J4383" s="14"/>
      <c r="L4383"/>
    </row>
    <row r="4384" spans="1:12" x14ac:dyDescent="0.25">
      <c r="A4384" s="10"/>
      <c r="G4384"/>
      <c r="H4384" s="14"/>
      <c r="I4384" s="14"/>
      <c r="J4384" s="14"/>
      <c r="L4384"/>
    </row>
    <row r="4385" spans="1:12" x14ac:dyDescent="0.25">
      <c r="A4385" s="10"/>
      <c r="G4385"/>
      <c r="H4385" s="14"/>
      <c r="I4385" s="14"/>
      <c r="J4385" s="14"/>
      <c r="L4385"/>
    </row>
    <row r="4386" spans="1:12" x14ac:dyDescent="0.25">
      <c r="A4386" s="10"/>
      <c r="G4386"/>
      <c r="H4386" s="14"/>
      <c r="I4386" s="14"/>
      <c r="J4386" s="14"/>
      <c r="L4386"/>
    </row>
    <row r="4387" spans="1:12" x14ac:dyDescent="0.25">
      <c r="A4387" s="10"/>
      <c r="G4387"/>
      <c r="H4387" s="14"/>
      <c r="I4387" s="14"/>
      <c r="J4387" s="14"/>
      <c r="L4387"/>
    </row>
    <row r="4388" spans="1:12" x14ac:dyDescent="0.25">
      <c r="A4388" s="10"/>
      <c r="G4388"/>
      <c r="H4388" s="14"/>
      <c r="I4388" s="14"/>
      <c r="J4388" s="14"/>
      <c r="L4388"/>
    </row>
    <row r="4389" spans="1:12" x14ac:dyDescent="0.25">
      <c r="A4389" s="10"/>
      <c r="G4389"/>
      <c r="H4389" s="14"/>
      <c r="I4389" s="14"/>
      <c r="J4389" s="14"/>
      <c r="L4389"/>
    </row>
    <row r="4390" spans="1:12" x14ac:dyDescent="0.25">
      <c r="A4390" s="10"/>
      <c r="G4390"/>
      <c r="H4390" s="14"/>
      <c r="I4390" s="14"/>
      <c r="J4390" s="14"/>
      <c r="L4390"/>
    </row>
    <row r="4391" spans="1:12" x14ac:dyDescent="0.25">
      <c r="A4391" s="10"/>
      <c r="G4391"/>
      <c r="H4391" s="14"/>
      <c r="I4391" s="14"/>
      <c r="J4391" s="14"/>
      <c r="L4391"/>
    </row>
    <row r="4392" spans="1:12" x14ac:dyDescent="0.25">
      <c r="A4392" s="10"/>
      <c r="G4392"/>
      <c r="H4392" s="14"/>
      <c r="I4392" s="14"/>
      <c r="J4392" s="14"/>
      <c r="L4392"/>
    </row>
    <row r="4393" spans="1:12" x14ac:dyDescent="0.25">
      <c r="A4393" s="10"/>
      <c r="G4393"/>
      <c r="H4393" s="14"/>
      <c r="I4393" s="14"/>
      <c r="J4393" s="14"/>
      <c r="L4393"/>
    </row>
    <row r="4394" spans="1:12" x14ac:dyDescent="0.25">
      <c r="A4394" s="10"/>
      <c r="G4394"/>
      <c r="H4394" s="14"/>
      <c r="I4394" s="14"/>
      <c r="J4394" s="14"/>
      <c r="L4394"/>
    </row>
    <row r="4395" spans="1:12" x14ac:dyDescent="0.25">
      <c r="A4395" s="10"/>
      <c r="G4395"/>
      <c r="H4395" s="14"/>
      <c r="I4395" s="14"/>
      <c r="J4395" s="14"/>
      <c r="L4395"/>
    </row>
    <row r="4396" spans="1:12" x14ac:dyDescent="0.25">
      <c r="A4396" s="10"/>
      <c r="G4396"/>
      <c r="H4396" s="14"/>
      <c r="I4396" s="14"/>
      <c r="J4396" s="14"/>
      <c r="L4396"/>
    </row>
    <row r="4397" spans="1:12" x14ac:dyDescent="0.25">
      <c r="A4397" s="10"/>
      <c r="G4397"/>
      <c r="H4397" s="14"/>
      <c r="I4397" s="14"/>
      <c r="J4397" s="14"/>
      <c r="L4397"/>
    </row>
    <row r="4398" spans="1:12" x14ac:dyDescent="0.25">
      <c r="A4398" s="10"/>
      <c r="G4398"/>
      <c r="H4398" s="14"/>
      <c r="I4398" s="14"/>
      <c r="J4398" s="14"/>
      <c r="L4398"/>
    </row>
    <row r="4399" spans="1:12" x14ac:dyDescent="0.25">
      <c r="A4399" s="10"/>
      <c r="G4399"/>
      <c r="H4399" s="14"/>
      <c r="I4399" s="14"/>
      <c r="J4399" s="14"/>
      <c r="L4399"/>
    </row>
    <row r="4400" spans="1:12" x14ac:dyDescent="0.25">
      <c r="A4400" s="10"/>
      <c r="G4400"/>
      <c r="H4400" s="14"/>
      <c r="I4400" s="14"/>
      <c r="J4400" s="14"/>
      <c r="L4400"/>
    </row>
    <row r="4401" spans="1:12" x14ac:dyDescent="0.25">
      <c r="A4401" s="10"/>
      <c r="G4401"/>
      <c r="H4401" s="14"/>
      <c r="I4401" s="14"/>
      <c r="J4401" s="14"/>
      <c r="L4401"/>
    </row>
    <row r="4402" spans="1:12" x14ac:dyDescent="0.25">
      <c r="A4402" s="10"/>
      <c r="G4402"/>
      <c r="H4402" s="14"/>
      <c r="I4402" s="14"/>
      <c r="J4402" s="14"/>
      <c r="L4402"/>
    </row>
    <row r="4403" spans="1:12" x14ac:dyDescent="0.25">
      <c r="A4403" s="10"/>
      <c r="G4403"/>
      <c r="H4403" s="14"/>
      <c r="I4403" s="14"/>
      <c r="J4403" s="14"/>
      <c r="L4403"/>
    </row>
    <row r="4404" spans="1:12" x14ac:dyDescent="0.25">
      <c r="A4404" s="10"/>
      <c r="G4404"/>
      <c r="H4404" s="14"/>
      <c r="I4404" s="14"/>
      <c r="J4404" s="14"/>
      <c r="L4404"/>
    </row>
    <row r="4405" spans="1:12" x14ac:dyDescent="0.25">
      <c r="A4405" s="10"/>
      <c r="G4405"/>
      <c r="H4405" s="14"/>
      <c r="I4405" s="14"/>
      <c r="J4405" s="14"/>
      <c r="L4405"/>
    </row>
    <row r="4406" spans="1:12" x14ac:dyDescent="0.25">
      <c r="A4406" s="10"/>
      <c r="G4406"/>
      <c r="H4406" s="14"/>
      <c r="I4406" s="14"/>
      <c r="J4406" s="14"/>
      <c r="L4406"/>
    </row>
    <row r="4407" spans="1:12" x14ac:dyDescent="0.25">
      <c r="A4407" s="10"/>
      <c r="G4407"/>
      <c r="H4407" s="14"/>
      <c r="I4407" s="14"/>
      <c r="J4407" s="14"/>
      <c r="L4407"/>
    </row>
    <row r="4408" spans="1:12" x14ac:dyDescent="0.25">
      <c r="A4408" s="10"/>
      <c r="G4408"/>
      <c r="H4408" s="14"/>
      <c r="I4408" s="14"/>
      <c r="J4408" s="14"/>
      <c r="L4408"/>
    </row>
    <row r="4409" spans="1:12" x14ac:dyDescent="0.25">
      <c r="A4409" s="10"/>
      <c r="G4409"/>
      <c r="H4409" s="14"/>
      <c r="I4409" s="14"/>
      <c r="J4409" s="14"/>
      <c r="L4409"/>
    </row>
    <row r="4410" spans="1:12" x14ac:dyDescent="0.25">
      <c r="A4410" s="10"/>
      <c r="G4410"/>
      <c r="H4410" s="14"/>
      <c r="I4410" s="14"/>
      <c r="J4410" s="14"/>
      <c r="L4410"/>
    </row>
    <row r="4411" spans="1:12" x14ac:dyDescent="0.25">
      <c r="A4411" s="10"/>
      <c r="G4411"/>
      <c r="H4411" s="14"/>
      <c r="I4411" s="14"/>
      <c r="J4411" s="14"/>
      <c r="L4411"/>
    </row>
    <row r="4412" spans="1:12" x14ac:dyDescent="0.25">
      <c r="A4412" s="10"/>
      <c r="G4412"/>
      <c r="H4412" s="14"/>
      <c r="I4412" s="14"/>
      <c r="J4412" s="14"/>
      <c r="L4412"/>
    </row>
    <row r="4413" spans="1:12" x14ac:dyDescent="0.25">
      <c r="A4413" s="10"/>
      <c r="G4413"/>
      <c r="H4413" s="14"/>
      <c r="I4413" s="14"/>
      <c r="J4413" s="14"/>
      <c r="L4413"/>
    </row>
    <row r="4414" spans="1:12" x14ac:dyDescent="0.25">
      <c r="A4414" s="10"/>
      <c r="G4414"/>
      <c r="H4414" s="14"/>
      <c r="I4414" s="14"/>
      <c r="J4414" s="14"/>
      <c r="L4414"/>
    </row>
    <row r="4415" spans="1:12" x14ac:dyDescent="0.25">
      <c r="A4415" s="10"/>
      <c r="G4415"/>
      <c r="H4415" s="14"/>
      <c r="I4415" s="14"/>
      <c r="J4415" s="14"/>
      <c r="L4415"/>
    </row>
    <row r="4416" spans="1:12" x14ac:dyDescent="0.25">
      <c r="A4416" s="10"/>
      <c r="G4416"/>
      <c r="H4416" s="14"/>
      <c r="I4416" s="14"/>
      <c r="J4416" s="14"/>
      <c r="L4416"/>
    </row>
    <row r="4417" spans="1:12" x14ac:dyDescent="0.25">
      <c r="A4417" s="10"/>
      <c r="G4417"/>
      <c r="H4417" s="14"/>
      <c r="I4417" s="14"/>
      <c r="J4417" s="14"/>
      <c r="L4417"/>
    </row>
    <row r="4418" spans="1:12" x14ac:dyDescent="0.25">
      <c r="A4418" s="10"/>
      <c r="G4418"/>
      <c r="H4418" s="14"/>
      <c r="I4418" s="14"/>
      <c r="J4418" s="14"/>
      <c r="L4418"/>
    </row>
    <row r="4419" spans="1:12" x14ac:dyDescent="0.25">
      <c r="A4419" s="10"/>
      <c r="G4419"/>
      <c r="H4419" s="14"/>
      <c r="I4419" s="14"/>
      <c r="J4419" s="14"/>
      <c r="L4419"/>
    </row>
    <row r="4420" spans="1:12" x14ac:dyDescent="0.25">
      <c r="A4420" s="10"/>
      <c r="G4420"/>
      <c r="H4420" s="14"/>
      <c r="I4420" s="14"/>
      <c r="J4420" s="14"/>
      <c r="L4420"/>
    </row>
    <row r="4421" spans="1:12" x14ac:dyDescent="0.25">
      <c r="A4421" s="10"/>
      <c r="G4421"/>
      <c r="H4421" s="14"/>
      <c r="I4421" s="14"/>
      <c r="J4421" s="14"/>
      <c r="L4421"/>
    </row>
    <row r="4422" spans="1:12" x14ac:dyDescent="0.25">
      <c r="A4422" s="10"/>
      <c r="G4422"/>
      <c r="H4422" s="14"/>
      <c r="I4422" s="14"/>
      <c r="J4422" s="14"/>
      <c r="L4422"/>
    </row>
    <row r="4423" spans="1:12" x14ac:dyDescent="0.25">
      <c r="A4423" s="10"/>
      <c r="G4423"/>
      <c r="H4423" s="14"/>
      <c r="I4423" s="14"/>
      <c r="J4423" s="14"/>
      <c r="L4423"/>
    </row>
    <row r="4424" spans="1:12" x14ac:dyDescent="0.25">
      <c r="A4424" s="10"/>
      <c r="G4424"/>
      <c r="H4424" s="14"/>
      <c r="I4424" s="14"/>
      <c r="J4424" s="14"/>
      <c r="L4424"/>
    </row>
    <row r="4425" spans="1:12" x14ac:dyDescent="0.25">
      <c r="A4425" s="10"/>
      <c r="G4425"/>
      <c r="H4425" s="14"/>
      <c r="I4425" s="14"/>
      <c r="J4425" s="14"/>
      <c r="L4425"/>
    </row>
    <row r="4426" spans="1:12" x14ac:dyDescent="0.25">
      <c r="A4426" s="10"/>
      <c r="G4426"/>
      <c r="H4426" s="14"/>
      <c r="I4426" s="14"/>
      <c r="J4426" s="14"/>
      <c r="L4426"/>
    </row>
    <row r="4427" spans="1:12" x14ac:dyDescent="0.25">
      <c r="A4427" s="10"/>
      <c r="G4427"/>
      <c r="H4427" s="14"/>
      <c r="I4427" s="14"/>
      <c r="J4427" s="14"/>
      <c r="L4427"/>
    </row>
    <row r="4428" spans="1:12" x14ac:dyDescent="0.25">
      <c r="A4428" s="10"/>
      <c r="G4428"/>
      <c r="H4428" s="14"/>
      <c r="I4428" s="14"/>
      <c r="J4428" s="14"/>
      <c r="L4428"/>
    </row>
    <row r="4429" spans="1:12" x14ac:dyDescent="0.25">
      <c r="A4429" s="10"/>
      <c r="G4429"/>
      <c r="H4429" s="14"/>
      <c r="I4429" s="14"/>
      <c r="J4429" s="14"/>
      <c r="L4429"/>
    </row>
    <row r="4430" spans="1:12" x14ac:dyDescent="0.25">
      <c r="A4430" s="10"/>
      <c r="G4430"/>
      <c r="H4430" s="14"/>
      <c r="I4430" s="14"/>
      <c r="J4430" s="14"/>
      <c r="L4430"/>
    </row>
    <row r="4431" spans="1:12" x14ac:dyDescent="0.25">
      <c r="A4431" s="10"/>
      <c r="G4431"/>
      <c r="H4431" s="14"/>
      <c r="I4431" s="14"/>
      <c r="J4431" s="14"/>
      <c r="L4431"/>
    </row>
    <row r="4432" spans="1:12" x14ac:dyDescent="0.25">
      <c r="A4432" s="10"/>
      <c r="G4432"/>
      <c r="H4432" s="14"/>
      <c r="I4432" s="14"/>
      <c r="J4432" s="14"/>
      <c r="L4432"/>
    </row>
    <row r="4433" spans="1:12" x14ac:dyDescent="0.25">
      <c r="A4433" s="10"/>
      <c r="G4433"/>
      <c r="H4433" s="14"/>
      <c r="I4433" s="14"/>
      <c r="J4433" s="14"/>
      <c r="L4433"/>
    </row>
    <row r="4434" spans="1:12" x14ac:dyDescent="0.25">
      <c r="A4434" s="10"/>
      <c r="G4434"/>
      <c r="H4434" s="14"/>
      <c r="I4434" s="14"/>
      <c r="J4434" s="14"/>
      <c r="L4434"/>
    </row>
    <row r="4435" spans="1:12" x14ac:dyDescent="0.25">
      <c r="A4435" s="10"/>
      <c r="G4435"/>
      <c r="H4435" s="14"/>
      <c r="I4435" s="14"/>
      <c r="J4435" s="14"/>
      <c r="L4435"/>
    </row>
    <row r="4436" spans="1:12" x14ac:dyDescent="0.25">
      <c r="A4436" s="10"/>
      <c r="G4436"/>
      <c r="H4436" s="14"/>
      <c r="I4436" s="14"/>
      <c r="J4436" s="14"/>
      <c r="L4436"/>
    </row>
    <row r="4437" spans="1:12" x14ac:dyDescent="0.25">
      <c r="A4437" s="10"/>
      <c r="G4437"/>
      <c r="H4437" s="14"/>
      <c r="I4437" s="14"/>
      <c r="J4437" s="14"/>
      <c r="L4437"/>
    </row>
    <row r="4438" spans="1:12" x14ac:dyDescent="0.25">
      <c r="A4438" s="10"/>
      <c r="G4438"/>
      <c r="H4438" s="14"/>
      <c r="I4438" s="14"/>
      <c r="J4438" s="14"/>
      <c r="L4438"/>
    </row>
    <row r="4439" spans="1:12" x14ac:dyDescent="0.25">
      <c r="A4439" s="10"/>
      <c r="G4439"/>
      <c r="H4439" s="14"/>
      <c r="I4439" s="14"/>
      <c r="J4439" s="14"/>
      <c r="L4439"/>
    </row>
    <row r="4440" spans="1:12" x14ac:dyDescent="0.25">
      <c r="A4440" s="10"/>
      <c r="G4440"/>
      <c r="H4440" s="14"/>
      <c r="I4440" s="14"/>
      <c r="J4440" s="14"/>
      <c r="L4440"/>
    </row>
    <row r="4441" spans="1:12" x14ac:dyDescent="0.25">
      <c r="A4441" s="10"/>
      <c r="G4441"/>
      <c r="H4441" s="14"/>
      <c r="I4441" s="14"/>
      <c r="J4441" s="14"/>
      <c r="L4441"/>
    </row>
    <row r="4442" spans="1:12" x14ac:dyDescent="0.25">
      <c r="A4442" s="10"/>
      <c r="G4442"/>
      <c r="H4442" s="14"/>
      <c r="I4442" s="14"/>
      <c r="J4442" s="14"/>
      <c r="L4442"/>
    </row>
    <row r="4443" spans="1:12" x14ac:dyDescent="0.25">
      <c r="A4443" s="10"/>
      <c r="G4443"/>
      <c r="H4443" s="14"/>
      <c r="I4443" s="14"/>
      <c r="J4443" s="14"/>
      <c r="L4443"/>
    </row>
    <row r="4444" spans="1:12" x14ac:dyDescent="0.25">
      <c r="A4444" s="10"/>
      <c r="G4444"/>
      <c r="H4444" s="14"/>
      <c r="I4444" s="14"/>
      <c r="J4444" s="14"/>
      <c r="L4444"/>
    </row>
    <row r="4445" spans="1:12" x14ac:dyDescent="0.25">
      <c r="A4445" s="10"/>
      <c r="G4445"/>
      <c r="H4445" s="14"/>
      <c r="I4445" s="14"/>
      <c r="J4445" s="14"/>
      <c r="L4445"/>
    </row>
    <row r="4446" spans="1:12" x14ac:dyDescent="0.25">
      <c r="A4446" s="10"/>
      <c r="G4446"/>
      <c r="H4446" s="14"/>
      <c r="I4446" s="14"/>
      <c r="J4446" s="14"/>
      <c r="L4446"/>
    </row>
    <row r="4447" spans="1:12" x14ac:dyDescent="0.25">
      <c r="A4447" s="10"/>
      <c r="G4447"/>
      <c r="H4447" s="14"/>
      <c r="I4447" s="14"/>
      <c r="J4447" s="14"/>
      <c r="L4447"/>
    </row>
    <row r="4448" spans="1:12" x14ac:dyDescent="0.25">
      <c r="A4448" s="10"/>
      <c r="G4448"/>
      <c r="H4448" s="14"/>
      <c r="I4448" s="14"/>
      <c r="J4448" s="14"/>
      <c r="L4448"/>
    </row>
    <row r="4449" spans="1:12" x14ac:dyDescent="0.25">
      <c r="A4449" s="10"/>
      <c r="G4449"/>
      <c r="H4449" s="14"/>
      <c r="I4449" s="14"/>
      <c r="J4449" s="14"/>
      <c r="L4449"/>
    </row>
    <row r="4450" spans="1:12" x14ac:dyDescent="0.25">
      <c r="A4450" s="10"/>
      <c r="G4450"/>
      <c r="H4450" s="14"/>
      <c r="I4450" s="14"/>
      <c r="J4450" s="14"/>
      <c r="L4450"/>
    </row>
    <row r="4451" spans="1:12" x14ac:dyDescent="0.25">
      <c r="A4451" s="10"/>
      <c r="G4451"/>
      <c r="H4451" s="14"/>
      <c r="I4451" s="14"/>
      <c r="J4451" s="14"/>
      <c r="L4451"/>
    </row>
    <row r="4452" spans="1:12" x14ac:dyDescent="0.25">
      <c r="A4452" s="10"/>
      <c r="G4452"/>
      <c r="H4452" s="14"/>
      <c r="I4452" s="14"/>
      <c r="J4452" s="14"/>
      <c r="L4452"/>
    </row>
    <row r="4453" spans="1:12" x14ac:dyDescent="0.25">
      <c r="A4453" s="10"/>
      <c r="G4453"/>
      <c r="H4453" s="14"/>
      <c r="I4453" s="14"/>
      <c r="J4453" s="14"/>
      <c r="L4453"/>
    </row>
    <row r="4454" spans="1:12" x14ac:dyDescent="0.25">
      <c r="A4454" s="10"/>
      <c r="G4454"/>
      <c r="H4454" s="14"/>
      <c r="I4454" s="14"/>
      <c r="J4454" s="14"/>
      <c r="L4454"/>
    </row>
    <row r="4455" spans="1:12" x14ac:dyDescent="0.25">
      <c r="A4455" s="10"/>
      <c r="G4455"/>
      <c r="H4455" s="14"/>
      <c r="I4455" s="14"/>
      <c r="J4455" s="14"/>
      <c r="L4455"/>
    </row>
    <row r="4456" spans="1:12" x14ac:dyDescent="0.25">
      <c r="A4456" s="10"/>
      <c r="G4456"/>
      <c r="H4456" s="14"/>
      <c r="I4456" s="14"/>
      <c r="J4456" s="14"/>
      <c r="L4456"/>
    </row>
    <row r="4457" spans="1:12" x14ac:dyDescent="0.25">
      <c r="A4457" s="10"/>
      <c r="G4457"/>
      <c r="H4457" s="14"/>
      <c r="I4457" s="14"/>
      <c r="J4457" s="14"/>
      <c r="L4457"/>
    </row>
    <row r="4458" spans="1:12" x14ac:dyDescent="0.25">
      <c r="A4458" s="10"/>
      <c r="G4458"/>
      <c r="H4458" s="14"/>
      <c r="I4458" s="14"/>
      <c r="J4458" s="14"/>
      <c r="L4458"/>
    </row>
    <row r="4459" spans="1:12" x14ac:dyDescent="0.25">
      <c r="A4459" s="10"/>
      <c r="G4459"/>
      <c r="H4459" s="14"/>
      <c r="I4459" s="14"/>
      <c r="J4459" s="14"/>
      <c r="L4459"/>
    </row>
    <row r="4460" spans="1:12" x14ac:dyDescent="0.25">
      <c r="A4460" s="10"/>
      <c r="G4460"/>
      <c r="H4460" s="14"/>
      <c r="I4460" s="14"/>
      <c r="J4460" s="14"/>
      <c r="L4460"/>
    </row>
    <row r="4461" spans="1:12" x14ac:dyDescent="0.25">
      <c r="A4461" s="10"/>
      <c r="G4461"/>
      <c r="H4461" s="14"/>
      <c r="I4461" s="14"/>
      <c r="J4461" s="14"/>
      <c r="L4461"/>
    </row>
    <row r="4462" spans="1:12" x14ac:dyDescent="0.25">
      <c r="A4462" s="10"/>
      <c r="G4462"/>
      <c r="H4462" s="14"/>
      <c r="I4462" s="14"/>
      <c r="J4462" s="14"/>
      <c r="L4462"/>
    </row>
    <row r="4463" spans="1:12" x14ac:dyDescent="0.25">
      <c r="A4463" s="10"/>
      <c r="G4463"/>
      <c r="H4463" s="14"/>
      <c r="I4463" s="14"/>
      <c r="J4463" s="14"/>
      <c r="L4463"/>
    </row>
    <row r="4464" spans="1:12" x14ac:dyDescent="0.25">
      <c r="A4464" s="10"/>
      <c r="G4464"/>
      <c r="H4464" s="14"/>
      <c r="I4464" s="14"/>
      <c r="J4464" s="14"/>
      <c r="L4464"/>
    </row>
    <row r="4465" spans="1:12" x14ac:dyDescent="0.25">
      <c r="A4465" s="10"/>
      <c r="G4465"/>
      <c r="H4465" s="14"/>
      <c r="I4465" s="14"/>
      <c r="J4465" s="14"/>
      <c r="L4465"/>
    </row>
    <row r="4466" spans="1:12" x14ac:dyDescent="0.25">
      <c r="A4466" s="10"/>
      <c r="G4466"/>
      <c r="H4466" s="14"/>
      <c r="I4466" s="14"/>
      <c r="J4466" s="14"/>
      <c r="L4466"/>
    </row>
    <row r="4467" spans="1:12" x14ac:dyDescent="0.25">
      <c r="A4467" s="10"/>
      <c r="G4467"/>
      <c r="H4467" s="14"/>
      <c r="I4467" s="14"/>
      <c r="J4467" s="14"/>
      <c r="L4467"/>
    </row>
    <row r="4468" spans="1:12" x14ac:dyDescent="0.25">
      <c r="A4468" s="10"/>
      <c r="G4468"/>
      <c r="H4468" s="14"/>
      <c r="I4468" s="14"/>
      <c r="J4468" s="14"/>
      <c r="L4468"/>
    </row>
    <row r="4469" spans="1:12" x14ac:dyDescent="0.25">
      <c r="A4469" s="10"/>
      <c r="G4469"/>
      <c r="H4469" s="14"/>
      <c r="I4469" s="14"/>
      <c r="J4469" s="14"/>
      <c r="L4469"/>
    </row>
    <row r="4470" spans="1:12" x14ac:dyDescent="0.25">
      <c r="A4470" s="10"/>
      <c r="G4470"/>
      <c r="H4470" s="14"/>
      <c r="I4470" s="14"/>
      <c r="J4470" s="14"/>
      <c r="L4470"/>
    </row>
    <row r="4471" spans="1:12" x14ac:dyDescent="0.25">
      <c r="A4471" s="10"/>
      <c r="G4471"/>
      <c r="H4471" s="14"/>
      <c r="I4471" s="14"/>
      <c r="J4471" s="14"/>
      <c r="L4471"/>
    </row>
    <row r="4472" spans="1:12" x14ac:dyDescent="0.25">
      <c r="A4472" s="10"/>
      <c r="G4472"/>
      <c r="H4472" s="14"/>
      <c r="I4472" s="14"/>
      <c r="J4472" s="14"/>
      <c r="L4472"/>
    </row>
    <row r="4473" spans="1:12" x14ac:dyDescent="0.25">
      <c r="A4473" s="10"/>
      <c r="G4473"/>
      <c r="H4473" s="14"/>
      <c r="I4473" s="14"/>
      <c r="J4473" s="14"/>
      <c r="L4473"/>
    </row>
    <row r="4474" spans="1:12" x14ac:dyDescent="0.25">
      <c r="A4474" s="10"/>
      <c r="G4474"/>
      <c r="H4474" s="14"/>
      <c r="I4474" s="14"/>
      <c r="J4474" s="14"/>
      <c r="L4474"/>
    </row>
    <row r="4475" spans="1:12" x14ac:dyDescent="0.25">
      <c r="A4475" s="10"/>
      <c r="G4475"/>
      <c r="H4475" s="14"/>
      <c r="I4475" s="14"/>
      <c r="J4475" s="14"/>
      <c r="L4475"/>
    </row>
    <row r="4476" spans="1:12" x14ac:dyDescent="0.25">
      <c r="A4476" s="10"/>
      <c r="G4476"/>
      <c r="H4476" s="14"/>
      <c r="I4476" s="14"/>
      <c r="J4476" s="14"/>
      <c r="L4476"/>
    </row>
    <row r="4477" spans="1:12" x14ac:dyDescent="0.25">
      <c r="A4477" s="10"/>
      <c r="G4477"/>
      <c r="H4477" s="14"/>
      <c r="I4477" s="14"/>
      <c r="J4477" s="14"/>
      <c r="L4477"/>
    </row>
    <row r="4478" spans="1:12" x14ac:dyDescent="0.25">
      <c r="A4478" s="10"/>
      <c r="G4478"/>
      <c r="H4478" s="14"/>
      <c r="I4478" s="14"/>
      <c r="J4478" s="14"/>
      <c r="L4478"/>
    </row>
    <row r="4479" spans="1:12" x14ac:dyDescent="0.25">
      <c r="A4479" s="10"/>
      <c r="G4479"/>
      <c r="H4479" s="14"/>
      <c r="I4479" s="14"/>
      <c r="J4479" s="14"/>
      <c r="L4479"/>
    </row>
    <row r="4480" spans="1:12" x14ac:dyDescent="0.25">
      <c r="A4480" s="10"/>
      <c r="G4480"/>
      <c r="H4480" s="14"/>
      <c r="I4480" s="14"/>
      <c r="J4480" s="14"/>
      <c r="L4480"/>
    </row>
    <row r="4481" spans="1:12" x14ac:dyDescent="0.25">
      <c r="A4481" s="10"/>
      <c r="G4481"/>
      <c r="H4481" s="14"/>
      <c r="I4481" s="14"/>
      <c r="J4481" s="14"/>
      <c r="L4481"/>
    </row>
    <row r="4482" spans="1:12" x14ac:dyDescent="0.25">
      <c r="A4482" s="10"/>
      <c r="G4482"/>
      <c r="H4482" s="14"/>
      <c r="I4482" s="14"/>
      <c r="J4482" s="14"/>
      <c r="L4482"/>
    </row>
    <row r="4483" spans="1:12" x14ac:dyDescent="0.25">
      <c r="A4483" s="10"/>
      <c r="G4483"/>
      <c r="H4483" s="14"/>
      <c r="I4483" s="14"/>
      <c r="J4483" s="14"/>
      <c r="L4483"/>
    </row>
    <row r="4484" spans="1:12" x14ac:dyDescent="0.25">
      <c r="A4484" s="10"/>
      <c r="G4484"/>
      <c r="H4484" s="14"/>
      <c r="I4484" s="14"/>
      <c r="J4484" s="14"/>
      <c r="L4484"/>
    </row>
    <row r="4485" spans="1:12" x14ac:dyDescent="0.25">
      <c r="A4485" s="10"/>
      <c r="G4485"/>
      <c r="H4485" s="14"/>
      <c r="I4485" s="14"/>
      <c r="J4485" s="14"/>
      <c r="L4485"/>
    </row>
    <row r="4486" spans="1:12" x14ac:dyDescent="0.25">
      <c r="A4486" s="10"/>
      <c r="G4486"/>
      <c r="H4486" s="14"/>
      <c r="I4486" s="14"/>
      <c r="J4486" s="14"/>
      <c r="L4486"/>
    </row>
    <row r="4487" spans="1:12" x14ac:dyDescent="0.25">
      <c r="A4487" s="10"/>
      <c r="G4487"/>
      <c r="H4487" s="14"/>
      <c r="I4487" s="14"/>
      <c r="J4487" s="14"/>
      <c r="L4487"/>
    </row>
    <row r="4488" spans="1:12" x14ac:dyDescent="0.25">
      <c r="A4488" s="10"/>
      <c r="G4488"/>
      <c r="H4488" s="14"/>
      <c r="I4488" s="14"/>
      <c r="J4488" s="14"/>
      <c r="L4488"/>
    </row>
    <row r="4489" spans="1:12" x14ac:dyDescent="0.25">
      <c r="A4489" s="10"/>
      <c r="G4489"/>
      <c r="H4489" s="14"/>
      <c r="I4489" s="14"/>
      <c r="J4489" s="14"/>
      <c r="L4489"/>
    </row>
    <row r="4490" spans="1:12" x14ac:dyDescent="0.25">
      <c r="A4490" s="10"/>
      <c r="G4490"/>
      <c r="H4490" s="14"/>
      <c r="I4490" s="14"/>
      <c r="J4490" s="14"/>
      <c r="L4490"/>
    </row>
    <row r="4491" spans="1:12" x14ac:dyDescent="0.25">
      <c r="A4491" s="10"/>
      <c r="G4491"/>
      <c r="H4491" s="14"/>
      <c r="I4491" s="14"/>
      <c r="J4491" s="14"/>
      <c r="L4491"/>
    </row>
    <row r="4492" spans="1:12" x14ac:dyDescent="0.25">
      <c r="A4492" s="10"/>
      <c r="G4492"/>
      <c r="H4492" s="14"/>
      <c r="I4492" s="14"/>
      <c r="J4492" s="14"/>
      <c r="L4492"/>
    </row>
    <row r="4493" spans="1:12" x14ac:dyDescent="0.25">
      <c r="A4493" s="10"/>
      <c r="G4493"/>
      <c r="H4493" s="14"/>
      <c r="I4493" s="14"/>
      <c r="J4493" s="14"/>
      <c r="L4493"/>
    </row>
    <row r="4494" spans="1:12" x14ac:dyDescent="0.25">
      <c r="A4494" s="10"/>
      <c r="G4494"/>
      <c r="H4494" s="14"/>
      <c r="I4494" s="14"/>
      <c r="J4494" s="14"/>
      <c r="L4494"/>
    </row>
    <row r="4495" spans="1:12" x14ac:dyDescent="0.25">
      <c r="A4495" s="10"/>
      <c r="G4495"/>
      <c r="H4495" s="14"/>
      <c r="I4495" s="14"/>
      <c r="J4495" s="14"/>
      <c r="L4495"/>
    </row>
    <row r="4496" spans="1:12" x14ac:dyDescent="0.25">
      <c r="A4496" s="10"/>
      <c r="G4496"/>
      <c r="H4496" s="14"/>
      <c r="I4496" s="14"/>
      <c r="J4496" s="14"/>
      <c r="L4496"/>
    </row>
    <row r="4497" spans="1:12" x14ac:dyDescent="0.25">
      <c r="A4497" s="10"/>
      <c r="G4497"/>
      <c r="H4497" s="14"/>
      <c r="I4497" s="14"/>
      <c r="J4497" s="14"/>
      <c r="L4497"/>
    </row>
    <row r="4498" spans="1:12" x14ac:dyDescent="0.25">
      <c r="A4498" s="10"/>
      <c r="G4498"/>
      <c r="H4498" s="14"/>
      <c r="I4498" s="14"/>
      <c r="J4498" s="14"/>
      <c r="L4498"/>
    </row>
    <row r="4499" spans="1:12" x14ac:dyDescent="0.25">
      <c r="A4499" s="10"/>
      <c r="G4499"/>
      <c r="H4499" s="14"/>
      <c r="I4499" s="14"/>
      <c r="J4499" s="14"/>
      <c r="L4499"/>
    </row>
    <row r="4500" spans="1:12" x14ac:dyDescent="0.25">
      <c r="A4500" s="10"/>
      <c r="G4500"/>
      <c r="H4500" s="14"/>
      <c r="I4500" s="14"/>
      <c r="J4500" s="14"/>
      <c r="L4500"/>
    </row>
    <row r="4501" spans="1:12" x14ac:dyDescent="0.25">
      <c r="A4501" s="10"/>
      <c r="G4501"/>
      <c r="H4501" s="14"/>
      <c r="I4501" s="14"/>
      <c r="J4501" s="14"/>
      <c r="L4501"/>
    </row>
    <row r="4502" spans="1:12" x14ac:dyDescent="0.25">
      <c r="A4502" s="10"/>
      <c r="G4502"/>
      <c r="H4502" s="14"/>
      <c r="I4502" s="14"/>
      <c r="J4502" s="14"/>
      <c r="L4502"/>
    </row>
    <row r="4503" spans="1:12" x14ac:dyDescent="0.25">
      <c r="A4503" s="10"/>
      <c r="G4503"/>
      <c r="H4503" s="14"/>
      <c r="I4503" s="14"/>
      <c r="J4503" s="14"/>
      <c r="L4503"/>
    </row>
    <row r="4504" spans="1:12" x14ac:dyDescent="0.25">
      <c r="A4504" s="10"/>
      <c r="G4504"/>
      <c r="H4504" s="14"/>
      <c r="I4504" s="14"/>
      <c r="J4504" s="14"/>
      <c r="L4504"/>
    </row>
    <row r="4505" spans="1:12" x14ac:dyDescent="0.25">
      <c r="A4505" s="10"/>
      <c r="G4505"/>
      <c r="H4505" s="14"/>
      <c r="I4505" s="14"/>
      <c r="J4505" s="14"/>
      <c r="L4505"/>
    </row>
    <row r="4506" spans="1:12" x14ac:dyDescent="0.25">
      <c r="A4506" s="10"/>
      <c r="G4506"/>
      <c r="H4506" s="14"/>
      <c r="I4506" s="14"/>
      <c r="J4506" s="14"/>
      <c r="L4506"/>
    </row>
    <row r="4507" spans="1:12" x14ac:dyDescent="0.25">
      <c r="A4507" s="10"/>
      <c r="G4507"/>
      <c r="H4507" s="14"/>
      <c r="I4507" s="14"/>
      <c r="J4507" s="14"/>
      <c r="L4507"/>
    </row>
    <row r="4508" spans="1:12" x14ac:dyDescent="0.25">
      <c r="A4508" s="10"/>
      <c r="G4508"/>
      <c r="H4508" s="14"/>
      <c r="I4508" s="14"/>
      <c r="J4508" s="14"/>
      <c r="L4508"/>
    </row>
    <row r="4509" spans="1:12" x14ac:dyDescent="0.25">
      <c r="A4509" s="10"/>
      <c r="G4509"/>
      <c r="H4509" s="14"/>
      <c r="I4509" s="14"/>
      <c r="J4509" s="14"/>
      <c r="L4509"/>
    </row>
    <row r="4510" spans="1:12" x14ac:dyDescent="0.25">
      <c r="A4510" s="10"/>
      <c r="G4510"/>
      <c r="H4510" s="14"/>
      <c r="I4510" s="14"/>
      <c r="J4510" s="14"/>
      <c r="L4510"/>
    </row>
    <row r="4511" spans="1:12" x14ac:dyDescent="0.25">
      <c r="A4511" s="10"/>
      <c r="G4511"/>
      <c r="H4511" s="14"/>
      <c r="I4511" s="14"/>
      <c r="J4511" s="14"/>
      <c r="L4511"/>
    </row>
    <row r="4512" spans="1:12" x14ac:dyDescent="0.25">
      <c r="A4512" s="10"/>
      <c r="G4512"/>
      <c r="H4512" s="14"/>
      <c r="I4512" s="14"/>
      <c r="J4512" s="14"/>
      <c r="L4512"/>
    </row>
    <row r="4513" spans="1:12" x14ac:dyDescent="0.25">
      <c r="A4513" s="10"/>
      <c r="G4513"/>
      <c r="H4513" s="14"/>
      <c r="I4513" s="14"/>
      <c r="J4513" s="14"/>
      <c r="L4513"/>
    </row>
    <row r="4514" spans="1:12" x14ac:dyDescent="0.25">
      <c r="A4514" s="10"/>
      <c r="G4514"/>
      <c r="H4514" s="14"/>
      <c r="I4514" s="14"/>
      <c r="J4514" s="14"/>
      <c r="L4514"/>
    </row>
    <row r="4515" spans="1:12" x14ac:dyDescent="0.25">
      <c r="A4515" s="10"/>
      <c r="G4515"/>
      <c r="H4515" s="14"/>
      <c r="I4515" s="14"/>
      <c r="J4515" s="14"/>
      <c r="L4515"/>
    </row>
    <row r="4516" spans="1:12" x14ac:dyDescent="0.25">
      <c r="A4516" s="10"/>
      <c r="G4516"/>
      <c r="H4516" s="14"/>
      <c r="I4516" s="14"/>
      <c r="J4516" s="14"/>
      <c r="L4516"/>
    </row>
    <row r="4517" spans="1:12" x14ac:dyDescent="0.25">
      <c r="A4517" s="10"/>
      <c r="G4517"/>
      <c r="H4517" s="14"/>
      <c r="I4517" s="14"/>
      <c r="J4517" s="14"/>
      <c r="L4517"/>
    </row>
    <row r="4518" spans="1:12" x14ac:dyDescent="0.25">
      <c r="A4518" s="10"/>
      <c r="G4518"/>
      <c r="H4518" s="14"/>
      <c r="I4518" s="14"/>
      <c r="J4518" s="14"/>
      <c r="L4518"/>
    </row>
    <row r="4519" spans="1:12" x14ac:dyDescent="0.25">
      <c r="A4519" s="10"/>
      <c r="G4519"/>
      <c r="H4519" s="14"/>
      <c r="I4519" s="14"/>
      <c r="J4519" s="14"/>
      <c r="L4519"/>
    </row>
    <row r="4520" spans="1:12" x14ac:dyDescent="0.25">
      <c r="A4520" s="10"/>
      <c r="G4520"/>
      <c r="H4520" s="14"/>
      <c r="I4520" s="14"/>
      <c r="J4520" s="14"/>
      <c r="L4520"/>
    </row>
    <row r="4521" spans="1:12" x14ac:dyDescent="0.25">
      <c r="A4521" s="10"/>
      <c r="G4521"/>
      <c r="H4521" s="14"/>
      <c r="I4521" s="14"/>
      <c r="J4521" s="14"/>
      <c r="L4521"/>
    </row>
    <row r="4522" spans="1:12" x14ac:dyDescent="0.25">
      <c r="A4522" s="10"/>
      <c r="G4522"/>
      <c r="H4522" s="14"/>
      <c r="I4522" s="14"/>
      <c r="J4522" s="14"/>
      <c r="L4522"/>
    </row>
    <row r="4523" spans="1:12" x14ac:dyDescent="0.25">
      <c r="A4523" s="10"/>
      <c r="G4523"/>
      <c r="H4523" s="14"/>
      <c r="I4523" s="14"/>
      <c r="J4523" s="14"/>
      <c r="L4523"/>
    </row>
    <row r="4524" spans="1:12" x14ac:dyDescent="0.25">
      <c r="A4524" s="10"/>
      <c r="G4524"/>
      <c r="H4524" s="14"/>
      <c r="I4524" s="14"/>
      <c r="J4524" s="14"/>
      <c r="L4524"/>
    </row>
    <row r="4525" spans="1:12" x14ac:dyDescent="0.25">
      <c r="A4525" s="10"/>
      <c r="G4525"/>
      <c r="H4525" s="14"/>
      <c r="I4525" s="14"/>
      <c r="J4525" s="14"/>
      <c r="L4525"/>
    </row>
    <row r="4526" spans="1:12" x14ac:dyDescent="0.25">
      <c r="A4526" s="10"/>
      <c r="G4526"/>
      <c r="H4526" s="14"/>
      <c r="I4526" s="14"/>
      <c r="J4526" s="14"/>
      <c r="L4526"/>
    </row>
    <row r="4527" spans="1:12" x14ac:dyDescent="0.25">
      <c r="A4527" s="10"/>
      <c r="G4527"/>
      <c r="H4527" s="14"/>
      <c r="I4527" s="14"/>
      <c r="J4527" s="14"/>
      <c r="L4527"/>
    </row>
    <row r="4528" spans="1:12" x14ac:dyDescent="0.25">
      <c r="A4528" s="10"/>
      <c r="G4528"/>
      <c r="H4528" s="14"/>
      <c r="I4528" s="14"/>
      <c r="J4528" s="14"/>
      <c r="L4528"/>
    </row>
    <row r="4529" spans="1:12" x14ac:dyDescent="0.25">
      <c r="A4529" s="10"/>
      <c r="G4529"/>
      <c r="H4529" s="14"/>
      <c r="I4529" s="14"/>
      <c r="J4529" s="14"/>
      <c r="L4529"/>
    </row>
    <row r="4530" spans="1:12" x14ac:dyDescent="0.25">
      <c r="A4530" s="10"/>
      <c r="G4530"/>
      <c r="H4530" s="14"/>
      <c r="I4530" s="14"/>
      <c r="J4530" s="14"/>
      <c r="L4530"/>
    </row>
    <row r="4531" spans="1:12" x14ac:dyDescent="0.25">
      <c r="A4531" s="10"/>
      <c r="G4531"/>
      <c r="H4531" s="14"/>
      <c r="I4531" s="14"/>
      <c r="J4531" s="14"/>
      <c r="L4531"/>
    </row>
    <row r="4532" spans="1:12" x14ac:dyDescent="0.25">
      <c r="A4532" s="10"/>
      <c r="G4532"/>
      <c r="H4532" s="14"/>
      <c r="I4532" s="14"/>
      <c r="J4532" s="14"/>
      <c r="L4532"/>
    </row>
    <row r="4533" spans="1:12" x14ac:dyDescent="0.25">
      <c r="A4533" s="10"/>
      <c r="G4533"/>
      <c r="H4533" s="14"/>
      <c r="I4533" s="14"/>
      <c r="J4533" s="14"/>
      <c r="L4533"/>
    </row>
    <row r="4534" spans="1:12" x14ac:dyDescent="0.25">
      <c r="A4534" s="10"/>
      <c r="G4534"/>
      <c r="H4534" s="14"/>
      <c r="I4534" s="14"/>
      <c r="J4534" s="14"/>
      <c r="L4534"/>
    </row>
    <row r="4535" spans="1:12" x14ac:dyDescent="0.25">
      <c r="A4535" s="10"/>
      <c r="G4535"/>
      <c r="H4535" s="14"/>
      <c r="I4535" s="14"/>
      <c r="J4535" s="14"/>
      <c r="L4535"/>
    </row>
    <row r="4536" spans="1:12" x14ac:dyDescent="0.25">
      <c r="A4536" s="10"/>
      <c r="G4536"/>
      <c r="H4536" s="14"/>
      <c r="I4536" s="14"/>
      <c r="J4536" s="14"/>
      <c r="L4536"/>
    </row>
    <row r="4537" spans="1:12" x14ac:dyDescent="0.25">
      <c r="A4537" s="10"/>
      <c r="G4537"/>
      <c r="H4537" s="14"/>
      <c r="I4537" s="14"/>
      <c r="J4537" s="14"/>
      <c r="L4537"/>
    </row>
    <row r="4538" spans="1:12" x14ac:dyDescent="0.25">
      <c r="A4538" s="10"/>
      <c r="G4538"/>
      <c r="H4538" s="14"/>
      <c r="I4538" s="14"/>
      <c r="J4538" s="14"/>
      <c r="L4538"/>
    </row>
    <row r="4539" spans="1:12" x14ac:dyDescent="0.25">
      <c r="A4539" s="10"/>
      <c r="G4539"/>
      <c r="H4539" s="14"/>
      <c r="I4539" s="14"/>
      <c r="J4539" s="14"/>
      <c r="L4539"/>
    </row>
    <row r="4540" spans="1:12" x14ac:dyDescent="0.25">
      <c r="A4540" s="10"/>
      <c r="G4540"/>
      <c r="H4540" s="14"/>
      <c r="I4540" s="14"/>
      <c r="J4540" s="14"/>
      <c r="L4540"/>
    </row>
    <row r="4541" spans="1:12" x14ac:dyDescent="0.25">
      <c r="A4541" s="10"/>
      <c r="G4541"/>
      <c r="H4541" s="14"/>
      <c r="I4541" s="14"/>
      <c r="J4541" s="14"/>
      <c r="L4541"/>
    </row>
    <row r="4542" spans="1:12" x14ac:dyDescent="0.25">
      <c r="A4542" s="10"/>
      <c r="G4542"/>
      <c r="H4542" s="14"/>
      <c r="I4542" s="14"/>
      <c r="J4542" s="14"/>
      <c r="L4542"/>
    </row>
    <row r="4543" spans="1:12" x14ac:dyDescent="0.25">
      <c r="A4543" s="10"/>
      <c r="G4543"/>
      <c r="H4543" s="14"/>
      <c r="I4543" s="14"/>
      <c r="J4543" s="14"/>
      <c r="L4543"/>
    </row>
    <row r="4544" spans="1:12" x14ac:dyDescent="0.25">
      <c r="A4544" s="10"/>
      <c r="G4544"/>
      <c r="H4544" s="14"/>
      <c r="I4544" s="14"/>
      <c r="J4544" s="14"/>
      <c r="L4544"/>
    </row>
    <row r="4545" spans="1:12" x14ac:dyDescent="0.25">
      <c r="A4545" s="10"/>
      <c r="G4545"/>
      <c r="H4545" s="14"/>
      <c r="I4545" s="14"/>
      <c r="J4545" s="14"/>
      <c r="L4545"/>
    </row>
    <row r="4546" spans="1:12" x14ac:dyDescent="0.25">
      <c r="A4546" s="10"/>
      <c r="G4546"/>
      <c r="H4546" s="14"/>
      <c r="I4546" s="14"/>
      <c r="J4546" s="14"/>
      <c r="L4546"/>
    </row>
    <row r="4547" spans="1:12" x14ac:dyDescent="0.25">
      <c r="A4547" s="10"/>
      <c r="G4547"/>
      <c r="H4547" s="14"/>
      <c r="I4547" s="14"/>
      <c r="J4547" s="14"/>
      <c r="L4547"/>
    </row>
    <row r="4548" spans="1:12" x14ac:dyDescent="0.25">
      <c r="A4548" s="10"/>
      <c r="G4548"/>
      <c r="H4548" s="14"/>
      <c r="I4548" s="14"/>
      <c r="J4548" s="14"/>
      <c r="L4548"/>
    </row>
    <row r="4549" spans="1:12" x14ac:dyDescent="0.25">
      <c r="A4549" s="10"/>
      <c r="G4549"/>
      <c r="H4549" s="14"/>
      <c r="I4549" s="14"/>
      <c r="J4549" s="14"/>
      <c r="L4549"/>
    </row>
    <row r="4550" spans="1:12" x14ac:dyDescent="0.25">
      <c r="A4550" s="10"/>
      <c r="G4550"/>
      <c r="H4550" s="14"/>
      <c r="I4550" s="14"/>
      <c r="J4550" s="14"/>
      <c r="L4550"/>
    </row>
    <row r="4551" spans="1:12" x14ac:dyDescent="0.25">
      <c r="A4551" s="10"/>
      <c r="G4551"/>
      <c r="H4551" s="14"/>
      <c r="I4551" s="14"/>
      <c r="J4551" s="14"/>
      <c r="L4551"/>
    </row>
    <row r="4552" spans="1:12" x14ac:dyDescent="0.25">
      <c r="A4552" s="10"/>
      <c r="G4552"/>
      <c r="H4552" s="14"/>
      <c r="I4552" s="14"/>
      <c r="J4552" s="14"/>
      <c r="L4552"/>
    </row>
    <row r="4553" spans="1:12" x14ac:dyDescent="0.25">
      <c r="A4553" s="10"/>
      <c r="G4553"/>
      <c r="H4553" s="14"/>
      <c r="I4553" s="14"/>
      <c r="J4553" s="14"/>
      <c r="L4553"/>
    </row>
    <row r="4554" spans="1:12" x14ac:dyDescent="0.25">
      <c r="A4554" s="10"/>
      <c r="G4554"/>
      <c r="H4554" s="14"/>
      <c r="I4554" s="14"/>
      <c r="J4554" s="14"/>
      <c r="L4554"/>
    </row>
    <row r="4555" spans="1:12" x14ac:dyDescent="0.25">
      <c r="A4555" s="10"/>
      <c r="G4555"/>
      <c r="H4555" s="14"/>
      <c r="I4555" s="14"/>
      <c r="J4555" s="14"/>
      <c r="L4555"/>
    </row>
    <row r="4556" spans="1:12" x14ac:dyDescent="0.25">
      <c r="A4556" s="10"/>
      <c r="G4556"/>
      <c r="H4556" s="14"/>
      <c r="I4556" s="14"/>
      <c r="J4556" s="14"/>
      <c r="L4556"/>
    </row>
    <row r="4557" spans="1:12" x14ac:dyDescent="0.25">
      <c r="A4557" s="10"/>
      <c r="G4557"/>
      <c r="H4557" s="14"/>
      <c r="I4557" s="14"/>
      <c r="J4557" s="14"/>
      <c r="L4557"/>
    </row>
    <row r="4558" spans="1:12" x14ac:dyDescent="0.25">
      <c r="A4558" s="10"/>
      <c r="G4558"/>
      <c r="H4558" s="14"/>
      <c r="I4558" s="14"/>
      <c r="J4558" s="14"/>
      <c r="L4558"/>
    </row>
    <row r="4559" spans="1:12" x14ac:dyDescent="0.25">
      <c r="A4559" s="10"/>
      <c r="G4559"/>
      <c r="H4559" s="14"/>
      <c r="I4559" s="14"/>
      <c r="J4559" s="14"/>
      <c r="L4559"/>
    </row>
    <row r="4560" spans="1:12" x14ac:dyDescent="0.25">
      <c r="A4560" s="10"/>
      <c r="G4560"/>
      <c r="H4560" s="14"/>
      <c r="I4560" s="14"/>
      <c r="J4560" s="14"/>
      <c r="L4560"/>
    </row>
    <row r="4561" spans="1:12" x14ac:dyDescent="0.25">
      <c r="A4561" s="10"/>
      <c r="G4561"/>
      <c r="H4561" s="14"/>
      <c r="I4561" s="14"/>
      <c r="J4561" s="14"/>
      <c r="L4561"/>
    </row>
    <row r="4562" spans="1:12" x14ac:dyDescent="0.25">
      <c r="A4562" s="10"/>
      <c r="G4562"/>
      <c r="H4562" s="14"/>
      <c r="I4562" s="14"/>
      <c r="J4562" s="14"/>
      <c r="L4562"/>
    </row>
    <row r="4563" spans="1:12" x14ac:dyDescent="0.25">
      <c r="A4563" s="10"/>
      <c r="G4563"/>
      <c r="H4563" s="14"/>
      <c r="I4563" s="14"/>
      <c r="J4563" s="14"/>
      <c r="L4563"/>
    </row>
    <row r="4564" spans="1:12" x14ac:dyDescent="0.25">
      <c r="A4564" s="10"/>
      <c r="G4564"/>
      <c r="H4564" s="14"/>
      <c r="I4564" s="14"/>
      <c r="J4564" s="14"/>
      <c r="L4564"/>
    </row>
    <row r="4565" spans="1:12" x14ac:dyDescent="0.25">
      <c r="A4565" s="10"/>
      <c r="G4565"/>
      <c r="H4565" s="14"/>
      <c r="I4565" s="14"/>
      <c r="J4565" s="14"/>
      <c r="L4565"/>
    </row>
    <row r="4566" spans="1:12" x14ac:dyDescent="0.25">
      <c r="A4566" s="10"/>
      <c r="G4566"/>
      <c r="H4566" s="14"/>
      <c r="I4566" s="14"/>
      <c r="J4566" s="14"/>
      <c r="L4566"/>
    </row>
    <row r="4567" spans="1:12" x14ac:dyDescent="0.25">
      <c r="A4567" s="10"/>
      <c r="G4567"/>
      <c r="H4567" s="14"/>
      <c r="I4567" s="14"/>
      <c r="J4567" s="14"/>
      <c r="L4567"/>
    </row>
    <row r="4568" spans="1:12" x14ac:dyDescent="0.25">
      <c r="A4568" s="10"/>
      <c r="G4568"/>
      <c r="H4568" s="14"/>
      <c r="I4568" s="14"/>
      <c r="J4568" s="14"/>
      <c r="L4568"/>
    </row>
    <row r="4569" spans="1:12" x14ac:dyDescent="0.25">
      <c r="A4569" s="10"/>
      <c r="G4569"/>
      <c r="H4569" s="14"/>
      <c r="I4569" s="14"/>
      <c r="J4569" s="14"/>
      <c r="L4569"/>
    </row>
    <row r="4570" spans="1:12" x14ac:dyDescent="0.25">
      <c r="A4570" s="10"/>
      <c r="G4570"/>
      <c r="H4570" s="14"/>
      <c r="I4570" s="14"/>
      <c r="J4570" s="14"/>
      <c r="L4570"/>
    </row>
    <row r="4571" spans="1:12" x14ac:dyDescent="0.25">
      <c r="A4571" s="10"/>
      <c r="G4571"/>
      <c r="H4571" s="14"/>
      <c r="I4571" s="14"/>
      <c r="J4571" s="14"/>
      <c r="L4571"/>
    </row>
    <row r="4572" spans="1:12" x14ac:dyDescent="0.25">
      <c r="A4572" s="10"/>
      <c r="G4572"/>
      <c r="H4572" s="14"/>
      <c r="I4572" s="14"/>
      <c r="J4572" s="14"/>
      <c r="L4572"/>
    </row>
    <row r="4573" spans="1:12" x14ac:dyDescent="0.25">
      <c r="A4573" s="10"/>
      <c r="G4573"/>
      <c r="H4573" s="14"/>
      <c r="I4573" s="14"/>
      <c r="J4573" s="14"/>
      <c r="L4573"/>
    </row>
    <row r="4574" spans="1:12" x14ac:dyDescent="0.25">
      <c r="A4574" s="10"/>
      <c r="G4574"/>
      <c r="H4574" s="14"/>
      <c r="I4574" s="14"/>
      <c r="J4574" s="14"/>
      <c r="L4574"/>
    </row>
    <row r="4575" spans="1:12" x14ac:dyDescent="0.25">
      <c r="A4575" s="10"/>
      <c r="G4575"/>
      <c r="H4575" s="14"/>
      <c r="I4575" s="14"/>
      <c r="J4575" s="14"/>
      <c r="L4575"/>
    </row>
    <row r="4576" spans="1:12" x14ac:dyDescent="0.25">
      <c r="A4576" s="10"/>
      <c r="G4576"/>
      <c r="H4576" s="14"/>
      <c r="I4576" s="14"/>
      <c r="J4576" s="14"/>
      <c r="L4576"/>
    </row>
    <row r="4577" spans="1:12" x14ac:dyDescent="0.25">
      <c r="A4577" s="10"/>
      <c r="G4577"/>
      <c r="H4577" s="14"/>
      <c r="I4577" s="14"/>
      <c r="J4577" s="14"/>
      <c r="L4577"/>
    </row>
    <row r="4578" spans="1:12" x14ac:dyDescent="0.25">
      <c r="A4578" s="10"/>
      <c r="G4578"/>
      <c r="H4578" s="14"/>
      <c r="I4578" s="14"/>
      <c r="J4578" s="14"/>
      <c r="L4578"/>
    </row>
    <row r="4579" spans="1:12" x14ac:dyDescent="0.25">
      <c r="A4579" s="10"/>
      <c r="G4579"/>
      <c r="H4579" s="14"/>
      <c r="I4579" s="14"/>
      <c r="J4579" s="14"/>
      <c r="L4579"/>
    </row>
    <row r="4580" spans="1:12" x14ac:dyDescent="0.25">
      <c r="A4580" s="10"/>
      <c r="G4580"/>
      <c r="H4580" s="14"/>
      <c r="I4580" s="14"/>
      <c r="J4580" s="14"/>
      <c r="L4580"/>
    </row>
    <row r="4581" spans="1:12" x14ac:dyDescent="0.25">
      <c r="A4581" s="10"/>
      <c r="G4581"/>
      <c r="H4581" s="14"/>
      <c r="I4581" s="14"/>
      <c r="J4581" s="14"/>
      <c r="L4581"/>
    </row>
    <row r="4582" spans="1:12" x14ac:dyDescent="0.25">
      <c r="A4582" s="10"/>
      <c r="G4582"/>
      <c r="H4582" s="14"/>
      <c r="I4582" s="14"/>
      <c r="J4582" s="14"/>
      <c r="L4582"/>
    </row>
    <row r="4583" spans="1:12" x14ac:dyDescent="0.25">
      <c r="A4583" s="10"/>
      <c r="G4583"/>
      <c r="H4583" s="14"/>
      <c r="I4583" s="14"/>
      <c r="J4583" s="14"/>
      <c r="L4583"/>
    </row>
    <row r="4584" spans="1:12" x14ac:dyDescent="0.25">
      <c r="A4584" s="10"/>
      <c r="G4584"/>
      <c r="H4584" s="14"/>
      <c r="I4584" s="14"/>
      <c r="J4584" s="14"/>
      <c r="L4584"/>
    </row>
    <row r="4585" spans="1:12" x14ac:dyDescent="0.25">
      <c r="A4585" s="10"/>
      <c r="G4585"/>
      <c r="H4585" s="14"/>
      <c r="I4585" s="14"/>
      <c r="J4585" s="14"/>
      <c r="L4585"/>
    </row>
    <row r="4586" spans="1:12" x14ac:dyDescent="0.25">
      <c r="A4586" s="10"/>
      <c r="G4586"/>
      <c r="H4586" s="14"/>
      <c r="I4586" s="14"/>
      <c r="J4586" s="14"/>
      <c r="L4586"/>
    </row>
    <row r="4587" spans="1:12" x14ac:dyDescent="0.25">
      <c r="A4587" s="10"/>
      <c r="G4587"/>
      <c r="H4587" s="14"/>
      <c r="I4587" s="14"/>
      <c r="J4587" s="14"/>
      <c r="L4587"/>
    </row>
    <row r="4588" spans="1:12" x14ac:dyDescent="0.25">
      <c r="A4588" s="10"/>
      <c r="G4588"/>
      <c r="H4588" s="14"/>
      <c r="I4588" s="14"/>
      <c r="J4588" s="14"/>
      <c r="L4588"/>
    </row>
    <row r="4589" spans="1:12" x14ac:dyDescent="0.25">
      <c r="A4589" s="10"/>
      <c r="G4589"/>
      <c r="H4589" s="14"/>
      <c r="I4589" s="14"/>
      <c r="J4589" s="14"/>
      <c r="L4589"/>
    </row>
    <row r="4590" spans="1:12" x14ac:dyDescent="0.25">
      <c r="A4590" s="10"/>
      <c r="G4590"/>
      <c r="H4590" s="14"/>
      <c r="I4590" s="14"/>
      <c r="J4590" s="14"/>
      <c r="L4590"/>
    </row>
    <row r="4591" spans="1:12" x14ac:dyDescent="0.25">
      <c r="A4591" s="10"/>
      <c r="G4591"/>
      <c r="H4591" s="14"/>
      <c r="I4591" s="14"/>
      <c r="J4591" s="14"/>
      <c r="L4591"/>
    </row>
    <row r="4592" spans="1:12" x14ac:dyDescent="0.25">
      <c r="A4592" s="10"/>
      <c r="G4592"/>
      <c r="H4592" s="14"/>
      <c r="I4592" s="14"/>
      <c r="J4592" s="14"/>
      <c r="L4592"/>
    </row>
    <row r="4593" spans="1:12" x14ac:dyDescent="0.25">
      <c r="A4593" s="10"/>
      <c r="G4593"/>
      <c r="H4593" s="14"/>
      <c r="I4593" s="14"/>
      <c r="J4593" s="14"/>
      <c r="L4593"/>
    </row>
    <row r="4594" spans="1:12" x14ac:dyDescent="0.25">
      <c r="A4594" s="10"/>
      <c r="G4594"/>
      <c r="H4594" s="14"/>
      <c r="I4594" s="14"/>
      <c r="J4594" s="14"/>
      <c r="L4594"/>
    </row>
    <row r="4595" spans="1:12" x14ac:dyDescent="0.25">
      <c r="A4595" s="10"/>
      <c r="G4595"/>
      <c r="H4595" s="14"/>
      <c r="I4595" s="14"/>
      <c r="J4595" s="14"/>
      <c r="L4595"/>
    </row>
    <row r="4596" spans="1:12" x14ac:dyDescent="0.25">
      <c r="A4596" s="10"/>
      <c r="G4596"/>
      <c r="H4596" s="14"/>
      <c r="I4596" s="14"/>
      <c r="J4596" s="14"/>
      <c r="L4596"/>
    </row>
    <row r="4597" spans="1:12" x14ac:dyDescent="0.25">
      <c r="A4597" s="10"/>
      <c r="G4597"/>
      <c r="H4597" s="14"/>
      <c r="I4597" s="14"/>
      <c r="J4597" s="14"/>
      <c r="L4597"/>
    </row>
    <row r="4598" spans="1:12" x14ac:dyDescent="0.25">
      <c r="A4598" s="10"/>
      <c r="G4598"/>
      <c r="H4598" s="14"/>
      <c r="I4598" s="14"/>
      <c r="J4598" s="14"/>
      <c r="L4598"/>
    </row>
    <row r="4599" spans="1:12" x14ac:dyDescent="0.25">
      <c r="A4599" s="10"/>
      <c r="G4599"/>
      <c r="H4599" s="14"/>
      <c r="I4599" s="14"/>
      <c r="J4599" s="14"/>
      <c r="L4599"/>
    </row>
    <row r="4600" spans="1:12" x14ac:dyDescent="0.25">
      <c r="A4600" s="10"/>
      <c r="G4600"/>
      <c r="H4600" s="14"/>
      <c r="I4600" s="14"/>
      <c r="J4600" s="14"/>
      <c r="L4600"/>
    </row>
    <row r="4601" spans="1:12" x14ac:dyDescent="0.25">
      <c r="A4601" s="10"/>
      <c r="G4601"/>
      <c r="H4601" s="14"/>
      <c r="I4601" s="14"/>
      <c r="J4601" s="14"/>
      <c r="L4601"/>
    </row>
    <row r="4602" spans="1:12" x14ac:dyDescent="0.25">
      <c r="A4602" s="10"/>
      <c r="G4602"/>
      <c r="H4602" s="14"/>
      <c r="I4602" s="14"/>
      <c r="J4602" s="14"/>
      <c r="L4602"/>
    </row>
    <row r="4603" spans="1:12" x14ac:dyDescent="0.25">
      <c r="A4603" s="10"/>
      <c r="G4603"/>
      <c r="H4603" s="14"/>
      <c r="I4603" s="14"/>
      <c r="J4603" s="14"/>
      <c r="L4603"/>
    </row>
    <row r="4604" spans="1:12" x14ac:dyDescent="0.25">
      <c r="A4604" s="10"/>
      <c r="G4604"/>
      <c r="H4604" s="14"/>
      <c r="I4604" s="14"/>
      <c r="J4604" s="14"/>
      <c r="L4604"/>
    </row>
    <row r="4605" spans="1:12" x14ac:dyDescent="0.25">
      <c r="A4605" s="10"/>
      <c r="G4605"/>
      <c r="H4605" s="14"/>
      <c r="I4605" s="14"/>
      <c r="J4605" s="14"/>
      <c r="L4605"/>
    </row>
    <row r="4606" spans="1:12" x14ac:dyDescent="0.25">
      <c r="A4606" s="10"/>
      <c r="G4606"/>
      <c r="H4606" s="14"/>
      <c r="I4606" s="14"/>
      <c r="J4606" s="14"/>
      <c r="L4606"/>
    </row>
    <row r="4607" spans="1:12" x14ac:dyDescent="0.25">
      <c r="A4607" s="10"/>
      <c r="G4607"/>
      <c r="H4607" s="14"/>
      <c r="I4607" s="14"/>
      <c r="J4607" s="14"/>
      <c r="L4607"/>
    </row>
    <row r="4608" spans="1:12" x14ac:dyDescent="0.25">
      <c r="A4608" s="10"/>
      <c r="G4608"/>
      <c r="H4608" s="14"/>
      <c r="I4608" s="14"/>
      <c r="J4608" s="14"/>
      <c r="L4608"/>
    </row>
    <row r="4609" spans="1:12" x14ac:dyDescent="0.25">
      <c r="A4609" s="10"/>
      <c r="G4609"/>
      <c r="H4609" s="14"/>
      <c r="I4609" s="14"/>
      <c r="J4609" s="14"/>
      <c r="L4609"/>
    </row>
    <row r="4610" spans="1:12" x14ac:dyDescent="0.25">
      <c r="A4610" s="10"/>
      <c r="G4610"/>
      <c r="H4610" s="14"/>
      <c r="I4610" s="14"/>
      <c r="J4610" s="14"/>
      <c r="L4610"/>
    </row>
    <row r="4611" spans="1:12" x14ac:dyDescent="0.25">
      <c r="A4611" s="10"/>
      <c r="G4611"/>
      <c r="H4611" s="14"/>
      <c r="I4611" s="14"/>
      <c r="J4611" s="14"/>
      <c r="L4611"/>
    </row>
    <row r="4612" spans="1:12" x14ac:dyDescent="0.25">
      <c r="A4612" s="10"/>
      <c r="G4612"/>
      <c r="H4612" s="14"/>
      <c r="I4612" s="14"/>
      <c r="J4612" s="14"/>
      <c r="L4612"/>
    </row>
    <row r="4613" spans="1:12" x14ac:dyDescent="0.25">
      <c r="A4613" s="10"/>
      <c r="G4613"/>
      <c r="H4613" s="14"/>
      <c r="I4613" s="14"/>
      <c r="J4613" s="14"/>
      <c r="L4613"/>
    </row>
    <row r="4614" spans="1:12" x14ac:dyDescent="0.25">
      <c r="A4614" s="10"/>
      <c r="G4614"/>
      <c r="H4614" s="14"/>
      <c r="I4614" s="14"/>
      <c r="J4614" s="14"/>
      <c r="L4614"/>
    </row>
    <row r="4615" spans="1:12" x14ac:dyDescent="0.25">
      <c r="A4615" s="10"/>
      <c r="G4615"/>
      <c r="H4615" s="14"/>
      <c r="I4615" s="14"/>
      <c r="J4615" s="14"/>
      <c r="L4615"/>
    </row>
    <row r="4616" spans="1:12" x14ac:dyDescent="0.25">
      <c r="A4616" s="10"/>
      <c r="G4616"/>
      <c r="H4616" s="14"/>
      <c r="I4616" s="14"/>
      <c r="J4616" s="14"/>
      <c r="L4616"/>
    </row>
    <row r="4617" spans="1:12" x14ac:dyDescent="0.25">
      <c r="A4617" s="10"/>
      <c r="G4617"/>
      <c r="H4617" s="14"/>
      <c r="I4617" s="14"/>
      <c r="J4617" s="14"/>
      <c r="L4617"/>
    </row>
    <row r="4618" spans="1:12" x14ac:dyDescent="0.25">
      <c r="A4618" s="10"/>
      <c r="G4618"/>
      <c r="H4618" s="14"/>
      <c r="I4618" s="14"/>
      <c r="J4618" s="14"/>
      <c r="L4618"/>
    </row>
    <row r="4619" spans="1:12" x14ac:dyDescent="0.25">
      <c r="A4619" s="10"/>
      <c r="G4619"/>
      <c r="H4619" s="14"/>
      <c r="I4619" s="14"/>
      <c r="J4619" s="14"/>
      <c r="L4619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Sprunk</dc:creator>
  <cp:lastModifiedBy>Nicholas Sprunk</cp:lastModifiedBy>
  <dcterms:created xsi:type="dcterms:W3CDTF">2026-10-26T20:38:03Z</dcterms:created>
  <dcterms:modified xsi:type="dcterms:W3CDTF">2026-10-28T18:36:45Z</dcterms:modified>
</cp:coreProperties>
</file>